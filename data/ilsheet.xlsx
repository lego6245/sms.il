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<sst xmlns="http://schemas.openxmlformats.org/spreadsheetml/2006/main" count="26539" uniqueCount="10979">
  <si>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</si>
  <si>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</si>
  <si>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</si>
  <si>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</si>
  <si>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</si>
  <si>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</si>
  <si>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</si>
  <si>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</si>
  <si>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</si>
  <si>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</si>
  <si>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</si>
  <si>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</si>
  <si>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</si>
  <si>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</si>
  <si>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</si>
  <si>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</si>
  <si>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</si>
  <si>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</si>
  <si>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</si>
  <si>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</si>
  <si>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</si>
  <si>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</si>
  <si>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</si>
  <si>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</si>
  <si>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</si>
  <si>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</si>
  <si>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</si>
  <si>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</si>
  <si>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</si>
  <si>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</si>
  <si>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</si>
  <si>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</si>
  <si>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</si>
  <si>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</si>
  <si>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</si>
  <si>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</si>
  <si>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</si>
  <si>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</si>
  <si>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</si>
  <si>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</si>
  <si>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</si>
  <si>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</si>
  <si>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</si>
  <si>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</si>
  <si>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</si>
  <si>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</si>
  <si>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</si>
  <si>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</si>
  <si>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</si>
  <si>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</si>
  <si>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</si>
  <si>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</si>
  <si>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</si>
  <si>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</si>
  <si>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</si>
  <si>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</si>
  <si>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</si>
  <si>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</si>
  <si>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</si>
  <si>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</si>
  <si>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</si>
  <si>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</si>
  <si>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</si>
  <si>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</si>
  <si>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</si>
  <si>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</si>
  <si>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</si>
  <si>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</si>
  <si>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</si>
  <si>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</si>
  <si>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</si>
  <si>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</si>
  <si>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</si>
  <si>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</si>
  <si>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</si>
  <si>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</si>
  <si>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</si>
  <si>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</si>
  <si>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</si>
  <si>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</si>
  <si>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</si>
  <si>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</si>
  <si>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</si>
  <si>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</si>
  <si>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</si>
  <si>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</si>
  <si>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</si>
  <si>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</si>
  <si>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</si>
  <si>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</si>
  <si>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</si>
  <si>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</si>
  <si>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</si>
  <si>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</si>
  <si>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</si>
  <si>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</si>
  <si>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</si>
  <si>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</si>
  <si>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</si>
  <si>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</si>
  <si>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</si>
  <si>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</si>
  <si>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</si>
  <si>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</si>
  <si>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</si>
  <si>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</si>
  <si>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</si>
  <si>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</si>
  <si>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</si>
  <si>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</si>
  <si>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</si>
  <si>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</si>
  <si>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</si>
  <si>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</si>
  <si>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</si>
  <si>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</si>
  <si>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</si>
  <si>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</si>
  <si>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</si>
  <si>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</si>
  <si>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</si>
  <si>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</si>
  <si>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</si>
  <si>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</si>
  <si>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</si>
  <si>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</si>
  <si>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</si>
  <si>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</si>
  <si>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</si>
  <si>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</si>
  <si>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</si>
  <si>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</si>
  <si>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</si>
  <si>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</si>
  <si>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</si>
  <si>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</si>
  <si>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</si>
  <si>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</si>
  <si>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</si>
  <si>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</si>
  <si>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</si>
  <si>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</si>
  <si>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</si>
  <si>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</si>
  <si>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</si>
  <si>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</si>
  <si>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</si>
  <si>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</si>
  <si>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</si>
  <si>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</si>
  <si>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</si>
  <si>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</si>
  <si>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</si>
  <si>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</si>
  <si>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</si>
  <si>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</si>
  <si>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</si>
  <si>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</si>
  <si>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</si>
  <si>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</si>
  <si>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</si>
  <si>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</si>
  <si>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</si>
  <si>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</si>
  <si>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</si>
  <si>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</si>
  <si>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</si>
  <si>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</si>
  <si>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</si>
  <si>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</si>
  <si>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</si>
  <si>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</si>
  <si>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</si>
  <si>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</si>
  <si>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</si>
  <si>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</si>
  <si>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</si>
  <si>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</si>
  <si>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</si>
  <si>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</si>
  <si>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</si>
  <si>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</si>
  <si>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</si>
  <si>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</si>
  <si>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</si>
  <si>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</si>
  <si>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</si>
  <si>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</si>
  <si>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</si>
  <si>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</si>
  <si>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</si>
  <si>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</si>
  <si>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</si>
  <si>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</si>
  <si>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</si>
  <si>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</si>
  <si>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</si>
  <si>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</si>
  <si>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</si>
  <si>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</si>
  <si>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</si>
  <si>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</si>
  <si>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</si>
  <si>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</si>
  <si>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</si>
  <si>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</si>
  <si>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</si>
  <si>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</si>
  <si>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</si>
  <si>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</si>
  <si>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</si>
  <si>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</si>
  <si>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</si>
  <si>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</si>
  <si>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</si>
  <si>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</si>
  <si>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</si>
  <si>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</si>
  <si>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</si>
  <si>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</si>
  <si>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</si>
  <si>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</si>
  <si>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</si>
  <si>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</si>
  <si>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</si>
  <si>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</si>
  <si>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</si>
  <si>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</si>
  <si>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</si>
  <si>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</si>
  <si>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</si>
  <si>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</si>
  <si>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</si>
  <si>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</si>
  <si>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</si>
  <si>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</si>
  <si>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</si>
  <si>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</si>
  <si>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</si>
  <si>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</si>
  <si>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</si>
  <si>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</si>
  <si>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</si>
  <si>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</si>
  <si>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</si>
  <si>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</si>
  <si>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</si>
  <si>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</si>
  <si>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</si>
  <si>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</si>
  <si>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</si>
  <si>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</si>
  <si>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</si>
  <si>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</si>
  <si>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</si>
  <si>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</si>
  <si>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</si>
  <si>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</si>
  <si>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</si>
  <si>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</si>
  <si>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</si>
  <si>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</si>
  <si>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</si>
  <si>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</si>
  <si>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</si>
  <si>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</si>
  <si>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</si>
  <si>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</si>
  <si>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</si>
  <si>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</si>
  <si>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</si>
  <si>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</si>
  <si>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</si>
  <si>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</si>
  <si>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</si>
  <si>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</si>
  <si>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</si>
  <si>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</si>
  <si>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</si>
  <si>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</si>
  <si>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</si>
  <si>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</si>
  <si>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</si>
  <si>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</si>
  <si>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</si>
  <si>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</si>
  <si>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</si>
  <si>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</si>
  <si>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</si>
  <si>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</si>
  <si>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</si>
  <si>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</si>
  <si>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</si>
  <si>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</si>
  <si>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</si>
  <si>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</si>
  <si>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</si>
  <si>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</si>
  <si>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</si>
  <si>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</si>
  <si>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</si>
  <si>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</si>
  <si>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</si>
  <si>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</si>
  <si>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</si>
  <si>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</si>
  <si>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</si>
  <si>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</si>
  <si>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</si>
  <si>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</si>
  <si>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</si>
  <si>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</si>
  <si>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</si>
  <si>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</si>
  <si>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</si>
  <si>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</si>
  <si>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</si>
  <si>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</si>
  <si>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</si>
  <si>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</si>
  <si>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</si>
  <si>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</si>
  <si>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</si>
  <si>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</si>
  <si>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</si>
  <si>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</si>
  <si>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</si>
  <si>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</si>
  <si>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</si>
  <si>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</si>
  <si>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</si>
  <si>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</si>
  <si>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</si>
  <si>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</si>
  <si>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</si>
  <si>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</si>
  <si>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</si>
  <si>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</si>
  <si>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</si>
  <si>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</si>
  <si>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</si>
  <si>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</si>
  <si>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</si>
  <si>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</si>
  <si>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</si>
  <si>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</si>
  <si>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</si>
  <si>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</si>
  <si>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</si>
  <si>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</si>
  <si>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</si>
  <si>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</si>
  <si>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</si>
  <si>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</si>
  <si>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</si>
  <si>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</si>
  <si>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</si>
  <si>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</si>
  <si>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</si>
  <si>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</si>
  <si>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</si>
  <si>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</si>
  <si>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</si>
  <si>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</si>
  <si>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</si>
  <si>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</si>
  <si>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</si>
  <si>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</si>
  <si>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</si>
  <si>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</si>
  <si>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</si>
  <si>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</si>
  <si>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</si>
  <si>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</si>
  <si>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</si>
  <si>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</si>
  <si>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</si>
  <si>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</si>
  <si>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</si>
  <si>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</si>
  <si>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</si>
  <si>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</si>
  <si>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</si>
  <si>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</si>
  <si>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</si>
  <si>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</si>
  <si>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</si>
  <si>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</si>
  <si>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</si>
  <si>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</si>
  <si>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</si>
  <si>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</si>
  <si>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</si>
  <si>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</si>
  <si>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</si>
  <si>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</si>
  <si>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</si>
  <si>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</si>
  <si>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</si>
  <si>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</si>
  <si>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</si>
  <si>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</si>
  <si>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</si>
  <si>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</si>
  <si>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</si>
  <si>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</si>
  <si>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</si>
  <si>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</si>
  <si>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</si>
  <si>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</si>
  <si>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</si>
  <si>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</si>
  <si>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</si>
  <si>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</si>
  <si>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</si>
  <si>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</si>
  <si>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</si>
  <si>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</si>
  <si>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</si>
  <si>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</si>
  <si>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</si>
  <si>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</si>
  <si>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</si>
  <si>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</si>
  <si>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</si>
  <si>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</si>
  <si>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</si>
  <si>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</si>
  <si>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</si>
  <si>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</si>
  <si>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</si>
  <si>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</si>
  <si>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</si>
  <si>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</si>
  <si>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</si>
  <si>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</si>
  <si>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</si>
  <si>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</si>
  <si>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</si>
  <si>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</si>
  <si>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</si>
  <si>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</si>
  <si>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</si>
  <si>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</si>
  <si>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</si>
  <si>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</si>
  <si>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</si>
  <si>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</si>
  <si>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</si>
  <si>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</si>
  <si>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</si>
  <si>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</si>
  <si>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</si>
  <si>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</si>
  <si>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</si>
  <si>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</si>
  <si>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</si>
  <si>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</si>
  <si>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</si>
  <si>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</si>
  <si>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</si>
  <si>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</si>
  <si>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</si>
  <si>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</si>
  <si>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</si>
  <si>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</si>
  <si>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</si>
  <si>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</si>
  <si>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</si>
  <si>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</si>
  <si>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</si>
  <si>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</si>
  <si>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</si>
  <si>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</si>
  <si>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</si>
  <si>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</si>
  <si>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</si>
  <si>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</si>
  <si>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</si>
  <si>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</si>
  <si>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</si>
  <si>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</si>
  <si>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</si>
  <si>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</si>
  <si>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</si>
  <si>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</si>
  <si>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</si>
  <si>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</si>
  <si>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</si>
  <si>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</si>
  <si>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</si>
  <si>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</si>
  <si>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</si>
  <si>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</si>
  <si>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</si>
  <si>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</si>
  <si>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</si>
  <si>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</si>
  <si>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</si>
  <si>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</si>
  <si>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</si>
  <si>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</si>
  <si>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</si>
  <si>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</si>
  <si>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</si>
  <si>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</si>
  <si>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</si>
  <si>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</si>
  <si>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</si>
  <si>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</si>
  <si>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</si>
  <si>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</si>
  <si>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</si>
  <si>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</si>
  <si>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</si>
  <si>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</si>
  <si>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</si>
  <si>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</si>
  <si>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</si>
  <si>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</si>
  <si>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</si>
  <si>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</si>
  <si>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</si>
  <si>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</si>
  <si>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</si>
  <si>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</si>
  <si>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</si>
  <si>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</si>
  <si>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</si>
  <si>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</si>
  <si>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</si>
  <si>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</si>
  <si>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</si>
  <si>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</si>
  <si>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</si>
  <si>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</si>
  <si>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</si>
  <si>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</si>
  <si>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</si>
  <si>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</si>
  <si>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</si>
  <si>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</si>
  <si>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</si>
  <si>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</si>
  <si>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</si>
  <si>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</si>
  <si>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</si>
  <si>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</si>
  <si>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</si>
  <si>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</si>
  <si>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</si>
  <si>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</si>
  <si>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</si>
  <si>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</si>
  <si>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</si>
  <si>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</si>
  <si>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</si>
  <si>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</si>
  <si>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</si>
  <si>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</si>
  <si>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</si>
  <si>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</si>
  <si>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</si>
  <si>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</si>
  <si>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</si>
  <si>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</si>
  <si>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</si>
  <si>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</si>
  <si>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</si>
  <si>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</si>
  <si>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</si>
  <si>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</si>
  <si>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</si>
  <si>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</si>
  <si>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</si>
  <si>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</si>
  <si>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</si>
  <si>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</si>
  <si>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</si>
  <si>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</si>
  <si>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</si>
  <si>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</si>
  <si>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</si>
  <si>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</si>
  <si>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</si>
  <si>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</si>
  <si>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</si>
  <si>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</si>
  <si>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</si>
  <si>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</si>
  <si>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</si>
  <si>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</si>
  <si>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</si>
  <si>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</si>
  <si>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</si>
  <si>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</si>
  <si>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</si>
  <si>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</si>
  <si>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</si>
  <si>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</si>
  <si>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</si>
  <si>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</si>
  <si>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</si>
  <si>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</si>
  <si>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</si>
  <si>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</si>
  <si>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</si>
  <si>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</si>
  <si>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</si>
  <si>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</si>
  <si>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</si>
  <si>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</si>
  <si>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</si>
  <si>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</si>
  <si>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</si>
  <si>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</si>
  <si>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</si>
  <si>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</si>
  <si>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</si>
  <si>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</si>
  <si>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</si>
  <si>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</si>
  <si>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</si>
  <si>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</si>
  <si>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</si>
  <si>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</si>
  <si>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</si>
  <si>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</si>
  <si>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</si>
  <si>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</si>
  <si>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</si>
  <si>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</si>
  <si>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</si>
  <si>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</si>
  <si>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</si>
  <si>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</si>
  <si>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</si>
  <si>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</si>
  <si>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</si>
  <si>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</si>
  <si>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</si>
  <si>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</si>
  <si>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</si>
  <si>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</si>
  <si>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</si>
  <si>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</si>
  <si>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</si>
  <si>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</si>
  <si>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</si>
  <si>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</si>
  <si>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</si>
  <si>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</si>
  <si>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</si>
  <si>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</si>
  <si>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</si>
  <si>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</si>
  <si>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</si>
  <si>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</si>
  <si>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</si>
  <si>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</si>
  <si>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</si>
  <si>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</si>
  <si>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</si>
  <si>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</si>
  <si>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</si>
  <si>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</si>
  <si>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</si>
  <si>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</si>
  <si>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</si>
  <si>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</si>
  <si>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</si>
  <si>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</si>
  <si>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</si>
  <si>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</si>
  <si>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</si>
  <si>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</si>
  <si>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</si>
  <si>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</si>
  <si>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</si>
  <si>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</si>
  <si>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</si>
  <si>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</si>
  <si>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</si>
  <si>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</si>
  <si>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</si>
  <si>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</si>
  <si>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</si>
  <si>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</si>
  <si>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</si>
  <si>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</si>
  <si>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</si>
  <si>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</si>
  <si>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</si>
  <si>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</si>
  <si>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</si>
  <si>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</si>
  <si>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</si>
  <si>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</si>
  <si>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</si>
  <si>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</si>
  <si>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</si>
  <si>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</si>
  <si>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</si>
  <si>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</si>
  <si>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</si>
  <si>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</si>
  <si>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</si>
  <si>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</si>
  <si>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</si>
  <si>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</si>
  <si>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</si>
  <si>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</si>
  <si>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</si>
  <si>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</si>
  <si>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</si>
  <si>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</si>
  <si>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</si>
  <si>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</si>
  <si>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</si>
  <si>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</si>
  <si>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</si>
  <si>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</si>
  <si>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</si>
  <si>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</si>
  <si>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</si>
  <si>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</si>
  <si>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</si>
  <si>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</si>
  <si>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</si>
  <si>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</si>
  <si>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</si>
  <si>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</si>
  <si>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</si>
  <si>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</si>
  <si>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</si>
  <si>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</si>
  <si>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</si>
  <si>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</si>
  <si>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</si>
  <si>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</si>
  <si>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</si>
  <si>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</si>
  <si>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</si>
  <si>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</si>
  <si>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</si>
  <si>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</si>
  <si>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</si>
  <si>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</si>
  <si>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</si>
  <si>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</si>
  <si>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</si>
  <si>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</si>
  <si>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</si>
  <si>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</si>
  <si>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</si>
  <si>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</si>
  <si>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</si>
  <si>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</si>
  <si>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</si>
  <si>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</si>
  <si>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</si>
  <si>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</si>
  <si>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</si>
  <si>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</si>
  <si>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</si>
  <si>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</si>
  <si>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</si>
  <si>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</si>
  <si>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</si>
  <si>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</si>
  <si>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</si>
  <si>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</si>
  <si>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</si>
  <si>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</si>
  <si>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</si>
  <si>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</si>
  <si>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</si>
  <si>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</si>
  <si>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</si>
  <si>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</si>
  <si>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</si>
  <si>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</si>
  <si>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</si>
  <si>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</si>
  <si>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</si>
  <si>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</si>
  <si>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</si>
  <si>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</si>
  <si>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</si>
  <si>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</si>
  <si>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</si>
  <si>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</si>
  <si>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</si>
  <si>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</si>
  <si>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</si>
  <si>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</si>
  <si>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</si>
  <si>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</si>
  <si>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</si>
  <si>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</si>
  <si>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</si>
  <si>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</si>
  <si>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</si>
  <si>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</si>
  <si>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</si>
  <si>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</si>
  <si>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</si>
  <si>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</si>
  <si>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</si>
  <si>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</si>
  <si>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</si>
  <si>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</si>
  <si>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</si>
  <si>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</si>
  <si>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</si>
  <si>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</si>
  <si>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</si>
  <si>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</si>
  <si>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</si>
  <si>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</si>
  <si>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</si>
  <si>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</si>
  <si>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</si>
  <si>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</si>
  <si>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</si>
  <si>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</si>
  <si>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</si>
  <si>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</si>
  <si>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</si>
  <si>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</si>
  <si>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</si>
  <si>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</si>
  <si>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</si>
  <si>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</si>
  <si>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</si>
  <si>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</si>
  <si>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</si>
  <si>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</si>
  <si>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</si>
  <si>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</si>
  <si>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</si>
  <si>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</si>
  <si>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</si>
  <si>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</si>
  <si>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</si>
  <si>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</si>
  <si>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</si>
  <si>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</si>
  <si>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</si>
  <si>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</si>
  <si>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</si>
  <si>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</si>
  <si>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</si>
  <si>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</si>
  <si>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</si>
  <si>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</si>
  <si>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</si>
  <si>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</si>
  <si>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</si>
  <si>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</si>
  <si>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</si>
  <si>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</si>
  <si>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</si>
  <si>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</si>
  <si>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</si>
  <si>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</si>
  <si>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</si>
  <si>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</si>
  <si>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</si>
  <si>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</si>
  <si>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</si>
  <si>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</si>
  <si>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</si>
  <si>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</si>
  <si>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</si>
  <si>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</si>
  <si>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</si>
  <si>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</si>
  <si>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</si>
  <si>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</si>
  <si>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</si>
  <si>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</si>
  <si>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</si>
  <si>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</si>
  <si>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</si>
  <si>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</si>
  <si>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</si>
  <si>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</si>
  <si>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</si>
  <si>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</si>
  <si>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</si>
  <si>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</si>
  <si>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</si>
  <si>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</si>
  <si>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</si>
  <si>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</si>
  <si>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</si>
  <si>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</si>
  <si>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</si>
  <si>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</si>
  <si>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</si>
  <si>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</si>
  <si>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</si>
  <si>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</si>
  <si>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</si>
  <si>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</si>
  <si>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</si>
  <si>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</si>
  <si>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</si>
  <si>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</si>
  <si>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</si>
  <si>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</si>
  <si>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</si>
  <si>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</si>
  <si>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</si>
  <si>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</si>
  <si>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</si>
  <si>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</si>
  <si>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</si>
  <si>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</si>
  <si>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</si>
  <si>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</si>
  <si>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</si>
  <si>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</si>
  <si>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</si>
  <si>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</si>
  <si>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</si>
  <si>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</si>
  <si>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</si>
  <si>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</si>
  <si>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</si>
  <si>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</si>
  <si>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</si>
  <si>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</si>
  <si>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</si>
  <si>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</si>
  <si>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</si>
  <si>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</si>
  <si>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</si>
  <si>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</si>
  <si>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</si>
  <si>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</si>
  <si>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</si>
  <si>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</si>
  <si>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</si>
  <si>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</si>
  <si>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</si>
  <si>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</si>
  <si>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</si>
  <si>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</si>
  <si>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</si>
  <si>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</si>
  <si>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</si>
  <si>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</si>
  <si>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</si>
  <si>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</si>
  <si>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</si>
  <si>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</si>
  <si>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</si>
  <si>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</si>
  <si>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</si>
  <si>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</si>
  <si>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</si>
  <si>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</si>
  <si>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</si>
  <si>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</si>
  <si>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</si>
  <si>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</si>
  <si>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</si>
  <si>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</si>
  <si>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</si>
  <si>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</si>
  <si>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</si>
  <si>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</si>
  <si>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</si>
  <si>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</si>
  <si>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</si>
  <si>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</si>
  <si>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</si>
  <si>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</si>
  <si>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</si>
  <si>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</si>
  <si>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</si>
  <si>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</si>
  <si>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</si>
  <si>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</si>
  <si>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</si>
  <si>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</si>
  <si>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</si>
  <si>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</si>
  <si>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</si>
  <si>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</si>
  <si>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</si>
  <si>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</si>
  <si>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</si>
  <si>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</si>
  <si>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</si>
  <si>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</si>
  <si>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</si>
  <si>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</si>
  <si>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</si>
  <si>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</si>
  <si>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</si>
  <si>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</si>
  <si>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</si>
  <si>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</si>
  <si>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</si>
  <si>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</si>
  <si>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</si>
  <si>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</si>
  <si>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</si>
  <si>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</si>
  <si>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</si>
  <si>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</si>
  <si>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</si>
  <si>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</si>
  <si>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</si>
  <si>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</si>
  <si>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</si>
  <si>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</si>
  <si>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</si>
  <si>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</si>
  <si>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</si>
  <si>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</si>
  <si>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</si>
  <si>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</si>
  <si>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</si>
  <si>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</si>
  <si>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</si>
  <si>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</si>
  <si>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</si>
  <si>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</si>
  <si>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</si>
  <si>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</si>
  <si>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</si>
  <si>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</si>
  <si>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</si>
  <si>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</si>
  <si>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</si>
  <si>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</si>
  <si>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</si>
  <si>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</si>
  <si>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</si>
  <si>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</si>
  <si>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</si>
  <si>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</si>
  <si>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</si>
  <si>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</si>
  <si>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</si>
  <si>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</si>
  <si>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</si>
  <si>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</si>
  <si>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</si>
  <si>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</si>
  <si>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</si>
  <si>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</si>
  <si>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</si>
  <si>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</si>
  <si>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</si>
  <si>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</si>
  <si>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</si>
  <si>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</si>
  <si>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</si>
  <si>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</si>
  <si>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</si>
  <si>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</si>
  <si>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</si>
  <si>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</si>
  <si>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</si>
  <si>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</si>
  <si>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</si>
  <si>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</si>
  <si>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</si>
  <si>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</si>
  <si>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</si>
  <si>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</si>
  <si>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</si>
  <si>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</si>
  <si>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</si>
  <si>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</si>
  <si>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</si>
  <si>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</si>
  <si>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</si>
  <si>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</si>
  <si>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</si>
  <si>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</si>
  <si>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</si>
  <si>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</si>
  <si>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</si>
  <si>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</si>
  <si>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</si>
  <si>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</si>
  <si>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</si>
  <si>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</si>
  <si>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</si>
  <si>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</si>
  <si>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</si>
  <si>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</si>
  <si>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</si>
  <si>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</si>
  <si>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</si>
  <si>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</si>
  <si>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</si>
  <si>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</si>
  <si>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</si>
  <si>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</si>
  <si>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</si>
  <si>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</si>
  <si>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</si>
  <si>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</si>
  <si>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</si>
  <si>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</si>
  <si>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</si>
  <si>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</si>
  <si>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</si>
  <si>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</si>
  <si>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</si>
  <si>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</si>
  <si>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</si>
  <si>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</si>
  <si>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</si>
  <si>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</si>
  <si>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</si>
  <si>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</si>
  <si>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</si>
  <si>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</si>
  <si>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</si>
  <si>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</si>
  <si>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</si>
  <si>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</si>
  <si>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</si>
  <si>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</si>
  <si>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</si>
  <si>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</si>
  <si>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</si>
  <si>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</si>
  <si>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</si>
  <si>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</si>
  <si>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</si>
  <si>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</si>
  <si>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</si>
  <si>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</si>
  <si>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</si>
  <si>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</si>
  <si>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</si>
  <si>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</si>
  <si>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</si>
  <si>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</si>
  <si>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</si>
  <si>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</si>
  <si>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</si>
  <si>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</si>
  <si>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</si>
  <si>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</si>
  <si>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</si>
  <si>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</si>
  <si>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</si>
  <si>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</si>
  <si>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</si>
  <si>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</si>
  <si>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</si>
  <si>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</si>
  <si>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</si>
  <si>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</si>
  <si>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</si>
  <si>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</si>
  <si>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</si>
  <si>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</si>
  <si>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</si>
  <si>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</si>
  <si>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</si>
  <si>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</si>
  <si>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</si>
  <si>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</si>
  <si>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</si>
  <si>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</si>
  <si>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</si>
  <si>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</si>
  <si>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</si>
  <si>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</si>
  <si>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</si>
  <si>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</si>
  <si>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</si>
  <si>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</si>
  <si>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</si>
  <si>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</si>
  <si>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</si>
  <si>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</si>
  <si>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</si>
  <si>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</si>
  <si>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</si>
  <si>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</si>
  <si>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</si>
  <si>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</si>
  <si>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</si>
  <si>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</si>
  <si>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</si>
  <si>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</si>
  <si>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</si>
  <si>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</si>
  <si>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</si>
  <si>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</si>
  <si>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</si>
  <si>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</si>
  <si>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</si>
  <si>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</si>
  <si>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</si>
  <si>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</si>
  <si>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</si>
  <si>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</si>
  <si>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</si>
  <si>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</si>
  <si>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</si>
  <si>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</si>
  <si>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</si>
  <si>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</si>
  <si>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</si>
  <si>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</si>
  <si>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</si>
  <si>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</si>
  <si>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</si>
  <si>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</si>
  <si>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</si>
  <si>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</si>
  <si>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</si>
  <si>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</si>
  <si>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</si>
  <si>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</si>
  <si>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</si>
  <si>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</si>
  <si>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</si>
  <si>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</si>
  <si>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</si>
  <si>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</si>
  <si>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</si>
  <si>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</si>
  <si>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</si>
  <si>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</si>
  <si>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</si>
  <si>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</si>
  <si>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</si>
  <si>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</si>
  <si>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</si>
  <si>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</si>
  <si>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</si>
  <si>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</si>
  <si>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</si>
  <si>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</si>
  <si>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</si>
  <si>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</si>
  <si>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</si>
  <si>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</si>
  <si>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</si>
  <si>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</si>
  <si>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</si>
  <si>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</si>
  <si>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</si>
  <si>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</si>
  <si>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</si>
  <si>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</si>
  <si>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</si>
  <si>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</si>
  <si>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</si>
  <si>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</si>
  <si>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</si>
  <si>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</si>
  <si>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</si>
  <si>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</si>
  <si>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</si>
  <si>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</si>
  <si>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</si>
  <si>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</si>
  <si>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</si>
  <si>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</si>
  <si>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</si>
  <si>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</si>
  <si>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</si>
  <si>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</si>
  <si>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</si>
  <si>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</si>
  <si>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</si>
  <si>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</si>
  <si>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</si>
  <si>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</si>
  <si>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</si>
  <si>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</si>
  <si>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</si>
  <si>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</si>
  <si>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</si>
  <si>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</si>
  <si>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</si>
  <si>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</si>
  <si>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</si>
  <si>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</si>
  <si>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</si>
  <si>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</si>
  <si>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</si>
  <si>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</si>
  <si>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</si>
  <si>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</si>
  <si>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</si>
  <si>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</si>
  <si>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</si>
  <si>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</si>
  <si>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</si>
  <si>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</si>
  <si>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</si>
  <si>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</si>
  <si>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</si>
  <si>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</si>
  <si>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</si>
  <si>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</si>
  <si>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</si>
  <si>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</si>
  <si>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</si>
  <si>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</si>
  <si>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</si>
  <si>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</si>
  <si>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</si>
  <si>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</si>
  <si>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</si>
  <si>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</si>
  <si>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</si>
  <si>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</si>
  <si>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</si>
  <si>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</si>
  <si>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</si>
  <si>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</si>
  <si>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</si>
  <si>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</si>
  <si>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</si>
  <si>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</si>
  <si>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</si>
  <si>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</si>
  <si>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</si>
  <si>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</si>
  <si>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</si>
  <si>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</si>
  <si>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</si>
  <si>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</si>
  <si>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</si>
  <si>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</si>
  <si>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</si>
  <si>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</si>
  <si>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</si>
  <si>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</si>
  <si>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</si>
  <si>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</si>
  <si>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</si>
  <si>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</si>
  <si>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</si>
  <si>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</si>
  <si>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</si>
  <si>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</si>
  <si>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</si>
  <si>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</si>
  <si>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</si>
  <si>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</si>
  <si>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</si>
  <si>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</si>
  <si>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</si>
  <si>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</si>
  <si>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</si>
  <si>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</si>
  <si>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</si>
  <si>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</si>
  <si>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</si>
  <si>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</si>
  <si>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</si>
  <si>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</si>
  <si>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</si>
  <si>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</si>
  <si>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</si>
  <si>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</si>
  <si>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</si>
  <si>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</si>
  <si>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</si>
  <si>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</si>
  <si>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</si>
  <si>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</si>
  <si>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</si>
  <si>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</si>
  <si>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</si>
  <si>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</si>
  <si>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</si>
  <si>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</si>
  <si>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</si>
  <si>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</si>
  <si>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</si>
  <si>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</si>
  <si>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</si>
  <si>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</si>
  <si>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</si>
  <si>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</si>
  <si>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</si>
  <si>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</si>
  <si>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</si>
  <si>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</si>
  <si>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</si>
  <si>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</si>
  <si>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</si>
  <si>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</si>
  <si>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</si>
  <si>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</si>
  <si>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</si>
  <si>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</si>
  <si>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</si>
  <si>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</si>
  <si>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</si>
  <si>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</si>
  <si>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</si>
  <si>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</si>
  <si>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</si>
  <si>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</si>
  <si>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</si>
  <si>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</si>
  <si>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</si>
  <si>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</si>
  <si>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</si>
  <si>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</si>
  <si>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</si>
  <si>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</si>
  <si>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</si>
  <si>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</si>
  <si>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</si>
  <si>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</si>
  <si>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</si>
  <si>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</si>
  <si>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</si>
  <si>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</si>
  <si>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</si>
  <si>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</si>
  <si>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</si>
  <si>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</si>
  <si>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</si>
  <si>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</si>
  <si>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</si>
  <si>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</si>
  <si>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</si>
  <si>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</si>
  <si>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</si>
  <si>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</si>
  <si>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</si>
  <si>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</si>
  <si>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</si>
  <si>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</si>
  <si>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</si>
  <si>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</si>
  <si>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</si>
  <si>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</si>
  <si>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</si>
  <si>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</si>
  <si>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</si>
  <si>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</si>
  <si>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</si>
  <si>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</si>
  <si>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</si>
  <si>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</si>
  <si>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</si>
  <si>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</si>
  <si>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</si>
  <si>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</si>
  <si>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</si>
  <si>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</si>
  <si>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</si>
  <si>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</si>
  <si>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</si>
  <si>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</si>
  <si>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</si>
  <si>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</si>
  <si>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</si>
  <si>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</si>
  <si>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</si>
  <si>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</si>
  <si>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</si>
  <si>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</si>
  <si>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</si>
  <si>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</si>
  <si>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</si>
  <si>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</si>
  <si>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</si>
  <si>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</si>
  <si>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</si>
  <si>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</si>
  <si>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</si>
  <si>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</si>
  <si>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</si>
  <si>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</si>
  <si>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</si>
  <si>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</si>
  <si>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</si>
  <si>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</si>
  <si>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</si>
  <si>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</si>
  <si>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</si>
  <si>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</si>
  <si>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</si>
  <si>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</si>
  <si>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</si>
  <si>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</si>
  <si>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</si>
  <si>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</si>
  <si>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</si>
  <si>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</si>
  <si>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</si>
  <si>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</si>
  <si>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</si>
  <si>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</si>
  <si>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</si>
  <si>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</si>
  <si>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</si>
  <si>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</si>
  <si>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</si>
  <si>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</si>
  <si>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</si>
  <si>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</si>
  <si>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</si>
  <si>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</si>
  <si>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</si>
  <si>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</si>
  <si>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</si>
  <si>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</si>
  <si>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</si>
  <si>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</si>
  <si>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</si>
  <si>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</si>
  <si>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</si>
  <si>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</si>
  <si>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</si>
  <si>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</si>
  <si>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</si>
  <si>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</si>
  <si>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</si>
  <si>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</si>
  <si>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</si>
  <si>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</si>
  <si>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</si>
  <si>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</si>
  <si>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</si>
  <si>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</si>
  <si>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</si>
  <si>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</si>
  <si>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</si>
  <si>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</si>
  <si>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</si>
  <si>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</si>
  <si>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</si>
  <si>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</si>
  <si>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</si>
  <si>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</si>
  <si>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</si>
  <si>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</si>
  <si>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</si>
  <si>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</si>
  <si>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</si>
  <si>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</si>
  <si>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</si>
  <si>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</si>
  <si>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</si>
  <si>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</si>
  <si>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</si>
  <si>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</si>
  <si>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</si>
  <si>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</si>
  <si>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</si>
  <si>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</si>
  <si>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</si>
  <si>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</si>
  <si>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</si>
  <si>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</si>
  <si>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</si>
  <si>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</si>
  <si>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</si>
  <si>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</si>
  <si>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</si>
  <si>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</si>
  <si>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</si>
  <si>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</si>
  <si>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</si>
  <si>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</si>
  <si>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</si>
  <si>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</si>
  <si>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</si>
  <si>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</si>
  <si>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</si>
  <si>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</si>
  <si>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</si>
  <si>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</si>
  <si>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</si>
  <si>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</si>
  <si>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</si>
  <si>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</si>
  <si>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</si>
  <si>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</si>
  <si>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</si>
  <si>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</si>
  <si>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</si>
  <si>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</si>
  <si>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</si>
  <si>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</si>
  <si>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</si>
  <si>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</si>
  <si>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</si>
  <si>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</si>
  <si>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</si>
  <si>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</si>
  <si>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</si>
  <si>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</si>
  <si>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</si>
  <si>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</si>
  <si>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</si>
  <si>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</si>
  <si>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</si>
  <si>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</si>
  <si>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</si>
  <si>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</si>
  <si>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</si>
  <si>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</si>
  <si>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</si>
  <si>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</si>
  <si>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</si>
  <si>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</si>
  <si>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</si>
  <si>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</si>
  <si>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</si>
  <si>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</si>
  <si>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</si>
  <si>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</si>
  <si>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</si>
  <si>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</si>
  <si>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</si>
  <si>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</si>
  <si>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</si>
  <si>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</si>
  <si>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</si>
  <si>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</si>
  <si>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</si>
  <si>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</si>
  <si>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</si>
  <si>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</si>
  <si>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</si>
  <si>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</si>
  <si>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</si>
  <si>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</si>
  <si>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</si>
  <si>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</si>
  <si>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</si>
  <si>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</si>
  <si>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</si>
  <si>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</si>
  <si>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</si>
  <si>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</si>
  <si>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</si>
  <si>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</si>
  <si>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</si>
  <si>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</si>
  <si>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</si>
  <si>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</si>
  <si>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</si>
  <si>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</si>
  <si>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</si>
  <si>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</si>
  <si>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</si>
  <si>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</si>
  <si>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</si>
  <si>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</si>
  <si>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</si>
  <si>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</si>
  <si>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</si>
  <si>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</si>
  <si>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</si>
  <si>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</si>
  <si>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</si>
  <si>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</si>
  <si>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</si>
  <si>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</si>
  <si>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</si>
  <si>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</si>
  <si>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</si>
  <si>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</si>
  <si>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</si>
  <si>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</si>
  <si>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</si>
  <si>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</si>
  <si>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</si>
  <si>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</si>
  <si>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</si>
  <si>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</si>
  <si>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</si>
  <si>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</si>
  <si>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</si>
  <si>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</si>
  <si>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</si>
  <si>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</si>
  <si>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</si>
  <si>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</si>
  <si>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</si>
  <si>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</si>
  <si>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</si>
  <si>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</si>
  <si>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</si>
  <si>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</si>
  <si>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</si>
  <si>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</si>
  <si>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</si>
  <si>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</si>
  <si>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</si>
  <si>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</si>
  <si>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</si>
  <si>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</si>
  <si>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</si>
  <si>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</si>
  <si>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</si>
  <si>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</si>
  <si>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</si>
  <si>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</si>
  <si>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</si>
  <si>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</si>
  <si>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</si>
  <si>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</si>
  <si>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</si>
  <si>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</si>
  <si>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</si>
  <si>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</si>
  <si>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</si>
  <si>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</si>
  <si>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</si>
  <si>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</si>
  <si>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</si>
  <si>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</si>
  <si>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</si>
  <si>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</si>
  <si>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</si>
  <si>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</si>
  <si>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</si>
  <si>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</si>
  <si>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</si>
  <si>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</si>
  <si>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</si>
  <si>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</si>
  <si>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</si>
  <si>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</si>
  <si>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</si>
  <si>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</si>
  <si>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</si>
  <si>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</si>
  <si>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</si>
  <si>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</si>
  <si>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</si>
  <si>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</si>
  <si>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</si>
  <si>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</si>
  <si>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</si>
  <si>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</si>
  <si>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</si>
  <si>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</si>
  <si>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</si>
  <si>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</si>
  <si>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</si>
  <si>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</si>
  <si>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</si>
  <si>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</si>
  <si>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</si>
  <si>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</si>
  <si>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</si>
  <si>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</si>
  <si>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</si>
  <si>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</si>
  <si>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</si>
  <si>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</si>
  <si>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</si>
  <si>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</si>
  <si>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</si>
  <si>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</si>
  <si>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</si>
  <si>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</si>
  <si>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</si>
  <si>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</si>
  <si>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</si>
  <si>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</si>
  <si>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</si>
  <si>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</si>
  <si>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</si>
  <si>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</si>
  <si>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</si>
  <si>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</si>
  <si>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</si>
  <si>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</si>
  <si>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</si>
  <si>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</si>
  <si>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</si>
  <si>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</si>
  <si>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</si>
  <si>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</si>
  <si>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</si>
  <si>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</si>
  <si>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</si>
  <si>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</si>
  <si>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</si>
  <si>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</si>
  <si>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</si>
  <si>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</si>
  <si>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</si>
  <si>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</si>
  <si>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</si>
  <si>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</si>
  <si>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</si>
  <si>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</si>
  <si>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</si>
  <si>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</si>
  <si>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</si>
  <si>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</si>
  <si>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</si>
  <si>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</si>
  <si>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</si>
  <si>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</si>
  <si>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</si>
  <si>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</si>
  <si>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</si>
  <si>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</si>
  <si>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</si>
  <si>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</si>
  <si>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</si>
  <si>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</si>
  <si>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</si>
  <si>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</si>
  <si>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</si>
  <si>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</si>
  <si>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</si>
  <si>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</si>
  <si>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</si>
  <si>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</si>
  <si>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</si>
  <si>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</si>
  <si>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</si>
  <si>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</si>
  <si>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</si>
  <si>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</si>
  <si>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</si>
  <si>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</si>
  <si>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</si>
  <si>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</si>
  <si>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</si>
  <si>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</si>
  <si>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</si>
  <si>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</si>
  <si>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</si>
  <si>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</si>
  <si>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</si>
  <si>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</si>
  <si>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</si>
  <si>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</si>
  <si>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</si>
  <si>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</si>
  <si>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</si>
  <si>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</si>
  <si>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</si>
  <si>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</si>
  <si>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</si>
  <si>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</si>
  <si>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</si>
  <si>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</si>
  <si>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</si>
  <si>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</si>
  <si>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</si>
  <si>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</si>
  <si>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</si>
  <si>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</si>
  <si>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</si>
  <si>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</si>
  <si>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</si>
  <si>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</si>
  <si>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</si>
  <si>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</si>
  <si>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</si>
  <si>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</si>
  <si>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</si>
  <si>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</si>
  <si>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</si>
  <si>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</si>
  <si>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</si>
  <si>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</si>
  <si>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</si>
  <si>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</si>
  <si>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</si>
  <si>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</si>
  <si>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</si>
  <si>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</si>
  <si>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</si>
  <si>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</si>
  <si>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</si>
  <si>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</si>
  <si>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</si>
  <si>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</si>
  <si>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</si>
  <si>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</si>
  <si>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</si>
  <si>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</si>
  <si>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</si>
  <si>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</si>
  <si>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</si>
  <si>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</si>
  <si>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</si>
  <si>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</si>
  <si>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</si>
  <si>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</si>
  <si>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</si>
  <si>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</si>
  <si>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</si>
  <si>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</si>
  <si>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</si>
  <si>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</si>
  <si>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</si>
  <si>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</si>
  <si>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</si>
  <si>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</si>
  <si>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</si>
  <si>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</si>
  <si>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</si>
  <si>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</si>
  <si>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</si>
  <si>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</si>
  <si>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</si>
  <si>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</si>
  <si>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</si>
  <si>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</si>
  <si>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</si>
  <si>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</si>
  <si>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</si>
  <si>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</si>
  <si>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</si>
  <si>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</si>
  <si>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</si>
  <si>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</si>
  <si>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</si>
  <si>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</si>
  <si>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</si>
  <si>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</si>
  <si>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</si>
  <si>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</si>
  <si>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</si>
  <si>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</si>
  <si>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</si>
  <si>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</si>
  <si>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</si>
  <si>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</si>
  <si>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</si>
  <si>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</si>
  <si>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</si>
  <si>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</si>
  <si>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</si>
  <si>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</si>
  <si>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</si>
  <si>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</si>
  <si>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</si>
  <si>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</si>
  <si>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</si>
  <si>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</si>
  <si>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</si>
  <si>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</si>
  <si>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</si>
  <si>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</si>
  <si>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</si>
  <si>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</si>
  <si>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</si>
  <si>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</si>
  <si>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</si>
  <si>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</si>
  <si>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</si>
  <si>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</si>
  <si>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</si>
  <si>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</si>
  <si>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</si>
  <si>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</si>
  <si>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</si>
  <si>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</si>
  <si>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</si>
  <si>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</si>
  <si>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</si>
  <si>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</si>
  <si>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</si>
  <si>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</si>
  <si>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</si>
  <si>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</si>
  <si>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</si>
  <si>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</si>
  <si>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</si>
  <si>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</si>
  <si>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</si>
  <si>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</si>
  <si>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</si>
  <si>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</si>
  <si>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</si>
  <si>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</si>
  <si>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</si>
  <si>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</si>
  <si>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</si>
  <si>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</si>
  <si>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</si>
  <si>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</si>
  <si>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</si>
  <si>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</si>
  <si>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</si>
  <si>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</si>
  <si>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</si>
  <si>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</si>
  <si>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</si>
  <si>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</si>
  <si>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</si>
  <si>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</si>
  <si>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</si>
  <si>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</si>
  <si>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</si>
  <si>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</si>
  <si>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</si>
  <si>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</si>
  <si>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</si>
  <si>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</si>
  <si>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</si>
  <si>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</si>
  <si>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</si>
  <si>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</si>
  <si>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</si>
  <si>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</si>
  <si>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</si>
  <si>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</si>
  <si>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6644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</si>
  <si>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</si>
  <si>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</si>
  <si>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</si>
  <si>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</si>
  <si>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</si>
  <si>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</si>
  <si>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</si>
  <si>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</si>
  <si>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</si>
  <si>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</si>
  <si>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</si>
  <si>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</si>
  <si>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</si>
  <si>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</si>
  <si>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</si>
  <si>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</si>
  <si>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</si>
  <si>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</si>
  <si>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</si>
  <si>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</si>
  <si>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</si>
  <si>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</si>
  <si>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</si>
  <si>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</si>
  <si>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</si>
  <si>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</si>
  <si>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</si>
  <si>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</si>
  <si>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</si>
  <si>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</si>
  <si>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</si>
  <si>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</si>
  <si>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</si>
  <si>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</si>
  <si>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</si>
  <si>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</si>
  <si>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</si>
  <si>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</si>
  <si>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</si>
  <si>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</si>
  <si>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</si>
  <si>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</si>
  <si>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</si>
  <si>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</si>
  <si>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</si>
  <si>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</si>
  <si>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</si>
  <si>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</si>
  <si>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</si>
  <si>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</si>
  <si>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</si>
  <si>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</si>
  <si>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</si>
  <si>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</si>
  <si>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</si>
  <si>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</si>
  <si>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</si>
  <si>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</si>
  <si>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</si>
  <si>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</si>
  <si>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</si>
  <si>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</si>
  <si>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</si>
  <si>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</si>
  <si>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</si>
  <si>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</si>
  <si>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</si>
  <si>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</si>
  <si>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</si>
  <si>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</si>
  <si>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</si>
  <si>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</si>
  <si>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</si>
  <si>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</si>
  <si>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</si>
  <si>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</si>
  <si>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</si>
  <si>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</si>
  <si>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</si>
  <si>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</si>
  <si>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</si>
  <si>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</si>
  <si>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</si>
  <si>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</si>
  <si>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</si>
  <si>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</si>
  <si>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</si>
  <si>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</si>
  <si>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</si>
  <si>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</si>
  <si>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</si>
  <si>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</si>
  <si>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</si>
  <si>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</si>
  <si>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</si>
  <si>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</si>
  <si>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</si>
  <si>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</si>
  <si>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</si>
  <si>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</si>
  <si>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</si>
  <si>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</si>
  <si>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</si>
  <si>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</si>
  <si>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</si>
  <si>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</si>
  <si>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</si>
  <si>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</si>
  <si>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</si>
  <si>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</si>
  <si>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</si>
  <si>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</si>
  <si>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</si>
  <si>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</si>
  <si>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</si>
  <si>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</si>
  <si>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</si>
  <si>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</si>
  <si>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</si>
  <si>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</si>
  <si>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</si>
  <si>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</si>
  <si>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</si>
  <si>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</si>
  <si>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</si>
  <si>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</si>
  <si>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</si>
  <si>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</si>
  <si>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</si>
  <si>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</si>
  <si>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</si>
  <si>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</si>
  <si>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</si>
  <si>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</si>
  <si>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</si>
  <si>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</si>
  <si>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</si>
  <si>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</si>
  <si>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</si>
  <si>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</si>
  <si>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</si>
  <si>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</si>
  <si>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</si>
  <si>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</si>
  <si>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</si>
  <si>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</si>
  <si>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</si>
  <si>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</si>
  <si>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</si>
  <si>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</si>
  <si>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</si>
  <si>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</si>
  <si>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</si>
  <si>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</si>
  <si>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</si>
  <si>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</si>
  <si>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</si>
  <si>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</si>
  <si>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</si>
  <si>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</si>
  <si>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</si>
  <si>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</si>
  <si>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</si>
  <si>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</si>
  <si>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</si>
  <si>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</si>
  <si>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</si>
  <si>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</si>
  <si>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</si>
  <si>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</si>
  <si>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</si>
  <si>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</si>
  <si>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</si>
  <si>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</si>
  <si>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</si>
  <si>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</si>
  <si>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</si>
  <si>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</si>
  <si>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</si>
  <si>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</si>
  <si>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</si>
  <si>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</si>
  <si>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</si>
  <si>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</si>
  <si>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</si>
  <si>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</si>
  <si>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</si>
  <si>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</si>
  <si>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</si>
  <si>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</si>
  <si>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</si>
  <si>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</si>
  <si>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</si>
  <si>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</si>
  <si>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</si>
  <si>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</si>
  <si>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</si>
  <si>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</si>
  <si>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</si>
  <si>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</si>
  <si>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</si>
  <si>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</si>
  <si>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</si>
  <si>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</si>
  <si>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</si>
  <si>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</si>
  <si>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</si>
  <si>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</si>
  <si>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</si>
  <si>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</si>
  <si>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</si>
  <si>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</si>
  <si>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</si>
  <si>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</si>
  <si>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</si>
  <si>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</si>
  <si>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</si>
  <si>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</si>
  <si>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</si>
  <si>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</si>
  <si>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</si>
  <si>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</si>
  <si>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</si>
  <si>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</si>
  <si>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</si>
  <si>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</si>
  <si>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</si>
  <si>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</si>
  <si>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</si>
  <si>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</si>
  <si>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</si>
  <si>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</si>
  <si>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</si>
  <si>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</si>
  <si>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</si>
  <si>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</si>
  <si>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</si>
  <si>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</si>
  <si>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</si>
  <si>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</si>
  <si>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</si>
  <si>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</si>
  <si>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</si>
  <si>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</si>
  <si>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</si>
  <si>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</si>
  <si>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</si>
  <si>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</si>
  <si>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</si>
  <si>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</si>
  <si>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</si>
  <si>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</si>
  <si>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</si>
  <si>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</si>
  <si>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</si>
  <si>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</si>
  <si>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</si>
  <si>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</si>
  <si>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</si>
  <si>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</si>
  <si>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</si>
  <si>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</si>
  <si>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</si>
  <si>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</si>
  <si>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</si>
  <si>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</si>
  <si>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</si>
  <si>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</si>
  <si>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</si>
  <si>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</si>
  <si>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</si>
  <si>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</si>
  <si>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</si>
  <si>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</si>
  <si>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</si>
  <si>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</si>
  <si>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</si>
  <si>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</si>
  <si>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</si>
  <si>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</si>
  <si>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</si>
  <si>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</si>
  <si>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</si>
  <si>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</si>
  <si>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</si>
  <si>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</si>
  <si>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</si>
  <si>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</si>
  <si>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</si>
  <si>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</si>
  <si>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</si>
  <si>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</si>
  <si>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</si>
  <si>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</si>
  <si>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</si>
  <si>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</si>
  <si>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</si>
  <si>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</si>
  <si>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</si>
  <si>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</si>
  <si>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</si>
  <si>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</si>
  <si>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</si>
  <si>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</si>
  <si>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</si>
  <si>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</si>
  <si>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</si>
  <si>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</si>
  <si>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</si>
  <si>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</si>
  <si>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</si>
  <si>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</si>
  <si>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</si>
  <si>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</si>
  <si>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</si>
  <si>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</si>
  <si>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</si>
  <si>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</si>
  <si>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</si>
  <si>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</si>
  <si>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</si>
  <si>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</si>
  <si>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</si>
  <si>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</si>
  <si>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</si>
  <si>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</si>
  <si>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</si>
  <si>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</si>
  <si>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</si>
  <si>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</si>
  <si>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</si>
  <si>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</si>
  <si>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</si>
  <si>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</si>
  <si>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</si>
  <si>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</si>
  <si>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</si>
  <si>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</si>
  <si>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</si>
  <si>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</si>
  <si>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</si>
  <si>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</si>
  <si>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</si>
  <si>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</si>
  <si>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</si>
  <si>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</si>
  <si>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</si>
  <si>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</si>
  <si>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</si>
  <si>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</si>
  <si>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</si>
  <si>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</si>
  <si>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</si>
  <si>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</si>
  <si>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</si>
  <si>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</si>
  <si>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</si>
  <si>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</si>
  <si>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</si>
  <si>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</si>
  <si>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</si>
  <si>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</si>
  <si>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</si>
  <si>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</si>
  <si>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</si>
  <si>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</si>
  <si>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</si>
  <si>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</si>
  <si>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</si>
  <si>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</si>
  <si>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</si>
  <si>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</si>
  <si>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</si>
  <si>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</si>
  <si>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</si>
  <si>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</si>
  <si>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</si>
  <si>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</si>
  <si>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</si>
  <si>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</si>
  <si>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</si>
  <si>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</si>
  <si>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</si>
  <si>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</si>
  <si>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</si>
  <si>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</si>
  <si>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</si>
  <si>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</si>
  <si>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</si>
  <si>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</si>
  <si>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</si>
  <si>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</si>
  <si>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</si>
  <si>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</si>
  <si>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</si>
  <si>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</si>
  <si>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</si>
  <si>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</si>
  <si>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</si>
  <si>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</si>
  <si>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</si>
  <si>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</si>
  <si>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</si>
  <si>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</si>
  <si>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</si>
  <si>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</si>
  <si>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</si>
  <si>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</si>
  <si>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</si>
  <si>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</si>
  <si>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</si>
  <si>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</si>
  <si>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</si>
  <si>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</si>
  <si>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</si>
  <si>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</si>
  <si>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</si>
  <si>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</si>
  <si>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</si>
  <si>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</si>
  <si>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</si>
  <si>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</si>
  <si>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</si>
  <si>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</si>
  <si>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</si>
  <si>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</si>
  <si>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</si>
  <si>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</si>
  <si>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</si>
  <si>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</si>
  <si>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</si>
  <si>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</si>
  <si>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</si>
  <si>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</si>
  <si>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</si>
  <si>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</si>
  <si>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</si>
  <si>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</si>
  <si>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</si>
  <si>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</si>
  <si>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</si>
  <si>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</si>
  <si>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</si>
  <si>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</si>
  <si>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</si>
  <si>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</si>
  <si>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</si>
  <si>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</si>
  <si>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</si>
  <si>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</si>
  <si>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</si>
  <si>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</si>
  <si>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</si>
  <si>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</si>
  <si>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</si>
  <si>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</si>
  <si>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</si>
  <si>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</si>
  <si>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</si>
  <si>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</si>
  <si>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</si>
  <si>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</si>
  <si>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</si>
  <si>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</si>
  <si>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</si>
  <si>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</si>
  <si>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</si>
  <si>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</si>
  <si>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5601</t>
  </si>
  <si>
    <t>47</t>
  </si>
  <si>
    <t>55</t>
  </si>
  <si>
    <t>50.95</t>
  </si>
  <si>
    <t>1:19.51</t>
  </si>
  <si>
    <t>36.95</t>
  </si>
  <si>
    <t>43.03</t>
  </si>
  <si>
    <t>2:14.24</t>
  </si>
  <si>
    <t>39.16</t>
  </si>
  <si>
    <t>14.67</t>
  </si>
  <si>
    <t>30.14</t>
  </si>
  <si>
    <t>56.11</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</si>
  <si>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</si>
  <si>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</si>
  <si>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</si>
  <si>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</si>
  <si>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</si>
  <si>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</si>
  <si>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</si>
  <si>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</si>
  <si>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</si>
  <si>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</si>
  <si>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</si>
  <si>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</si>
  <si>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</si>
  <si>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</si>
  <si>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</si>
  <si>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</si>
  <si>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</si>
  <si>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</si>
  <si>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</si>
  <si>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</si>
  <si>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</si>
  <si>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</si>
  <si>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</si>
  <si>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</si>
  <si>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</si>
  <si>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</si>
  <si>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</si>
  <si>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</si>
  <si>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</si>
  <si>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</si>
  <si>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</si>
  <si>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</si>
  <si>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</si>
  <si>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</si>
  <si>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</si>
  <si>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</si>
  <si>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</si>
  <si>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</si>
  <si>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</si>
  <si>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</si>
  <si>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</si>
  <si>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</si>
  <si>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</si>
  <si>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</si>
  <si>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</si>
  <si>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</si>
  <si>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</si>
  <si>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</si>
  <si>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</si>
  <si>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</si>
  <si>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</si>
  <si>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</si>
  <si>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</si>
  <si>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</si>
  <si>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</si>
  <si>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</si>
  <si>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</si>
  <si>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</si>
  <si>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</si>
  <si>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</si>
  <si>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</si>
  <si>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</si>
  <si>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</si>
  <si>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</si>
  <si>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</si>
  <si>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</si>
  <si>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</si>
  <si>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</si>
  <si>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</si>
  <si>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</si>
  <si>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</si>
  <si>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</si>
  <si>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</si>
  <si>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</si>
  <si>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</si>
  <si>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</si>
  <si>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</si>
  <si>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</si>
  <si>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</si>
  <si>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</si>
  <si>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</si>
  <si>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</si>
  <si>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</si>
  <si>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</si>
  <si>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</si>
  <si>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</si>
  <si>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</si>
  <si>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</si>
  <si>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</si>
  <si>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</si>
  <si>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</si>
  <si>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</si>
  <si>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</si>
  <si>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</si>
  <si>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</si>
  <si>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</si>
  <si>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</si>
  <si>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</si>
  <si>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</si>
  <si>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</si>
  <si>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</si>
  <si>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</si>
  <si>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</si>
  <si>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</si>
  <si>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</si>
  <si>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</si>
  <si>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</si>
  <si>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</si>
  <si>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</si>
  <si>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</si>
  <si>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</si>
  <si>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</si>
  <si>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</si>
  <si>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</si>
  <si>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</si>
  <si>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</si>
  <si>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</si>
  <si>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</si>
  <si>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</si>
  <si>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</si>
  <si>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</si>
  <si>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</si>
  <si>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</si>
  <si>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</si>
  <si>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</si>
  <si>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</si>
  <si>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</si>
  <si>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</si>
  <si>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</si>
  <si>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</si>
  <si>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</si>
  <si>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</si>
  <si>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</si>
  <si>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</si>
  <si>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</si>
  <si>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</si>
  <si>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</si>
  <si>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</si>
  <si>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</si>
  <si>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</si>
  <si>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</si>
  <si>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</si>
  <si>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</si>
  <si>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</si>
  <si>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</si>
  <si>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</si>
  <si>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</si>
  <si>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</si>
  <si>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</si>
  <si>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</si>
  <si>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</si>
  <si>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</si>
  <si>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</si>
  <si>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</si>
  <si>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</si>
  <si>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</si>
  <si>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</si>
  <si>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</si>
  <si>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</si>
  <si>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</si>
  <si>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</si>
  <si>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</si>
  <si>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</si>
  <si>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</si>
  <si>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</si>
  <si>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</si>
  <si>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</si>
  <si>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</si>
  <si>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</si>
  <si>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</si>
  <si>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</si>
  <si>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</si>
  <si>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</si>
  <si>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</si>
  <si>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</si>
  <si>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</si>
  <si>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</si>
  <si>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</si>
  <si>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</si>
  <si>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</si>
  <si>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</si>
  <si>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</si>
  <si>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</si>
  <si>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</si>
  <si>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</si>
  <si>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</si>
  <si>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</si>
  <si>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</si>
  <si>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</si>
  <si>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</si>
  <si>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</si>
  <si>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</si>
  <si>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</si>
  <si>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</si>
  <si>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</si>
  <si>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</si>
  <si>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</si>
  <si>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</si>
  <si>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</si>
  <si>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</si>
  <si>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</si>
  <si>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</si>
  <si>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</si>
  <si>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</si>
  <si>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</si>
  <si>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</si>
  <si>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</si>
  <si>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</si>
  <si>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</si>
  <si>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</si>
  <si>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</si>
  <si>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</si>
  <si>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</si>
  <si>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</si>
  <si>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</si>
  <si>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</si>
  <si>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</si>
  <si>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</si>
  <si>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</si>
  <si>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</si>
  <si>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</si>
  <si>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</si>
  <si>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</si>
  <si>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</si>
  <si>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</si>
  <si>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</si>
  <si>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</si>
  <si>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</si>
  <si>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</si>
  <si>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</si>
  <si>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</si>
  <si>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</si>
  <si>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</si>
  <si>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</si>
  <si>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</si>
  <si>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</si>
  <si>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</si>
  <si>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</si>
  <si>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</si>
  <si>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</si>
  <si>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</si>
  <si>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</si>
  <si>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</si>
  <si>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</si>
  <si>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</si>
  <si>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</si>
  <si>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</si>
  <si>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</si>
  <si>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</si>
  <si>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</si>
  <si>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</si>
  <si>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</si>
  <si>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</si>
  <si>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</si>
  <si>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</si>
  <si>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</si>
  <si>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</si>
  <si>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</si>
  <si>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</si>
  <si>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</si>
  <si>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</si>
  <si>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</si>
  <si>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</si>
  <si>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</si>
  <si>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</si>
  <si>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</si>
  <si>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</si>
  <si>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</si>
  <si>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</si>
  <si>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</si>
  <si>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</si>
  <si>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</si>
  <si>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</si>
  <si>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</si>
  <si>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</si>
  <si>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</si>
  <si>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</si>
  <si>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</si>
  <si>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</si>
  <si>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</si>
  <si>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</si>
  <si>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</si>
  <si>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</si>
  <si>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</si>
  <si>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</si>
  <si>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</si>
  <si>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</si>
  <si>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</si>
  <si>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</si>
  <si>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</si>
  <si>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</si>
  <si>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</si>
  <si>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</si>
  <si>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</si>
  <si>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</si>
  <si>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</si>
  <si>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</si>
  <si>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</si>
  <si>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</si>
  <si>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</si>
  <si>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</si>
  <si>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</si>
  <si>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</si>
  <si>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</si>
  <si>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</si>
  <si>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</si>
  <si>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</si>
  <si>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</si>
  <si>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</si>
  <si>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</si>
  <si>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</si>
  <si>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</si>
  <si>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</si>
  <si>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</si>
  <si>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</si>
  <si>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</si>
  <si>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</si>
  <si>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</si>
  <si>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</si>
  <si>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</si>
  <si>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</si>
  <si>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</si>
  <si>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</si>
  <si>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</si>
  <si>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</si>
  <si>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</si>
  <si>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</si>
  <si>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</si>
  <si>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</si>
  <si>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</si>
  <si>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</si>
  <si>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</si>
  <si>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</si>
  <si>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</si>
  <si>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</si>
  <si>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</si>
  <si>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</si>
  <si>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</si>
  <si>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</si>
  <si>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</si>
  <si>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</si>
  <si>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</si>
  <si>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</si>
  <si>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</si>
  <si>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</si>
  <si>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</si>
  <si>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</si>
  <si>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</si>
  <si>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</si>
  <si>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</si>
  <si>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</si>
  <si>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</si>
  <si>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</si>
  <si>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</si>
  <si>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</si>
  <si>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</si>
  <si>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</si>
  <si>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</si>
  <si>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</si>
  <si>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</si>
  <si>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</si>
  <si>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</si>
  <si>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</si>
  <si>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</si>
  <si>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</si>
  <si>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</si>
  <si>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</si>
  <si>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</si>
  <si>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</si>
  <si>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</si>
  <si>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</si>
  <si>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</si>
  <si>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</si>
  <si>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</si>
  <si>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</si>
  <si>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</si>
  <si>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</si>
  <si>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</si>
  <si>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</si>
  <si>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</si>
  <si>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</si>
  <si>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</si>
  <si>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</si>
  <si>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</si>
  <si>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</si>
  <si>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</si>
  <si>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</si>
  <si>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</si>
  <si>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</si>
  <si>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</si>
  <si>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</si>
  <si>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</si>
  <si>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</si>
  <si>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</si>
  <si>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</si>
  <si>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</si>
  <si>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</si>
  <si>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</si>
  <si>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</si>
  <si>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</si>
  <si>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</si>
  <si>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</si>
  <si>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</si>
  <si>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</si>
  <si>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</si>
  <si>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</si>
  <si>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</si>
  <si>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</si>
  <si>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</si>
  <si>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</si>
  <si>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</si>
  <si>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</si>
  <si>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</si>
  <si>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</si>
  <si>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</si>
  <si>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</si>
  <si>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</si>
  <si>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</si>
  <si>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</si>
  <si>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</si>
  <si>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</si>
  <si>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</si>
  <si>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</si>
  <si>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</si>
  <si>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</si>
  <si>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</si>
  <si>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</si>
  <si>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</si>
  <si>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</si>
  <si>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</si>
  <si>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</si>
  <si>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</si>
  <si>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</si>
  <si>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</si>
  <si>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</si>
  <si>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</si>
  <si>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</si>
  <si>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</si>
  <si>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</si>
  <si>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</si>
  <si>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</si>
  <si>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</si>
  <si>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</si>
  <si>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</si>
  <si>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</si>
  <si>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</si>
  <si>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</si>
  <si>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</si>
  <si>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</si>
  <si>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</si>
  <si>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</si>
  <si>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</si>
  <si>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</si>
  <si>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</si>
  <si>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</si>
  <si>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</si>
  <si>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</si>
  <si>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</si>
  <si>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</si>
  <si>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</si>
  <si>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</si>
  <si>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</si>
  <si>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</si>
  <si>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</si>
  <si>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</si>
  <si>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</si>
  <si>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</si>
  <si>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</si>
  <si>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</si>
  <si>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</si>
  <si>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</si>
  <si>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</si>
  <si>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</si>
  <si>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</si>
  <si>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</si>
  <si>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</si>
  <si>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</si>
  <si>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</si>
  <si>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</si>
  <si>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</si>
  <si>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</si>
  <si>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</si>
  <si>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</si>
  <si>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</si>
  <si>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</si>
  <si>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</si>
  <si>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</si>
  <si>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</si>
  <si>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</si>
  <si>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</si>
  <si>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</si>
  <si>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</si>
  <si>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</si>
  <si>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</si>
  <si>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</si>
  <si>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</si>
  <si>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</si>
  <si>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</si>
  <si>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</si>
  <si>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</si>
  <si>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</si>
  <si>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</si>
  <si>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</si>
  <si>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</si>
  <si>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</si>
  <si>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</si>
  <si>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</si>
  <si>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</si>
  <si>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</si>
  <si>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</si>
  <si>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</si>
  <si>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</si>
  <si>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</si>
  <si>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</si>
  <si>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</si>
  <si>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</si>
  <si>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</si>
  <si>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</si>
  <si>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</si>
  <si>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</si>
  <si>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</si>
  <si>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</si>
  <si>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</si>
  <si>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</si>
  <si>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</si>
  <si>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</si>
  <si>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</si>
  <si>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</si>
  <si>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</si>
  <si>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</si>
  <si>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</si>
  <si>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</si>
  <si>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</si>
  <si>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</si>
  <si>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</si>
  <si>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</si>
  <si>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</si>
  <si>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</si>
  <si>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</si>
  <si>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</si>
  <si>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</si>
  <si>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</si>
  <si>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</si>
  <si>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</si>
  <si>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</si>
  <si>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</si>
  <si>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</si>
  <si>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</si>
  <si>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</si>
  <si>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</si>
  <si>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</si>
  <si>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</si>
  <si>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</si>
  <si>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</si>
  <si>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</si>
  <si>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</si>
  <si>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</si>
  <si>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</si>
  <si>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</si>
  <si>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</si>
  <si>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</si>
  <si>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</si>
  <si>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</si>
  <si>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</si>
  <si>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</si>
  <si>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</si>
  <si>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</si>
  <si>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</si>
  <si>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</si>
  <si>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</si>
  <si>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</si>
  <si>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</si>
  <si>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</si>
  <si>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</si>
  <si>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</si>
  <si>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</si>
  <si>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</si>
  <si>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</si>
  <si>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</si>
  <si>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</si>
  <si>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</si>
  <si>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</si>
  <si>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</si>
  <si>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</si>
  <si>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</si>
  <si>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</si>
  <si>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</si>
  <si>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</si>
  <si>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</si>
  <si>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</si>
  <si>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</si>
  <si>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</si>
  <si>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4540</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</si>
  <si>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</si>
  <si>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</si>
  <si>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</si>
  <si>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</si>
  <si>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</si>
  <si>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</si>
  <si>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</si>
  <si>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</si>
  <si>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</si>
  <si>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</si>
  <si>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</si>
  <si>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</si>
  <si>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</si>
  <si>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</si>
  <si>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</si>
  <si>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</si>
  <si>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</si>
  <si>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</si>
  <si>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</si>
  <si>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</si>
  <si>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</si>
  <si>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</si>
  <si>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</si>
  <si>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</si>
  <si>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</si>
  <si>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</si>
  <si>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</si>
  <si>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</si>
  <si>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</si>
  <si>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</si>
  <si>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</si>
  <si>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</si>
  <si>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</si>
  <si>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</si>
  <si>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</si>
  <si>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</si>
  <si>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</si>
  <si>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</si>
  <si>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</si>
  <si>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</si>
  <si>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</si>
  <si>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</si>
  <si>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</si>
  <si>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</si>
  <si>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</si>
  <si>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</si>
  <si>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</si>
  <si>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</si>
  <si>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</si>
  <si>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</si>
  <si>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</si>
  <si>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</si>
  <si>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</si>
  <si>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</si>
  <si>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</si>
  <si>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</si>
  <si>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</si>
  <si>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</si>
  <si>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</si>
  <si>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</si>
  <si>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</si>
  <si>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</si>
  <si>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</si>
  <si>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</si>
  <si>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</si>
  <si>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</si>
  <si>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</si>
  <si>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</si>
  <si>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</si>
  <si>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</si>
  <si>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</si>
  <si>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</si>
  <si>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</si>
  <si>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</si>
  <si>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</si>
  <si>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</si>
  <si>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</si>
  <si>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</si>
  <si>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</si>
  <si>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</si>
  <si>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</si>
  <si>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</si>
  <si>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</si>
  <si>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</si>
  <si>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</si>
  <si>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</si>
  <si>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</si>
  <si>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</si>
  <si>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</si>
  <si>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</si>
  <si>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</si>
  <si>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</si>
  <si>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</si>
  <si>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</si>
  <si>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</si>
  <si>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</si>
  <si>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</si>
  <si>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</si>
  <si>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</si>
  <si>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</si>
  <si>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</si>
  <si>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</si>
  <si>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</si>
  <si>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</si>
  <si>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</si>
  <si>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</si>
  <si>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</si>
  <si>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</si>
  <si>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</si>
  <si>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</si>
  <si>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</si>
  <si>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</si>
  <si>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</si>
  <si>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</si>
  <si>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</si>
  <si>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</si>
  <si>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</si>
  <si>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</si>
  <si>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</si>
  <si>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</si>
  <si>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</si>
  <si>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</si>
  <si>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</si>
  <si>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</si>
  <si>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</si>
  <si>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</si>
  <si>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</si>
  <si>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</si>
  <si>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</si>
  <si>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</si>
  <si>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</si>
  <si>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</si>
  <si>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</si>
  <si>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</si>
  <si>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</si>
  <si>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</si>
  <si>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</si>
  <si>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</si>
  <si>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</si>
  <si>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</si>
  <si>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</si>
  <si>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</si>
  <si>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</si>
  <si>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</si>
  <si>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</si>
  <si>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</si>
  <si>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</si>
  <si>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</si>
  <si>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</si>
  <si>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</si>
  <si>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</si>
  <si>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</si>
  <si>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</si>
  <si>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</si>
  <si>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</si>
  <si>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</si>
  <si>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</si>
  <si>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</si>
  <si>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</si>
  <si>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</si>
  <si>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</si>
  <si>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</si>
  <si>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</si>
  <si>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</si>
  <si>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</si>
  <si>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</si>
  <si>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</si>
  <si>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</si>
  <si>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</si>
  <si>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</si>
  <si>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</si>
  <si>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</si>
  <si>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</si>
  <si>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</si>
  <si>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</si>
  <si>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</si>
  <si>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</si>
  <si>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</si>
  <si>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</si>
  <si>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</si>
  <si>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</si>
  <si>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</si>
  <si>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</si>
  <si>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</si>
  <si>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</si>
  <si>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</si>
  <si>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</si>
  <si>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</si>
  <si>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</si>
  <si>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</si>
  <si>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</si>
  <si>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</si>
  <si>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</si>
  <si>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</si>
  <si>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</si>
  <si>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</si>
  <si>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</si>
  <si>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</si>
  <si>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</si>
  <si>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</si>
  <si>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</si>
  <si>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</si>
  <si>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</si>
  <si>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</si>
  <si>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</si>
  <si>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</si>
  <si>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</si>
  <si>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</si>
  <si>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</si>
  <si>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</si>
  <si>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</si>
  <si>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</si>
  <si>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</si>
  <si>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</si>
  <si>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</si>
  <si>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</si>
  <si>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</si>
  <si>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</si>
  <si>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</si>
  <si>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</si>
  <si>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</si>
  <si>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</si>
  <si>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</si>
  <si>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</si>
  <si>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</si>
  <si>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</si>
  <si>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</si>
  <si>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</si>
  <si>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</si>
  <si>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</si>
  <si>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</si>
  <si>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</si>
  <si>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</si>
  <si>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</si>
  <si>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</si>
  <si>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</si>
  <si>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</si>
  <si>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</si>
  <si>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</si>
  <si>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</si>
  <si>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</si>
  <si>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</si>
  <si>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</si>
  <si>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</si>
  <si>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</si>
  <si>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</si>
  <si>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</si>
  <si>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</si>
  <si>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</si>
  <si>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</si>
  <si>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</si>
  <si>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</si>
  <si>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</si>
  <si>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</si>
  <si>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</si>
  <si>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</si>
  <si>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</si>
  <si>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</si>
  <si>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</si>
  <si>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</si>
  <si>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</si>
  <si>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</si>
  <si>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</si>
  <si>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</si>
  <si>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</si>
  <si>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</si>
  <si>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</si>
  <si>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</si>
  <si>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</si>
  <si>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</si>
  <si>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</si>
  <si>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</si>
  <si>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</si>
  <si>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</si>
  <si>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</si>
  <si>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</si>
  <si>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</si>
  <si>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</si>
  <si>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</si>
  <si>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</si>
  <si>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</si>
  <si>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</si>
  <si>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</si>
  <si>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</si>
  <si>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</si>
  <si>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</si>
  <si>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</si>
  <si>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</si>
  <si>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</si>
  <si>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</si>
  <si>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</si>
  <si>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</si>
  <si>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</si>
  <si>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</si>
  <si>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</si>
  <si>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</si>
  <si>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</si>
  <si>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</si>
  <si>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</si>
  <si>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</si>
  <si>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</si>
  <si>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</si>
  <si>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</si>
  <si>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</si>
  <si>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</si>
  <si>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</si>
  <si>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</si>
  <si>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</si>
  <si>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</si>
  <si>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</si>
  <si>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</si>
  <si>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</si>
  <si>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</si>
  <si>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</si>
  <si>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</si>
  <si>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</si>
  <si>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</si>
  <si>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</si>
  <si>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</si>
  <si>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</si>
  <si>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</si>
  <si>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</si>
  <si>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</si>
  <si>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</si>
  <si>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</si>
  <si>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</si>
  <si>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</si>
  <si>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</si>
  <si>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</si>
  <si>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</si>
  <si>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</si>
  <si>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</si>
  <si>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</si>
  <si>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</si>
  <si>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</si>
  <si>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</si>
  <si>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</si>
  <si>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</si>
  <si>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</si>
  <si>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</si>
  <si>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</si>
  <si>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</si>
  <si>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</si>
  <si>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</si>
  <si>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</si>
  <si>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</si>
  <si>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</si>
  <si>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</si>
  <si>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</si>
  <si>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</si>
  <si>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</si>
  <si>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</si>
  <si>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</si>
  <si>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</si>
  <si>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</si>
  <si>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</si>
  <si>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</si>
  <si>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</si>
  <si>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</si>
  <si>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</si>
  <si>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</si>
  <si>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</si>
  <si>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</si>
  <si>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</si>
  <si>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</si>
  <si>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</si>
  <si>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</si>
  <si>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</si>
  <si>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</si>
  <si>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</si>
  <si>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</si>
  <si>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</si>
  <si>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</si>
  <si>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</si>
  <si>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</si>
  <si>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</si>
  <si>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</si>
  <si>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</si>
  <si>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</si>
  <si>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</si>
  <si>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</si>
  <si>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</si>
  <si>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</si>
  <si>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</si>
  <si>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</si>
  <si>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</si>
  <si>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</si>
  <si>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</si>
  <si>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</si>
  <si>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</si>
  <si>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</si>
  <si>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</si>
  <si>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</si>
  <si>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</si>
  <si>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</si>
  <si>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</si>
  <si>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</si>
  <si>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</si>
  <si>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</si>
  <si>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</si>
  <si>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</si>
  <si>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</si>
  <si>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</si>
  <si>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</si>
  <si>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</si>
  <si>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</si>
  <si>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</si>
  <si>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</si>
  <si>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</si>
  <si>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</si>
  <si>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</si>
  <si>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</si>
  <si>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</si>
  <si>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</si>
  <si>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</si>
  <si>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</si>
  <si>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</si>
  <si>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</si>
  <si>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</si>
  <si>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</si>
  <si>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</si>
  <si>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</si>
  <si>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</si>
  <si>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</si>
  <si>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</si>
  <si>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</si>
  <si>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</si>
  <si>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</si>
  <si>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</si>
  <si>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</si>
  <si>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</si>
  <si>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</si>
  <si>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</si>
  <si>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4157</t>
  </si>
  <si>
    <t>100</t>
  </si>
  <si>
    <t>1:24.15</t>
  </si>
  <si>
    <t>1:31.50</t>
  </si>
  <si>
    <t>37.38</t>
  </si>
  <si>
    <t>2:36.27</t>
  </si>
  <si>
    <t>15.83</t>
  </si>
  <si>
    <t>45.67</t>
  </si>
  <si>
    <t>30.51</t>
  </si>
  <si>
    <t>55.97</t>
  </si>
  <si>
    <t>1:33.85</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</si>
  <si>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</si>
  <si>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</si>
  <si>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</si>
  <si>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</si>
  <si>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</si>
  <si>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</si>
  <si>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</si>
  <si>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</si>
  <si>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</si>
  <si>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</si>
  <si>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</si>
  <si>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</si>
  <si>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</si>
  <si>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</si>
  <si>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</si>
  <si>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</si>
  <si>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</si>
  <si>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</si>
  <si>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</si>
  <si>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</si>
  <si>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</si>
  <si>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</si>
  <si>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</si>
  <si>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</si>
  <si>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</si>
  <si>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</si>
  <si>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</si>
  <si>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</si>
  <si>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</si>
  <si>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</si>
  <si>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</si>
  <si>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</si>
  <si>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</si>
  <si>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</si>
  <si>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</si>
  <si>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</si>
  <si>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</si>
  <si>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</si>
  <si>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</si>
  <si>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</si>
  <si>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</si>
  <si>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</si>
  <si>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</si>
  <si>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</si>
  <si>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</si>
  <si>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</si>
  <si>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</si>
  <si>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</si>
  <si>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</si>
  <si>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</si>
  <si>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</si>
  <si>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</si>
  <si>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</si>
  <si>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</si>
  <si>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</si>
  <si>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</si>
  <si>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</si>
  <si>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</si>
  <si>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</si>
  <si>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</si>
  <si>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</si>
  <si>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</si>
  <si>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</si>
  <si>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</si>
  <si>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</si>
  <si>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</si>
  <si>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</si>
  <si>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</si>
  <si>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</si>
  <si>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</si>
  <si>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</si>
  <si>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</si>
  <si>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</si>
  <si>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</si>
  <si>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</si>
  <si>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</si>
  <si>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</si>
  <si>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</si>
  <si>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</si>
  <si>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</si>
  <si>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</si>
  <si>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</si>
  <si>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</si>
  <si>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</si>
  <si>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</si>
  <si>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</si>
  <si>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</si>
  <si>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</si>
  <si>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</si>
  <si>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</si>
  <si>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</si>
  <si>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</si>
  <si>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</si>
  <si>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</si>
  <si>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</si>
  <si>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</si>
  <si>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</si>
  <si>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</si>
  <si>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</si>
  <si>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</si>
  <si>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</si>
  <si>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</si>
  <si>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</si>
  <si>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</si>
  <si>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</si>
  <si>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</si>
  <si>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</si>
  <si>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</si>
  <si>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</si>
  <si>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</si>
  <si>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</si>
  <si>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</si>
  <si>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</si>
  <si>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</si>
  <si>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</si>
  <si>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</si>
  <si>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</si>
  <si>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</si>
  <si>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</si>
  <si>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</si>
  <si>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</si>
  <si>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</si>
  <si>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</si>
  <si>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</si>
  <si>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</si>
  <si>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</si>
  <si>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</si>
  <si>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</si>
  <si>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</si>
  <si>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</si>
  <si>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</si>
  <si>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</si>
  <si>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</si>
  <si>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</si>
  <si>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</si>
  <si>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</si>
  <si>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</si>
  <si>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</si>
  <si>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</si>
  <si>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</si>
  <si>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</si>
  <si>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</si>
  <si>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</si>
  <si>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</si>
  <si>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</si>
  <si>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</si>
  <si>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</si>
  <si>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</si>
  <si>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</si>
  <si>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</si>
  <si>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</si>
  <si>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</si>
  <si>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</si>
  <si>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</si>
  <si>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</si>
  <si>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</si>
  <si>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</si>
  <si>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</si>
  <si>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</si>
  <si>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</si>
  <si>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</si>
  <si>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</si>
  <si>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</si>
  <si>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</si>
  <si>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</si>
  <si>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</si>
  <si>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</si>
  <si>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</si>
  <si>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</si>
  <si>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</si>
  <si>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</si>
  <si>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</si>
  <si>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</si>
  <si>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</si>
  <si>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</si>
  <si>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</si>
  <si>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</si>
  <si>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</si>
  <si>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</si>
  <si>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</si>
  <si>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</si>
  <si>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</si>
  <si>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</si>
  <si>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</si>
  <si>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</si>
  <si>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</si>
  <si>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</si>
  <si>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</si>
  <si>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</si>
  <si>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</si>
  <si>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</si>
  <si>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</si>
  <si>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</si>
  <si>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</si>
  <si>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</si>
  <si>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</si>
  <si>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</si>
  <si>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</si>
  <si>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</si>
  <si>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</si>
  <si>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</si>
  <si>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</si>
  <si>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</si>
  <si>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</si>
  <si>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</si>
  <si>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</si>
  <si>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</si>
  <si>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</si>
  <si>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</si>
  <si>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</si>
  <si>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</si>
  <si>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</si>
  <si>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</si>
  <si>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</si>
  <si>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</si>
  <si>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</si>
  <si>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</si>
  <si>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</si>
  <si>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</si>
  <si>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</si>
  <si>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</si>
  <si>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</si>
  <si>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</si>
  <si>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</si>
  <si>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</si>
  <si>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</si>
  <si>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</si>
  <si>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</si>
  <si>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</si>
  <si>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</si>
  <si>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</si>
  <si>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</si>
  <si>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</si>
  <si>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</si>
  <si>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</si>
  <si>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</si>
  <si>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</si>
  <si>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</si>
  <si>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</si>
  <si>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</si>
  <si>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</si>
  <si>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</si>
  <si>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</si>
  <si>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</si>
  <si>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</si>
  <si>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</si>
  <si>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</si>
  <si>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</si>
  <si>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</si>
  <si>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</si>
  <si>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</si>
  <si>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</si>
  <si>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</si>
  <si>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</si>
  <si>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</si>
  <si>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</si>
  <si>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</si>
  <si>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</si>
  <si>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</si>
  <si>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</si>
  <si>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</si>
  <si>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</si>
  <si>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</si>
  <si>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</si>
  <si>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</si>
  <si>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</si>
  <si>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</si>
  <si>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</si>
  <si>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</si>
  <si>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</si>
  <si>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</si>
  <si>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</si>
  <si>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</si>
  <si>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</si>
  <si>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</si>
  <si>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</si>
  <si>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</si>
  <si>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</si>
  <si>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</si>
  <si>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</si>
  <si>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</si>
  <si>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</si>
  <si>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</si>
  <si>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</si>
  <si>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</si>
  <si>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</si>
  <si>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</si>
  <si>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</si>
  <si>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</si>
  <si>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</si>
  <si>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</si>
  <si>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</si>
  <si>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</si>
  <si>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</si>
  <si>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</si>
  <si>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</si>
  <si>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</si>
  <si>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</si>
  <si>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</si>
  <si>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</si>
  <si>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</si>
  <si>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</si>
  <si>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</si>
  <si>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</si>
  <si>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</si>
  <si>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</si>
  <si>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</si>
  <si>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</si>
  <si>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</si>
  <si>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</si>
  <si>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</si>
  <si>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</si>
  <si>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</si>
  <si>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</si>
  <si>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</si>
  <si>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</si>
  <si>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</si>
  <si>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</si>
  <si>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</si>
  <si>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</si>
  <si>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</si>
  <si>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</si>
  <si>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</si>
  <si>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</si>
  <si>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</si>
  <si>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</si>
  <si>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</si>
  <si>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</si>
  <si>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</si>
  <si>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</si>
  <si>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</si>
  <si>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</si>
  <si>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</si>
  <si>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</si>
  <si>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</si>
  <si>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</si>
  <si>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</si>
  <si>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</si>
  <si>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</si>
  <si>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</si>
  <si>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</si>
  <si>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</si>
  <si>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</si>
  <si>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</si>
  <si>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</si>
  <si>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</si>
  <si>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</si>
  <si>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</si>
  <si>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</si>
  <si>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</si>
  <si>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</si>
  <si>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</si>
  <si>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</si>
  <si>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</si>
  <si>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</si>
  <si>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</si>
  <si>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</si>
  <si>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</si>
  <si>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</si>
  <si>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</si>
  <si>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</si>
  <si>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</si>
  <si>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</si>
  <si>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</si>
  <si>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</si>
  <si>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</si>
  <si>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</si>
  <si>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</si>
  <si>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</si>
  <si>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</si>
  <si>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</si>
  <si>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</si>
  <si>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</si>
  <si>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</si>
  <si>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</si>
  <si>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</si>
  <si>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</si>
  <si>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</si>
  <si>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</si>
  <si>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</si>
  <si>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</si>
  <si>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</si>
  <si>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</si>
  <si>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</si>
  <si>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</si>
  <si>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</si>
  <si>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</si>
  <si>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</si>
  <si>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</si>
  <si>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</si>
  <si>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</si>
  <si>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</si>
  <si>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</si>
  <si>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</si>
  <si>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</si>
  <si>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</si>
  <si>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</si>
  <si>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</si>
  <si>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</si>
  <si>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</si>
  <si>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</si>
  <si>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</si>
  <si>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</si>
  <si>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</si>
  <si>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</si>
  <si>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</si>
  <si>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</si>
  <si>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</si>
  <si>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</si>
  <si>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</si>
  <si>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</si>
  <si>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</si>
  <si>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</si>
  <si>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</si>
  <si>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</si>
  <si>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</si>
  <si>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</si>
  <si>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</si>
  <si>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</si>
  <si>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</si>
  <si>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</si>
  <si>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</si>
  <si>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</si>
  <si>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</si>
  <si>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</si>
  <si>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</si>
  <si>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</si>
  <si>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</si>
  <si>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</si>
  <si>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</si>
  <si>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</si>
  <si>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</si>
  <si>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</si>
  <si>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</si>
  <si>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</si>
  <si>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</si>
  <si>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</si>
  <si>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</si>
  <si>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</si>
  <si>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</si>
  <si>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</si>
  <si>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</si>
  <si>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</si>
  <si>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</si>
  <si>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</si>
  <si>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</si>
  <si>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</si>
  <si>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</si>
  <si>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</si>
  <si>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</si>
  <si>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</si>
  <si>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</si>
  <si>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</si>
  <si>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</si>
  <si>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</si>
  <si>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</si>
  <si>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</si>
  <si>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</si>
  <si>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</si>
  <si>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</si>
  <si>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</si>
  <si>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</si>
  <si>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</si>
  <si>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</si>
  <si>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</si>
  <si>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</si>
  <si>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</si>
  <si>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</si>
  <si>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</si>
  <si>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</si>
  <si>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</si>
  <si>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</si>
  <si>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</si>
  <si>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</si>
  <si>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</si>
  <si>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</si>
  <si>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</si>
  <si>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</si>
  <si>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</si>
  <si>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</si>
  <si>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</si>
  <si>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</si>
  <si>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</si>
  <si>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</si>
  <si>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</si>
  <si>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</si>
  <si>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</si>
  <si>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</si>
  <si>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</si>
  <si>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</si>
  <si>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</si>
  <si>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</si>
  <si>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</si>
  <si>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</si>
  <si>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</si>
  <si>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</si>
  <si>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</si>
  <si>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</si>
  <si>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</si>
  <si>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</si>
  <si>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</si>
  <si>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</si>
  <si>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</si>
  <si>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</si>
  <si>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</si>
  <si>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</si>
  <si>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</si>
  <si>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</si>
  <si>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</si>
  <si>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</si>
  <si>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</si>
  <si>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</si>
  <si>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</si>
  <si>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</si>
  <si>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</si>
  <si>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</si>
  <si>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</si>
  <si>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</si>
  <si>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</si>
  <si>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</si>
  <si>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</si>
  <si>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</si>
  <si>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</si>
  <si>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</si>
  <si>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</si>
  <si>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</si>
  <si>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</si>
  <si>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</si>
  <si>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</si>
  <si>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</si>
  <si>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</si>
  <si>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</si>
  <si>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</si>
  <si>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</si>
  <si>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</si>
  <si>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</si>
  <si>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</si>
  <si>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</si>
  <si>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</si>
  <si>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</si>
  <si>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</si>
  <si>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</si>
  <si>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</si>
  <si>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</si>
  <si>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</si>
  <si>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</si>
  <si>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</si>
  <si>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</si>
  <si>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</si>
  <si>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</si>
  <si>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</si>
  <si>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</si>
  <si>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</si>
  <si>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</si>
  <si>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</si>
  <si>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</si>
  <si>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</si>
  <si>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</si>
  <si>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</si>
  <si>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</si>
  <si>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</si>
  <si>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</si>
  <si>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</si>
  <si>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</si>
  <si>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</si>
  <si>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</si>
  <si>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</si>
  <si>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</si>
  <si>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</si>
  <si>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</si>
  <si>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</si>
  <si>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</si>
  <si>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</si>
  <si>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</si>
  <si>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</si>
  <si>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</si>
  <si>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</si>
  <si>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</si>
  <si>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</si>
  <si>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</si>
  <si>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</si>
  <si>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</si>
  <si>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</si>
  <si>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</si>
  <si>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</si>
  <si>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</si>
  <si>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</si>
  <si>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</si>
  <si>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</si>
  <si>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</si>
  <si>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</si>
  <si>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</si>
  <si>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</si>
  <si>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</si>
  <si>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</si>
  <si>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</si>
  <si>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</si>
  <si>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</si>
  <si>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</si>
  <si>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</si>
  <si>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</si>
  <si>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</si>
  <si>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</si>
  <si>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</si>
  <si>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</si>
  <si>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</si>
  <si>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</si>
  <si>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</si>
  <si>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</si>
  <si>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</si>
  <si>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</si>
  <si>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</si>
  <si>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</si>
  <si>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</si>
  <si>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</si>
  <si>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</si>
  <si>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</si>
  <si>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</si>
  <si>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</si>
  <si>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</si>
  <si>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</si>
  <si>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</si>
  <si>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</si>
  <si>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</si>
  <si>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</si>
  <si>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</si>
  <si>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</si>
  <si>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</si>
  <si>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</si>
  <si>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</si>
  <si>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</si>
  <si>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</si>
  <si>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</si>
  <si>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</si>
  <si>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</si>
  <si>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</si>
  <si>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</si>
  <si>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</si>
  <si>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</si>
  <si>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</si>
  <si>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</si>
  <si>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</si>
  <si>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</si>
  <si>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</si>
  <si>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</si>
  <si>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</si>
  <si>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</si>
  <si>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</si>
  <si>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</si>
  <si>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</si>
  <si>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</si>
  <si>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</si>
  <si>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</si>
  <si>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</si>
  <si>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</si>
  <si>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</si>
  <si>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</si>
  <si>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</si>
  <si>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</si>
  <si>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</si>
  <si>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</si>
  <si>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</si>
  <si>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</si>
  <si>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</si>
  <si>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</si>
  <si>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</si>
  <si>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</si>
  <si>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</si>
  <si>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</si>
  <si>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</si>
  <si>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</si>
  <si>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</si>
  <si>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</si>
  <si>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</si>
  <si>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</si>
  <si>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</si>
  <si>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</si>
  <si>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</si>
  <si>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</si>
  <si>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</si>
  <si>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</si>
  <si>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</si>
  <si>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</si>
  <si>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</si>
  <si>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</si>
  <si>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</si>
  <si>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</si>
  <si>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</si>
  <si>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</si>
  <si>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</si>
  <si>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</si>
  <si>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</si>
  <si>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</si>
  <si>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</si>
  <si>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</si>
  <si>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</si>
  <si>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</si>
  <si>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</si>
  <si>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</si>
  <si>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</si>
  <si>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</si>
  <si>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</si>
  <si>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</si>
  <si>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</si>
  <si>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</si>
  <si>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</si>
  <si>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</si>
  <si>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</si>
  <si>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</si>
  <si>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</si>
  <si>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</si>
  <si>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</si>
  <si>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</si>
  <si>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</si>
  <si>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</si>
  <si>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</si>
  <si>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</si>
  <si>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</si>
  <si>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</si>
  <si>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</si>
  <si>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</si>
  <si>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</si>
  <si>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</si>
  <si>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</si>
  <si>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</si>
  <si>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</si>
  <si>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</si>
  <si>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</si>
  <si>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</si>
  <si>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</si>
  <si>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</si>
  <si>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</si>
  <si>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</si>
  <si>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</si>
  <si>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</si>
  <si>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</si>
  <si>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</si>
  <si>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</si>
  <si>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</si>
  <si>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</si>
  <si>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</si>
  <si>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</si>
  <si>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</si>
  <si>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</si>
  <si>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</si>
  <si>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</si>
  <si>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</si>
  <si>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</si>
  <si>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</si>
  <si>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</si>
  <si>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</si>
  <si>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</si>
  <si>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</si>
  <si>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</si>
  <si>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</si>
  <si>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</si>
  <si>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</si>
  <si>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</si>
  <si>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</si>
  <si>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</si>
  <si>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</si>
  <si>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</si>
  <si>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</si>
  <si>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</si>
  <si>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</si>
  <si>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</si>
  <si>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</si>
  <si>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</si>
  <si>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</si>
  <si>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</si>
  <si>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</si>
  <si>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</si>
  <si>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</si>
  <si>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</si>
  <si>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</si>
  <si>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</si>
  <si>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</si>
  <si>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</si>
  <si>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</si>
  <si>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</si>
  <si>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</si>
  <si>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</si>
  <si>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</si>
  <si>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</si>
  <si>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</si>
  <si>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</si>
  <si>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</si>
  <si>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</si>
  <si>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</si>
  <si>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</si>
  <si>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</si>
  <si>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</si>
  <si>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</si>
  <si>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</si>
  <si>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</si>
  <si>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</si>
  <si>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</si>
  <si>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</si>
  <si>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</si>
  <si>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</si>
  <si>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</si>
  <si>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</si>
  <si>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</si>
  <si>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</si>
  <si>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</si>
  <si>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</si>
  <si>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</si>
  <si>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</si>
  <si>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</si>
  <si>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</si>
  <si>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</si>
  <si>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</si>
  <si>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</si>
  <si>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</si>
  <si>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</si>
  <si>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</si>
  <si>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</si>
  <si>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</si>
  <si>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</si>
  <si>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</si>
  <si>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</si>
  <si>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</si>
  <si>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</si>
  <si>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</si>
  <si>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</si>
  <si>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</si>
  <si>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</si>
  <si>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</si>
  <si>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</si>
  <si>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</si>
  <si>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</si>
  <si>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</si>
  <si>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</si>
  <si>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</si>
  <si>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</si>
  <si>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</si>
  <si>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</si>
  <si>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</si>
  <si>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</si>
  <si>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</si>
  <si>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</si>
  <si>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</si>
  <si>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</si>
  <si>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</si>
  <si>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</si>
  <si>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</si>
  <si>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</si>
  <si>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</si>
  <si>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</si>
  <si>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</si>
  <si>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</si>
  <si>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</si>
  <si>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</si>
  <si>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</si>
  <si>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</si>
  <si>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</si>
  <si>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</si>
  <si>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</si>
  <si>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</si>
  <si>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</si>
  <si>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</si>
  <si>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</si>
  <si>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</si>
  <si>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</si>
  <si>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</si>
  <si>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</si>
  <si>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</si>
  <si>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</si>
  <si>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</si>
  <si>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</si>
  <si>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</si>
  <si>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</si>
  <si>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</si>
  <si>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</si>
  <si>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</si>
  <si>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</si>
  <si>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</si>
  <si>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</si>
  <si>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</si>
  <si>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</si>
  <si>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</si>
  <si>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</si>
  <si>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</si>
  <si>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</si>
  <si>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</si>
  <si>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</si>
  <si>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</si>
  <si>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</si>
  <si>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</si>
  <si>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</si>
  <si>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</si>
  <si>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</si>
  <si>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</si>
  <si>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</si>
  <si>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</si>
  <si>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</si>
  <si>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</si>
  <si>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</si>
  <si>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</si>
  <si>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</si>
  <si>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</si>
  <si>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</si>
  <si>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</si>
  <si>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</si>
  <si>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</si>
  <si>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</si>
  <si>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</si>
  <si>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</si>
  <si>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</si>
  <si>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</si>
  <si>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</si>
  <si>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</si>
  <si>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</si>
  <si>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</si>
  <si>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</si>
  <si>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</si>
  <si>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</si>
  <si>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</si>
  <si>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</si>
  <si>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</si>
  <si>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</si>
  <si>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</si>
  <si>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</si>
  <si>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</si>
  <si>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</si>
  <si>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</si>
  <si>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</si>
  <si>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</si>
  <si>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</si>
  <si>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</si>
  <si>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</si>
  <si>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</si>
  <si>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</si>
  <si>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</si>
  <si>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</si>
  <si>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</si>
  <si>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</si>
  <si>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</si>
  <si>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</si>
  <si>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</si>
  <si>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</si>
  <si>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</si>
  <si>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</si>
  <si>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</si>
  <si>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</si>
  <si>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</si>
  <si>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</si>
  <si>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</si>
  <si>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</si>
  <si>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</si>
  <si>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</si>
  <si>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</si>
  <si>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</si>
  <si>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</si>
  <si>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</si>
  <si>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</si>
  <si>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</si>
  <si>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</si>
  <si>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</si>
  <si>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</si>
  <si>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</si>
  <si>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</si>
  <si>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</si>
  <si>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</si>
  <si>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</si>
  <si>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</si>
  <si>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</si>
  <si>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</si>
  <si>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</si>
  <si>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</si>
  <si>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</si>
  <si>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</si>
  <si>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</si>
  <si>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</si>
  <si>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</si>
  <si>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</si>
  <si>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</si>
  <si>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</si>
  <si>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</si>
  <si>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</si>
  <si>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</si>
  <si>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</si>
  <si>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</si>
  <si>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</si>
  <si>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</si>
  <si>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</si>
  <si>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</si>
  <si>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</si>
  <si>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</si>
  <si>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</si>
  <si>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</si>
  <si>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</si>
  <si>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</si>
  <si>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</si>
  <si>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</si>
  <si>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</si>
  <si>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</si>
  <si>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</si>
  <si>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</si>
  <si>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</si>
  <si>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</si>
  <si>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</si>
  <si>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</si>
  <si>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</si>
  <si>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</si>
  <si>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</si>
  <si>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</si>
  <si>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</si>
  <si>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</si>
  <si>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</si>
  <si>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</si>
  <si>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</si>
  <si>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</si>
  <si>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</si>
  <si>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</si>
  <si>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</si>
  <si>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</si>
  <si>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</si>
  <si>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</si>
  <si>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</si>
  <si>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</si>
  <si>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</si>
  <si>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</si>
  <si>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</si>
  <si>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</si>
  <si>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</si>
  <si>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</si>
  <si>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</si>
  <si>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</si>
  <si>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</si>
  <si>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</si>
  <si>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</si>
  <si>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</si>
  <si>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</si>
  <si>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</si>
  <si>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</si>
  <si>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</si>
  <si>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</si>
  <si>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</si>
  <si>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</si>
  <si>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</si>
  <si>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</si>
  <si>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</si>
  <si>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</si>
  <si>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</si>
  <si>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</si>
  <si>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</si>
  <si>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</si>
  <si>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</si>
  <si>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</si>
  <si>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</si>
  <si>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</si>
  <si>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</si>
  <si>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</si>
  <si>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</si>
  <si>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</si>
  <si>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</si>
  <si>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</si>
  <si>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</si>
  <si>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</si>
  <si>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</si>
  <si>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</si>
  <si>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</si>
  <si>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</si>
  <si>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</si>
  <si>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</si>
  <si>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</si>
  <si>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</si>
  <si>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</si>
  <si>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</si>
  <si>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</si>
  <si>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</si>
  <si>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</si>
  <si>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</si>
  <si>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</si>
  <si>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</si>
  <si>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</si>
  <si>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</si>
  <si>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</si>
  <si>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</si>
  <si>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</si>
  <si>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</si>
  <si>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</si>
  <si>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</si>
  <si>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</si>
  <si>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</si>
  <si>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</si>
  <si>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</si>
  <si>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</si>
  <si>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</si>
  <si>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</si>
  <si>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</si>
  <si>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</si>
  <si>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</si>
  <si>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</si>
  <si>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</si>
  <si>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</si>
  <si>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</si>
  <si>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</si>
  <si>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</si>
  <si>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</si>
  <si>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</si>
  <si>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</si>
  <si>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</si>
  <si>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</si>
  <si>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</si>
  <si>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</si>
  <si>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</si>
  <si>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</si>
  <si>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</si>
  <si>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</si>
  <si>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</si>
  <si>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</si>
  <si>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</si>
  <si>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</si>
  <si>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</si>
  <si>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</si>
  <si>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</si>
  <si>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</si>
  <si>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</si>
  <si>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</si>
  <si>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</si>
  <si>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</si>
  <si>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</si>
  <si>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</si>
  <si>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</si>
  <si>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</si>
  <si>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</si>
  <si>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</si>
  <si>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</si>
  <si>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</si>
  <si>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</si>
  <si>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</si>
  <si>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</si>
  <si>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</si>
  <si>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</si>
  <si>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</si>
  <si>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</si>
  <si>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</si>
  <si>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</si>
  <si>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</si>
  <si>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</si>
  <si>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</si>
  <si>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</si>
  <si>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</si>
  <si>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</si>
  <si>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</si>
  <si>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</si>
  <si>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</si>
  <si>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</si>
  <si>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</si>
  <si>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</si>
  <si>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</si>
  <si>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</si>
  <si>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</si>
  <si>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</si>
  <si>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</si>
  <si>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</si>
  <si>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</si>
  <si>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</si>
  <si>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</si>
  <si>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</si>
  <si>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</si>
  <si>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</si>
  <si>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</si>
  <si>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</si>
  <si>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</si>
  <si>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</si>
  <si>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</si>
  <si>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</si>
  <si>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</si>
  <si>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</si>
  <si>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</si>
  <si>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</si>
  <si>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</si>
  <si>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</si>
  <si>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</si>
  <si>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</si>
  <si>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</si>
  <si>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</si>
  <si>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</si>
  <si>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</si>
  <si>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</si>
  <si>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</si>
  <si>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</si>
  <si>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</si>
  <si>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</si>
  <si>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</si>
  <si>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</si>
  <si>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</si>
  <si>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</si>
  <si>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</si>
  <si>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</si>
  <si>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</si>
  <si>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</si>
  <si>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</si>
  <si>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</si>
  <si>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</si>
  <si>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</si>
  <si>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</si>
  <si>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</si>
  <si>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</si>
  <si>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</si>
  <si>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</si>
  <si>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</si>
  <si>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</si>
  <si>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</si>
  <si>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</si>
  <si>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</si>
  <si>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</si>
  <si>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</si>
  <si>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</si>
  <si>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</si>
  <si>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</si>
  <si>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</si>
  <si>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</si>
  <si>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</si>
  <si>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</si>
  <si>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</si>
  <si>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</si>
  <si>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</si>
  <si>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</si>
  <si>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</si>
  <si>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</si>
  <si>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</si>
  <si>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</si>
  <si>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</si>
  <si>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</si>
  <si>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</si>
  <si>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</si>
  <si>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</si>
  <si>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</si>
  <si>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</si>
  <si>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</si>
  <si>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</si>
  <si>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</si>
  <si>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</si>
  <si>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</si>
  <si>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</si>
  <si>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</si>
  <si>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</si>
  <si>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</si>
  <si>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</si>
  <si>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</si>
  <si>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</si>
  <si>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</si>
  <si>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</si>
  <si>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</si>
  <si>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</si>
  <si>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</si>
  <si>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</si>
  <si>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</si>
  <si>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</si>
  <si>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</si>
  <si>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</si>
  <si>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</si>
  <si>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</si>
  <si>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</si>
  <si>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</si>
  <si>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</si>
  <si>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</si>
  <si>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</si>
  <si>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</si>
  <si>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</si>
  <si>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</si>
  <si>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</si>
  <si>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</si>
  <si>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</si>
  <si>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</si>
  <si>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</si>
  <si>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</si>
  <si>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</si>
  <si>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</si>
  <si>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</si>
  <si>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</si>
  <si>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</si>
  <si>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</si>
  <si>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</si>
  <si>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</si>
  <si>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</si>
  <si>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</si>
  <si>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</si>
  <si>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</si>
  <si>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</si>
  <si>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</si>
  <si>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</si>
  <si>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</si>
  <si>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</si>
  <si>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</si>
  <si>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</si>
  <si>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</si>
  <si>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</si>
  <si>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</si>
  <si>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</si>
  <si>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</si>
  <si>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</si>
  <si>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</si>
  <si>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</si>
  <si>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</si>
  <si>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</si>
  <si>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</si>
  <si>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</si>
  <si>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</si>
  <si>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</si>
  <si>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</si>
  <si>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</si>
  <si>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</si>
  <si>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</si>
  <si>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</si>
  <si>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</si>
  <si>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</si>
  <si>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</si>
  <si>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</si>
  <si>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</si>
  <si>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</si>
  <si>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</si>
  <si>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</si>
  <si>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</si>
  <si>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</si>
  <si>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</si>
  <si>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</si>
  <si>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</si>
  <si>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</si>
  <si>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</si>
  <si>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</si>
  <si>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</si>
  <si>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</si>
  <si>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</si>
  <si>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</si>
  <si>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</si>
  <si>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</si>
  <si>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</si>
  <si>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</si>
  <si>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</si>
  <si>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</si>
  <si>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</si>
  <si>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</si>
  <si>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</si>
  <si>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</si>
  <si>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</si>
  <si>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</si>
  <si>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</si>
  <si>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</si>
  <si>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</si>
  <si>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</si>
  <si>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</si>
  <si>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</si>
  <si>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</si>
  <si>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</si>
  <si>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</si>
  <si>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</si>
  <si>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</si>
  <si>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</si>
  <si>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</si>
  <si>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</si>
  <si>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</si>
  <si>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</si>
  <si>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</si>
  <si>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</si>
  <si>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</si>
  <si>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</si>
  <si>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</si>
  <si>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</si>
  <si>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</si>
  <si>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</si>
  <si>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</si>
  <si>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</si>
  <si>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</si>
  <si>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</si>
  <si>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</si>
  <si>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</si>
  <si>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</si>
  <si>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</si>
  <si>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</si>
  <si>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</si>
  <si>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</si>
  <si>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2093</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</si>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</sst>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369" t="s">
        <v>2169</v>
      </c>
      <c r="BC30" s="127" t="s">
        <v>2049</v>
      </c>
      <c r="BD30" s="127" t="s">
        <v>1360</v>
      </c>
      <c r="BE30" s="127" t="s">
        <v>1467</v>
      </c>
      <c r="BF30" s="177" t="s">
        <v>2170</v>
      </c>
      <c r="BG30" s="127" t="s">
        <v>1682</v>
      </c>
      <c r="BH30" s="127" t="s">
        <v>1851</v>
      </c>
      <c r="BI30" s="127" t="s">
        <v>2171</v>
      </c>
      <c r="BJ30" s="177"/>
      <c r="BK30" s="127" t="s">
        <v>1908</v>
      </c>
      <c r="BL30" s="177" t="s">
        <v>2172</v>
      </c>
      <c r="BM30" s="177" t="s">
        <v>2173</v>
      </c>
      <c r="BN30" s="177" t="s">
        <v>2174</v>
      </c>
      <c r="BO30" s="177" t="s">
        <v>2175</v>
      </c>
      <c r="BP30" s="370"/>
      <c r="BQ30" s="178" t="s">
        <v>2176</v>
      </c>
      <c r="BR30" s="132" t="s">
        <v>235</v>
      </c>
      <c r="BS30" s="132" t="s">
        <v>2177</v>
      </c>
      <c r="BT30" s="132" t="s">
        <v>2178</v>
      </c>
      <c r="BU30" s="178" t="s">
        <v>2179</v>
      </c>
      <c r="BV30" s="132" t="s">
        <v>2180</v>
      </c>
      <c r="BW30" s="178" t="s">
        <v>2181</v>
      </c>
      <c r="BX30" s="132" t="s">
        <v>2182</v>
      </c>
      <c r="BY30" s="178"/>
      <c r="BZ30" s="178" t="s">
        <v>2000</v>
      </c>
      <c r="CA30" s="132" t="s">
        <v>2183</v>
      </c>
      <c r="CB30" s="132" t="s">
        <v>2184</v>
      </c>
      <c r="CC30" s="132" t="s">
        <v>257</v>
      </c>
      <c r="CD30" s="132" t="s">
        <v>1951</v>
      </c>
      <c r="CE30" s="371"/>
      <c r="CF30" s="318" t="s">
        <v>2185</v>
      </c>
      <c r="CG30" s="137" t="s">
        <v>2186</v>
      </c>
      <c r="CH30" s="137" t="s">
        <v>2187</v>
      </c>
      <c r="CI30" s="137" t="s">
        <v>2188</v>
      </c>
      <c r="CJ30" s="318" t="s">
        <v>1258</v>
      </c>
      <c r="CK30" s="137" t="s">
        <v>2189</v>
      </c>
      <c r="CL30" s="137" t="s">
        <v>203</v>
      </c>
      <c r="CM30" s="180" t="s">
        <v>2190</v>
      </c>
      <c r="CN30" s="180" t="s">
        <v>2191</v>
      </c>
      <c r="CO30" s="137" t="s">
        <v>2192</v>
      </c>
      <c r="CP30" s="180" t="s">
        <v>2193</v>
      </c>
      <c r="CQ30" s="180" t="s">
        <v>2194</v>
      </c>
      <c r="CR30" s="137" t="s">
        <v>2195</v>
      </c>
      <c r="CS30" s="372"/>
      <c r="CT30" s="142" t="s">
        <v>355</v>
      </c>
      <c r="CU30" s="209" t="s">
        <v>2196</v>
      </c>
      <c r="CV30" s="142" t="s">
        <v>176</v>
      </c>
      <c r="CW30" s="142" t="s">
        <v>938</v>
      </c>
      <c r="CX30" s="373" t="s">
        <v>2197</v>
      </c>
      <c r="CY30" s="142" t="s">
        <v>763</v>
      </c>
      <c r="CZ30" s="373" t="s">
        <v>2198</v>
      </c>
      <c r="DA30" s="373" t="s">
        <v>2199</v>
      </c>
      <c r="DB30" s="142" t="s">
        <v>2200</v>
      </c>
      <c r="DC30" s="209" t="s">
        <v>2201</v>
      </c>
      <c r="DD30" s="142" t="s">
        <v>2202</v>
      </c>
      <c r="DE30" s="142" t="s">
        <v>402</v>
      </c>
      <c r="DF30" s="142"/>
      <c r="DG30" s="147" t="s">
        <v>619</v>
      </c>
      <c r="DH30" s="210" t="s">
        <v>2203</v>
      </c>
      <c r="DI30" s="210" t="s">
        <v>2204</v>
      </c>
      <c r="DJ30" s="147" t="s">
        <v>2205</v>
      </c>
      <c r="DK30" s="210" t="s">
        <v>521</v>
      </c>
      <c r="DL30" s="210" t="s">
        <v>946</v>
      </c>
      <c r="DM30" s="210" t="s">
        <v>2206</v>
      </c>
      <c r="DN30" s="210" t="s">
        <v>1541</v>
      </c>
      <c r="DO30" s="210" t="s">
        <v>725</v>
      </c>
      <c r="DP30" s="147" t="s">
        <v>2010</v>
      </c>
      <c r="DQ30" s="147" t="s">
        <v>2207</v>
      </c>
      <c r="DR30" s="374" t="s">
        <v>184</v>
      </c>
      <c r="DS30" s="210" t="s">
        <v>2208</v>
      </c>
      <c r="DT30" s="210" t="s">
        <v>2209</v>
      </c>
      <c r="DU30" s="210" t="s">
        <v>2000</v>
      </c>
      <c r="DV30" s="210" t="s">
        <v>1379</v>
      </c>
      <c r="DW30" s="210" t="s">
        <v>2210</v>
      </c>
      <c r="DX30" s="147" t="s">
        <v>2211</v>
      </c>
      <c r="DY30" s="147" t="s">
        <v>2212</v>
      </c>
      <c r="DZ30" s="210" t="s">
        <v>1087</v>
      </c>
      <c r="EA30" s="210" t="s">
        <v>1276</v>
      </c>
      <c r="EB30" s="324" t="s">
        <v>2213</v>
      </c>
    </row>
    <row r="31">
      <c r="A31" s="375" t="s">
        <v>2214</v>
      </c>
      <c r="B31" s="82" t="s">
        <v>2215</v>
      </c>
      <c r="C31" s="83" t="s">
        <v>1414</v>
      </c>
      <c r="D31" s="84" t="s">
        <v>432</v>
      </c>
      <c r="E31" s="85" t="s">
        <v>736</v>
      </c>
      <c r="F31" s="86" t="s">
        <v>1130</v>
      </c>
      <c r="G31" s="82" t="s">
        <v>2216</v>
      </c>
      <c r="H31" s="93" t="s">
        <v>446</v>
      </c>
      <c r="I31" s="93" t="s">
        <v>2217</v>
      </c>
      <c r="J31" s="93" t="s">
        <v>2218</v>
      </c>
      <c r="K31" s="93" t="s">
        <v>543</v>
      </c>
      <c r="L31" s="93" t="s">
        <v>470</v>
      </c>
      <c r="M31" s="93" t="s">
        <v>2219</v>
      </c>
      <c r="N31" s="93" t="s">
        <v>2220</v>
      </c>
      <c r="O31" s="93" t="s">
        <v>2221</v>
      </c>
      <c r="P31" s="93" t="s">
        <v>548</v>
      </c>
      <c r="Q31" s="93" t="s">
        <v>2222</v>
      </c>
      <c r="R31" s="98"/>
      <c r="S31" s="93" t="s">
        <v>2223</v>
      </c>
      <c r="T31" s="93" t="s">
        <v>2224</v>
      </c>
      <c r="U31" s="93" t="s">
        <v>222</v>
      </c>
      <c r="V31" s="93" t="s">
        <v>2225</v>
      </c>
      <c r="W31" s="92"/>
      <c r="X31" s="93" t="s">
        <v>2226</v>
      </c>
      <c r="Y31" s="93" t="s">
        <v>2227</v>
      </c>
      <c r="Z31" s="300" t="s">
        <v>2228</v>
      </c>
      <c r="AA31" s="93" t="s">
        <v>281</v>
      </c>
      <c r="AB31" s="93" t="s">
        <v>1793</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1336</v>
      </c>
      <c r="BB31" s="93" t="s">
        <v>917</v>
      </c>
      <c r="BC31" s="93" t="s">
        <v>1447</v>
      </c>
      <c r="BD31" s="93" t="s">
        <v>2248</v>
      </c>
      <c r="BE31" s="93" t="s">
        <v>2249</v>
      </c>
      <c r="BF31" s="93" t="s">
        <v>2250</v>
      </c>
      <c r="BG31" s="93" t="s">
        <v>2251</v>
      </c>
      <c r="BH31" s="88" t="s">
        <v>2252</v>
      </c>
      <c r="BI31" s="98"/>
      <c r="BJ31" s="88" t="s">
        <v>2253</v>
      </c>
      <c r="BK31" s="93" t="s">
        <v>1908</v>
      </c>
      <c r="BL31" s="98"/>
      <c r="BM31" s="93" t="s">
        <v>2035</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1066</v>
      </c>
      <c r="CG31" s="93" t="s">
        <v>2269</v>
      </c>
      <c r="CH31" s="93" t="s">
        <v>2270</v>
      </c>
      <c r="CI31" s="88" t="s">
        <v>2271</v>
      </c>
      <c r="CJ31" s="213" t="s">
        <v>1699</v>
      </c>
      <c r="CK31" s="93" t="s">
        <v>2257</v>
      </c>
      <c r="CL31" s="93" t="s">
        <v>2272</v>
      </c>
      <c r="CM31" s="97" t="str">
        <f>HYPERLINK("https://youtu.be/eT1ltwCFNY0","15.59")</f>
        <v>15.59</v>
      </c>
      <c r="CN31" s="98"/>
      <c r="CO31" s="93" t="s">
        <v>1545</v>
      </c>
      <c r="CP31" s="99" t="s">
        <v>2273</v>
      </c>
      <c r="CQ31" s="300" t="s">
        <v>2274</v>
      </c>
      <c r="CR31" s="93" t="s">
        <v>2275</v>
      </c>
      <c r="CS31" s="101"/>
      <c r="CT31" s="93" t="s">
        <v>2276</v>
      </c>
      <c r="CU31" s="93" t="s">
        <v>1773</v>
      </c>
      <c r="CV31" s="93" t="s">
        <v>2277</v>
      </c>
      <c r="CW31" s="93" t="s">
        <v>561</v>
      </c>
      <c r="CX31" s="93" t="s">
        <v>788</v>
      </c>
      <c r="CY31" s="93" t="s">
        <v>2278</v>
      </c>
      <c r="CZ31" s="88" t="s">
        <v>408</v>
      </c>
      <c r="DA31" s="93" t="s">
        <v>2279</v>
      </c>
      <c r="DB31" s="93" t="s">
        <v>2280</v>
      </c>
      <c r="DC31" s="93" t="s">
        <v>2281</v>
      </c>
      <c r="DD31" s="93" t="s">
        <v>1366</v>
      </c>
      <c r="DE31" s="93" t="s">
        <v>2282</v>
      </c>
      <c r="DF31" s="267"/>
      <c r="DG31" s="93" t="s">
        <v>138</v>
      </c>
      <c r="DH31" s="98"/>
      <c r="DI31" s="93" t="s">
        <v>2283</v>
      </c>
      <c r="DJ31" s="98"/>
      <c r="DK31" s="93" t="s">
        <v>521</v>
      </c>
      <c r="DL31" s="93" t="s">
        <v>2284</v>
      </c>
      <c r="DM31" s="93" t="s">
        <v>2285</v>
      </c>
      <c r="DN31" s="90" t="s">
        <v>1249</v>
      </c>
      <c r="DO31" s="90" t="s">
        <v>1120</v>
      </c>
      <c r="DP31" s="93" t="s">
        <v>2286</v>
      </c>
      <c r="DQ31" s="93" t="s">
        <v>2015</v>
      </c>
      <c r="DR31" s="93" t="s">
        <v>2287</v>
      </c>
      <c r="DS31" s="93" t="s">
        <v>2288</v>
      </c>
      <c r="DT31" s="98"/>
      <c r="DU31" s="93" t="s">
        <v>1628</v>
      </c>
      <c r="DV31" s="93" t="s">
        <v>2289</v>
      </c>
      <c r="DW31" s="93" t="s">
        <v>2290</v>
      </c>
      <c r="DX31" s="93" t="s">
        <v>2291</v>
      </c>
      <c r="DY31" s="93" t="s">
        <v>1105</v>
      </c>
      <c r="DZ31" s="93" t="s">
        <v>2292</v>
      </c>
      <c r="EA31" s="93" t="s">
        <v>2293</v>
      </c>
      <c r="EB31" s="300" t="s">
        <v>2294</v>
      </c>
    </row>
    <row r="32">
      <c r="A32" s="168" t="s">
        <v>2295</v>
      </c>
      <c r="B32" s="103" t="s">
        <v>2296</v>
      </c>
      <c r="C32" s="104" t="s">
        <v>1414</v>
      </c>
      <c r="D32" s="105" t="s">
        <v>432</v>
      </c>
      <c r="E32" s="106" t="s">
        <v>1414</v>
      </c>
      <c r="F32" s="107" t="s">
        <v>2297</v>
      </c>
      <c r="G32" s="103" t="s">
        <v>913</v>
      </c>
      <c r="H32" s="169" t="s">
        <v>2298</v>
      </c>
      <c r="I32" s="169" t="s">
        <v>2299</v>
      </c>
      <c r="J32" s="112" t="s">
        <v>2300</v>
      </c>
      <c r="K32" s="112" t="s">
        <v>2301</v>
      </c>
      <c r="L32" s="112" t="s">
        <v>2302</v>
      </c>
      <c r="M32" s="112" t="s">
        <v>2303</v>
      </c>
      <c r="N32" s="169" t="s">
        <v>2304</v>
      </c>
      <c r="O32" s="169" t="s">
        <v>2033</v>
      </c>
      <c r="P32" s="112" t="s">
        <v>647</v>
      </c>
      <c r="Q32" s="226"/>
      <c r="R32" s="226"/>
      <c r="S32" s="112" t="s">
        <v>1200</v>
      </c>
      <c r="T32" s="112" t="s">
        <v>1865</v>
      </c>
      <c r="U32" s="169" t="s">
        <v>2305</v>
      </c>
      <c r="V32" s="226"/>
      <c r="W32" s="92"/>
      <c r="X32" s="116" t="s">
        <v>2306</v>
      </c>
      <c r="Y32" s="116" t="s">
        <v>2307</v>
      </c>
      <c r="Z32" s="116" t="s">
        <v>2308</v>
      </c>
      <c r="AA32" s="201" t="s">
        <v>2309</v>
      </c>
      <c r="AB32" s="116" t="s">
        <v>1827</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1447</v>
      </c>
      <c r="AV32" s="171" t="s">
        <v>2319</v>
      </c>
      <c r="AW32" s="274"/>
      <c r="AX32" s="274"/>
      <c r="AY32" s="274"/>
      <c r="AZ32" s="275"/>
      <c r="BA32" s="127" t="s">
        <v>2320</v>
      </c>
      <c r="BB32" s="177" t="s">
        <v>2321</v>
      </c>
      <c r="BC32" s="127" t="s">
        <v>2278</v>
      </c>
      <c r="BD32" s="177" t="s">
        <v>1841</v>
      </c>
      <c r="BE32" s="177" t="s">
        <v>242</v>
      </c>
      <c r="BF32" s="177" t="s">
        <v>1390</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1375</v>
      </c>
      <c r="BW32" s="178" t="s">
        <v>2331</v>
      </c>
      <c r="BX32" s="178" t="s">
        <v>2332</v>
      </c>
      <c r="BY32" s="178" t="s">
        <v>2333</v>
      </c>
      <c r="BZ32" s="132" t="s">
        <v>1627</v>
      </c>
      <c r="CA32" s="178" t="s">
        <v>2334</v>
      </c>
      <c r="CB32" s="178" t="s">
        <v>2335</v>
      </c>
      <c r="CC32" s="132" t="s">
        <v>1443</v>
      </c>
      <c r="CD32" s="290"/>
      <c r="CE32" s="291"/>
      <c r="CF32" s="180" t="s">
        <v>2014</v>
      </c>
      <c r="CG32" s="180" t="s">
        <v>2269</v>
      </c>
      <c r="CH32" s="137" t="s">
        <v>172</v>
      </c>
      <c r="CI32" s="137" t="s">
        <v>2336</v>
      </c>
      <c r="CJ32" s="318"/>
      <c r="CK32" s="137" t="s">
        <v>134</v>
      </c>
      <c r="CL32" s="137" t="s">
        <v>2337</v>
      </c>
      <c r="CM32" s="137" t="s">
        <v>2190</v>
      </c>
      <c r="CN32" s="278"/>
      <c r="CO32" s="137" t="s">
        <v>627</v>
      </c>
      <c r="CP32" s="278"/>
      <c r="CQ32" s="278"/>
      <c r="CR32" s="278"/>
      <c r="CS32" s="101"/>
      <c r="CT32" s="142" t="s">
        <v>443</v>
      </c>
      <c r="CU32" s="209" t="s">
        <v>1773</v>
      </c>
      <c r="CV32" s="279"/>
      <c r="CW32" s="209" t="s">
        <v>2338</v>
      </c>
      <c r="CX32" s="209" t="s">
        <v>1790</v>
      </c>
      <c r="CY32" s="142" t="s">
        <v>2339</v>
      </c>
      <c r="CZ32" s="209" t="s">
        <v>2340</v>
      </c>
      <c r="DA32" s="209" t="s">
        <v>2341</v>
      </c>
      <c r="DB32" s="279"/>
      <c r="DC32" s="142" t="s">
        <v>2342</v>
      </c>
      <c r="DD32" s="209" t="s">
        <v>2343</v>
      </c>
      <c r="DE32" s="279"/>
      <c r="DF32" s="292"/>
      <c r="DG32" s="147" t="s">
        <v>971</v>
      </c>
      <c r="DH32" s="280"/>
      <c r="DI32" s="210" t="s">
        <v>2344</v>
      </c>
      <c r="DJ32" s="280"/>
      <c r="DK32" s="143" t="s">
        <v>198</v>
      </c>
      <c r="DL32" s="280"/>
      <c r="DM32" s="210" t="s">
        <v>873</v>
      </c>
      <c r="DN32" s="280"/>
      <c r="DO32" s="280"/>
      <c r="DP32" s="144" t="s">
        <v>2345</v>
      </c>
      <c r="DQ32" s="147" t="s">
        <v>1793</v>
      </c>
      <c r="DR32" s="147" t="s">
        <v>2346</v>
      </c>
      <c r="DS32" s="147" t="s">
        <v>2347</v>
      </c>
      <c r="DT32" s="147" t="s">
        <v>2348</v>
      </c>
      <c r="DU32" s="147" t="s">
        <v>200</v>
      </c>
      <c r="DV32" s="280"/>
      <c r="DW32" s="280"/>
      <c r="DX32" s="147" t="s">
        <v>1015</v>
      </c>
      <c r="DY32" s="210" t="s">
        <v>1907</v>
      </c>
      <c r="DZ32" s="147" t="s">
        <v>2349</v>
      </c>
      <c r="EA32" s="147" t="s">
        <v>2350</v>
      </c>
      <c r="EB32" s="144" t="s">
        <v>1722</v>
      </c>
    </row>
    <row r="33">
      <c r="A33" s="186" t="s">
        <v>2351</v>
      </c>
      <c r="B33" s="82" t="s">
        <v>2352</v>
      </c>
      <c r="C33" s="83" t="s">
        <v>1414</v>
      </c>
      <c r="D33" s="84" t="s">
        <v>1414</v>
      </c>
      <c r="E33" s="85" t="s">
        <v>1414</v>
      </c>
      <c r="F33" s="86" t="s">
        <v>2090</v>
      </c>
      <c r="G33" s="82" t="s">
        <v>2353</v>
      </c>
      <c r="H33" s="88" t="s">
        <v>2354</v>
      </c>
      <c r="I33" s="88" t="s">
        <v>2355</v>
      </c>
      <c r="J33" s="88" t="s">
        <v>1946</v>
      </c>
      <c r="K33" s="88" t="s">
        <v>438</v>
      </c>
      <c r="L33" s="88" t="s">
        <v>2356</v>
      </c>
      <c r="M33" s="93" t="s">
        <v>2357</v>
      </c>
      <c r="N33" s="88" t="s">
        <v>2358</v>
      </c>
      <c r="O33" s="88" t="s">
        <v>442</v>
      </c>
      <c r="P33" s="88" t="s">
        <v>548</v>
      </c>
      <c r="Q33" s="93"/>
      <c r="R33" s="98"/>
      <c r="S33" s="93" t="s">
        <v>920</v>
      </c>
      <c r="T33" s="98"/>
      <c r="U33" s="93" t="s">
        <v>2359</v>
      </c>
      <c r="V33" s="98"/>
      <c r="W33" s="92"/>
      <c r="X33" s="88" t="s">
        <v>2226</v>
      </c>
      <c r="Y33" s="97" t="s">
        <v>1070</v>
      </c>
      <c r="Z33" s="88" t="s">
        <v>556</v>
      </c>
      <c r="AA33" s="88" t="s">
        <v>2360</v>
      </c>
      <c r="AB33" s="88" t="s">
        <v>1827</v>
      </c>
      <c r="AC33" s="88" t="s">
        <v>2361</v>
      </c>
      <c r="AD33" s="93" t="s">
        <v>2362</v>
      </c>
      <c r="AE33" s="88" t="s">
        <v>1143</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2364</v>
      </c>
      <c r="BE33" s="88" t="s">
        <v>145</v>
      </c>
      <c r="BF33" s="98"/>
      <c r="BG33" s="98"/>
      <c r="BH33" s="88" t="s">
        <v>1784</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1983</v>
      </c>
      <c r="CH33" s="88" t="s">
        <v>2374</v>
      </c>
      <c r="CI33" s="93" t="s">
        <v>2375</v>
      </c>
      <c r="CJ33" s="93" t="s">
        <v>1388</v>
      </c>
      <c r="CK33" s="88" t="s">
        <v>847</v>
      </c>
      <c r="CL33" s="88" t="s">
        <v>2376</v>
      </c>
      <c r="CM33" s="88" t="s">
        <v>1531</v>
      </c>
      <c r="CN33" s="98"/>
      <c r="CO33" s="98"/>
      <c r="CP33" s="98"/>
      <c r="CQ33" s="98"/>
      <c r="CR33" s="98"/>
      <c r="CS33" s="101"/>
      <c r="CT33" s="88" t="s">
        <v>1653</v>
      </c>
      <c r="CU33" s="88" t="s">
        <v>2377</v>
      </c>
      <c r="CV33" s="88" t="s">
        <v>965</v>
      </c>
      <c r="CW33" s="88" t="s">
        <v>561</v>
      </c>
      <c r="CX33" s="88" t="s">
        <v>1112</v>
      </c>
      <c r="CY33" s="88" t="s">
        <v>2378</v>
      </c>
      <c r="CZ33" s="88" t="s">
        <v>2379</v>
      </c>
      <c r="DA33" s="88" t="s">
        <v>2380</v>
      </c>
      <c r="DB33" s="98"/>
      <c r="DC33" s="98"/>
      <c r="DD33" s="98"/>
      <c r="DE33" s="98"/>
      <c r="DF33" s="267"/>
      <c r="DG33" s="88" t="s">
        <v>1397</v>
      </c>
      <c r="DH33" s="98"/>
      <c r="DI33" s="358"/>
      <c r="DJ33" s="98"/>
      <c r="DK33" s="98"/>
      <c r="DL33" s="98"/>
      <c r="DM33" s="98"/>
      <c r="DN33" s="98"/>
      <c r="DO33" s="98"/>
      <c r="DP33" s="88" t="s">
        <v>812</v>
      </c>
      <c r="DQ33" s="88" t="s">
        <v>2381</v>
      </c>
      <c r="DR33" s="98"/>
      <c r="DS33" s="98"/>
      <c r="DT33" s="98"/>
      <c r="DU33" s="88" t="s">
        <v>318</v>
      </c>
      <c r="DV33" s="98"/>
      <c r="DW33" s="98"/>
      <c r="DX33" s="98"/>
      <c r="DY33" s="98"/>
      <c r="DZ33" s="98"/>
      <c r="EA33" s="98"/>
      <c r="EB33" s="300"/>
    </row>
    <row r="34">
      <c r="A34" s="376" t="s">
        <v>2382</v>
      </c>
      <c r="B34" s="103" t="s">
        <v>2383</v>
      </c>
      <c r="C34" s="104" t="s">
        <v>736</v>
      </c>
      <c r="D34" s="105" t="s">
        <v>1414</v>
      </c>
      <c r="E34" s="106" t="s">
        <v>1414</v>
      </c>
      <c r="F34" s="107" t="s">
        <v>2353</v>
      </c>
      <c r="G34" s="103" t="s">
        <v>2353</v>
      </c>
      <c r="H34" s="226"/>
      <c r="I34" s="112" t="s">
        <v>2384</v>
      </c>
      <c r="J34" s="112" t="s">
        <v>2385</v>
      </c>
      <c r="K34" s="112" t="s">
        <v>102</v>
      </c>
      <c r="L34" s="112" t="s">
        <v>1311</v>
      </c>
      <c r="M34" s="112" t="s">
        <v>2386</v>
      </c>
      <c r="N34" s="112" t="s">
        <v>105</v>
      </c>
      <c r="O34" s="112" t="s">
        <v>2033</v>
      </c>
      <c r="P34" s="112" t="s">
        <v>107</v>
      </c>
      <c r="Q34" s="112" t="s">
        <v>2387</v>
      </c>
      <c r="R34" s="226"/>
      <c r="S34" s="112" t="s">
        <v>2098</v>
      </c>
      <c r="T34" s="226"/>
      <c r="U34" s="226"/>
      <c r="V34" s="226"/>
      <c r="W34" s="92"/>
      <c r="X34" s="116" t="s">
        <v>2388</v>
      </c>
      <c r="Y34" s="116" t="s">
        <v>2389</v>
      </c>
      <c r="Z34" s="116" t="s">
        <v>2390</v>
      </c>
      <c r="AA34" s="116" t="s">
        <v>2391</v>
      </c>
      <c r="AB34" s="116" t="s">
        <v>1340</v>
      </c>
      <c r="AC34" s="116" t="s">
        <v>2392</v>
      </c>
      <c r="AD34" s="284"/>
      <c r="AE34" s="116" t="s">
        <v>894</v>
      </c>
      <c r="AF34" s="116" t="s">
        <v>122</v>
      </c>
      <c r="AG34" s="284"/>
      <c r="AH34" s="284"/>
      <c r="AI34" s="284"/>
      <c r="AJ34" s="284"/>
      <c r="AK34" s="92"/>
      <c r="AL34" s="274"/>
      <c r="AM34" s="121" t="s">
        <v>2393</v>
      </c>
      <c r="AN34" s="274"/>
      <c r="AO34" s="274"/>
      <c r="AP34" s="274"/>
      <c r="AQ34" s="274"/>
      <c r="AR34" s="274"/>
      <c r="AS34" s="274"/>
      <c r="AT34" s="121" t="s">
        <v>670</v>
      </c>
      <c r="AU34" s="121" t="s">
        <v>1170</v>
      </c>
      <c r="AV34" s="274"/>
      <c r="AW34" s="274"/>
      <c r="AX34" s="121" t="s">
        <v>2394</v>
      </c>
      <c r="AY34" s="274"/>
      <c r="AZ34" s="275"/>
      <c r="BA34" s="127" t="s">
        <v>1535</v>
      </c>
      <c r="BB34" s="127" t="s">
        <v>676</v>
      </c>
      <c r="BC34" s="127" t="s">
        <v>931</v>
      </c>
      <c r="BD34" s="127" t="s">
        <v>383</v>
      </c>
      <c r="BE34" s="127" t="s">
        <v>2395</v>
      </c>
      <c r="BF34" s="176"/>
      <c r="BG34" s="176"/>
      <c r="BH34" s="127" t="s">
        <v>393</v>
      </c>
      <c r="BI34" s="353"/>
      <c r="BJ34" s="127" t="s">
        <v>2396</v>
      </c>
      <c r="BK34" s="127" t="s">
        <v>1757</v>
      </c>
      <c r="BL34" s="176"/>
      <c r="BM34" s="127" t="s">
        <v>153</v>
      </c>
      <c r="BN34" s="127" t="s">
        <v>2397</v>
      </c>
      <c r="BO34" s="176"/>
      <c r="BP34" s="287"/>
      <c r="BQ34" s="132" t="s">
        <v>2398</v>
      </c>
      <c r="BR34" s="132" t="s">
        <v>1682</v>
      </c>
      <c r="BS34" s="132" t="s">
        <v>2399</v>
      </c>
      <c r="BT34" s="132" t="s">
        <v>159</v>
      </c>
      <c r="BU34" s="132" t="s">
        <v>1575</v>
      </c>
      <c r="BV34" s="132" t="s">
        <v>1030</v>
      </c>
      <c r="BW34" s="290"/>
      <c r="BX34" s="290"/>
      <c r="BY34" s="132" t="s">
        <v>2400</v>
      </c>
      <c r="BZ34" s="132" t="s">
        <v>1688</v>
      </c>
      <c r="CA34" s="132" t="s">
        <v>2401</v>
      </c>
      <c r="CB34" s="290"/>
      <c r="CC34" s="290"/>
      <c r="CD34" s="290"/>
      <c r="CE34" s="291"/>
      <c r="CF34" s="377" t="s">
        <v>2051</v>
      </c>
      <c r="CG34" s="137" t="s">
        <v>171</v>
      </c>
      <c r="CH34" s="137" t="s">
        <v>2402</v>
      </c>
      <c r="CI34" s="137" t="s">
        <v>173</v>
      </c>
      <c r="CJ34" s="318"/>
      <c r="CK34" s="137" t="s">
        <v>2403</v>
      </c>
      <c r="CL34" s="137" t="s">
        <v>1447</v>
      </c>
      <c r="CM34" s="137" t="s">
        <v>198</v>
      </c>
      <c r="CN34" s="137" t="s">
        <v>2404</v>
      </c>
      <c r="CO34" s="278"/>
      <c r="CP34" s="278"/>
      <c r="CQ34" s="278"/>
      <c r="CR34" s="278"/>
      <c r="CS34" s="101"/>
      <c r="CT34" s="142" t="s">
        <v>2405</v>
      </c>
      <c r="CU34" s="279"/>
      <c r="CV34" s="142" t="s">
        <v>1304</v>
      </c>
      <c r="CW34" s="142" t="s">
        <v>1814</v>
      </c>
      <c r="CX34" s="142" t="s">
        <v>187</v>
      </c>
      <c r="CY34" s="142" t="s">
        <v>2406</v>
      </c>
      <c r="CZ34" s="142" t="s">
        <v>2407</v>
      </c>
      <c r="DA34" s="142" t="s">
        <v>1010</v>
      </c>
      <c r="DB34" s="279"/>
      <c r="DC34" s="279"/>
      <c r="DD34" s="279"/>
      <c r="DE34" s="279"/>
      <c r="DF34" s="292"/>
      <c r="DG34" s="280"/>
      <c r="DH34" s="280"/>
      <c r="DI34" s="280"/>
      <c r="DJ34" s="280"/>
      <c r="DK34" s="280"/>
      <c r="DL34" s="280"/>
      <c r="DM34" s="280"/>
      <c r="DN34" s="280"/>
      <c r="DO34" s="280"/>
      <c r="DP34" s="147" t="s">
        <v>2408</v>
      </c>
      <c r="DQ34" s="147" t="s">
        <v>2409</v>
      </c>
      <c r="DR34" s="280"/>
      <c r="DS34" s="147" t="s">
        <v>2410</v>
      </c>
      <c r="DT34" s="147" t="s">
        <v>2411</v>
      </c>
      <c r="DU34" s="280"/>
      <c r="DV34" s="280"/>
      <c r="DW34" s="280"/>
      <c r="DX34" s="147" t="s">
        <v>1797</v>
      </c>
      <c r="DY34" s="147" t="s">
        <v>2412</v>
      </c>
      <c r="DZ34" s="280"/>
      <c r="EA34" s="280"/>
      <c r="EB34" s="378"/>
    </row>
    <row r="35">
      <c r="A35" s="81" t="s">
        <v>2413</v>
      </c>
      <c r="B35" s="82" t="s">
        <v>2414</v>
      </c>
      <c r="C35" s="83" t="s">
        <v>1414</v>
      </c>
      <c r="D35" s="84" t="s">
        <v>1414</v>
      </c>
      <c r="E35" s="85" t="s">
        <v>1414</v>
      </c>
      <c r="F35" s="86" t="s">
        <v>2353</v>
      </c>
      <c r="G35" s="82" t="s">
        <v>1550</v>
      </c>
      <c r="H35" s="88" t="s">
        <v>2415</v>
      </c>
      <c r="I35" s="213" t="s">
        <v>2416</v>
      </c>
      <c r="J35" s="88" t="s">
        <v>2417</v>
      </c>
      <c r="K35" s="88" t="s">
        <v>1807</v>
      </c>
      <c r="L35" s="88" t="s">
        <v>2250</v>
      </c>
      <c r="M35" s="88" t="s">
        <v>2418</v>
      </c>
      <c r="N35" s="88" t="s">
        <v>2419</v>
      </c>
      <c r="O35" s="97" t="s">
        <v>2420</v>
      </c>
      <c r="P35" s="162" t="s">
        <v>548</v>
      </c>
      <c r="Q35" s="301" t="s">
        <v>2421</v>
      </c>
      <c r="R35" s="88" t="s">
        <v>2422</v>
      </c>
      <c r="S35" s="301" t="s">
        <v>993</v>
      </c>
      <c r="T35" s="88" t="s">
        <v>2423</v>
      </c>
      <c r="U35" s="97" t="s">
        <v>2424</v>
      </c>
      <c r="V35" s="213" t="s">
        <v>2425</v>
      </c>
      <c r="W35" s="214"/>
      <c r="X35" s="213" t="s">
        <v>1774</v>
      </c>
      <c r="Y35" s="97" t="s">
        <v>1651</v>
      </c>
      <c r="Z35" s="162" t="s">
        <v>2426</v>
      </c>
      <c r="AA35" s="88" t="s">
        <v>1585</v>
      </c>
      <c r="AB35" s="88" t="s">
        <v>2427</v>
      </c>
      <c r="AC35" s="88" t="s">
        <v>2428</v>
      </c>
      <c r="AD35" s="88" t="s">
        <v>2429</v>
      </c>
      <c r="AE35" s="93" t="s">
        <v>2280</v>
      </c>
      <c r="AF35" s="88" t="s">
        <v>1738</v>
      </c>
      <c r="AG35" s="301" t="s">
        <v>2430</v>
      </c>
      <c r="AH35" s="97" t="s">
        <v>2431</v>
      </c>
      <c r="AI35" s="301" t="s">
        <v>1739</v>
      </c>
      <c r="AJ35" s="213" t="s">
        <v>2432</v>
      </c>
      <c r="AK35" s="92"/>
      <c r="AL35" s="93" t="s">
        <v>2433</v>
      </c>
      <c r="AM35" s="93" t="s">
        <v>2434</v>
      </c>
      <c r="AN35" s="97" t="s">
        <v>2435</v>
      </c>
      <c r="AO35" s="88" t="s">
        <v>1837</v>
      </c>
      <c r="AP35" s="93" t="s">
        <v>2436</v>
      </c>
      <c r="AQ35" s="93" t="s">
        <v>2437</v>
      </c>
      <c r="AR35" s="88" t="s">
        <v>2438</v>
      </c>
      <c r="AS35" s="93" t="s">
        <v>2439</v>
      </c>
      <c r="AT35" s="88" t="s">
        <v>128</v>
      </c>
      <c r="AU35" s="93" t="s">
        <v>136</v>
      </c>
      <c r="AV35" s="301" t="s">
        <v>2440</v>
      </c>
      <c r="AW35" s="88" t="s">
        <v>2441</v>
      </c>
      <c r="AX35" s="88" t="s">
        <v>2441</v>
      </c>
      <c r="AY35" s="93" t="s">
        <v>2442</v>
      </c>
      <c r="AZ35" s="96"/>
      <c r="BA35" s="97" t="str">
        <f>HYPERLINK("https://youtu.be/ym6Xxd7Pwws","50.26")</f>
        <v>50.26</v>
      </c>
      <c r="BB35" s="88" t="s">
        <v>2443</v>
      </c>
      <c r="BC35" s="93" t="s">
        <v>1300</v>
      </c>
      <c r="BD35" s="93" t="s">
        <v>1671</v>
      </c>
      <c r="BE35" s="93" t="s">
        <v>2444</v>
      </c>
      <c r="BF35" s="88" t="s">
        <v>2445</v>
      </c>
      <c r="BG35" s="93" t="s">
        <v>2446</v>
      </c>
      <c r="BH35" s="97" t="s">
        <v>598</v>
      </c>
      <c r="BI35" s="98" t="s">
        <v>2447</v>
      </c>
      <c r="BJ35" s="93" t="s">
        <v>2448</v>
      </c>
      <c r="BK35" s="93" t="s">
        <v>2449</v>
      </c>
      <c r="BL35" s="93" t="s">
        <v>2450</v>
      </c>
      <c r="BM35" s="88" t="s">
        <v>2035</v>
      </c>
      <c r="BN35" s="93" t="s">
        <v>2451</v>
      </c>
      <c r="BO35" s="93" t="s">
        <v>2452</v>
      </c>
      <c r="BP35" s="96"/>
      <c r="BQ35" s="97" t="s">
        <v>2453</v>
      </c>
      <c r="BR35" s="93" t="s">
        <v>2454</v>
      </c>
      <c r="BS35" s="88" t="s">
        <v>2455</v>
      </c>
      <c r="BT35" s="93" t="s">
        <v>2456</v>
      </c>
      <c r="BU35" s="213" t="s">
        <v>497</v>
      </c>
      <c r="BV35" s="88" t="s">
        <v>161</v>
      </c>
      <c r="BW35" s="97" t="s">
        <v>2457</v>
      </c>
      <c r="BX35" s="93" t="s">
        <v>2458</v>
      </c>
      <c r="BY35" s="379" t="str">
        <f>HYPERLINK("https://clips.twitch.tv/RamshackleBlindingCaribouPupper", "2:21.41")</f>
        <v>2:21.41</v>
      </c>
      <c r="BZ35" s="213" t="s">
        <v>2459</v>
      </c>
      <c r="CA35" s="93" t="s">
        <v>874</v>
      </c>
      <c r="CB35" s="300" t="s">
        <v>2460</v>
      </c>
      <c r="CC35" s="162" t="s">
        <v>2461</v>
      </c>
      <c r="CD35" s="93" t="s">
        <v>2462</v>
      </c>
      <c r="CE35" s="96"/>
      <c r="CF35" s="88" t="s">
        <v>2463</v>
      </c>
      <c r="CG35" s="213" t="s">
        <v>2464</v>
      </c>
      <c r="CH35" s="301" t="s">
        <v>2465</v>
      </c>
      <c r="CI35" s="301" t="s">
        <v>2466</v>
      </c>
      <c r="CJ35" s="301" t="s">
        <v>1919</v>
      </c>
      <c r="CK35" s="88" t="s">
        <v>2467</v>
      </c>
      <c r="CL35" s="88" t="s">
        <v>1775</v>
      </c>
      <c r="CM35" s="88" t="s">
        <v>1921</v>
      </c>
      <c r="CN35" s="301" t="s">
        <v>2468</v>
      </c>
      <c r="CO35" s="97" t="s">
        <v>1051</v>
      </c>
      <c r="CP35" s="88" t="s">
        <v>2469</v>
      </c>
      <c r="CQ35" s="88" t="s">
        <v>2470</v>
      </c>
      <c r="CR35" s="93" t="s">
        <v>2471</v>
      </c>
      <c r="CS35" s="101"/>
      <c r="CT35" s="213" t="s">
        <v>2472</v>
      </c>
      <c r="CU35" s="93" t="s">
        <v>1919</v>
      </c>
      <c r="CV35" s="97" t="s">
        <v>2473</v>
      </c>
      <c r="CW35" s="213" t="s">
        <v>2474</v>
      </c>
      <c r="CX35" s="213" t="s">
        <v>2475</v>
      </c>
      <c r="CY35" s="88" t="s">
        <v>2476</v>
      </c>
      <c r="CZ35" s="213" t="s">
        <v>783</v>
      </c>
      <c r="DA35" s="97" t="s">
        <v>1703</v>
      </c>
      <c r="DB35" s="300" t="s">
        <v>2477</v>
      </c>
      <c r="DC35" s="303" t="s">
        <v>2478</v>
      </c>
      <c r="DD35" s="97" t="s">
        <v>2479</v>
      </c>
      <c r="DE35" s="97" t="str">
        <f>HYPERLINK("https://www.twitch.tv/videos/445329616","1:59.77")</f>
        <v>1:59.77</v>
      </c>
      <c r="DF35" s="97"/>
      <c r="DG35" s="93" t="s">
        <v>2480</v>
      </c>
      <c r="DH35" s="88" t="s">
        <v>2481</v>
      </c>
      <c r="DI35" s="93" t="s">
        <v>1679</v>
      </c>
      <c r="DJ35" s="88" t="s">
        <v>2482</v>
      </c>
      <c r="DK35" s="88" t="s">
        <v>1608</v>
      </c>
      <c r="DL35" s="162" t="s">
        <v>2483</v>
      </c>
      <c r="DM35" s="162" t="s">
        <v>488</v>
      </c>
      <c r="DN35" s="88" t="s">
        <v>2484</v>
      </c>
      <c r="DO35" s="88" t="s">
        <v>1249</v>
      </c>
      <c r="DP35" s="93" t="s">
        <v>2485</v>
      </c>
      <c r="DQ35" s="88" t="s">
        <v>2486</v>
      </c>
      <c r="DR35" s="88" t="s">
        <v>2487</v>
      </c>
      <c r="DS35" s="88" t="s">
        <v>2488</v>
      </c>
      <c r="DT35" s="88" t="s">
        <v>2489</v>
      </c>
      <c r="DU35" s="88" t="s">
        <v>1628</v>
      </c>
      <c r="DV35" s="88" t="s">
        <v>1735</v>
      </c>
      <c r="DW35" s="88" t="s">
        <v>2490</v>
      </c>
      <c r="DX35" s="88" t="s">
        <v>576</v>
      </c>
      <c r="DY35" s="88" t="s">
        <v>2491</v>
      </c>
      <c r="DZ35" s="88" t="s">
        <v>901</v>
      </c>
      <c r="EA35" s="88" t="s">
        <v>2492</v>
      </c>
      <c r="EB35" s="97" t="s">
        <v>2493</v>
      </c>
    </row>
    <row r="36">
      <c r="A36" s="380" t="s">
        <v>2494</v>
      </c>
      <c r="B36" s="103" t="s">
        <v>2495</v>
      </c>
      <c r="C36" s="104" t="s">
        <v>1414</v>
      </c>
      <c r="D36" s="105" t="s">
        <v>1414</v>
      </c>
      <c r="E36" s="106" t="s">
        <v>1414</v>
      </c>
      <c r="F36" s="107" t="s">
        <v>2496</v>
      </c>
      <c r="G36" s="103" t="s">
        <v>2497</v>
      </c>
      <c r="H36" s="112" t="s">
        <v>2498</v>
      </c>
      <c r="I36" s="112" t="s">
        <v>2499</v>
      </c>
      <c r="J36" s="112" t="s">
        <v>2500</v>
      </c>
      <c r="K36" s="112" t="s">
        <v>438</v>
      </c>
      <c r="L36" s="296" t="s">
        <v>2501</v>
      </c>
      <c r="M36" s="169" t="s">
        <v>2502</v>
      </c>
      <c r="N36" s="112" t="s">
        <v>105</v>
      </c>
      <c r="O36" s="112" t="s">
        <v>2503</v>
      </c>
      <c r="P36" s="169" t="s">
        <v>548</v>
      </c>
      <c r="Q36" s="226"/>
      <c r="R36" s="226"/>
      <c r="S36" s="226"/>
      <c r="T36" s="226"/>
      <c r="U36" s="226"/>
      <c r="V36" s="226"/>
      <c r="W36" s="92"/>
      <c r="X36" s="116" t="s">
        <v>1905</v>
      </c>
      <c r="Y36" s="116" t="s">
        <v>1426</v>
      </c>
      <c r="Z36" s="116" t="s">
        <v>2504</v>
      </c>
      <c r="AA36" s="116" t="s">
        <v>2309</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2162</v>
      </c>
      <c r="AU36" s="121" t="s">
        <v>2507</v>
      </c>
      <c r="AV36" s="274"/>
      <c r="AW36" s="274"/>
      <c r="AX36" s="274"/>
      <c r="AY36" s="274"/>
      <c r="AZ36" s="275"/>
      <c r="BA36" s="127" t="s">
        <v>1575</v>
      </c>
      <c r="BB36" s="127" t="s">
        <v>676</v>
      </c>
      <c r="BC36" s="127" t="s">
        <v>1583</v>
      </c>
      <c r="BD36" s="127" t="s">
        <v>1015</v>
      </c>
      <c r="BE36" s="127" t="s">
        <v>1104</v>
      </c>
      <c r="BF36" s="176"/>
      <c r="BG36" s="176"/>
      <c r="BH36" s="127" t="s">
        <v>968</v>
      </c>
      <c r="BI36" s="127" t="s">
        <v>2508</v>
      </c>
      <c r="BJ36" s="177"/>
      <c r="BK36" s="127" t="s">
        <v>2509</v>
      </c>
      <c r="BL36" s="176"/>
      <c r="BM36" s="176"/>
      <c r="BN36" s="176"/>
      <c r="BO36" s="176"/>
      <c r="BP36" s="287"/>
      <c r="BQ36" s="178" t="s">
        <v>1591</v>
      </c>
      <c r="BR36" s="132" t="s">
        <v>157</v>
      </c>
      <c r="BS36" s="132" t="s">
        <v>2510</v>
      </c>
      <c r="BT36" s="132" t="s">
        <v>2511</v>
      </c>
      <c r="BU36" s="132" t="s">
        <v>2512</v>
      </c>
      <c r="BV36" s="132" t="s">
        <v>2121</v>
      </c>
      <c r="BW36" s="132" t="s">
        <v>2513</v>
      </c>
      <c r="BX36" s="132" t="s">
        <v>2514</v>
      </c>
      <c r="BY36" s="290"/>
      <c r="BZ36" s="132" t="s">
        <v>493</v>
      </c>
      <c r="CA36" s="290"/>
      <c r="CB36" s="290"/>
      <c r="CC36" s="290"/>
      <c r="CD36" s="290"/>
      <c r="CE36" s="291"/>
      <c r="CF36" s="137" t="s">
        <v>2515</v>
      </c>
      <c r="CG36" s="137" t="s">
        <v>2064</v>
      </c>
      <c r="CH36" s="137" t="s">
        <v>2516</v>
      </c>
      <c r="CI36" s="137" t="s">
        <v>2517</v>
      </c>
      <c r="CJ36" s="318" t="s">
        <v>2518</v>
      </c>
      <c r="CK36" s="137" t="s">
        <v>2519</v>
      </c>
      <c r="CL36" s="137" t="s">
        <v>398</v>
      </c>
      <c r="CM36" s="137" t="s">
        <v>2520</v>
      </c>
      <c r="CN36" s="278"/>
      <c r="CO36" s="278"/>
      <c r="CP36" s="278"/>
      <c r="CQ36" s="278"/>
      <c r="CR36" s="278"/>
      <c r="CS36" s="101"/>
      <c r="CT36" s="142" t="s">
        <v>650</v>
      </c>
      <c r="CU36" s="209" t="s">
        <v>2521</v>
      </c>
      <c r="CV36" s="142" t="s">
        <v>767</v>
      </c>
      <c r="CW36" s="142" t="s">
        <v>713</v>
      </c>
      <c r="CX36" s="142" t="s">
        <v>570</v>
      </c>
      <c r="CY36" s="142" t="s">
        <v>598</v>
      </c>
      <c r="CZ36" s="142" t="s">
        <v>2522</v>
      </c>
      <c r="DA36" s="142" t="s">
        <v>2523</v>
      </c>
      <c r="DB36" s="279"/>
      <c r="DC36" s="209"/>
      <c r="DD36" s="279"/>
      <c r="DE36" s="279"/>
      <c r="DF36" s="292"/>
      <c r="DG36" s="147" t="s">
        <v>2524</v>
      </c>
      <c r="DH36" s="280"/>
      <c r="DI36" s="280"/>
      <c r="DJ36" s="210"/>
      <c r="DK36" s="210"/>
      <c r="DL36" s="210"/>
      <c r="DM36" s="280"/>
      <c r="DN36" s="280"/>
      <c r="DO36" s="280"/>
      <c r="DP36" s="381" t="s">
        <v>2525</v>
      </c>
      <c r="DQ36" s="147" t="s">
        <v>2526</v>
      </c>
      <c r="DR36" s="280"/>
      <c r="DS36" s="280"/>
      <c r="DT36" s="280"/>
      <c r="DU36" s="280"/>
      <c r="DV36" s="280"/>
      <c r="DW36" s="280"/>
      <c r="DX36" s="280"/>
      <c r="DY36" s="280"/>
      <c r="DZ36" s="280"/>
      <c r="EA36" s="280"/>
      <c r="EB36" s="324"/>
    </row>
    <row r="37">
      <c r="A37" s="382" t="s">
        <v>2527</v>
      </c>
      <c r="B37" s="82" t="s">
        <v>2528</v>
      </c>
      <c r="C37" s="83" t="s">
        <v>432</v>
      </c>
      <c r="D37" s="84" t="s">
        <v>538</v>
      </c>
      <c r="E37" s="85" t="s">
        <v>1414</v>
      </c>
      <c r="F37" s="86" t="s">
        <v>2529</v>
      </c>
      <c r="G37" s="82" t="s">
        <v>1059</v>
      </c>
      <c r="H37" s="88" t="s">
        <v>1632</v>
      </c>
      <c r="I37" s="97" t="s">
        <v>2530</v>
      </c>
      <c r="J37" s="88" t="s">
        <v>2531</v>
      </c>
      <c r="K37" s="97" t="s">
        <v>1554</v>
      </c>
      <c r="L37" s="88" t="s">
        <v>2532</v>
      </c>
      <c r="M37" s="97" t="s">
        <v>2533</v>
      </c>
      <c r="N37" s="88" t="s">
        <v>2534</v>
      </c>
      <c r="O37" s="88" t="s">
        <v>2535</v>
      </c>
      <c r="P37" s="88" t="s">
        <v>997</v>
      </c>
      <c r="Q37" s="97" t="str">
        <f>HYPERLINK("https://twitter.com/Qbe_Root/status/1254604046691860480","1:09.56")</f>
        <v>1:09.56</v>
      </c>
      <c r="R37" s="98"/>
      <c r="S37" s="88" t="s">
        <v>2536</v>
      </c>
      <c r="T37" s="98"/>
      <c r="U37" s="88" t="s">
        <v>397</v>
      </c>
      <c r="V37" s="93" t="s">
        <v>2537</v>
      </c>
      <c r="W37" s="92"/>
      <c r="X37" s="97" t="s">
        <v>2538</v>
      </c>
      <c r="Y37" s="97" t="s">
        <v>1426</v>
      </c>
      <c r="Z37" s="88" t="s">
        <v>2190</v>
      </c>
      <c r="AA37" s="88" t="s">
        <v>2539</v>
      </c>
      <c r="AB37" s="88" t="s">
        <v>1248</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1346</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7"/>
      <c r="BA37" s="88" t="s">
        <v>2551</v>
      </c>
      <c r="BB37" s="88" t="s">
        <v>2552</v>
      </c>
      <c r="BC37" s="88" t="s">
        <v>1150</v>
      </c>
      <c r="BD37" s="88" t="s">
        <v>2553</v>
      </c>
      <c r="BE37" s="88" t="s">
        <v>558</v>
      </c>
      <c r="BF37" s="88" t="s">
        <v>2554</v>
      </c>
      <c r="BG37" s="93" t="s">
        <v>2555</v>
      </c>
      <c r="BH37" s="88" t="s">
        <v>2556</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2048</v>
      </c>
      <c r="CH37" s="93" t="s">
        <v>2572</v>
      </c>
      <c r="CI37" s="88" t="s">
        <v>2573</v>
      </c>
      <c r="CJ37" s="88" t="s">
        <v>2574</v>
      </c>
      <c r="CK37" s="88" t="s">
        <v>2103</v>
      </c>
      <c r="CL37" s="88" t="s">
        <v>2575</v>
      </c>
      <c r="CM37" s="88" t="s">
        <v>2002</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79" t="str">
        <f>HYPERLINK("https://twitter.com/Qbe_Root/status/1400138849058275330", "1:53.21")</f>
        <v>1:53.21</v>
      </c>
      <c r="DC37" s="88" t="s">
        <v>2585</v>
      </c>
      <c r="DD37" s="88" t="s">
        <v>617</v>
      </c>
      <c r="DE37" s="93" t="s">
        <v>2586</v>
      </c>
      <c r="DF37" s="93"/>
      <c r="DG37" s="97" t="s">
        <v>1397</v>
      </c>
      <c r="DH37" s="90" t="s">
        <v>2587</v>
      </c>
      <c r="DI37" s="98"/>
      <c r="DJ37" s="88" t="s">
        <v>2588</v>
      </c>
      <c r="DK37" s="97" t="s">
        <v>2589</v>
      </c>
      <c r="DL37" s="93" t="s">
        <v>2590</v>
      </c>
      <c r="DM37" s="98"/>
      <c r="DN37" s="98"/>
      <c r="DO37" s="98"/>
      <c r="DP37" s="88" t="s">
        <v>2591</v>
      </c>
      <c r="DQ37" s="300" t="s">
        <v>1715</v>
      </c>
      <c r="DR37" s="383" t="str">
        <f>HYPERLINK("https://twitter.com/Qbe_Root/status/1241798344797798402","11.27")</f>
        <v>11.27</v>
      </c>
      <c r="DS37" s="93" t="s">
        <v>2592</v>
      </c>
      <c r="DT37" s="88" t="s">
        <v>2593</v>
      </c>
      <c r="DU37" s="98"/>
      <c r="DV37" s="88" t="s">
        <v>159</v>
      </c>
      <c r="DW37" s="93" t="s">
        <v>1983</v>
      </c>
      <c r="DX37" s="93" t="s">
        <v>2594</v>
      </c>
      <c r="DY37" s="88" t="s">
        <v>2595</v>
      </c>
      <c r="DZ37" s="93" t="s">
        <v>374</v>
      </c>
      <c r="EA37" s="93" t="s">
        <v>1045</v>
      </c>
      <c r="EB37" s="300" t="s">
        <v>2596</v>
      </c>
    </row>
    <row r="38">
      <c r="A38" s="168" t="s">
        <v>2597</v>
      </c>
      <c r="B38" s="103" t="s">
        <v>2598</v>
      </c>
      <c r="C38" s="104" t="s">
        <v>1414</v>
      </c>
      <c r="D38" s="105" t="s">
        <v>1414</v>
      </c>
      <c r="E38" s="106" t="s">
        <v>1414</v>
      </c>
      <c r="F38" s="107" t="s">
        <v>911</v>
      </c>
      <c r="G38" s="103" t="s">
        <v>2136</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2307</v>
      </c>
      <c r="Z38" s="116" t="s">
        <v>750</v>
      </c>
      <c r="AA38" s="201" t="s">
        <v>2606</v>
      </c>
      <c r="AB38" s="201" t="s">
        <v>2289</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2186</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2444</v>
      </c>
      <c r="CG38" s="180" t="s">
        <v>2627</v>
      </c>
      <c r="CH38" s="180" t="s">
        <v>251</v>
      </c>
      <c r="CI38" s="137" t="s">
        <v>2628</v>
      </c>
      <c r="CJ38" s="138" t="s">
        <v>1989</v>
      </c>
      <c r="CK38" s="180" t="s">
        <v>2629</v>
      </c>
      <c r="CL38" s="180" t="s">
        <v>2277</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2204</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2590</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2173</v>
      </c>
      <c r="P40" s="388" t="str">
        <f>HYPERLINK("https://clips.twitch.tv/BetterEnticingWatercressDancingBaby","16.08")</f>
        <v>16.08</v>
      </c>
      <c r="Q40" s="389" t="s">
        <v>2696</v>
      </c>
      <c r="R40" s="390"/>
      <c r="S40" s="389" t="s">
        <v>803</v>
      </c>
      <c r="T40" s="169" t="s">
        <v>2697</v>
      </c>
      <c r="U40" s="388" t="str">
        <f>HYPERLINK("https://youtu.be/HHFrEbWlPX4","50.03")</f>
        <v>50.03</v>
      </c>
      <c r="V40" s="391" t="s">
        <v>2698</v>
      </c>
      <c r="W40" s="156"/>
      <c r="X40" s="392" t="s">
        <v>2699</v>
      </c>
      <c r="Y40" s="392" t="s">
        <v>2700</v>
      </c>
      <c r="Z40" s="392" t="s">
        <v>2701</v>
      </c>
      <c r="AA40" s="392" t="s">
        <v>2702</v>
      </c>
      <c r="AB40" s="392" t="s">
        <v>2575</v>
      </c>
      <c r="AC40" s="392" t="s">
        <v>2703</v>
      </c>
      <c r="AD40" s="393"/>
      <c r="AE40" s="394" t="s">
        <v>2704</v>
      </c>
      <c r="AF40" s="394" t="s">
        <v>2705</v>
      </c>
      <c r="AG40" s="395" t="str">
        <f>HYPERLINK("https://youtu.be/N6tkTf4Wb68","53.04")</f>
        <v>53.04</v>
      </c>
      <c r="AH40" s="394"/>
      <c r="AI40" s="394" t="s">
        <v>1224</v>
      </c>
      <c r="AJ40" s="396" t="s">
        <v>2706</v>
      </c>
      <c r="AK40" s="156"/>
      <c r="AL40" s="171" t="s">
        <v>2707</v>
      </c>
      <c r="AM40" s="397" t="s">
        <v>2708</v>
      </c>
      <c r="AN40" s="171" t="s">
        <v>2709</v>
      </c>
      <c r="AO40" s="398" t="s">
        <v>2710</v>
      </c>
      <c r="AP40" s="399"/>
      <c r="AQ40" s="399"/>
      <c r="AR40" s="398" t="s">
        <v>1008</v>
      </c>
      <c r="AS40" s="397" t="s">
        <v>745</v>
      </c>
      <c r="AT40" s="171" t="s">
        <v>1210</v>
      </c>
      <c r="AU40" s="400" t="str">
        <f>HYPERLINK("https://www.youtube.com/watch?v=I53jRzHVHbs","25.78")</f>
        <v>25.78</v>
      </c>
      <c r="AV40" s="398" t="s">
        <v>976</v>
      </c>
      <c r="AW40" s="399"/>
      <c r="AX40" s="398" t="s">
        <v>2711</v>
      </c>
      <c r="AY40" s="401" t="s">
        <v>2712</v>
      </c>
      <c r="AZ40" s="402"/>
      <c r="BA40" s="177" t="s">
        <v>2713</v>
      </c>
      <c r="BB40" s="403" t="s">
        <v>2714</v>
      </c>
      <c r="BC40" s="403" t="s">
        <v>1355</v>
      </c>
      <c r="BD40" s="404" t="s">
        <v>2488</v>
      </c>
      <c r="BE40" s="405" t="s">
        <v>2715</v>
      </c>
      <c r="BF40" s="403" t="s">
        <v>1700</v>
      </c>
      <c r="BG40" s="177" t="s">
        <v>2716</v>
      </c>
      <c r="BH40" s="403" t="s">
        <v>404</v>
      </c>
      <c r="BI40" s="176"/>
      <c r="BJ40" s="404" t="s">
        <v>2717</v>
      </c>
      <c r="BK40" s="403" t="s">
        <v>2718</v>
      </c>
      <c r="BL40" s="128" t="s">
        <v>2719</v>
      </c>
      <c r="BM40" s="406" t="str">
        <f>HYPERLINK("https://youtu.be/PNHoaVHANBk","42.06")</f>
        <v>42.06</v>
      </c>
      <c r="BN40" s="403" t="s">
        <v>970</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709</v>
      </c>
      <c r="CC40" s="412" t="s">
        <v>650</v>
      </c>
      <c r="CD40" s="413" t="s">
        <v>2728</v>
      </c>
      <c r="CE40" s="414"/>
      <c r="CF40" s="415" t="s">
        <v>1565</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2521</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1763</v>
      </c>
      <c r="DM40" s="425"/>
      <c r="DN40" s="425"/>
      <c r="DO40" s="425"/>
      <c r="DP40" s="427" t="s">
        <v>2355</v>
      </c>
      <c r="DQ40" s="427"/>
      <c r="DR40" s="427" t="s">
        <v>1794</v>
      </c>
      <c r="DS40" s="426" t="s">
        <v>2747</v>
      </c>
      <c r="DT40" s="427" t="s">
        <v>2748</v>
      </c>
      <c r="DU40" s="427" t="s">
        <v>2749</v>
      </c>
      <c r="DV40" s="425"/>
      <c r="DW40" s="426" t="s">
        <v>2750</v>
      </c>
      <c r="DX40" s="426" t="s">
        <v>2751</v>
      </c>
      <c r="DY40" s="426" t="s">
        <v>2752</v>
      </c>
      <c r="DZ40" s="426" t="s">
        <v>1997</v>
      </c>
      <c r="EA40" s="426" t="s">
        <v>1491</v>
      </c>
      <c r="EB40" s="324" t="s">
        <v>2753</v>
      </c>
    </row>
    <row r="41">
      <c r="A41" s="334" t="s">
        <v>2754</v>
      </c>
      <c r="B41" s="82" t="s">
        <v>2755</v>
      </c>
      <c r="C41" s="83" t="s">
        <v>432</v>
      </c>
      <c r="D41" s="84" t="s">
        <v>538</v>
      </c>
      <c r="E41" s="85" t="s">
        <v>824</v>
      </c>
      <c r="F41" s="86" t="s">
        <v>2756</v>
      </c>
      <c r="G41" s="82" t="s">
        <v>1253</v>
      </c>
      <c r="H41" s="93" t="s">
        <v>2009</v>
      </c>
      <c r="I41" s="93" t="s">
        <v>2757</v>
      </c>
      <c r="J41" s="93" t="s">
        <v>2758</v>
      </c>
      <c r="K41" s="93" t="s">
        <v>2759</v>
      </c>
      <c r="L41" s="213" t="s">
        <v>1931</v>
      </c>
      <c r="M41" s="98"/>
      <c r="N41" s="98"/>
      <c r="O41" s="213" t="s">
        <v>2760</v>
      </c>
      <c r="P41" s="93" t="s">
        <v>2761</v>
      </c>
      <c r="Q41" s="89" t="s">
        <v>2607</v>
      </c>
      <c r="R41" s="93"/>
      <c r="S41" s="93" t="s">
        <v>993</v>
      </c>
      <c r="T41" s="213"/>
      <c r="U41" s="213" t="s">
        <v>2762</v>
      </c>
      <c r="V41" s="87" t="s">
        <v>2763</v>
      </c>
      <c r="W41" s="214"/>
      <c r="X41" s="93" t="s">
        <v>2764</v>
      </c>
      <c r="Y41" s="93" t="s">
        <v>2765</v>
      </c>
      <c r="Z41" s="93" t="s">
        <v>1894</v>
      </c>
      <c r="AA41" s="93" t="s">
        <v>2766</v>
      </c>
      <c r="AB41" s="93" t="s">
        <v>2767</v>
      </c>
      <c r="AC41" s="93" t="s">
        <v>2768</v>
      </c>
      <c r="AD41" s="93"/>
      <c r="AE41" s="93" t="s">
        <v>806</v>
      </c>
      <c r="AF41" s="93" t="s">
        <v>2769</v>
      </c>
      <c r="AG41" s="93" t="s">
        <v>2770</v>
      </c>
      <c r="AH41" s="93"/>
      <c r="AI41" s="93" t="s">
        <v>2156</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2002</v>
      </c>
      <c r="AU41" s="93" t="s">
        <v>961</v>
      </c>
      <c r="AV41" s="93" t="s">
        <v>2777</v>
      </c>
      <c r="AW41" s="88" t="s">
        <v>1118</v>
      </c>
      <c r="AX41" s="88" t="s">
        <v>2778</v>
      </c>
      <c r="AY41" s="97" t="s">
        <v>2779</v>
      </c>
      <c r="AZ41" s="94"/>
      <c r="BA41" s="93" t="s">
        <v>2780</v>
      </c>
      <c r="BB41" s="98"/>
      <c r="BC41" s="93" t="s">
        <v>1300</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1600</v>
      </c>
      <c r="CC41" s="93" t="s">
        <v>711</v>
      </c>
      <c r="CD41" s="87" t="s">
        <v>2794</v>
      </c>
      <c r="CE41" s="100"/>
      <c r="CF41" s="93" t="s">
        <v>2795</v>
      </c>
      <c r="CG41" s="162" t="s">
        <v>2796</v>
      </c>
      <c r="CH41" s="99" t="str">
        <f>HYPERLINK("https://youtu.be/Mwnid1_a4L4","42.15")</f>
        <v>42.15</v>
      </c>
      <c r="CI41" s="93" t="s">
        <v>2797</v>
      </c>
      <c r="CJ41" s="93" t="s">
        <v>2798</v>
      </c>
      <c r="CK41" s="303" t="s">
        <v>2799</v>
      </c>
      <c r="CL41" s="93" t="s">
        <v>525</v>
      </c>
      <c r="CM41" s="213" t="s">
        <v>2800</v>
      </c>
      <c r="CN41" s="97" t="str">
        <f>HYPERLINK("https://youtu.be/9t40-1JdpMg","1:12.35")</f>
        <v>1:12.35</v>
      </c>
      <c r="CO41" s="97" t="s">
        <v>1302</v>
      </c>
      <c r="CP41" s="100"/>
      <c r="CQ41" s="89" t="s">
        <v>2801</v>
      </c>
      <c r="CR41" s="97" t="s">
        <v>2802</v>
      </c>
      <c r="CS41" s="101"/>
      <c r="CT41" s="98"/>
      <c r="CU41" s="93" t="s">
        <v>2731</v>
      </c>
      <c r="CV41" s="213" t="s">
        <v>1073</v>
      </c>
      <c r="CW41" s="93" t="s">
        <v>2803</v>
      </c>
      <c r="CX41" s="93" t="s">
        <v>2804</v>
      </c>
      <c r="CY41" s="93" t="s">
        <v>731</v>
      </c>
      <c r="CZ41" s="93" t="s">
        <v>2805</v>
      </c>
      <c r="DA41" s="93" t="s">
        <v>2318</v>
      </c>
      <c r="DB41" s="97" t="str">
        <f>HYPERLINK("https://youtu.be/BJNJgSLnXTM","1:18.10")</f>
        <v>1:18.10</v>
      </c>
      <c r="DC41" s="93" t="s">
        <v>192</v>
      </c>
      <c r="DD41" s="213" t="s">
        <v>2747</v>
      </c>
      <c r="DE41" s="99" t="s">
        <v>1838</v>
      </c>
      <c r="DF41" s="99"/>
      <c r="DG41" s="98"/>
      <c r="DH41" s="93" t="s">
        <v>2806</v>
      </c>
      <c r="DI41" s="98"/>
      <c r="DJ41" s="90" t="s">
        <v>2807</v>
      </c>
      <c r="DK41" s="93" t="s">
        <v>2589</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1414</v>
      </c>
      <c r="D42" s="105" t="s">
        <v>1414</v>
      </c>
      <c r="E42" s="106" t="s">
        <v>1414</v>
      </c>
      <c r="F42" s="107" t="s">
        <v>2814</v>
      </c>
      <c r="G42" s="103" t="s">
        <v>2815</v>
      </c>
      <c r="H42" s="169" t="s">
        <v>2816</v>
      </c>
      <c r="I42" s="169" t="s">
        <v>2817</v>
      </c>
      <c r="J42" s="169" t="s">
        <v>2818</v>
      </c>
      <c r="K42" s="112" t="s">
        <v>1807</v>
      </c>
      <c r="L42" s="296" t="s">
        <v>341</v>
      </c>
      <c r="M42" s="112" t="s">
        <v>872</v>
      </c>
      <c r="N42" s="112" t="s">
        <v>2819</v>
      </c>
      <c r="O42" s="112" t="s">
        <v>2604</v>
      </c>
      <c r="P42" s="112" t="s">
        <v>1558</v>
      </c>
      <c r="Q42" s="429" t="s">
        <v>2820</v>
      </c>
      <c r="R42" s="430" t="s">
        <v>1370</v>
      </c>
      <c r="S42" s="112" t="s">
        <v>139</v>
      </c>
      <c r="T42" s="296" t="s">
        <v>1569</v>
      </c>
      <c r="U42" s="169" t="s">
        <v>1229</v>
      </c>
      <c r="V42" s="169" t="s">
        <v>2821</v>
      </c>
      <c r="W42" s="92"/>
      <c r="X42" s="116" t="s">
        <v>1416</v>
      </c>
      <c r="Y42" s="201" t="s">
        <v>716</v>
      </c>
      <c r="Z42" s="328" t="s">
        <v>2822</v>
      </c>
      <c r="AA42" s="328" t="s">
        <v>2823</v>
      </c>
      <c r="AB42" s="201" t="s">
        <v>2151</v>
      </c>
      <c r="AC42" s="116" t="s">
        <v>2824</v>
      </c>
      <c r="AD42" s="201" t="s">
        <v>2825</v>
      </c>
      <c r="AE42" s="201" t="s">
        <v>2826</v>
      </c>
      <c r="AF42" s="116" t="s">
        <v>1738</v>
      </c>
      <c r="AG42" s="201" t="s">
        <v>2827</v>
      </c>
      <c r="AH42" s="201" t="s">
        <v>2828</v>
      </c>
      <c r="AI42" s="201" t="s">
        <v>2696</v>
      </c>
      <c r="AJ42" s="201" t="s">
        <v>2432</v>
      </c>
      <c r="AK42" s="92"/>
      <c r="AL42" s="171" t="s">
        <v>934</v>
      </c>
      <c r="AM42" s="121" t="s">
        <v>2734</v>
      </c>
      <c r="AN42" s="171" t="s">
        <v>2829</v>
      </c>
      <c r="AO42" s="171" t="s">
        <v>2830</v>
      </c>
      <c r="AP42" s="171" t="s">
        <v>2831</v>
      </c>
      <c r="AQ42" s="431" t="s">
        <v>2832</v>
      </c>
      <c r="AR42" s="171" t="s">
        <v>2833</v>
      </c>
      <c r="AS42" s="121" t="s">
        <v>1378</v>
      </c>
      <c r="AT42" s="171" t="s">
        <v>2834</v>
      </c>
      <c r="AU42" s="171" t="s">
        <v>1051</v>
      </c>
      <c r="AV42" s="171" t="s">
        <v>2835</v>
      </c>
      <c r="AW42" s="171" t="s">
        <v>1520</v>
      </c>
      <c r="AX42" s="171" t="s">
        <v>993</v>
      </c>
      <c r="AY42" s="431" t="s">
        <v>2836</v>
      </c>
      <c r="AZ42" s="431"/>
      <c r="BA42" s="127" t="s">
        <v>2837</v>
      </c>
      <c r="BB42" s="177" t="s">
        <v>1238</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2455</v>
      </c>
      <c r="BT42" s="132" t="s">
        <v>979</v>
      </c>
      <c r="BU42" s="132" t="s">
        <v>2848</v>
      </c>
      <c r="BV42" s="132" t="s">
        <v>2206</v>
      </c>
      <c r="BW42" s="290"/>
      <c r="BX42" s="178" t="s">
        <v>1846</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1610</v>
      </c>
      <c r="CM42" s="180" t="s">
        <v>2860</v>
      </c>
      <c r="CN42" s="180" t="s">
        <v>2861</v>
      </c>
      <c r="CO42" s="137" t="s">
        <v>2862</v>
      </c>
      <c r="CP42" s="278"/>
      <c r="CQ42" s="180" t="s">
        <v>2863</v>
      </c>
      <c r="CR42" s="180" t="s">
        <v>2864</v>
      </c>
      <c r="CS42" s="101"/>
      <c r="CT42" s="209" t="s">
        <v>2865</v>
      </c>
      <c r="CU42" s="209" t="s">
        <v>2196</v>
      </c>
      <c r="CV42" s="209" t="s">
        <v>897</v>
      </c>
      <c r="CW42" s="142" t="s">
        <v>597</v>
      </c>
      <c r="CX42" s="209" t="s">
        <v>2866</v>
      </c>
      <c r="CY42" s="209" t="s">
        <v>1042</v>
      </c>
      <c r="CZ42" s="142" t="s">
        <v>2867</v>
      </c>
      <c r="DA42" s="209" t="s">
        <v>2868</v>
      </c>
      <c r="DB42" s="209" t="s">
        <v>1604</v>
      </c>
      <c r="DC42" s="209" t="s">
        <v>1577</v>
      </c>
      <c r="DD42" s="209" t="s">
        <v>2869</v>
      </c>
      <c r="DE42" s="209" t="s">
        <v>2870</v>
      </c>
      <c r="DF42" s="209"/>
      <c r="DG42" s="210" t="s">
        <v>999</v>
      </c>
      <c r="DH42" s="280"/>
      <c r="DI42" s="280"/>
      <c r="DJ42" s="210"/>
      <c r="DK42" s="147" t="s">
        <v>2871</v>
      </c>
      <c r="DL42" s="210" t="s">
        <v>2872</v>
      </c>
      <c r="DM42" s="210" t="s">
        <v>2873</v>
      </c>
      <c r="DN42" s="210" t="s">
        <v>2874</v>
      </c>
      <c r="DO42" s="210" t="s">
        <v>2875</v>
      </c>
      <c r="DP42" s="210" t="s">
        <v>1256</v>
      </c>
      <c r="DQ42" s="147" t="s">
        <v>2876</v>
      </c>
      <c r="DR42" s="210" t="s">
        <v>2877</v>
      </c>
      <c r="DS42" s="210" t="s">
        <v>2592</v>
      </c>
      <c r="DT42" s="210" t="s">
        <v>2878</v>
      </c>
      <c r="DU42" s="210" t="s">
        <v>2879</v>
      </c>
      <c r="DV42" s="210" t="s">
        <v>2880</v>
      </c>
      <c r="DW42" s="210" t="s">
        <v>1150</v>
      </c>
      <c r="DX42" s="147" t="s">
        <v>2881</v>
      </c>
      <c r="DY42" s="210" t="s">
        <v>2278</v>
      </c>
      <c r="DZ42" s="210" t="s">
        <v>1513</v>
      </c>
      <c r="EA42" s="210" t="s">
        <v>858</v>
      </c>
      <c r="EB42" s="324" t="s">
        <v>2882</v>
      </c>
    </row>
    <row r="43">
      <c r="A43" s="433" t="s">
        <v>2883</v>
      </c>
      <c r="B43" s="82" t="s">
        <v>2884</v>
      </c>
      <c r="C43" s="83" t="s">
        <v>1414</v>
      </c>
      <c r="D43" s="84" t="s">
        <v>432</v>
      </c>
      <c r="E43" s="85" t="s">
        <v>1414</v>
      </c>
      <c r="F43" s="86" t="s">
        <v>2885</v>
      </c>
      <c r="G43" s="82" t="s">
        <v>2090</v>
      </c>
      <c r="H43" s="98"/>
      <c r="I43" s="88" t="s">
        <v>2886</v>
      </c>
      <c r="J43" s="88" t="s">
        <v>101</v>
      </c>
      <c r="K43" s="88" t="s">
        <v>438</v>
      </c>
      <c r="L43" s="88" t="s">
        <v>2887</v>
      </c>
      <c r="M43" s="88" t="s">
        <v>2888</v>
      </c>
      <c r="N43" s="88" t="s">
        <v>2889</v>
      </c>
      <c r="O43" s="88" t="s">
        <v>2604</v>
      </c>
      <c r="P43" s="93" t="s">
        <v>2890</v>
      </c>
      <c r="Q43" s="98"/>
      <c r="R43" s="98"/>
      <c r="S43" s="98"/>
      <c r="T43" s="98"/>
      <c r="U43" s="98"/>
      <c r="V43" s="98"/>
      <c r="W43" s="92"/>
      <c r="X43" s="88" t="s">
        <v>2891</v>
      </c>
      <c r="Y43" s="93" t="s">
        <v>2892</v>
      </c>
      <c r="Z43" s="88" t="s">
        <v>2893</v>
      </c>
      <c r="AA43" s="88" t="s">
        <v>117</v>
      </c>
      <c r="AB43" s="90" t="s">
        <v>2894</v>
      </c>
      <c r="AC43" s="213" t="s">
        <v>2895</v>
      </c>
      <c r="AD43" s="98"/>
      <c r="AE43" s="213" t="s">
        <v>2896</v>
      </c>
      <c r="AF43" s="88" t="s">
        <v>1430</v>
      </c>
      <c r="AG43" s="98"/>
      <c r="AH43" s="98"/>
      <c r="AI43" s="98"/>
      <c r="AJ43" s="98"/>
      <c r="AK43" s="92"/>
      <c r="AL43" s="98"/>
      <c r="AM43" s="88" t="s">
        <v>2897</v>
      </c>
      <c r="AN43" s="98"/>
      <c r="AO43" s="98"/>
      <c r="AP43" s="98"/>
      <c r="AQ43" s="98"/>
      <c r="AR43" s="98"/>
      <c r="AS43" s="98"/>
      <c r="AT43" s="93" t="s">
        <v>2002</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1551</v>
      </c>
      <c r="BS43" s="88" t="s">
        <v>1345</v>
      </c>
      <c r="BT43" s="303" t="s">
        <v>1594</v>
      </c>
      <c r="BU43" s="213" t="s">
        <v>2906</v>
      </c>
      <c r="BV43" s="88" t="s">
        <v>1709</v>
      </c>
      <c r="BW43" s="98"/>
      <c r="BX43" s="88" t="s">
        <v>2907</v>
      </c>
      <c r="BY43" s="88" t="s">
        <v>2908</v>
      </c>
      <c r="BZ43" s="88" t="s">
        <v>2909</v>
      </c>
      <c r="CA43" s="98"/>
      <c r="CB43" s="98"/>
      <c r="CC43" s="98"/>
      <c r="CD43" s="98"/>
      <c r="CE43" s="267"/>
      <c r="CF43" s="435" t="s">
        <v>2062</v>
      </c>
      <c r="CG43" s="88" t="s">
        <v>1983</v>
      </c>
      <c r="CH43" s="88" t="s">
        <v>2374</v>
      </c>
      <c r="CI43" s="90" t="s">
        <v>2910</v>
      </c>
      <c r="CJ43" s="100"/>
      <c r="CK43" s="88" t="s">
        <v>1108</v>
      </c>
      <c r="CL43" s="88" t="s">
        <v>2911</v>
      </c>
      <c r="CM43" s="88" t="s">
        <v>792</v>
      </c>
      <c r="CN43" s="98"/>
      <c r="CO43" s="98"/>
      <c r="CP43" s="98"/>
      <c r="CQ43" s="98"/>
      <c r="CR43" s="98"/>
      <c r="CS43" s="101"/>
      <c r="CT43" s="88" t="s">
        <v>2912</v>
      </c>
      <c r="CU43" s="98"/>
      <c r="CV43" s="88" t="s">
        <v>1162</v>
      </c>
      <c r="CW43" s="88" t="s">
        <v>2913</v>
      </c>
      <c r="CX43" s="303" t="s">
        <v>2914</v>
      </c>
      <c r="CY43" s="88" t="str">
        <f>HYPERLINK("https://clips.twitch.tv/ComfortableBadOctopusSeemsGood-tMvOD8fMvPQ1BZUe", "26.50")</f>
        <v>26.50</v>
      </c>
      <c r="CZ43" s="88" t="s">
        <v>2915</v>
      </c>
      <c r="DA43" s="88" t="s">
        <v>2162</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2918</v>
      </c>
      <c r="C44" s="104" t="s">
        <v>1414</v>
      </c>
      <c r="D44" s="105" t="s">
        <v>736</v>
      </c>
      <c r="E44" s="106" t="s">
        <v>736</v>
      </c>
      <c r="F44" s="107" t="s">
        <v>2919</v>
      </c>
      <c r="G44" s="103" t="s">
        <v>1415</v>
      </c>
      <c r="H44" s="390" t="s">
        <v>99</v>
      </c>
      <c r="I44" s="390" t="s">
        <v>2920</v>
      </c>
      <c r="J44" s="390" t="s">
        <v>1727</v>
      </c>
      <c r="K44" s="390" t="s">
        <v>1554</v>
      </c>
      <c r="L44" s="390" t="s">
        <v>342</v>
      </c>
      <c r="M44" s="390" t="s">
        <v>2921</v>
      </c>
      <c r="N44" s="390" t="s">
        <v>2922</v>
      </c>
      <c r="O44" s="390" t="s">
        <v>106</v>
      </c>
      <c r="P44" s="437" t="s">
        <v>339</v>
      </c>
      <c r="Q44" s="390"/>
      <c r="R44" s="390"/>
      <c r="S44" s="390"/>
      <c r="T44" s="390"/>
      <c r="U44" s="390"/>
      <c r="V44" s="390"/>
      <c r="W44" s="348"/>
      <c r="X44" s="393" t="s">
        <v>2923</v>
      </c>
      <c r="Y44" s="438" t="s">
        <v>1812</v>
      </c>
      <c r="Z44" s="438" t="s">
        <v>556</v>
      </c>
      <c r="AA44" s="393" t="s">
        <v>2924</v>
      </c>
      <c r="AB44" s="393" t="s">
        <v>2925</v>
      </c>
      <c r="AC44" s="393" t="s">
        <v>2926</v>
      </c>
      <c r="AD44" s="393"/>
      <c r="AE44" s="393" t="s">
        <v>2927</v>
      </c>
      <c r="AF44" s="393" t="s">
        <v>122</v>
      </c>
      <c r="AG44" s="393"/>
      <c r="AH44" s="393"/>
      <c r="AI44" s="393"/>
      <c r="AJ44" s="393"/>
      <c r="AK44" s="348"/>
      <c r="AL44" s="399" t="s">
        <v>2928</v>
      </c>
      <c r="AM44" s="399" t="s">
        <v>2929</v>
      </c>
      <c r="AN44" s="399"/>
      <c r="AO44" s="399"/>
      <c r="AP44" s="399"/>
      <c r="AQ44" s="399"/>
      <c r="AR44" s="399"/>
      <c r="AS44" s="399"/>
      <c r="AT44" s="399" t="s">
        <v>1618</v>
      </c>
      <c r="AU44" s="439" t="s">
        <v>256</v>
      </c>
      <c r="AV44" s="399"/>
      <c r="AW44" s="399"/>
      <c r="AX44" s="399" t="s">
        <v>2930</v>
      </c>
      <c r="AY44" s="399"/>
      <c r="AZ44" s="440"/>
      <c r="BA44" s="441" t="s">
        <v>1124</v>
      </c>
      <c r="BB44" s="441" t="s">
        <v>2931</v>
      </c>
      <c r="BC44" s="442" t="s">
        <v>143</v>
      </c>
      <c r="BD44" s="442" t="s">
        <v>2932</v>
      </c>
      <c r="BE44" s="441" t="s">
        <v>1206</v>
      </c>
      <c r="BF44" s="441" t="s">
        <v>2035</v>
      </c>
      <c r="BG44" s="441"/>
      <c r="BH44" s="441" t="s">
        <v>1754</v>
      </c>
      <c r="BI44" s="441"/>
      <c r="BJ44" s="441" t="s">
        <v>2933</v>
      </c>
      <c r="BK44" s="441" t="s">
        <v>2934</v>
      </c>
      <c r="BL44" s="441"/>
      <c r="BM44" s="340" t="s">
        <v>2935</v>
      </c>
      <c r="BN44" s="441"/>
      <c r="BO44" s="441"/>
      <c r="BP44" s="443"/>
      <c r="BQ44" s="444"/>
      <c r="BR44" s="444" t="s">
        <v>2716</v>
      </c>
      <c r="BS44" s="444" t="s">
        <v>2936</v>
      </c>
      <c r="BT44" s="444" t="s">
        <v>2937</v>
      </c>
      <c r="BU44" s="444" t="s">
        <v>1834</v>
      </c>
      <c r="BV44" s="444" t="s">
        <v>2938</v>
      </c>
      <c r="BW44" s="444" t="s">
        <v>2939</v>
      </c>
      <c r="BX44" s="444" t="s">
        <v>2940</v>
      </c>
      <c r="BY44" s="444" t="s">
        <v>2941</v>
      </c>
      <c r="BZ44" s="444" t="s">
        <v>867</v>
      </c>
      <c r="CA44" s="444"/>
      <c r="CB44" s="444"/>
      <c r="CC44" s="444"/>
      <c r="CD44" s="444"/>
      <c r="CE44" s="445"/>
      <c r="CF44" s="446" t="s">
        <v>2942</v>
      </c>
      <c r="CG44" s="447" t="s">
        <v>1276</v>
      </c>
      <c r="CH44" s="446" t="s">
        <v>2943</v>
      </c>
      <c r="CI44" s="446" t="s">
        <v>2944</v>
      </c>
      <c r="CJ44" s="446"/>
      <c r="CK44" s="446" t="s">
        <v>2179</v>
      </c>
      <c r="CL44" s="446" t="s">
        <v>2739</v>
      </c>
      <c r="CM44" s="448" t="s">
        <v>2945</v>
      </c>
      <c r="CN44" s="446"/>
      <c r="CO44" s="446" t="s">
        <v>2946</v>
      </c>
      <c r="CP44" s="446"/>
      <c r="CQ44" s="446" t="s">
        <v>2947</v>
      </c>
      <c r="CR44" s="446"/>
      <c r="CS44" s="165"/>
      <c r="CT44" s="449" t="s">
        <v>2948</v>
      </c>
      <c r="CU44" s="449" t="s">
        <v>964</v>
      </c>
      <c r="CV44" s="450" t="s">
        <v>1985</v>
      </c>
      <c r="CW44" s="449" t="s">
        <v>2737</v>
      </c>
      <c r="CX44" s="449"/>
      <c r="CY44" s="449"/>
      <c r="CZ44" s="451" t="s">
        <v>2949</v>
      </c>
      <c r="DA44" s="449" t="s">
        <v>1618</v>
      </c>
      <c r="DB44" s="449"/>
      <c r="DC44" s="449"/>
      <c r="DD44" s="449"/>
      <c r="DE44" s="449"/>
      <c r="DF44" s="452"/>
      <c r="DG44" s="425"/>
      <c r="DH44" s="425"/>
      <c r="DI44" s="425"/>
      <c r="DJ44" s="425"/>
      <c r="DK44" s="425" t="s">
        <v>2871</v>
      </c>
      <c r="DL44" s="425" t="s">
        <v>895</v>
      </c>
      <c r="DM44" s="425" t="s">
        <v>2950</v>
      </c>
      <c r="DN44" s="425" t="s">
        <v>2951</v>
      </c>
      <c r="DO44" s="425"/>
      <c r="DP44" s="425" t="s">
        <v>2785</v>
      </c>
      <c r="DQ44" s="425"/>
      <c r="DR44" s="425" t="s">
        <v>244</v>
      </c>
      <c r="DS44" s="425"/>
      <c r="DT44" s="425"/>
      <c r="DU44" s="425" t="s">
        <v>2952</v>
      </c>
      <c r="DV44" s="425"/>
      <c r="DW44" s="425"/>
      <c r="DX44" s="453" t="s">
        <v>858</v>
      </c>
      <c r="DY44" s="425"/>
      <c r="DZ44" s="425"/>
      <c r="EA44" s="425" t="s">
        <v>2953</v>
      </c>
      <c r="EB44" s="425"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2890</v>
      </c>
      <c r="Q45" s="98"/>
      <c r="R45" s="98"/>
      <c r="S45" s="93" t="s">
        <v>2962</v>
      </c>
      <c r="T45" s="93" t="s">
        <v>2963</v>
      </c>
      <c r="U45" s="98"/>
      <c r="V45" s="98"/>
      <c r="W45" s="92"/>
      <c r="X45" s="93" t="s">
        <v>2964</v>
      </c>
      <c r="Y45" s="93" t="s">
        <v>2389</v>
      </c>
      <c r="Z45" s="93" t="s">
        <v>2965</v>
      </c>
      <c r="AA45" s="213" t="s">
        <v>700</v>
      </c>
      <c r="AB45" s="213" t="s">
        <v>2289</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2564</v>
      </c>
      <c r="BE45" s="93" t="s">
        <v>119</v>
      </c>
      <c r="BF45" s="93" t="s">
        <v>260</v>
      </c>
      <c r="BG45" s="93" t="s">
        <v>2982</v>
      </c>
      <c r="BH45" s="93" t="s">
        <v>1038</v>
      </c>
      <c r="BI45" s="93" t="s">
        <v>2983</v>
      </c>
      <c r="BJ45" s="93"/>
      <c r="BK45" s="93" t="s">
        <v>2984</v>
      </c>
      <c r="BL45" s="98"/>
      <c r="BM45" s="93" t="s">
        <v>258</v>
      </c>
      <c r="BN45" s="93" t="s">
        <v>2451</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2427</v>
      </c>
      <c r="CM45" s="93" t="s">
        <v>2131</v>
      </c>
      <c r="CN45" s="98"/>
      <c r="CO45" s="93" t="s">
        <v>1610</v>
      </c>
      <c r="CP45" s="93"/>
      <c r="CQ45" s="93" t="s">
        <v>2997</v>
      </c>
      <c r="CR45" s="98"/>
      <c r="CS45" s="101"/>
      <c r="CT45" s="93" t="s">
        <v>2998</v>
      </c>
      <c r="CU45" s="93" t="s">
        <v>2999</v>
      </c>
      <c r="CV45" s="93" t="s">
        <v>3000</v>
      </c>
      <c r="CW45" s="93" t="s">
        <v>3001</v>
      </c>
      <c r="CX45" s="93" t="s">
        <v>2787</v>
      </c>
      <c r="CY45" s="93" t="s">
        <v>2911</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2855</v>
      </c>
      <c r="DW45" s="93" t="s">
        <v>3010</v>
      </c>
      <c r="DX45" s="98"/>
      <c r="DY45" s="93" t="s">
        <v>3011</v>
      </c>
      <c r="DZ45" s="93" t="s">
        <v>3012</v>
      </c>
      <c r="EA45" s="93" t="s">
        <v>1087</v>
      </c>
      <c r="EB45" s="300" t="s">
        <v>3013</v>
      </c>
    </row>
    <row r="46">
      <c r="A46" s="454"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2837</v>
      </c>
      <c r="Y46" s="116" t="s">
        <v>3026</v>
      </c>
      <c r="Z46" s="116" t="s">
        <v>3027</v>
      </c>
      <c r="AA46" s="116" t="s">
        <v>2065</v>
      </c>
      <c r="AB46" s="116" t="s">
        <v>1735</v>
      </c>
      <c r="AC46" s="116" t="s">
        <v>3028</v>
      </c>
      <c r="AD46" s="284"/>
      <c r="AE46" s="201" t="s">
        <v>3029</v>
      </c>
      <c r="AF46" s="116" t="s">
        <v>2705</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2321</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2381</v>
      </c>
      <c r="CP46" s="278"/>
      <c r="CQ46" s="137" t="s">
        <v>3053</v>
      </c>
      <c r="CR46" s="278"/>
      <c r="CS46" s="101"/>
      <c r="CT46" s="142" t="s">
        <v>3054</v>
      </c>
      <c r="CU46" s="142" t="s">
        <v>184</v>
      </c>
      <c r="CV46" s="320" t="s">
        <v>603</v>
      </c>
      <c r="CW46" s="209" t="s">
        <v>1351</v>
      </c>
      <c r="CX46" s="142" t="s">
        <v>2021</v>
      </c>
      <c r="CY46" s="142" t="s">
        <v>2290</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2319</v>
      </c>
      <c r="DY46" s="280"/>
      <c r="DZ46" s="280"/>
      <c r="EA46" s="147" t="s">
        <v>2293</v>
      </c>
      <c r="EB46" s="324"/>
    </row>
    <row r="47">
      <c r="A47" s="81" t="s">
        <v>3061</v>
      </c>
      <c r="B47" s="82" t="s">
        <v>3062</v>
      </c>
      <c r="C47" s="83" t="s">
        <v>1414</v>
      </c>
      <c r="D47" s="84" t="s">
        <v>1414</v>
      </c>
      <c r="E47" s="85" t="s">
        <v>736</v>
      </c>
      <c r="F47" s="86" t="s">
        <v>1943</v>
      </c>
      <c r="G47" s="82" t="s">
        <v>2353</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2705</v>
      </c>
      <c r="AG47" s="98"/>
      <c r="AH47" s="98"/>
      <c r="AI47" s="98"/>
      <c r="AJ47" s="98"/>
      <c r="AK47" s="92"/>
      <c r="AL47" s="93" t="s">
        <v>3076</v>
      </c>
      <c r="AM47" s="88" t="s">
        <v>3077</v>
      </c>
      <c r="AN47" s="98"/>
      <c r="AO47" s="98"/>
      <c r="AP47" s="98"/>
      <c r="AQ47" s="98"/>
      <c r="AR47" s="98"/>
      <c r="AS47" s="98"/>
      <c r="AT47" s="93" t="s">
        <v>1578</v>
      </c>
      <c r="AU47" s="88" t="s">
        <v>2739</v>
      </c>
      <c r="AV47" s="98"/>
      <c r="AW47" s="98"/>
      <c r="AX47" s="98"/>
      <c r="AY47" s="98"/>
      <c r="AZ47" s="267"/>
      <c r="BA47" s="88" t="s">
        <v>1263</v>
      </c>
      <c r="BB47" s="88" t="s">
        <v>676</v>
      </c>
      <c r="BC47" s="88" t="s">
        <v>931</v>
      </c>
      <c r="BD47" s="303" t="s">
        <v>3078</v>
      </c>
      <c r="BE47" s="93" t="s">
        <v>3079</v>
      </c>
      <c r="BF47" s="98"/>
      <c r="BG47" s="98"/>
      <c r="BH47" s="88" t="s">
        <v>1319</v>
      </c>
      <c r="BI47" s="98"/>
      <c r="BJ47" s="88" t="s">
        <v>2485</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2196</v>
      </c>
      <c r="CK47" s="93" t="s">
        <v>3090</v>
      </c>
      <c r="CL47" s="88" t="s">
        <v>3091</v>
      </c>
      <c r="CM47" s="93" t="s">
        <v>2834</v>
      </c>
      <c r="CN47" s="98"/>
      <c r="CO47" s="98"/>
      <c r="CP47" s="98"/>
      <c r="CQ47" s="98"/>
      <c r="CR47" s="98"/>
      <c r="CS47" s="101"/>
      <c r="CT47" s="89" t="s">
        <v>2042</v>
      </c>
      <c r="CU47" s="93" t="s">
        <v>2858</v>
      </c>
      <c r="CV47" s="88" t="s">
        <v>1145</v>
      </c>
      <c r="CW47" s="88" t="s">
        <v>713</v>
      </c>
      <c r="CX47" s="88" t="s">
        <v>2320</v>
      </c>
      <c r="CY47" s="88" t="s">
        <v>3092</v>
      </c>
      <c r="CZ47" s="88" t="s">
        <v>3093</v>
      </c>
      <c r="DA47" s="93" t="s">
        <v>3094</v>
      </c>
      <c r="DB47" s="98"/>
      <c r="DC47" s="98"/>
      <c r="DD47" s="98"/>
      <c r="DE47" s="98"/>
      <c r="DF47" s="267"/>
      <c r="DG47" s="93" t="s">
        <v>2501</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2736</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2" t="s">
        <v>2269</v>
      </c>
      <c r="CH48" s="180" t="s">
        <v>3120</v>
      </c>
      <c r="CI48" s="137" t="s">
        <v>3121</v>
      </c>
      <c r="CJ48" s="318"/>
      <c r="CK48" s="332" t="s">
        <v>2249</v>
      </c>
      <c r="CL48" s="432" t="s">
        <v>2151</v>
      </c>
      <c r="CM48" s="180" t="s">
        <v>2945</v>
      </c>
      <c r="CN48" s="278"/>
      <c r="CO48" s="278"/>
      <c r="CP48" s="278"/>
      <c r="CQ48" s="278"/>
      <c r="CR48" s="278"/>
      <c r="CS48" s="101"/>
      <c r="CT48" s="209" t="s">
        <v>3122</v>
      </c>
      <c r="CU48" s="279"/>
      <c r="CV48" s="333" t="s">
        <v>3123</v>
      </c>
      <c r="CW48" s="333" t="s">
        <v>3124</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3125</v>
      </c>
      <c r="DQ48" s="210" t="s">
        <v>634</v>
      </c>
      <c r="DR48" s="280"/>
      <c r="DS48" s="280"/>
      <c r="DT48" s="280"/>
      <c r="DU48" s="280"/>
      <c r="DV48" s="280"/>
      <c r="DW48" s="280"/>
      <c r="DX48" s="280"/>
      <c r="DY48" s="280"/>
      <c r="DZ48" s="280"/>
      <c r="EA48" s="280"/>
      <c r="EB48" s="378"/>
    </row>
    <row r="49">
      <c r="A49" s="455" t="s">
        <v>3126</v>
      </c>
      <c r="B49" s="82" t="s">
        <v>3099</v>
      </c>
      <c r="C49" s="83" t="s">
        <v>1414</v>
      </c>
      <c r="D49" s="84" t="s">
        <v>1414</v>
      </c>
      <c r="E49" s="85" t="s">
        <v>1414</v>
      </c>
      <c r="F49" s="86" t="s">
        <v>217</v>
      </c>
      <c r="G49" s="82" t="s">
        <v>3127</v>
      </c>
      <c r="H49" s="88" t="s">
        <v>2563</v>
      </c>
      <c r="I49" s="88" t="s">
        <v>3128</v>
      </c>
      <c r="J49" s="93" t="s">
        <v>3129</v>
      </c>
      <c r="K49" s="93" t="s">
        <v>3130</v>
      </c>
      <c r="L49" s="359" t="str">
        <f>hyperlink("https://www.twitch.tv/videos/642998947","44.64")</f>
        <v>44.64</v>
      </c>
      <c r="M49" s="88" t="s">
        <v>3131</v>
      </c>
      <c r="N49" s="359" t="str">
        <f>hyperlink("https://www.twitch.tv/videos/642995088","1:11.81")</f>
        <v>1:11.81</v>
      </c>
      <c r="O49" s="88" t="s">
        <v>1671</v>
      </c>
      <c r="P49" s="93" t="s">
        <v>1558</v>
      </c>
      <c r="Q49" s="93" t="s">
        <v>3132</v>
      </c>
      <c r="R49" s="98"/>
      <c r="S49" s="93" t="s">
        <v>2145</v>
      </c>
      <c r="T49" s="93" t="s">
        <v>2431</v>
      </c>
      <c r="U49" s="93" t="s">
        <v>2388</v>
      </c>
      <c r="V49" s="93" t="s">
        <v>3133</v>
      </c>
      <c r="W49" s="92"/>
      <c r="X49" s="93" t="s">
        <v>2368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2548</v>
      </c>
      <c r="AU49" s="88" t="s">
        <v>1012</v>
      </c>
      <c r="AV49" s="98"/>
      <c r="AW49" s="98"/>
      <c r="AX49" s="162" t="s">
        <v>2993</v>
      </c>
      <c r="AY49" s="98"/>
      <c r="AZ49" s="267"/>
      <c r="BA49" s="93" t="s">
        <v>3145</v>
      </c>
      <c r="BB49" s="93" t="s">
        <v>1089</v>
      </c>
      <c r="BC49" s="93" t="s">
        <v>2278</v>
      </c>
      <c r="BD49" s="88" t="s">
        <v>1370</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902</v>
      </c>
      <c r="BU49" s="93" t="s">
        <v>3150</v>
      </c>
      <c r="BV49" s="88" t="s">
        <v>2206</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678</v>
      </c>
      <c r="CL49" s="93" t="s">
        <v>3158</v>
      </c>
      <c r="CM49" s="93" t="s">
        <v>2945</v>
      </c>
      <c r="CN49" s="98"/>
      <c r="CO49" s="98"/>
      <c r="CP49" s="98"/>
      <c r="CQ49" s="93" t="s">
        <v>2997</v>
      </c>
      <c r="CR49" s="98"/>
      <c r="CS49" s="101"/>
      <c r="CT49" s="88" t="s">
        <v>2913</v>
      </c>
      <c r="CU49" s="93" t="s">
        <v>2521</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1414</v>
      </c>
      <c r="D50" s="105" t="s">
        <v>736</v>
      </c>
      <c r="E50" s="106" t="s">
        <v>1414</v>
      </c>
      <c r="F50" s="107" t="s">
        <v>218</v>
      </c>
      <c r="G50" s="103" t="s">
        <v>737</v>
      </c>
      <c r="H50" s="169" t="s">
        <v>2764</v>
      </c>
      <c r="I50" s="169" t="s">
        <v>2053</v>
      </c>
      <c r="J50" s="169" t="s">
        <v>442</v>
      </c>
      <c r="K50" s="112" t="s">
        <v>3166</v>
      </c>
      <c r="L50" s="169" t="s">
        <v>3167</v>
      </c>
      <c r="M50" s="169" t="s">
        <v>3168</v>
      </c>
      <c r="N50" s="169" t="s">
        <v>2961</v>
      </c>
      <c r="O50" s="112" t="s">
        <v>2173</v>
      </c>
      <c r="P50" s="112" t="s">
        <v>107</v>
      </c>
      <c r="Q50" s="112" t="s">
        <v>3169</v>
      </c>
      <c r="R50" s="226"/>
      <c r="S50" s="169" t="s">
        <v>3170</v>
      </c>
      <c r="T50" s="226"/>
      <c r="U50" s="112" t="s">
        <v>1581</v>
      </c>
      <c r="V50" s="226"/>
      <c r="W50" s="92"/>
      <c r="X50" s="117" t="s">
        <v>3171</v>
      </c>
      <c r="Y50" s="201" t="s">
        <v>3172</v>
      </c>
      <c r="Z50" s="201" t="s">
        <v>1531</v>
      </c>
      <c r="AA50" s="201" t="s">
        <v>3173</v>
      </c>
      <c r="AB50" s="116" t="s">
        <v>2337</v>
      </c>
      <c r="AC50" s="201" t="s">
        <v>3174</v>
      </c>
      <c r="AD50" s="201" t="s">
        <v>2825</v>
      </c>
      <c r="AE50" s="201" t="s">
        <v>3175</v>
      </c>
      <c r="AF50" s="352" t="s">
        <v>560</v>
      </c>
      <c r="AG50" s="352" t="s">
        <v>3082</v>
      </c>
      <c r="AH50" s="284"/>
      <c r="AI50" s="201" t="s">
        <v>1658</v>
      </c>
      <c r="AJ50" s="284"/>
      <c r="AK50" s="92"/>
      <c r="AL50" s="171" t="s">
        <v>3176</v>
      </c>
      <c r="AM50" s="171" t="s">
        <v>1230</v>
      </c>
      <c r="AN50" s="274"/>
      <c r="AO50" s="274"/>
      <c r="AP50" s="274"/>
      <c r="AQ50" s="171" t="s">
        <v>3177</v>
      </c>
      <c r="AR50" s="171" t="s">
        <v>1614</v>
      </c>
      <c r="AS50" s="274"/>
      <c r="AT50" s="457" t="s">
        <v>3178</v>
      </c>
      <c r="AU50" s="171" t="s">
        <v>3179</v>
      </c>
      <c r="AV50" s="171" t="s">
        <v>3180</v>
      </c>
      <c r="AW50" s="274"/>
      <c r="AX50" s="457" t="s">
        <v>1579</v>
      </c>
      <c r="AY50" s="274"/>
      <c r="AZ50" s="275"/>
      <c r="BA50" s="177" t="s">
        <v>3181</v>
      </c>
      <c r="BB50" s="177" t="s">
        <v>2931</v>
      </c>
      <c r="BC50" s="177" t="s">
        <v>3182</v>
      </c>
      <c r="BD50" s="177" t="s">
        <v>3183</v>
      </c>
      <c r="BE50" s="127" t="s">
        <v>3184</v>
      </c>
      <c r="BF50" s="127" t="s">
        <v>3185</v>
      </c>
      <c r="BG50" s="176"/>
      <c r="BH50" s="177" t="s">
        <v>3186</v>
      </c>
      <c r="BI50" s="176"/>
      <c r="BJ50" s="177" t="s">
        <v>3187</v>
      </c>
      <c r="BK50" s="177" t="s">
        <v>2558</v>
      </c>
      <c r="BL50" s="176"/>
      <c r="BM50" s="177" t="s">
        <v>3188</v>
      </c>
      <c r="BN50" s="177" t="s">
        <v>970</v>
      </c>
      <c r="BO50" s="177" t="s">
        <v>3189</v>
      </c>
      <c r="BP50" s="287"/>
      <c r="BQ50" s="178" t="s">
        <v>3190</v>
      </c>
      <c r="BR50" s="178" t="s">
        <v>1832</v>
      </c>
      <c r="BS50" s="178" t="s">
        <v>916</v>
      </c>
      <c r="BT50" s="178" t="s">
        <v>979</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1388</v>
      </c>
      <c r="CK50" s="180" t="s">
        <v>2859</v>
      </c>
      <c r="CL50" s="180" t="s">
        <v>3199</v>
      </c>
      <c r="CM50" s="180" t="s">
        <v>3200</v>
      </c>
      <c r="CN50" s="278"/>
      <c r="CO50" s="180" t="s">
        <v>3201</v>
      </c>
      <c r="CP50" s="278"/>
      <c r="CQ50" s="180" t="s">
        <v>3202</v>
      </c>
      <c r="CR50" s="278"/>
      <c r="CS50" s="101"/>
      <c r="CT50" s="209" t="s">
        <v>3203</v>
      </c>
      <c r="CU50" s="209" t="s">
        <v>1699</v>
      </c>
      <c r="CV50" s="209" t="s">
        <v>3204</v>
      </c>
      <c r="CW50" s="209" t="s">
        <v>3205</v>
      </c>
      <c r="CX50" s="209" t="s">
        <v>3206</v>
      </c>
      <c r="CY50" s="142" t="s">
        <v>1162</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2590</v>
      </c>
      <c r="DX50" s="147" t="s">
        <v>878</v>
      </c>
      <c r="DY50" s="280"/>
      <c r="DZ50" s="210" t="s">
        <v>3215</v>
      </c>
      <c r="EA50" s="210" t="s">
        <v>681</v>
      </c>
      <c r="EB50" s="145" t="s">
        <v>3216</v>
      </c>
    </row>
    <row r="51">
      <c r="A51" s="459" t="s">
        <v>3217</v>
      </c>
      <c r="B51" s="82" t="s">
        <v>3218</v>
      </c>
      <c r="C51" s="83" t="s">
        <v>736</v>
      </c>
      <c r="D51" s="84" t="s">
        <v>736</v>
      </c>
      <c r="E51" s="85" t="s">
        <v>1414</v>
      </c>
      <c r="F51" s="86" t="s">
        <v>328</v>
      </c>
      <c r="G51" s="82" t="s">
        <v>3219</v>
      </c>
      <c r="H51" s="93" t="s">
        <v>2160</v>
      </c>
      <c r="I51" s="93" t="s">
        <v>1285</v>
      </c>
      <c r="J51" s="93" t="s">
        <v>3220</v>
      </c>
      <c r="K51" s="93" t="s">
        <v>3221</v>
      </c>
      <c r="L51" s="93" t="s">
        <v>456</v>
      </c>
      <c r="M51" s="98"/>
      <c r="N51" s="93" t="s">
        <v>3222</v>
      </c>
      <c r="O51" s="88" t="s">
        <v>3223</v>
      </c>
      <c r="P51" s="93" t="s">
        <v>107</v>
      </c>
      <c r="Q51" s="98"/>
      <c r="R51" s="98"/>
      <c r="S51" s="98"/>
      <c r="T51" s="98"/>
      <c r="U51" s="98"/>
      <c r="V51" s="98"/>
      <c r="W51" s="92"/>
      <c r="X51" s="88" t="s">
        <v>2108</v>
      </c>
      <c r="Y51" s="93" t="s">
        <v>1337</v>
      </c>
      <c r="Z51" s="93" t="s">
        <v>1957</v>
      </c>
      <c r="AA51" s="93" t="s">
        <v>2924</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2548</v>
      </c>
      <c r="AU51" s="93" t="s">
        <v>2981</v>
      </c>
      <c r="AV51" s="98"/>
      <c r="AW51" s="98"/>
      <c r="AX51" s="93" t="s">
        <v>746</v>
      </c>
      <c r="AY51" s="98"/>
      <c r="AZ51" s="267"/>
      <c r="BA51" s="93" t="s">
        <v>3230</v>
      </c>
      <c r="BB51" s="93" t="s">
        <v>1297</v>
      </c>
      <c r="BC51" s="93" t="s">
        <v>2981</v>
      </c>
      <c r="BD51" s="93" t="s">
        <v>3231</v>
      </c>
      <c r="BE51" s="93" t="s">
        <v>3232</v>
      </c>
      <c r="BF51" s="87" t="s">
        <v>2314</v>
      </c>
      <c r="BG51" s="98"/>
      <c r="BH51" s="93" t="s">
        <v>1701</v>
      </c>
      <c r="BI51" s="93"/>
      <c r="BJ51" s="93" t="s">
        <v>3233</v>
      </c>
      <c r="BK51" s="93" t="s">
        <v>1972</v>
      </c>
      <c r="BL51" s="98"/>
      <c r="BM51" s="93" t="s">
        <v>335</v>
      </c>
      <c r="BN51" s="93" t="s">
        <v>3234</v>
      </c>
      <c r="BO51" s="98"/>
      <c r="BP51" s="267"/>
      <c r="BQ51" s="93" t="s">
        <v>3235</v>
      </c>
      <c r="BR51" s="93" t="s">
        <v>3236</v>
      </c>
      <c r="BS51" s="93" t="s">
        <v>3237</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0"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3149</v>
      </c>
      <c r="S52" s="169" t="s">
        <v>3261</v>
      </c>
      <c r="T52" s="169" t="s">
        <v>1798</v>
      </c>
      <c r="U52" s="112" t="s">
        <v>2572</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2900</v>
      </c>
      <c r="AI52" s="201" t="s">
        <v>2866</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3175</v>
      </c>
      <c r="BP52" s="177"/>
      <c r="BQ52" s="132" t="s">
        <v>3286</v>
      </c>
      <c r="BR52" s="178" t="s">
        <v>3287</v>
      </c>
      <c r="BS52" s="178" t="s">
        <v>3116</v>
      </c>
      <c r="BT52" s="178" t="s">
        <v>3288</v>
      </c>
      <c r="BU52" s="178" t="s">
        <v>3289</v>
      </c>
      <c r="BV52" s="178" t="s">
        <v>3290</v>
      </c>
      <c r="BW52" s="178" t="s">
        <v>3192</v>
      </c>
      <c r="BX52" s="178" t="s">
        <v>3291</v>
      </c>
      <c r="BY52" s="178" t="s">
        <v>2908</v>
      </c>
      <c r="BZ52" s="178" t="s">
        <v>3292</v>
      </c>
      <c r="CA52" s="178" t="s">
        <v>2334</v>
      </c>
      <c r="CB52" s="178" t="s">
        <v>1334</v>
      </c>
      <c r="CC52" s="178" t="s">
        <v>1557</v>
      </c>
      <c r="CD52" s="178" t="s">
        <v>3293</v>
      </c>
      <c r="CE52" s="178"/>
      <c r="CF52" s="180" t="s">
        <v>1745</v>
      </c>
      <c r="CG52" s="332" t="s">
        <v>292</v>
      </c>
      <c r="CH52" s="180" t="s">
        <v>786</v>
      </c>
      <c r="CI52" s="180" t="s">
        <v>2847</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3" t="s">
        <v>3225</v>
      </c>
      <c r="CY52" s="209" t="s">
        <v>3301</v>
      </c>
      <c r="CZ52" s="333" t="s">
        <v>2386</v>
      </c>
      <c r="DA52" s="142" t="s">
        <v>2584</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1638</v>
      </c>
      <c r="DV52" s="210" t="s">
        <v>3316</v>
      </c>
      <c r="DW52" s="210" t="s">
        <v>2673</v>
      </c>
      <c r="DX52" s="210" t="s">
        <v>3022</v>
      </c>
      <c r="DY52" s="210" t="s">
        <v>423</v>
      </c>
      <c r="DZ52" s="210" t="s">
        <v>3317</v>
      </c>
      <c r="EA52" s="210" t="s">
        <v>171</v>
      </c>
      <c r="EB52" s="324" t="s">
        <v>3318</v>
      </c>
    </row>
    <row r="53">
      <c r="A53" s="461"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2223</v>
      </c>
      <c r="T53" s="98"/>
      <c r="U53" s="88" t="s">
        <v>3331</v>
      </c>
      <c r="V53" s="93" t="s">
        <v>3332</v>
      </c>
      <c r="W53" s="92"/>
      <c r="X53" s="88" t="s">
        <v>2764</v>
      </c>
      <c r="Y53" s="88" t="s">
        <v>3333</v>
      </c>
      <c r="Z53" s="88" t="s">
        <v>3334</v>
      </c>
      <c r="AA53" s="88" t="s">
        <v>3135</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2762</v>
      </c>
      <c r="BB53" s="88" t="s">
        <v>2443</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2177</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2272</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2411</v>
      </c>
      <c r="I54" s="199" t="s">
        <v>3381</v>
      </c>
      <c r="J54" s="308" t="s">
        <v>3065</v>
      </c>
      <c r="K54" s="367" t="s">
        <v>2580</v>
      </c>
      <c r="L54" s="308" t="s">
        <v>1311</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2374</v>
      </c>
      <c r="BC54" s="177" t="s">
        <v>1355</v>
      </c>
      <c r="BD54" s="204" t="s">
        <v>945</v>
      </c>
      <c r="BE54" s="177" t="s">
        <v>2444</v>
      </c>
      <c r="BF54" s="176"/>
      <c r="BG54" s="176"/>
      <c r="BH54" s="177" t="s">
        <v>2085</v>
      </c>
      <c r="BI54" s="176"/>
      <c r="BJ54" s="463" t="s">
        <v>2933</v>
      </c>
      <c r="BK54" s="125" t="str">
        <f>HYPERLINK("https://www.twitch.tv/kaffelon/clip/WittyHonestRaccoonSmoocherZ?filter=clips&amp;range=all&amp;sort=time","12.53")</f>
        <v>12.53</v>
      </c>
      <c r="BL54" s="176"/>
      <c r="BM54" s="176"/>
      <c r="BN54" s="176"/>
      <c r="BO54" s="176"/>
      <c r="BP54" s="287"/>
      <c r="BQ54" s="178"/>
      <c r="BR54" s="464" t="s">
        <v>3388</v>
      </c>
      <c r="BS54" s="178" t="s">
        <v>2177</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2289</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2403</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2489</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2178</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2526</v>
      </c>
      <c r="CP55" s="93"/>
      <c r="CQ55" s="93" t="s">
        <v>3422</v>
      </c>
      <c r="CR55" s="98"/>
      <c r="CS55" s="101"/>
      <c r="CT55" s="93" t="s">
        <v>1339</v>
      </c>
      <c r="CU55" s="98"/>
      <c r="CV55" s="88" t="s">
        <v>1855</v>
      </c>
      <c r="CW55" s="93" t="s">
        <v>2338</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2409</v>
      </c>
      <c r="DY55" s="93" t="s">
        <v>2322</v>
      </c>
      <c r="DZ55" s="93" t="s">
        <v>3425</v>
      </c>
      <c r="EA55" s="98"/>
      <c r="EB55" s="300"/>
    </row>
    <row r="56">
      <c r="A56" s="465" t="s">
        <v>3426</v>
      </c>
      <c r="B56" s="103" t="s">
        <v>3427</v>
      </c>
      <c r="C56" s="104" t="s">
        <v>1414</v>
      </c>
      <c r="D56" s="105" t="s">
        <v>736</v>
      </c>
      <c r="E56" s="106" t="s">
        <v>1414</v>
      </c>
      <c r="F56" s="107" t="s">
        <v>3428</v>
      </c>
      <c r="G56" s="103" t="s">
        <v>3127</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2427</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2449</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2778</v>
      </c>
      <c r="CD56" s="290"/>
      <c r="CE56" s="291"/>
      <c r="CF56" s="180" t="s">
        <v>1224</v>
      </c>
      <c r="CG56" s="137" t="s">
        <v>2654</v>
      </c>
      <c r="CH56" s="332" t="s">
        <v>977</v>
      </c>
      <c r="CI56" s="180" t="s">
        <v>3454</v>
      </c>
      <c r="CJ56" s="466" t="s">
        <v>3455</v>
      </c>
      <c r="CK56" s="137" t="s">
        <v>1449</v>
      </c>
      <c r="CL56" s="137" t="s">
        <v>2269</v>
      </c>
      <c r="CM56" s="180" t="s">
        <v>2822</v>
      </c>
      <c r="CN56" s="278"/>
      <c r="CO56" s="278"/>
      <c r="CP56" s="278"/>
      <c r="CQ56" s="278"/>
      <c r="CR56" s="278"/>
      <c r="CS56" s="101"/>
      <c r="CT56" s="209" t="s">
        <v>3456</v>
      </c>
      <c r="CU56" s="373" t="s">
        <v>2196</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2285</v>
      </c>
      <c r="DN56" s="147" t="s">
        <v>624</v>
      </c>
      <c r="DO56" s="280"/>
      <c r="DP56" s="147" t="s">
        <v>682</v>
      </c>
      <c r="DQ56" s="381"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7"/>
      <c r="X57" s="162" t="s">
        <v>2996</v>
      </c>
      <c r="Y57" s="162" t="s">
        <v>1047</v>
      </c>
      <c r="Z57" s="162" t="s">
        <v>3472</v>
      </c>
      <c r="AA57" s="162" t="s">
        <v>3473</v>
      </c>
      <c r="AB57" s="301" t="s">
        <v>3474</v>
      </c>
      <c r="AC57" s="162" t="s">
        <v>3475</v>
      </c>
      <c r="AD57" s="162" t="s">
        <v>3476</v>
      </c>
      <c r="AE57" s="162" t="s">
        <v>3036</v>
      </c>
      <c r="AF57" s="162" t="s">
        <v>3477</v>
      </c>
      <c r="AG57" s="162" t="s">
        <v>3478</v>
      </c>
      <c r="AH57" s="468"/>
      <c r="AI57" s="468"/>
      <c r="AJ57" s="162" t="s">
        <v>3479</v>
      </c>
      <c r="AK57" s="467"/>
      <c r="AL57" s="162" t="s">
        <v>2614</v>
      </c>
      <c r="AM57" s="162" t="s">
        <v>2860</v>
      </c>
      <c r="AN57" s="162" t="s">
        <v>3480</v>
      </c>
      <c r="AO57" s="162" t="s">
        <v>3481</v>
      </c>
      <c r="AP57" s="162" t="s">
        <v>3482</v>
      </c>
      <c r="AQ57" s="162" t="s">
        <v>3483</v>
      </c>
      <c r="AR57" s="162" t="s">
        <v>3080</v>
      </c>
      <c r="AS57" s="468"/>
      <c r="AT57" s="162" t="s">
        <v>3484</v>
      </c>
      <c r="AU57" s="162" t="s">
        <v>1447</v>
      </c>
      <c r="AV57" s="162" t="s">
        <v>3485</v>
      </c>
      <c r="AW57" s="468"/>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8"/>
      <c r="BM57" s="162" t="s">
        <v>1370</v>
      </c>
      <c r="BN57" s="162" t="s">
        <v>3496</v>
      </c>
      <c r="BO57" s="162" t="s">
        <v>1765</v>
      </c>
      <c r="BP57" s="162"/>
      <c r="BQ57" s="162" t="s">
        <v>3497</v>
      </c>
      <c r="BR57" s="162" t="s">
        <v>2715</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8"/>
      <c r="CO57" s="468"/>
      <c r="CP57" s="468"/>
      <c r="CQ57" s="162" t="s">
        <v>3512</v>
      </c>
      <c r="CR57" s="162" t="s">
        <v>247</v>
      </c>
      <c r="CS57" s="469"/>
      <c r="CT57" s="162" t="s">
        <v>1161</v>
      </c>
      <c r="CU57" s="162" t="s">
        <v>2580</v>
      </c>
      <c r="CV57" s="162" t="s">
        <v>525</v>
      </c>
      <c r="CW57" s="162" t="s">
        <v>3513</v>
      </c>
      <c r="CX57" s="162" t="s">
        <v>3514</v>
      </c>
      <c r="CY57" s="162" t="s">
        <v>2739</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2580</v>
      </c>
      <c r="DS57" s="162" t="s">
        <v>3526</v>
      </c>
      <c r="DT57" s="162" t="s">
        <v>3527</v>
      </c>
      <c r="DU57" s="162" t="s">
        <v>3528</v>
      </c>
      <c r="DV57" s="162" t="s">
        <v>1977</v>
      </c>
      <c r="DW57" s="162" t="s">
        <v>2673</v>
      </c>
      <c r="DX57" s="162" t="s">
        <v>3529</v>
      </c>
      <c r="DY57" s="162" t="s">
        <v>1053</v>
      </c>
      <c r="DZ57" s="162" t="s">
        <v>931</v>
      </c>
      <c r="EA57" s="162" t="s">
        <v>3530</v>
      </c>
      <c r="EB57" s="301" t="s">
        <v>3531</v>
      </c>
    </row>
    <row r="58">
      <c r="A58" s="470" t="s">
        <v>3532</v>
      </c>
      <c r="B58" s="103" t="s">
        <v>3533</v>
      </c>
      <c r="C58" s="104" t="s">
        <v>1414</v>
      </c>
      <c r="D58" s="105" t="s">
        <v>1414</v>
      </c>
      <c r="E58" s="106" t="s">
        <v>1414</v>
      </c>
      <c r="F58" s="107" t="s">
        <v>2756</v>
      </c>
      <c r="G58" s="103" t="s">
        <v>3534</v>
      </c>
      <c r="H58" s="296" t="s">
        <v>2013</v>
      </c>
      <c r="I58" s="367" t="s">
        <v>3535</v>
      </c>
      <c r="J58" s="471" t="s">
        <v>2165</v>
      </c>
      <c r="K58" s="112" t="s">
        <v>3221</v>
      </c>
      <c r="L58" s="296" t="s">
        <v>3299</v>
      </c>
      <c r="M58" s="471" t="s">
        <v>696</v>
      </c>
      <c r="N58" s="471" t="s">
        <v>524</v>
      </c>
      <c r="O58" s="296" t="s">
        <v>1821</v>
      </c>
      <c r="P58" s="471" t="s">
        <v>2890</v>
      </c>
      <c r="Q58" s="169" t="s">
        <v>3536</v>
      </c>
      <c r="R58" s="226"/>
      <c r="S58" s="169" t="s">
        <v>3537</v>
      </c>
      <c r="T58" s="226"/>
      <c r="U58" s="296" t="s">
        <v>1215</v>
      </c>
      <c r="V58" s="296" t="s">
        <v>3538</v>
      </c>
      <c r="W58" s="92"/>
      <c r="X58" s="117" t="s">
        <v>1682</v>
      </c>
      <c r="Y58" s="117" t="s">
        <v>2643</v>
      </c>
      <c r="Z58" s="116" t="s">
        <v>3539</v>
      </c>
      <c r="AA58" s="116" t="s">
        <v>3540</v>
      </c>
      <c r="AB58" s="116" t="s">
        <v>3541</v>
      </c>
      <c r="AC58" s="116" t="s">
        <v>3542</v>
      </c>
      <c r="AD58" s="284"/>
      <c r="AE58" s="116" t="s">
        <v>3543</v>
      </c>
      <c r="AF58" s="328" t="s">
        <v>1176</v>
      </c>
      <c r="AG58" s="284"/>
      <c r="AH58" s="284"/>
      <c r="AI58" s="116" t="s">
        <v>2506</v>
      </c>
      <c r="AJ58" s="201" t="s">
        <v>3544</v>
      </c>
      <c r="AK58" s="92"/>
      <c r="AL58" s="314" t="s">
        <v>1444</v>
      </c>
      <c r="AM58" s="121" t="s">
        <v>2548</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369" t="s">
        <v>453</v>
      </c>
      <c r="BB58" s="369" t="s">
        <v>3552</v>
      </c>
      <c r="BC58" s="369" t="s">
        <v>1300</v>
      </c>
      <c r="BD58" s="369" t="s">
        <v>1397</v>
      </c>
      <c r="BE58" s="127" t="s">
        <v>145</v>
      </c>
      <c r="BF58" s="369" t="s">
        <v>3553</v>
      </c>
      <c r="BG58" s="176"/>
      <c r="BH58" s="369" t="s">
        <v>1985</v>
      </c>
      <c r="BI58" s="176"/>
      <c r="BJ58" s="369"/>
      <c r="BK58" s="127" t="s">
        <v>2842</v>
      </c>
      <c r="BL58" s="177" t="s">
        <v>3554</v>
      </c>
      <c r="BM58" s="177" t="s">
        <v>2116</v>
      </c>
      <c r="BN58" s="369" t="s">
        <v>3555</v>
      </c>
      <c r="BO58" s="127" t="s">
        <v>3556</v>
      </c>
      <c r="BP58" s="287"/>
      <c r="BQ58" s="134" t="s">
        <v>3208</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2" t="s">
        <v>2347</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3158</v>
      </c>
      <c r="CW58" s="322" t="s">
        <v>967</v>
      </c>
      <c r="CX58" s="322" t="s">
        <v>3575</v>
      </c>
      <c r="CY58" s="333" t="s">
        <v>935</v>
      </c>
      <c r="CZ58" s="322" t="s">
        <v>3576</v>
      </c>
      <c r="DA58" s="142" t="s">
        <v>2676</v>
      </c>
      <c r="DB58" s="209" t="s">
        <v>3577</v>
      </c>
      <c r="DC58" s="209" t="s">
        <v>1037</v>
      </c>
      <c r="DD58" s="209" t="s">
        <v>3578</v>
      </c>
      <c r="DE58" s="209" t="s">
        <v>3579</v>
      </c>
      <c r="DF58" s="292"/>
      <c r="DG58" s="211" t="s">
        <v>3176</v>
      </c>
      <c r="DH58" s="280"/>
      <c r="DI58" s="280"/>
      <c r="DJ58" s="211"/>
      <c r="DK58" s="211" t="s">
        <v>1921</v>
      </c>
      <c r="DL58" s="211" t="s">
        <v>3580</v>
      </c>
      <c r="DM58" s="210" t="s">
        <v>3581</v>
      </c>
      <c r="DN58" s="210" t="s">
        <v>3582</v>
      </c>
      <c r="DO58" s="280"/>
      <c r="DP58" s="211" t="s">
        <v>518</v>
      </c>
      <c r="DQ58" s="211" t="s">
        <v>3583</v>
      </c>
      <c r="DR58" s="210" t="s">
        <v>3269</v>
      </c>
      <c r="DS58" s="381" t="s">
        <v>1268</v>
      </c>
      <c r="DT58" s="210" t="s">
        <v>263</v>
      </c>
      <c r="DU58" s="210" t="s">
        <v>2749</v>
      </c>
      <c r="DV58" s="210" t="s">
        <v>2347</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2699</v>
      </c>
      <c r="Y59" s="93" t="s">
        <v>3594</v>
      </c>
      <c r="Z59" s="93" t="s">
        <v>1894</v>
      </c>
      <c r="AA59" s="93" t="s">
        <v>3595</v>
      </c>
      <c r="AB59" s="93" t="s">
        <v>2427</v>
      </c>
      <c r="AC59" s="93" t="s">
        <v>3596</v>
      </c>
      <c r="AD59" s="93"/>
      <c r="AE59" s="162" t="s">
        <v>3543</v>
      </c>
      <c r="AF59" s="93" t="s">
        <v>3597</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3598</v>
      </c>
      <c r="BB59" s="93" t="s">
        <v>853</v>
      </c>
      <c r="BC59" s="93" t="s">
        <v>2049</v>
      </c>
      <c r="BD59" s="93" t="s">
        <v>3599</v>
      </c>
      <c r="BE59" s="468" t="s">
        <v>3600</v>
      </c>
      <c r="BF59" s="98"/>
      <c r="BG59" s="98"/>
      <c r="BH59" s="93" t="s">
        <v>1903</v>
      </c>
      <c r="BI59" s="301" t="s">
        <v>3601</v>
      </c>
      <c r="BJ59" s="301"/>
      <c r="BK59" s="93" t="s">
        <v>2487</v>
      </c>
      <c r="BL59" s="98"/>
      <c r="BM59" s="98"/>
      <c r="BN59" s="98"/>
      <c r="BO59" s="98"/>
      <c r="BP59" s="267"/>
      <c r="BQ59" s="301"/>
      <c r="BR59" s="93" t="s">
        <v>3602</v>
      </c>
      <c r="BS59" s="93" t="s">
        <v>3070</v>
      </c>
      <c r="BT59" s="93" t="s">
        <v>3603</v>
      </c>
      <c r="BU59" s="93" t="s">
        <v>2964</v>
      </c>
      <c r="BV59" s="93" t="s">
        <v>3290</v>
      </c>
      <c r="BW59" s="93" t="s">
        <v>3604</v>
      </c>
      <c r="BX59" s="97" t="str">
        <f>HYPERLINK("https://clips.twitch.tv/EnergeticWrongManateeKlappa","2:32.84")</f>
        <v>2:32.84</v>
      </c>
      <c r="BY59" s="93" t="s">
        <v>3605</v>
      </c>
      <c r="BZ59" s="93" t="s">
        <v>867</v>
      </c>
      <c r="CA59" s="98"/>
      <c r="CB59" s="98"/>
      <c r="CC59" s="98"/>
      <c r="CD59" s="98"/>
      <c r="CE59" s="267"/>
      <c r="CF59" s="97" t="s">
        <v>1895</v>
      </c>
      <c r="CG59" s="93" t="s">
        <v>3606</v>
      </c>
      <c r="CH59" s="93" t="s">
        <v>3607</v>
      </c>
      <c r="CI59" s="93" t="s">
        <v>3608</v>
      </c>
      <c r="CJ59" s="93" t="s">
        <v>1972</v>
      </c>
      <c r="CK59" s="93" t="s">
        <v>2732</v>
      </c>
      <c r="CL59" s="93" t="s">
        <v>1793</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1147</v>
      </c>
      <c r="DB59" s="98"/>
      <c r="DC59" s="98"/>
      <c r="DD59" s="98"/>
      <c r="DE59" s="98"/>
      <c r="DF59" s="267"/>
      <c r="DG59" s="93" t="s">
        <v>3615</v>
      </c>
      <c r="DH59" s="98"/>
      <c r="DI59" s="98"/>
      <c r="DJ59" s="98"/>
      <c r="DK59" s="98"/>
      <c r="DL59" s="98"/>
      <c r="DM59" s="98"/>
      <c r="DN59" s="98"/>
      <c r="DO59" s="98"/>
      <c r="DP59" s="93" t="s">
        <v>2468</v>
      </c>
      <c r="DQ59" s="93"/>
      <c r="DR59" s="98"/>
      <c r="DS59" s="98"/>
      <c r="DT59" s="98"/>
      <c r="DU59" s="98"/>
      <c r="DV59" s="98"/>
      <c r="DW59" s="98"/>
      <c r="DX59" s="98"/>
      <c r="DY59" s="98"/>
      <c r="DZ59" s="98"/>
      <c r="EA59" s="98"/>
      <c r="EB59" s="300"/>
    </row>
    <row r="60">
      <c r="A60" s="168" t="s">
        <v>3616</v>
      </c>
      <c r="B60" s="103" t="s">
        <v>3617</v>
      </c>
      <c r="C60" s="104" t="s">
        <v>1414</v>
      </c>
      <c r="D60" s="105" t="s">
        <v>1414</v>
      </c>
      <c r="E60" s="106" t="s">
        <v>1414</v>
      </c>
      <c r="F60" s="107" t="s">
        <v>2885</v>
      </c>
      <c r="G60" s="103" t="s">
        <v>2496</v>
      </c>
      <c r="H60" s="226"/>
      <c r="I60" s="296" t="s">
        <v>3618</v>
      </c>
      <c r="J60" s="112" t="s">
        <v>3619</v>
      </c>
      <c r="K60" s="112" t="s">
        <v>3620</v>
      </c>
      <c r="L60" s="296" t="s">
        <v>3621</v>
      </c>
      <c r="M60" s="226"/>
      <c r="N60" s="112" t="s">
        <v>1556</v>
      </c>
      <c r="O60" s="112" t="s">
        <v>1646</v>
      </c>
      <c r="P60" s="112" t="s">
        <v>548</v>
      </c>
      <c r="Q60" s="226"/>
      <c r="R60" s="226"/>
      <c r="S60" s="226"/>
      <c r="T60" s="226"/>
      <c r="U60" s="226"/>
      <c r="V60" s="226"/>
      <c r="W60" s="92"/>
      <c r="X60" s="116" t="s">
        <v>689</v>
      </c>
      <c r="Y60" s="116" t="s">
        <v>3622</v>
      </c>
      <c r="Z60" s="116" t="s">
        <v>1652</v>
      </c>
      <c r="AA60" s="116" t="s">
        <v>3623</v>
      </c>
      <c r="AB60" s="116" t="s">
        <v>532</v>
      </c>
      <c r="AC60" s="116" t="s">
        <v>3624</v>
      </c>
      <c r="AD60" s="284"/>
      <c r="AE60" s="284"/>
      <c r="AF60" s="116" t="s">
        <v>3625</v>
      </c>
      <c r="AG60" s="284"/>
      <c r="AH60" s="117"/>
      <c r="AI60" s="116" t="s">
        <v>3626</v>
      </c>
      <c r="AJ60" s="284"/>
      <c r="AK60" s="92"/>
      <c r="AL60" s="274"/>
      <c r="AM60" s="121" t="s">
        <v>1572</v>
      </c>
      <c r="AN60" s="274"/>
      <c r="AO60" s="274"/>
      <c r="AP60" s="274"/>
      <c r="AQ60" s="274"/>
      <c r="AR60" s="274"/>
      <c r="AS60" s="274"/>
      <c r="AT60" s="121" t="s">
        <v>3178</v>
      </c>
      <c r="AU60" s="121" t="s">
        <v>3627</v>
      </c>
      <c r="AV60" s="274"/>
      <c r="AW60" s="274"/>
      <c r="AX60" s="274"/>
      <c r="AY60" s="274"/>
      <c r="AZ60" s="275"/>
      <c r="BA60" s="127" t="s">
        <v>288</v>
      </c>
      <c r="BB60" s="175" t="s">
        <v>544</v>
      </c>
      <c r="BC60" s="127" t="s">
        <v>143</v>
      </c>
      <c r="BD60" s="127" t="s">
        <v>1003</v>
      </c>
      <c r="BE60" s="127" t="s">
        <v>3628</v>
      </c>
      <c r="BF60" s="127" t="s">
        <v>3629</v>
      </c>
      <c r="BG60" s="176"/>
      <c r="BH60" s="127" t="s">
        <v>210</v>
      </c>
      <c r="BI60" s="127" t="s">
        <v>3630</v>
      </c>
      <c r="BJ60" s="369"/>
      <c r="BK60" s="127" t="s">
        <v>3631</v>
      </c>
      <c r="BL60" s="176"/>
      <c r="BM60" s="176"/>
      <c r="BN60" s="176"/>
      <c r="BO60" s="176"/>
      <c r="BP60" s="287"/>
      <c r="BQ60" s="290"/>
      <c r="BR60" s="132" t="s">
        <v>3632</v>
      </c>
      <c r="BS60" s="132" t="s">
        <v>3633</v>
      </c>
      <c r="BT60" s="132" t="s">
        <v>252</v>
      </c>
      <c r="BU60" s="316" t="s">
        <v>1124</v>
      </c>
      <c r="BV60" s="132" t="s">
        <v>1372</v>
      </c>
      <c r="BW60" s="290"/>
      <c r="BX60" s="290"/>
      <c r="BY60" s="290"/>
      <c r="BZ60" s="132" t="s">
        <v>1627</v>
      </c>
      <c r="CA60" s="290"/>
      <c r="CB60" s="290"/>
      <c r="CC60" s="290"/>
      <c r="CD60" s="290"/>
      <c r="CE60" s="291"/>
      <c r="CF60" s="332" t="s">
        <v>3634</v>
      </c>
      <c r="CG60" s="332" t="s">
        <v>1670</v>
      </c>
      <c r="CH60" s="278"/>
      <c r="CI60" s="278"/>
      <c r="CJ60" s="278"/>
      <c r="CK60" s="278"/>
      <c r="CL60" s="137" t="s">
        <v>2192</v>
      </c>
      <c r="CM60" s="137" t="s">
        <v>1694</v>
      </c>
      <c r="CN60" s="278"/>
      <c r="CO60" s="278"/>
      <c r="CP60" s="278"/>
      <c r="CQ60" s="278"/>
      <c r="CR60" s="278"/>
      <c r="CS60" s="101"/>
      <c r="CT60" s="279"/>
      <c r="CU60" s="142" t="s">
        <v>184</v>
      </c>
      <c r="CV60" s="142" t="s">
        <v>3635</v>
      </c>
      <c r="CW60" s="142" t="s">
        <v>3001</v>
      </c>
      <c r="CX60" s="279"/>
      <c r="CY60" s="279"/>
      <c r="CZ60" s="321" t="s">
        <v>1347</v>
      </c>
      <c r="DA60" s="142" t="s">
        <v>128</v>
      </c>
      <c r="DB60" s="279"/>
      <c r="DC60" s="279"/>
      <c r="DD60" s="279"/>
      <c r="DE60" s="142" t="s">
        <v>3636</v>
      </c>
      <c r="DF60" s="142"/>
      <c r="DG60" s="280"/>
      <c r="DH60" s="280"/>
      <c r="DI60" s="280"/>
      <c r="DJ60" s="211"/>
      <c r="DK60" s="280"/>
      <c r="DL60" s="147" t="s">
        <v>2130</v>
      </c>
      <c r="DM60" s="280"/>
      <c r="DN60" s="280"/>
      <c r="DO60" s="280"/>
      <c r="DP60" s="147" t="s">
        <v>1806</v>
      </c>
      <c r="DQ60" s="381"/>
      <c r="DR60" s="280"/>
      <c r="DS60" s="147" t="s">
        <v>1584</v>
      </c>
      <c r="DT60" s="280"/>
      <c r="DU60" s="147" t="s">
        <v>973</v>
      </c>
      <c r="DV60" s="280"/>
      <c r="DW60" s="280"/>
      <c r="DX60" s="280"/>
      <c r="DY60" s="280"/>
      <c r="DZ60" s="280"/>
      <c r="EA60" s="280"/>
      <c r="EB60" s="324"/>
    </row>
    <row r="61">
      <c r="A61" s="81" t="s">
        <v>3637</v>
      </c>
      <c r="B61" s="82" t="s">
        <v>3638</v>
      </c>
      <c r="C61" s="83" t="s">
        <v>1414</v>
      </c>
      <c r="D61" s="84" t="s">
        <v>1414</v>
      </c>
      <c r="E61" s="85" t="s">
        <v>1414</v>
      </c>
      <c r="F61" s="86" t="s">
        <v>433</v>
      </c>
      <c r="G61" s="82" t="s">
        <v>3639</v>
      </c>
      <c r="H61" s="93" t="s">
        <v>3115</v>
      </c>
      <c r="I61" s="93" t="s">
        <v>3640</v>
      </c>
      <c r="J61" s="93" t="s">
        <v>3570</v>
      </c>
      <c r="K61" s="303" t="s">
        <v>1554</v>
      </c>
      <c r="L61" s="88" t="s">
        <v>3641</v>
      </c>
      <c r="M61" s="93" t="s">
        <v>3642</v>
      </c>
      <c r="N61" s="93" t="s">
        <v>668</v>
      </c>
      <c r="O61" s="93" t="s">
        <v>3643</v>
      </c>
      <c r="P61" s="88" t="s">
        <v>107</v>
      </c>
      <c r="Q61" s="98"/>
      <c r="R61" s="98"/>
      <c r="S61" s="88" t="s">
        <v>3644</v>
      </c>
      <c r="T61" s="98"/>
      <c r="U61" s="93" t="s">
        <v>2899</v>
      </c>
      <c r="V61" s="98"/>
      <c r="W61" s="92"/>
      <c r="X61" s="93" t="s">
        <v>3645</v>
      </c>
      <c r="Y61" s="93" t="s">
        <v>3646</v>
      </c>
      <c r="Z61" s="93" t="s">
        <v>3329</v>
      </c>
      <c r="AA61" s="93" t="s">
        <v>1102</v>
      </c>
      <c r="AB61" s="93" t="s">
        <v>2192</v>
      </c>
      <c r="AC61" s="93" t="s">
        <v>3647</v>
      </c>
      <c r="AD61" s="98"/>
      <c r="AE61" s="93" t="s">
        <v>3648</v>
      </c>
      <c r="AF61" s="93" t="s">
        <v>3649</v>
      </c>
      <c r="AG61" s="98"/>
      <c r="AH61" s="93"/>
      <c r="AI61" s="93" t="s">
        <v>2715</v>
      </c>
      <c r="AJ61" s="98"/>
      <c r="AK61" s="92"/>
      <c r="AL61" s="93" t="s">
        <v>1852</v>
      </c>
      <c r="AM61" s="93" t="s">
        <v>3650</v>
      </c>
      <c r="AN61" s="98"/>
      <c r="AO61" s="98"/>
      <c r="AP61" s="98"/>
      <c r="AQ61" s="98"/>
      <c r="AR61" s="98"/>
      <c r="AS61" s="98"/>
      <c r="AT61" s="303" t="s">
        <v>3141</v>
      </c>
      <c r="AU61" s="93" t="s">
        <v>961</v>
      </c>
      <c r="AV61" s="93" t="s">
        <v>3651</v>
      </c>
      <c r="AW61" s="98"/>
      <c r="AX61" s="93" t="s">
        <v>106</v>
      </c>
      <c r="AY61" s="98"/>
      <c r="AZ61" s="267"/>
      <c r="BA61" s="93" t="s">
        <v>2646</v>
      </c>
      <c r="BB61" s="93" t="s">
        <v>971</v>
      </c>
      <c r="BC61" s="93" t="s">
        <v>3346</v>
      </c>
      <c r="BD61" s="88" t="s">
        <v>3652</v>
      </c>
      <c r="BE61" s="88" t="s">
        <v>2062</v>
      </c>
      <c r="BF61" s="93" t="s">
        <v>1522</v>
      </c>
      <c r="BG61" s="98"/>
      <c r="BH61" s="93" t="s">
        <v>2064</v>
      </c>
      <c r="BI61" s="98"/>
      <c r="BJ61" s="93" t="s">
        <v>3653</v>
      </c>
      <c r="BK61" s="93" t="s">
        <v>2984</v>
      </c>
      <c r="BL61" s="98"/>
      <c r="BM61" s="88" t="s">
        <v>1571</v>
      </c>
      <c r="BN61" s="93" t="s">
        <v>3654</v>
      </c>
      <c r="BO61" s="98"/>
      <c r="BP61" s="267"/>
      <c r="BQ61" s="93"/>
      <c r="BR61" s="93" t="s">
        <v>2329</v>
      </c>
      <c r="BS61" s="93" t="s">
        <v>3655</v>
      </c>
      <c r="BT61" s="93" t="s">
        <v>3656</v>
      </c>
      <c r="BU61" s="93" t="s">
        <v>453</v>
      </c>
      <c r="BV61" s="93" t="s">
        <v>3657</v>
      </c>
      <c r="BW61" s="98"/>
      <c r="BX61" s="98"/>
      <c r="BY61" s="93" t="s">
        <v>3658</v>
      </c>
      <c r="BZ61" s="93" t="s">
        <v>896</v>
      </c>
      <c r="CA61" s="93" t="s">
        <v>3659</v>
      </c>
      <c r="CB61" s="93" t="s">
        <v>2863</v>
      </c>
      <c r="CC61" s="93" t="s">
        <v>233</v>
      </c>
      <c r="CD61" s="98"/>
      <c r="CE61" s="267"/>
      <c r="CF61" s="93" t="s">
        <v>3660</v>
      </c>
      <c r="CG61" s="93" t="s">
        <v>2838</v>
      </c>
      <c r="CH61" s="93" t="s">
        <v>2609</v>
      </c>
      <c r="CI61" s="93" t="s">
        <v>3661</v>
      </c>
      <c r="CJ61" s="93"/>
      <c r="CK61" s="93" t="s">
        <v>3662</v>
      </c>
      <c r="CL61" s="93" t="s">
        <v>203</v>
      </c>
      <c r="CM61" s="93" t="s">
        <v>2945</v>
      </c>
      <c r="CN61" s="98"/>
      <c r="CO61" s="98"/>
      <c r="CP61" s="93"/>
      <c r="CQ61" s="93" t="s">
        <v>2266</v>
      </c>
      <c r="CR61" s="98"/>
      <c r="CS61" s="101"/>
      <c r="CT61" s="93" t="s">
        <v>3663</v>
      </c>
      <c r="CU61" s="93" t="s">
        <v>2580</v>
      </c>
      <c r="CV61" s="93" t="s">
        <v>3664</v>
      </c>
      <c r="CW61" s="93" t="s">
        <v>3665</v>
      </c>
      <c r="CX61" s="93" t="s">
        <v>3666</v>
      </c>
      <c r="CY61" s="93" t="s">
        <v>3667</v>
      </c>
      <c r="CZ61" s="88" t="s">
        <v>3161</v>
      </c>
      <c r="DA61" s="93" t="s">
        <v>1618</v>
      </c>
      <c r="DB61" s="98"/>
      <c r="DC61" s="98"/>
      <c r="DD61" s="98"/>
      <c r="DE61" s="98"/>
      <c r="DF61" s="267"/>
      <c r="DG61" s="93" t="s">
        <v>257</v>
      </c>
      <c r="DH61" s="98"/>
      <c r="DI61" s="98"/>
      <c r="DJ61" s="93"/>
      <c r="DK61" s="98"/>
      <c r="DL61" s="93" t="s">
        <v>3425</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3428</v>
      </c>
      <c r="G62" s="474" t="s">
        <v>435</v>
      </c>
      <c r="H62" s="479" t="s">
        <v>1716</v>
      </c>
      <c r="I62" s="479" t="s">
        <v>3674</v>
      </c>
      <c r="J62" s="437" t="s">
        <v>1502</v>
      </c>
      <c r="K62" s="479" t="s">
        <v>3221</v>
      </c>
      <c r="L62" s="479" t="s">
        <v>2474</v>
      </c>
      <c r="M62" s="479" t="s">
        <v>3675</v>
      </c>
      <c r="N62" s="437" t="s">
        <v>3546</v>
      </c>
      <c r="O62" s="480" t="s">
        <v>3676</v>
      </c>
      <c r="P62" s="479" t="s">
        <v>2746</v>
      </c>
      <c r="Q62" s="479" t="s">
        <v>3677</v>
      </c>
      <c r="R62" s="479" t="s">
        <v>3678</v>
      </c>
      <c r="S62" s="479" t="s">
        <v>3679</v>
      </c>
      <c r="T62" s="479" t="s">
        <v>2601</v>
      </c>
      <c r="U62" s="479" t="s">
        <v>3680</v>
      </c>
      <c r="V62" s="479" t="s">
        <v>3681</v>
      </c>
      <c r="W62" s="156"/>
      <c r="X62" s="438" t="s">
        <v>3634</v>
      </c>
      <c r="Y62" s="438" t="s">
        <v>3682</v>
      </c>
      <c r="Z62" s="481" t="s">
        <v>1383</v>
      </c>
      <c r="AA62" s="438" t="s">
        <v>2309</v>
      </c>
      <c r="AB62" s="438" t="s">
        <v>1827</v>
      </c>
      <c r="AC62" s="438" t="s">
        <v>3683</v>
      </c>
      <c r="AD62" s="481" t="s">
        <v>3684</v>
      </c>
      <c r="AE62" s="481" t="s">
        <v>1469</v>
      </c>
      <c r="AF62" s="438" t="s">
        <v>3477</v>
      </c>
      <c r="AG62" s="481" t="s">
        <v>2571</v>
      </c>
      <c r="AH62" s="438" t="s">
        <v>3685</v>
      </c>
      <c r="AI62" s="481" t="s">
        <v>2428</v>
      </c>
      <c r="AJ62" s="481" t="s">
        <v>3686</v>
      </c>
      <c r="AK62" s="156"/>
      <c r="AL62" s="439" t="s">
        <v>391</v>
      </c>
      <c r="AM62" s="482" t="s">
        <v>1485</v>
      </c>
      <c r="AN62" s="483" t="s">
        <v>3687</v>
      </c>
      <c r="AO62" s="484" t="s">
        <v>3688</v>
      </c>
      <c r="AP62" s="484" t="s">
        <v>3689</v>
      </c>
      <c r="AQ62" s="484" t="s">
        <v>2570</v>
      </c>
      <c r="AR62" s="484" t="s">
        <v>3690</v>
      </c>
      <c r="AS62" s="484" t="s">
        <v>3691</v>
      </c>
      <c r="AT62" s="483" t="s">
        <v>2584</v>
      </c>
      <c r="AU62" s="439" t="s">
        <v>171</v>
      </c>
      <c r="AV62" s="484" t="s">
        <v>3247</v>
      </c>
      <c r="AW62" s="484" t="s">
        <v>1715</v>
      </c>
      <c r="AX62" s="484" t="s">
        <v>3550</v>
      </c>
      <c r="AY62" s="484" t="s">
        <v>3692</v>
      </c>
      <c r="AZ62" s="484"/>
      <c r="BA62" s="485" t="s">
        <v>3693</v>
      </c>
      <c r="BB62" s="442" t="s">
        <v>2638</v>
      </c>
      <c r="BC62" s="485" t="s">
        <v>1300</v>
      </c>
      <c r="BD62" s="485" t="s">
        <v>2959</v>
      </c>
      <c r="BE62" s="485" t="s">
        <v>3557</v>
      </c>
      <c r="BF62" s="486" t="s">
        <v>3694</v>
      </c>
      <c r="BG62" s="442" t="s">
        <v>3695</v>
      </c>
      <c r="BH62" s="486" t="s">
        <v>3696</v>
      </c>
      <c r="BI62" s="442" t="s">
        <v>3697</v>
      </c>
      <c r="BJ62" s="442"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2182</v>
      </c>
      <c r="BY62" s="488" t="s">
        <v>3705</v>
      </c>
      <c r="BZ62" s="490" t="s">
        <v>2459</v>
      </c>
      <c r="CA62" s="490" t="s">
        <v>3706</v>
      </c>
      <c r="CB62" s="490" t="s">
        <v>343</v>
      </c>
      <c r="CC62" s="490" t="s">
        <v>3707</v>
      </c>
      <c r="CD62" s="487" t="s">
        <v>3708</v>
      </c>
      <c r="CE62" s="491"/>
      <c r="CF62" s="492" t="s">
        <v>2201</v>
      </c>
      <c r="CG62" s="492" t="s">
        <v>2978</v>
      </c>
      <c r="CH62" s="492" t="s">
        <v>3709</v>
      </c>
      <c r="CI62" s="448" t="s">
        <v>3710</v>
      </c>
      <c r="CJ62" s="493" t="s">
        <v>3711</v>
      </c>
      <c r="CK62" s="492" t="s">
        <v>3712</v>
      </c>
      <c r="CL62" s="448" t="s">
        <v>3158</v>
      </c>
      <c r="CM62" s="448" t="s">
        <v>3713</v>
      </c>
      <c r="CN62" s="492" t="s">
        <v>3714</v>
      </c>
      <c r="CO62" s="492" t="s">
        <v>3715</v>
      </c>
      <c r="CP62" s="492"/>
      <c r="CQ62" s="492" t="s">
        <v>1432</v>
      </c>
      <c r="CR62" s="492" t="s">
        <v>3391</v>
      </c>
      <c r="CS62" s="165"/>
      <c r="CT62" s="494" t="s">
        <v>265</v>
      </c>
      <c r="CU62" s="494" t="s">
        <v>3716</v>
      </c>
      <c r="CV62" s="494" t="s">
        <v>3717</v>
      </c>
      <c r="CW62" s="494" t="s">
        <v>3718</v>
      </c>
      <c r="CX62" s="494" t="s">
        <v>3719</v>
      </c>
      <c r="CY62" s="494" t="s">
        <v>3720</v>
      </c>
      <c r="CZ62" s="495" t="s">
        <v>3721</v>
      </c>
      <c r="DA62" s="494" t="s">
        <v>3722</v>
      </c>
      <c r="DB62" s="494" t="s">
        <v>3723</v>
      </c>
      <c r="DC62" s="494" t="s">
        <v>2249</v>
      </c>
      <c r="DD62" s="494" t="s">
        <v>2472</v>
      </c>
      <c r="DE62" s="494" t="s">
        <v>3724</v>
      </c>
      <c r="DF62" s="494"/>
      <c r="DG62" s="496" t="s">
        <v>1969</v>
      </c>
      <c r="DH62" s="496"/>
      <c r="DI62" s="496" t="s">
        <v>3725</v>
      </c>
      <c r="DJ62" s="496" t="s">
        <v>3726</v>
      </c>
      <c r="DK62" s="496" t="s">
        <v>2589</v>
      </c>
      <c r="DL62" s="496" t="s">
        <v>691</v>
      </c>
      <c r="DM62" s="496" t="s">
        <v>3727</v>
      </c>
      <c r="DN62" s="496" t="s">
        <v>3728</v>
      </c>
      <c r="DO62" s="496" t="s">
        <v>3308</v>
      </c>
      <c r="DP62" s="496" t="s">
        <v>3424</v>
      </c>
      <c r="DQ62" s="496" t="s">
        <v>3729</v>
      </c>
      <c r="DR62" s="496" t="s">
        <v>3730</v>
      </c>
      <c r="DS62" s="496" t="s">
        <v>3731</v>
      </c>
      <c r="DT62" s="497" t="s">
        <v>3732</v>
      </c>
      <c r="DU62" s="498" t="s">
        <v>632</v>
      </c>
      <c r="DV62" s="496" t="s">
        <v>3733</v>
      </c>
      <c r="DW62" s="496" t="s">
        <v>3606</v>
      </c>
      <c r="DX62" s="496" t="s">
        <v>3275</v>
      </c>
      <c r="DY62" s="496" t="s">
        <v>3591</v>
      </c>
      <c r="DZ62" s="496" t="s">
        <v>3603</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2692</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2782</v>
      </c>
      <c r="AD63" s="503"/>
      <c r="AE63" s="501" t="s">
        <v>3749</v>
      </c>
      <c r="AF63" s="502" t="s">
        <v>2705</v>
      </c>
      <c r="AG63" s="503"/>
      <c r="AH63" s="503"/>
      <c r="AI63" s="88" t="s">
        <v>3750</v>
      </c>
      <c r="AJ63" s="88" t="s">
        <v>3751</v>
      </c>
      <c r="AK63" s="190"/>
      <c r="AL63" s="503"/>
      <c r="AM63" s="503"/>
      <c r="AN63" s="503"/>
      <c r="AO63" s="503"/>
      <c r="AP63" s="303" t="s">
        <v>3752</v>
      </c>
      <c r="AQ63" s="88" t="s">
        <v>803</v>
      </c>
      <c r="AR63" s="88" t="s">
        <v>1212</v>
      </c>
      <c r="AS63" s="503"/>
      <c r="AT63" s="502" t="s">
        <v>2897</v>
      </c>
      <c r="AU63" s="501" t="s">
        <v>3606</v>
      </c>
      <c r="AV63" s="502" t="s">
        <v>3753</v>
      </c>
      <c r="AW63" s="503"/>
      <c r="AX63" s="503"/>
      <c r="AY63" s="88" t="s">
        <v>3754</v>
      </c>
      <c r="AZ63" s="193"/>
      <c r="BA63" s="501" t="s">
        <v>3755</v>
      </c>
      <c r="BB63" s="501" t="s">
        <v>1728</v>
      </c>
      <c r="BC63" s="501" t="s">
        <v>3346</v>
      </c>
      <c r="BD63" s="501" t="s">
        <v>2809</v>
      </c>
      <c r="BE63" s="501" t="s">
        <v>3756</v>
      </c>
      <c r="BF63" s="503"/>
      <c r="BG63" s="503"/>
      <c r="BH63" s="501" t="s">
        <v>1964</v>
      </c>
      <c r="BI63" s="503"/>
      <c r="BJ63" s="501" t="s">
        <v>2283</v>
      </c>
      <c r="BK63" s="502" t="s">
        <v>2718</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2811</v>
      </c>
      <c r="CA63" s="88" t="s">
        <v>3765</v>
      </c>
      <c r="CB63" s="503"/>
      <c r="CC63" s="503"/>
      <c r="CD63" s="88" t="s">
        <v>3766</v>
      </c>
      <c r="CE63" s="193"/>
      <c r="CF63" s="502" t="s">
        <v>3137</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2580</v>
      </c>
      <c r="CV63" s="501" t="s">
        <v>3774</v>
      </c>
      <c r="CW63" s="502" t="s">
        <v>3775</v>
      </c>
      <c r="CX63" s="502" t="s">
        <v>3776</v>
      </c>
      <c r="CY63" s="502" t="s">
        <v>3108</v>
      </c>
      <c r="CZ63" s="501" t="s">
        <v>3777</v>
      </c>
      <c r="DA63" s="502" t="s">
        <v>3778</v>
      </c>
      <c r="DB63" s="503"/>
      <c r="DC63" s="88" t="s">
        <v>3289</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2349</v>
      </c>
      <c r="EA63" s="88" t="s">
        <v>1190</v>
      </c>
      <c r="EB63" s="88" t="s">
        <v>214</v>
      </c>
    </row>
    <row r="64">
      <c r="A64" s="506" t="s">
        <v>3786</v>
      </c>
      <c r="B64" s="103" t="s">
        <v>3787</v>
      </c>
      <c r="C64" s="104" t="s">
        <v>1414</v>
      </c>
      <c r="D64" s="105" t="s">
        <v>1414</v>
      </c>
      <c r="E64" s="106" t="s">
        <v>1414</v>
      </c>
      <c r="F64" s="107" t="s">
        <v>2090</v>
      </c>
      <c r="G64" s="103" t="s">
        <v>2090</v>
      </c>
      <c r="H64" s="471"/>
      <c r="I64" s="110" t="s">
        <v>3788</v>
      </c>
      <c r="J64" s="112" t="s">
        <v>1139</v>
      </c>
      <c r="K64" s="112" t="s">
        <v>1554</v>
      </c>
      <c r="L64" s="112" t="s">
        <v>3789</v>
      </c>
      <c r="M64" s="112" t="s">
        <v>3790</v>
      </c>
      <c r="N64" s="112" t="s">
        <v>3791</v>
      </c>
      <c r="O64" s="112" t="s">
        <v>2760</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945</v>
      </c>
      <c r="BE64" s="127" t="s">
        <v>2616</v>
      </c>
      <c r="BF64" s="369"/>
      <c r="BG64" s="176"/>
      <c r="BH64" s="507" t="s">
        <v>2490</v>
      </c>
      <c r="BI64" s="353"/>
      <c r="BJ64" s="127" t="s">
        <v>3799</v>
      </c>
      <c r="BK64" s="127" t="s">
        <v>2842</v>
      </c>
      <c r="BL64" s="177"/>
      <c r="BM64" s="176"/>
      <c r="BN64" s="369"/>
      <c r="BO64" s="176"/>
      <c r="BP64" s="287"/>
      <c r="BQ64" s="132" t="s">
        <v>3800</v>
      </c>
      <c r="BR64" s="132" t="s">
        <v>3632</v>
      </c>
      <c r="BS64" s="132" t="s">
        <v>3261</v>
      </c>
      <c r="BT64" s="132" t="s">
        <v>3801</v>
      </c>
      <c r="BU64" s="132" t="s">
        <v>3802</v>
      </c>
      <c r="BV64" s="132" t="s">
        <v>1375</v>
      </c>
      <c r="BW64" s="132" t="s">
        <v>3803</v>
      </c>
      <c r="BX64" s="179"/>
      <c r="BY64" s="132" t="s">
        <v>2779</v>
      </c>
      <c r="BZ64" s="132" t="s">
        <v>1192</v>
      </c>
      <c r="CA64" s="290"/>
      <c r="CB64" s="290"/>
      <c r="CC64" s="290"/>
      <c r="CD64" s="290"/>
      <c r="CE64" s="291"/>
      <c r="CF64" s="137" t="s">
        <v>2859</v>
      </c>
      <c r="CG64" s="137" t="s">
        <v>1162</v>
      </c>
      <c r="CH64" s="137" t="s">
        <v>3804</v>
      </c>
      <c r="CI64" s="137" t="s">
        <v>3805</v>
      </c>
      <c r="CJ64" s="318"/>
      <c r="CK64" s="137" t="s">
        <v>3806</v>
      </c>
      <c r="CL64" s="137" t="s">
        <v>1775</v>
      </c>
      <c r="CM64" s="137" t="s">
        <v>3807</v>
      </c>
      <c r="CN64" s="472"/>
      <c r="CO64" s="278"/>
      <c r="CP64" s="278"/>
      <c r="CQ64" s="278"/>
      <c r="CR64" s="278"/>
      <c r="CS64" s="101"/>
      <c r="CT64" s="142" t="s">
        <v>2913</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3814</v>
      </c>
      <c r="G65" s="82" t="s">
        <v>539</v>
      </c>
      <c r="H65" s="93" t="s">
        <v>3815</v>
      </c>
      <c r="I65" s="93" t="s">
        <v>3674</v>
      </c>
      <c r="J65" s="93" t="s">
        <v>3316</v>
      </c>
      <c r="K65" s="93" t="s">
        <v>3816</v>
      </c>
      <c r="L65" s="162" t="s">
        <v>3167</v>
      </c>
      <c r="M65" s="93" t="s">
        <v>3817</v>
      </c>
      <c r="N65" s="93" t="s">
        <v>3818</v>
      </c>
      <c r="O65" s="93" t="s">
        <v>3819</v>
      </c>
      <c r="P65" s="88" t="s">
        <v>2890</v>
      </c>
      <c r="Q65" s="93" t="s">
        <v>3820</v>
      </c>
      <c r="R65" s="93" t="s">
        <v>525</v>
      </c>
      <c r="S65" s="213" t="s">
        <v>3558</v>
      </c>
      <c r="T65" s="98"/>
      <c r="U65" s="88" t="s">
        <v>1215</v>
      </c>
      <c r="V65" s="93" t="s">
        <v>3821</v>
      </c>
      <c r="W65" s="92"/>
      <c r="X65" s="88" t="s">
        <v>3822</v>
      </c>
      <c r="Y65" s="93" t="s">
        <v>1006</v>
      </c>
      <c r="Z65" s="93" t="s">
        <v>3823</v>
      </c>
      <c r="AA65" s="88" t="s">
        <v>3473</v>
      </c>
      <c r="AB65" s="88" t="s">
        <v>3748</v>
      </c>
      <c r="AC65" s="93" t="s">
        <v>3824</v>
      </c>
      <c r="AD65" s="93"/>
      <c r="AE65" s="93" t="s">
        <v>3825</v>
      </c>
      <c r="AF65" s="93" t="s">
        <v>2232</v>
      </c>
      <c r="AG65" s="93" t="s">
        <v>3826</v>
      </c>
      <c r="AH65" s="93"/>
      <c r="AI65" s="93" t="s">
        <v>3827</v>
      </c>
      <c r="AJ65" s="88" t="s">
        <v>696</v>
      </c>
      <c r="AK65" s="92"/>
      <c r="AL65" s="93" t="s">
        <v>3185</v>
      </c>
      <c r="AM65" s="88" t="s">
        <v>3650</v>
      </c>
      <c r="AN65" s="93" t="s">
        <v>3828</v>
      </c>
      <c r="AO65" s="93" t="s">
        <v>3829</v>
      </c>
      <c r="AP65" s="93" t="s">
        <v>3830</v>
      </c>
      <c r="AQ65" s="93" t="s">
        <v>2622</v>
      </c>
      <c r="AR65" s="98"/>
      <c r="AS65" s="98"/>
      <c r="AT65" s="93" t="s">
        <v>2002</v>
      </c>
      <c r="AU65" s="93" t="s">
        <v>1051</v>
      </c>
      <c r="AV65" s="93" t="s">
        <v>1665</v>
      </c>
      <c r="AW65" s="98"/>
      <c r="AX65" s="88" t="s">
        <v>3831</v>
      </c>
      <c r="AY65" s="93" t="s">
        <v>3832</v>
      </c>
      <c r="AZ65" s="93"/>
      <c r="BA65" s="88" t="s">
        <v>2013</v>
      </c>
      <c r="BB65" s="93" t="s">
        <v>1238</v>
      </c>
      <c r="BC65" s="88" t="s">
        <v>1300</v>
      </c>
      <c r="BD65" s="88" t="s">
        <v>3223</v>
      </c>
      <c r="BE65" s="162" t="s">
        <v>3833</v>
      </c>
      <c r="BF65" s="93" t="s">
        <v>2226</v>
      </c>
      <c r="BG65" s="93" t="s">
        <v>1834</v>
      </c>
      <c r="BH65" s="93" t="s">
        <v>1985</v>
      </c>
      <c r="BI65" s="93" t="s">
        <v>3834</v>
      </c>
      <c r="BJ65" s="162" t="s">
        <v>3835</v>
      </c>
      <c r="BK65" s="93" t="s">
        <v>3631</v>
      </c>
      <c r="BL65" s="88" t="s">
        <v>3836</v>
      </c>
      <c r="BM65" s="88" t="s">
        <v>3837</v>
      </c>
      <c r="BN65" s="93" t="s">
        <v>3838</v>
      </c>
      <c r="BO65" s="93" t="s">
        <v>3839</v>
      </c>
      <c r="BP65" s="93"/>
      <c r="BQ65" s="88" t="s">
        <v>3840</v>
      </c>
      <c r="BR65" s="93" t="s">
        <v>2251</v>
      </c>
      <c r="BS65" s="88" t="s">
        <v>3633</v>
      </c>
      <c r="BT65" s="162" t="s">
        <v>3353</v>
      </c>
      <c r="BU65" s="93" t="s">
        <v>3841</v>
      </c>
      <c r="BV65" s="162" t="s">
        <v>3657</v>
      </c>
      <c r="BW65" s="98"/>
      <c r="BX65" s="93" t="s">
        <v>3842</v>
      </c>
      <c r="BY65" s="93" t="s">
        <v>3843</v>
      </c>
      <c r="BZ65" s="93" t="s">
        <v>1720</v>
      </c>
      <c r="CA65" s="88" t="s">
        <v>3844</v>
      </c>
      <c r="CB65" s="88" t="s">
        <v>3845</v>
      </c>
      <c r="CC65" s="162" t="s">
        <v>932</v>
      </c>
      <c r="CD65" s="162" t="s">
        <v>3846</v>
      </c>
      <c r="CE65" s="93"/>
      <c r="CF65" s="88" t="s">
        <v>3669</v>
      </c>
      <c r="CG65" s="88" t="s">
        <v>3847</v>
      </c>
      <c r="CH65" s="162" t="s">
        <v>3848</v>
      </c>
      <c r="CI65" s="88" t="s">
        <v>3849</v>
      </c>
      <c r="CJ65" s="100"/>
      <c r="CK65" s="303" t="s">
        <v>3850</v>
      </c>
      <c r="CL65" s="88" t="s">
        <v>3364</v>
      </c>
      <c r="CM65" s="93" t="s">
        <v>3851</v>
      </c>
      <c r="CN65" s="98"/>
      <c r="CO65" s="93" t="s">
        <v>2722</v>
      </c>
      <c r="CP65" s="93" t="s">
        <v>2963</v>
      </c>
      <c r="CQ65" s="93" t="s">
        <v>1611</v>
      </c>
      <c r="CR65" s="93" t="s">
        <v>3852</v>
      </c>
      <c r="CS65" s="101"/>
      <c r="CT65" s="93" t="s">
        <v>3853</v>
      </c>
      <c r="CU65" s="93" t="s">
        <v>3854</v>
      </c>
      <c r="CV65" s="93" t="s">
        <v>3213</v>
      </c>
      <c r="CW65" s="88" t="s">
        <v>3855</v>
      </c>
      <c r="CX65" s="93" t="s">
        <v>3856</v>
      </c>
      <c r="CY65" s="303" t="s">
        <v>3857</v>
      </c>
      <c r="CZ65" s="162" t="s">
        <v>3858</v>
      </c>
      <c r="DA65" s="93" t="s">
        <v>3809</v>
      </c>
      <c r="DB65" s="93" t="s">
        <v>3859</v>
      </c>
      <c r="DC65" s="88" t="s">
        <v>3860</v>
      </c>
      <c r="DD65" s="93" t="s">
        <v>3861</v>
      </c>
      <c r="DE65" s="88" t="s">
        <v>3862</v>
      </c>
      <c r="DF65" s="93"/>
      <c r="DG65" s="93" t="s">
        <v>3863</v>
      </c>
      <c r="DH65" s="93" t="s">
        <v>885</v>
      </c>
      <c r="DI65" s="98"/>
      <c r="DJ65" s="93"/>
      <c r="DK65" s="90" t="s">
        <v>198</v>
      </c>
      <c r="DL65" s="93" t="s">
        <v>3864</v>
      </c>
      <c r="DM65" s="93" t="s">
        <v>591</v>
      </c>
      <c r="DN65" s="93" t="s">
        <v>3096</v>
      </c>
      <c r="DO65" s="98"/>
      <c r="DP65" s="93" t="s">
        <v>3865</v>
      </c>
      <c r="DQ65" s="93" t="s">
        <v>3866</v>
      </c>
      <c r="DR65" s="98"/>
      <c r="DS65" s="98"/>
      <c r="DT65" s="93" t="s">
        <v>3867</v>
      </c>
      <c r="DU65" s="93" t="s">
        <v>973</v>
      </c>
      <c r="DV65" s="93" t="s">
        <v>3868</v>
      </c>
      <c r="DW65" s="93" t="s">
        <v>1051</v>
      </c>
      <c r="DX65" s="93" t="s">
        <v>2553</v>
      </c>
      <c r="DY65" s="93" t="s">
        <v>1492</v>
      </c>
      <c r="DZ65" s="93" t="s">
        <v>3869</v>
      </c>
      <c r="EA65" s="88" t="s">
        <v>3584</v>
      </c>
      <c r="EB65" s="300" t="s">
        <v>3870</v>
      </c>
    </row>
    <row r="66">
      <c r="A66" s="508" t="s">
        <v>3871</v>
      </c>
      <c r="B66" s="103" t="s">
        <v>3872</v>
      </c>
      <c r="C66" s="104" t="s">
        <v>1414</v>
      </c>
      <c r="D66" s="105" t="s">
        <v>1414</v>
      </c>
      <c r="E66" s="106" t="s">
        <v>1414</v>
      </c>
      <c r="F66" s="107" t="s">
        <v>985</v>
      </c>
      <c r="G66" s="103" t="s">
        <v>2815</v>
      </c>
      <c r="H66" s="112" t="s">
        <v>3873</v>
      </c>
      <c r="I66" s="169" t="s">
        <v>2254</v>
      </c>
      <c r="J66" s="169" t="s">
        <v>3874</v>
      </c>
      <c r="K66" s="169" t="s">
        <v>3875</v>
      </c>
      <c r="L66" s="169" t="s">
        <v>3876</v>
      </c>
      <c r="M66" s="169" t="s">
        <v>3877</v>
      </c>
      <c r="N66" s="169" t="s">
        <v>3878</v>
      </c>
      <c r="O66" s="169" t="s">
        <v>3879</v>
      </c>
      <c r="P66" s="169" t="s">
        <v>2890</v>
      </c>
      <c r="Q66" s="169" t="s">
        <v>3880</v>
      </c>
      <c r="R66" s="296" t="s">
        <v>3881</v>
      </c>
      <c r="S66" s="112" t="s">
        <v>1553</v>
      </c>
      <c r="T66" s="226"/>
      <c r="U66" s="169" t="s">
        <v>512</v>
      </c>
      <c r="V66" s="169" t="s">
        <v>3882</v>
      </c>
      <c r="W66" s="92"/>
      <c r="X66" s="201" t="s">
        <v>3883</v>
      </c>
      <c r="Y66" s="201" t="s">
        <v>2523</v>
      </c>
      <c r="Z66" s="201" t="s">
        <v>3884</v>
      </c>
      <c r="AA66" s="201" t="s">
        <v>3885</v>
      </c>
      <c r="AB66" s="201" t="s">
        <v>3886</v>
      </c>
      <c r="AC66" s="201" t="s">
        <v>3887</v>
      </c>
      <c r="AD66" s="201" t="s">
        <v>2645</v>
      </c>
      <c r="AE66" s="201" t="s">
        <v>2968</v>
      </c>
      <c r="AF66" s="201" t="s">
        <v>1430</v>
      </c>
      <c r="AG66" s="201" t="s">
        <v>3888</v>
      </c>
      <c r="AH66" s="201"/>
      <c r="AI66" s="201" t="s">
        <v>3445</v>
      </c>
      <c r="AJ66" s="201" t="s">
        <v>3889</v>
      </c>
      <c r="AK66" s="92"/>
      <c r="AL66" s="171" t="s">
        <v>995</v>
      </c>
      <c r="AM66" s="171" t="s">
        <v>3890</v>
      </c>
      <c r="AN66" s="171" t="s">
        <v>3891</v>
      </c>
      <c r="AO66" s="171" t="s">
        <v>987</v>
      </c>
      <c r="AP66" s="171" t="s">
        <v>3892</v>
      </c>
      <c r="AQ66" s="171" t="s">
        <v>2035</v>
      </c>
      <c r="AR66" s="171" t="s">
        <v>3893</v>
      </c>
      <c r="AS66" s="171" t="s">
        <v>3894</v>
      </c>
      <c r="AT66" s="171" t="s">
        <v>566</v>
      </c>
      <c r="AU66" s="171" t="s">
        <v>3895</v>
      </c>
      <c r="AV66" s="171" t="s">
        <v>3896</v>
      </c>
      <c r="AW66" s="171" t="s">
        <v>3897</v>
      </c>
      <c r="AX66" s="121" t="s">
        <v>547</v>
      </c>
      <c r="AY66" s="171" t="s">
        <v>3898</v>
      </c>
      <c r="AZ66" s="275"/>
      <c r="BA66" s="177" t="s">
        <v>309</v>
      </c>
      <c r="BB66" s="177" t="s">
        <v>3899</v>
      </c>
      <c r="BC66" s="177" t="s">
        <v>1719</v>
      </c>
      <c r="BD66" s="127" t="s">
        <v>866</v>
      </c>
      <c r="BE66" s="177" t="s">
        <v>2804</v>
      </c>
      <c r="BF66" s="177" t="s">
        <v>3900</v>
      </c>
      <c r="BG66" s="177" t="s">
        <v>3901</v>
      </c>
      <c r="BH66" s="177" t="s">
        <v>2464</v>
      </c>
      <c r="BI66" s="177" t="s">
        <v>3902</v>
      </c>
      <c r="BJ66" s="177"/>
      <c r="BK66" s="177" t="s">
        <v>3903</v>
      </c>
      <c r="BL66" s="177" t="s">
        <v>1528</v>
      </c>
      <c r="BM66" s="177" t="s">
        <v>2592</v>
      </c>
      <c r="BN66" s="177" t="s">
        <v>3904</v>
      </c>
      <c r="BO66" s="177" t="s">
        <v>3905</v>
      </c>
      <c r="BP66" s="330"/>
      <c r="BQ66" s="178" t="s">
        <v>3906</v>
      </c>
      <c r="BR66" s="132" t="s">
        <v>3907</v>
      </c>
      <c r="BS66" s="178" t="s">
        <v>3655</v>
      </c>
      <c r="BT66" s="178" t="s">
        <v>3908</v>
      </c>
      <c r="BU66" s="178" t="s">
        <v>3909</v>
      </c>
      <c r="BV66" s="178" t="s">
        <v>3780</v>
      </c>
      <c r="BW66" s="178" t="s">
        <v>3790</v>
      </c>
      <c r="BX66" s="178" t="s">
        <v>3910</v>
      </c>
      <c r="BY66" s="290"/>
      <c r="BZ66" s="178" t="s">
        <v>3911</v>
      </c>
      <c r="CA66" s="178" t="s">
        <v>3912</v>
      </c>
      <c r="CB66" s="178" t="s">
        <v>840</v>
      </c>
      <c r="CC66" s="178" t="s">
        <v>2165</v>
      </c>
      <c r="CD66" s="178" t="s">
        <v>3913</v>
      </c>
      <c r="CE66" s="291"/>
      <c r="CF66" s="509">
        <v>55.85</v>
      </c>
      <c r="CG66" s="180" t="s">
        <v>241</v>
      </c>
      <c r="CH66" s="180" t="s">
        <v>3914</v>
      </c>
      <c r="CI66" s="180" t="s">
        <v>2857</v>
      </c>
      <c r="CJ66" s="180" t="s">
        <v>2520</v>
      </c>
      <c r="CK66" s="180" t="s">
        <v>3915</v>
      </c>
      <c r="CL66" s="180" t="s">
        <v>2486</v>
      </c>
      <c r="CM66" s="318" t="s">
        <v>3539</v>
      </c>
      <c r="CN66" s="180" t="s">
        <v>3916</v>
      </c>
      <c r="CO66" s="180" t="s">
        <v>3917</v>
      </c>
      <c r="CP66" s="278"/>
      <c r="CQ66" s="180" t="s">
        <v>3918</v>
      </c>
      <c r="CR66" s="180" t="s">
        <v>3919</v>
      </c>
      <c r="CS66" s="101"/>
      <c r="CT66" s="209" t="s">
        <v>3920</v>
      </c>
      <c r="CU66" s="142" t="s">
        <v>1605</v>
      </c>
      <c r="CV66" s="139" t="str">
        <f>HYPERLINK("https://youtu.be/1NiHXh4G_7o","31.54")</f>
        <v>31.54</v>
      </c>
      <c r="CW66" s="209" t="s">
        <v>3921</v>
      </c>
      <c r="CX66" s="209" t="s">
        <v>3922</v>
      </c>
      <c r="CY66" s="209" t="s">
        <v>3811</v>
      </c>
      <c r="CZ66" s="209" t="s">
        <v>3923</v>
      </c>
      <c r="DA66" s="142" t="s">
        <v>3924</v>
      </c>
      <c r="DB66" s="209" t="s">
        <v>3925</v>
      </c>
      <c r="DC66" s="209" t="s">
        <v>3926</v>
      </c>
      <c r="DD66" s="209" t="s">
        <v>1219</v>
      </c>
      <c r="DE66" s="209" t="s">
        <v>3927</v>
      </c>
      <c r="DF66" s="292"/>
      <c r="DG66" s="147" t="s">
        <v>3928</v>
      </c>
      <c r="DH66" s="210"/>
      <c r="DI66" s="210" t="s">
        <v>1869</v>
      </c>
      <c r="DJ66" s="210" t="s">
        <v>3929</v>
      </c>
      <c r="DK66" s="210" t="s">
        <v>3741</v>
      </c>
      <c r="DL66" s="210" t="s">
        <v>691</v>
      </c>
      <c r="DM66" s="210" t="s">
        <v>3930</v>
      </c>
      <c r="DN66" s="210" t="s">
        <v>3931</v>
      </c>
      <c r="DO66" s="210" t="s">
        <v>3932</v>
      </c>
      <c r="DP66" s="210" t="s">
        <v>1883</v>
      </c>
      <c r="DQ66" s="147" t="s">
        <v>2932</v>
      </c>
      <c r="DR66" s="210" t="s">
        <v>438</v>
      </c>
      <c r="DS66" s="210" t="s">
        <v>3070</v>
      </c>
      <c r="DT66" s="210" t="s">
        <v>3933</v>
      </c>
      <c r="DU66" s="210" t="s">
        <v>3934</v>
      </c>
      <c r="DV66" s="210" t="s">
        <v>371</v>
      </c>
      <c r="DW66" s="510" t="s">
        <v>3000</v>
      </c>
      <c r="DX66" s="210" t="s">
        <v>3935</v>
      </c>
      <c r="DY66" s="210" t="s">
        <v>3936</v>
      </c>
      <c r="DZ66" s="210" t="s">
        <v>1978</v>
      </c>
      <c r="EA66" s="210" t="s">
        <v>3937</v>
      </c>
      <c r="EB66" s="324" t="s">
        <v>3938</v>
      </c>
    </row>
    <row r="67">
      <c r="A67" s="150" t="s">
        <v>3939</v>
      </c>
      <c r="B67" s="511" t="s">
        <v>3940</v>
      </c>
      <c r="C67" s="512" t="s">
        <v>1414</v>
      </c>
      <c r="D67" s="513" t="s">
        <v>736</v>
      </c>
      <c r="E67" s="514" t="s">
        <v>736</v>
      </c>
      <c r="F67" s="515" t="s">
        <v>1129</v>
      </c>
      <c r="G67" s="511" t="s">
        <v>1497</v>
      </c>
      <c r="H67" s="516" t="s">
        <v>3941</v>
      </c>
      <c r="I67" s="516" t="s">
        <v>2920</v>
      </c>
      <c r="J67" s="516" t="s">
        <v>3942</v>
      </c>
      <c r="K67" s="516" t="s">
        <v>102</v>
      </c>
      <c r="L67" s="516" t="s">
        <v>1021</v>
      </c>
      <c r="M67" s="516" t="s">
        <v>3943</v>
      </c>
      <c r="N67" s="517" t="s">
        <v>3944</v>
      </c>
      <c r="O67" s="517" t="s">
        <v>3945</v>
      </c>
      <c r="P67" s="516" t="s">
        <v>647</v>
      </c>
      <c r="Q67" s="517"/>
      <c r="R67" s="517"/>
      <c r="S67" s="517"/>
      <c r="T67" s="517"/>
      <c r="U67" s="517"/>
      <c r="V67" s="517"/>
      <c r="W67" s="518"/>
      <c r="X67" s="516" t="s">
        <v>1425</v>
      </c>
      <c r="Y67" s="516" t="s">
        <v>3437</v>
      </c>
      <c r="Z67" s="91" t="s">
        <v>998</v>
      </c>
      <c r="AA67" s="516" t="s">
        <v>3946</v>
      </c>
      <c r="AB67" s="516" t="s">
        <v>752</v>
      </c>
      <c r="AC67" s="517" t="s">
        <v>3824</v>
      </c>
      <c r="AD67" s="516" t="s">
        <v>1142</v>
      </c>
      <c r="AE67" s="517" t="s">
        <v>3029</v>
      </c>
      <c r="AF67" s="516" t="s">
        <v>1430</v>
      </c>
      <c r="AG67" s="517"/>
      <c r="AH67" s="517"/>
      <c r="AI67" s="517"/>
      <c r="AJ67" s="517"/>
      <c r="AK67" s="518"/>
      <c r="AL67" s="519" t="s">
        <v>3947</v>
      </c>
      <c r="AM67" s="516" t="s">
        <v>2002</v>
      </c>
      <c r="AN67" s="517"/>
      <c r="AO67" s="517"/>
      <c r="AP67" s="517"/>
      <c r="AQ67" s="517"/>
      <c r="AR67" s="517" t="s">
        <v>3948</v>
      </c>
      <c r="AS67" s="517"/>
      <c r="AT67" s="516" t="s">
        <v>3949</v>
      </c>
      <c r="AU67" s="516" t="s">
        <v>3950</v>
      </c>
      <c r="AV67" s="517"/>
      <c r="AW67" s="517"/>
      <c r="AX67" s="517"/>
      <c r="AY67" s="517"/>
      <c r="AZ67" s="517"/>
      <c r="BA67" s="516" t="s">
        <v>3951</v>
      </c>
      <c r="BB67" s="516" t="s">
        <v>1359</v>
      </c>
      <c r="BC67" s="517" t="s">
        <v>2278</v>
      </c>
      <c r="BD67" s="517" t="s">
        <v>577</v>
      </c>
      <c r="BE67" s="516" t="s">
        <v>3478</v>
      </c>
      <c r="BF67" s="517"/>
      <c r="BG67" s="517"/>
      <c r="BH67" s="517" t="s">
        <v>2290</v>
      </c>
      <c r="BI67" s="517"/>
      <c r="BJ67" s="517" t="s">
        <v>3952</v>
      </c>
      <c r="BK67" s="517" t="s">
        <v>1427</v>
      </c>
      <c r="BL67" s="517"/>
      <c r="BM67" s="517"/>
      <c r="BN67" s="517"/>
      <c r="BO67" s="517"/>
      <c r="BP67" s="517"/>
      <c r="BQ67" s="517"/>
      <c r="BR67" s="517" t="s">
        <v>3953</v>
      </c>
      <c r="BS67" s="516" t="s">
        <v>2622</v>
      </c>
      <c r="BT67" s="517"/>
      <c r="BU67" s="517"/>
      <c r="BV67" s="517" t="s">
        <v>1938</v>
      </c>
      <c r="BW67" s="517"/>
      <c r="BX67" s="517"/>
      <c r="BY67" s="517"/>
      <c r="BZ67" s="517"/>
      <c r="CA67" s="517"/>
      <c r="CB67" s="517"/>
      <c r="CC67" s="517"/>
      <c r="CD67" s="517"/>
      <c r="CE67" s="98"/>
      <c r="CF67" s="516" t="s">
        <v>3954</v>
      </c>
      <c r="CG67" s="97" t="s">
        <v>1516</v>
      </c>
      <c r="CH67" s="517"/>
      <c r="CI67" s="517"/>
      <c r="CJ67" s="517"/>
      <c r="CK67" s="98"/>
      <c r="CL67" s="516" t="s">
        <v>1145</v>
      </c>
      <c r="CM67" s="517" t="s">
        <v>3955</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3956</v>
      </c>
      <c r="DQ67" s="517"/>
      <c r="DR67" s="517"/>
      <c r="DS67" s="517"/>
      <c r="DT67" s="517"/>
      <c r="DU67" s="516" t="s">
        <v>901</v>
      </c>
      <c r="DV67" s="517"/>
      <c r="DW67" s="517"/>
      <c r="DX67" s="517"/>
      <c r="DY67" s="98"/>
      <c r="DZ67" s="98"/>
      <c r="EA67" s="98"/>
      <c r="EB67" s="517"/>
    </row>
    <row r="68">
      <c r="A68" s="168" t="s">
        <v>3957</v>
      </c>
      <c r="B68" s="103" t="s">
        <v>3958</v>
      </c>
      <c r="C68" s="104" t="s">
        <v>1414</v>
      </c>
      <c r="D68" s="105" t="s">
        <v>1414</v>
      </c>
      <c r="E68" s="106" t="s">
        <v>1414</v>
      </c>
      <c r="F68" s="107" t="s">
        <v>3127</v>
      </c>
      <c r="G68" s="103" t="s">
        <v>3737</v>
      </c>
      <c r="H68" s="112" t="s">
        <v>2616</v>
      </c>
      <c r="I68" s="112" t="s">
        <v>3959</v>
      </c>
      <c r="J68" s="112" t="s">
        <v>3960</v>
      </c>
      <c r="K68" s="112" t="s">
        <v>1807</v>
      </c>
      <c r="L68" s="112" t="s">
        <v>3961</v>
      </c>
      <c r="M68" s="112" t="s">
        <v>3962</v>
      </c>
      <c r="N68" s="112" t="s">
        <v>3963</v>
      </c>
      <c r="O68" s="112" t="s">
        <v>2107</v>
      </c>
      <c r="P68" s="112" t="s">
        <v>107</v>
      </c>
      <c r="Q68" s="226"/>
      <c r="R68" s="226"/>
      <c r="S68" s="226"/>
      <c r="T68" s="226"/>
      <c r="U68" s="226"/>
      <c r="V68" s="226"/>
      <c r="W68" s="92"/>
      <c r="X68" s="116" t="s">
        <v>3287</v>
      </c>
      <c r="Y68" s="116" t="s">
        <v>2700</v>
      </c>
      <c r="Z68" s="116" t="s">
        <v>3964</v>
      </c>
      <c r="AA68" s="116" t="s">
        <v>3804</v>
      </c>
      <c r="AB68" s="116" t="s">
        <v>3965</v>
      </c>
      <c r="AC68" s="116" t="s">
        <v>3966</v>
      </c>
      <c r="AD68" s="284"/>
      <c r="AE68" s="116" t="s">
        <v>3967</v>
      </c>
      <c r="AF68" s="116" t="s">
        <v>3968</v>
      </c>
      <c r="AG68" s="116" t="s">
        <v>3969</v>
      </c>
      <c r="AH68" s="284"/>
      <c r="AI68" s="284"/>
      <c r="AJ68" s="284"/>
      <c r="AK68" s="92"/>
      <c r="AL68" s="121" t="s">
        <v>1830</v>
      </c>
      <c r="AM68" s="121" t="s">
        <v>3970</v>
      </c>
      <c r="AN68" s="274"/>
      <c r="AO68" s="274"/>
      <c r="AP68" s="274"/>
      <c r="AQ68" s="274"/>
      <c r="AR68" s="274"/>
      <c r="AS68" s="274"/>
      <c r="AT68" s="121" t="s">
        <v>3007</v>
      </c>
      <c r="AU68" s="121" t="s">
        <v>404</v>
      </c>
      <c r="AV68" s="274"/>
      <c r="AW68" s="274"/>
      <c r="AX68" s="274"/>
      <c r="AY68" s="274"/>
      <c r="AZ68" s="275"/>
      <c r="BA68" s="127" t="s">
        <v>2762</v>
      </c>
      <c r="BB68" s="127" t="s">
        <v>306</v>
      </c>
      <c r="BC68" s="127" t="s">
        <v>1012</v>
      </c>
      <c r="BD68" s="127" t="s">
        <v>3971</v>
      </c>
      <c r="BE68" s="127" t="s">
        <v>3972</v>
      </c>
      <c r="BF68" s="127" t="s">
        <v>2998</v>
      </c>
      <c r="BG68" s="127" t="s">
        <v>3973</v>
      </c>
      <c r="BH68" s="127" t="s">
        <v>2269</v>
      </c>
      <c r="BI68" s="127" t="s">
        <v>3974</v>
      </c>
      <c r="BJ68" s="127" t="s">
        <v>3975</v>
      </c>
      <c r="BK68" s="127" t="s">
        <v>3631</v>
      </c>
      <c r="BL68" s="127" t="s">
        <v>3976</v>
      </c>
      <c r="BM68" s="127" t="s">
        <v>3837</v>
      </c>
      <c r="BN68" s="127" t="s">
        <v>3977</v>
      </c>
      <c r="BO68" s="176"/>
      <c r="BP68" s="287"/>
      <c r="BQ68" s="132" t="s">
        <v>3978</v>
      </c>
      <c r="BR68" s="132" t="s">
        <v>3850</v>
      </c>
      <c r="BS68" s="132" t="s">
        <v>3526</v>
      </c>
      <c r="BT68" s="132" t="s">
        <v>3084</v>
      </c>
      <c r="BU68" s="132" t="s">
        <v>1467</v>
      </c>
      <c r="BV68" s="132" t="s">
        <v>1192</v>
      </c>
      <c r="BW68" s="132" t="s">
        <v>3979</v>
      </c>
      <c r="BX68" s="132" t="s">
        <v>3980</v>
      </c>
      <c r="BY68" s="290"/>
      <c r="BZ68" s="132" t="s">
        <v>2595</v>
      </c>
      <c r="CA68" s="290"/>
      <c r="CB68" s="290"/>
      <c r="CC68" s="132" t="s">
        <v>3981</v>
      </c>
      <c r="CD68" s="290"/>
      <c r="CE68" s="291"/>
      <c r="CF68" s="137" t="s">
        <v>3982</v>
      </c>
      <c r="CG68" s="137" t="s">
        <v>3983</v>
      </c>
      <c r="CH68" s="137" t="s">
        <v>3984</v>
      </c>
      <c r="CI68" s="137" t="s">
        <v>3985</v>
      </c>
      <c r="CJ68" s="137" t="s">
        <v>2984</v>
      </c>
      <c r="CK68" s="137" t="s">
        <v>363</v>
      </c>
      <c r="CL68" s="137" t="s">
        <v>1775</v>
      </c>
      <c r="CM68" s="137" t="s">
        <v>3986</v>
      </c>
      <c r="CN68" s="278"/>
      <c r="CO68" s="278"/>
      <c r="CP68" s="278"/>
      <c r="CQ68" s="278"/>
      <c r="CR68" s="278"/>
      <c r="CS68" s="101"/>
      <c r="CT68" s="142" t="s">
        <v>1860</v>
      </c>
      <c r="CU68" s="142" t="s">
        <v>543</v>
      </c>
      <c r="CV68" s="142" t="s">
        <v>3987</v>
      </c>
      <c r="CW68" s="142" t="s">
        <v>3988</v>
      </c>
      <c r="CX68" s="142" t="s">
        <v>3989</v>
      </c>
      <c r="CY68" s="142" t="s">
        <v>1827</v>
      </c>
      <c r="CZ68" s="142" t="s">
        <v>3990</v>
      </c>
      <c r="DA68" s="142" t="s">
        <v>3991</v>
      </c>
      <c r="DB68" s="279"/>
      <c r="DC68" s="279"/>
      <c r="DD68" s="142" t="s">
        <v>2305</v>
      </c>
      <c r="DE68" s="279"/>
      <c r="DF68" s="292"/>
      <c r="DG68" s="280"/>
      <c r="DH68" s="280"/>
      <c r="DI68" s="210" t="s">
        <v>3654</v>
      </c>
      <c r="DJ68" s="280"/>
      <c r="DK68" s="147" t="s">
        <v>521</v>
      </c>
      <c r="DL68" s="147" t="s">
        <v>3992</v>
      </c>
      <c r="DM68" s="210" t="s">
        <v>3993</v>
      </c>
      <c r="DN68" s="210" t="s">
        <v>3437</v>
      </c>
      <c r="DO68" s="280"/>
      <c r="DP68" s="147" t="s">
        <v>3994</v>
      </c>
      <c r="DQ68" s="147" t="s">
        <v>3469</v>
      </c>
      <c r="DR68" s="210" t="s">
        <v>3995</v>
      </c>
      <c r="DS68" s="210" t="s">
        <v>1874</v>
      </c>
      <c r="DT68" s="210" t="s">
        <v>3996</v>
      </c>
      <c r="DU68" s="147" t="s">
        <v>1628</v>
      </c>
      <c r="DV68" s="210" t="s">
        <v>3344</v>
      </c>
      <c r="DW68" s="210" t="s">
        <v>1545</v>
      </c>
      <c r="DX68" s="147" t="s">
        <v>3997</v>
      </c>
      <c r="DY68" s="147" t="s">
        <v>2164</v>
      </c>
      <c r="DZ68" s="210" t="s">
        <v>3998</v>
      </c>
      <c r="EA68" s="210" t="s">
        <v>1771</v>
      </c>
      <c r="EB68" s="360" t="s">
        <v>3999</v>
      </c>
    </row>
    <row r="69">
      <c r="A69" s="81" t="s">
        <v>4000</v>
      </c>
      <c r="B69" s="82" t="s">
        <v>4001</v>
      </c>
      <c r="C69" s="83" t="s">
        <v>1414</v>
      </c>
      <c r="D69" s="84" t="s">
        <v>1414</v>
      </c>
      <c r="E69" s="85" t="s">
        <v>1414</v>
      </c>
      <c r="F69" s="86" t="s">
        <v>1414</v>
      </c>
      <c r="G69" s="82" t="s">
        <v>4002</v>
      </c>
      <c r="H69" s="93" t="s">
        <v>1275</v>
      </c>
      <c r="I69" s="93" t="s">
        <v>4003</v>
      </c>
      <c r="J69" s="93" t="s">
        <v>4004</v>
      </c>
      <c r="K69" s="93" t="s">
        <v>2999</v>
      </c>
      <c r="L69" s="93" t="s">
        <v>3135</v>
      </c>
      <c r="M69" s="93" t="s">
        <v>514</v>
      </c>
      <c r="N69" s="93" t="s">
        <v>4005</v>
      </c>
      <c r="O69" s="93" t="s">
        <v>4006</v>
      </c>
      <c r="P69" s="93" t="s">
        <v>4007</v>
      </c>
      <c r="Q69" s="93" t="s">
        <v>4008</v>
      </c>
      <c r="R69" s="98"/>
      <c r="S69" s="93" t="s">
        <v>4009</v>
      </c>
      <c r="T69" s="98"/>
      <c r="U69" s="98"/>
      <c r="V69" s="93" t="s">
        <v>4010</v>
      </c>
      <c r="W69" s="92"/>
      <c r="X69" s="93" t="s">
        <v>1275</v>
      </c>
      <c r="Y69" s="93" t="s">
        <v>716</v>
      </c>
      <c r="Z69" s="93" t="s">
        <v>1694</v>
      </c>
      <c r="AA69" s="93" t="s">
        <v>4011</v>
      </c>
      <c r="AB69" s="93" t="s">
        <v>3549</v>
      </c>
      <c r="AC69" s="93" t="s">
        <v>1658</v>
      </c>
      <c r="AD69" s="93"/>
      <c r="AE69" s="93" t="s">
        <v>789</v>
      </c>
      <c r="AF69" s="93" t="s">
        <v>4012</v>
      </c>
      <c r="AG69" s="93" t="s">
        <v>4013</v>
      </c>
      <c r="AH69" s="93"/>
      <c r="AI69" s="93" t="s">
        <v>4014</v>
      </c>
      <c r="AJ69" s="93" t="s">
        <v>2568</v>
      </c>
      <c r="AK69" s="92"/>
      <c r="AL69" s="93" t="s">
        <v>3595</v>
      </c>
      <c r="AM69" s="93" t="s">
        <v>4015</v>
      </c>
      <c r="AN69" s="93" t="s">
        <v>4016</v>
      </c>
      <c r="AO69" s="93" t="s">
        <v>4017</v>
      </c>
      <c r="AP69" s="93" t="s">
        <v>360</v>
      </c>
      <c r="AQ69" s="93"/>
      <c r="AR69" s="93" t="s">
        <v>334</v>
      </c>
      <c r="AS69" s="93" t="s">
        <v>4018</v>
      </c>
      <c r="AT69" s="93" t="s">
        <v>811</v>
      </c>
      <c r="AU69" s="93" t="s">
        <v>838</v>
      </c>
      <c r="AV69" s="93" t="s">
        <v>4019</v>
      </c>
      <c r="AW69" s="98"/>
      <c r="AX69" s="98"/>
      <c r="AY69" s="93" t="s">
        <v>4020</v>
      </c>
      <c r="AZ69" s="96"/>
      <c r="BA69" s="93" t="s">
        <v>3953</v>
      </c>
      <c r="BB69" s="93" t="s">
        <v>2744</v>
      </c>
      <c r="BC69" s="93" t="s">
        <v>2627</v>
      </c>
      <c r="BD69" s="93" t="s">
        <v>4021</v>
      </c>
      <c r="BE69" s="93" t="s">
        <v>4022</v>
      </c>
      <c r="BF69" s="93" t="s">
        <v>406</v>
      </c>
      <c r="BG69" s="93" t="s">
        <v>4023</v>
      </c>
      <c r="BH69" s="93" t="s">
        <v>3796</v>
      </c>
      <c r="BI69" s="93" t="s">
        <v>3535</v>
      </c>
      <c r="BJ69" s="93" t="s">
        <v>4024</v>
      </c>
      <c r="BK69" s="93" t="s">
        <v>3294</v>
      </c>
      <c r="BL69" s="93" t="s">
        <v>4025</v>
      </c>
      <c r="BM69" s="98"/>
      <c r="BN69" s="98"/>
      <c r="BO69" s="98"/>
      <c r="BP69" s="267"/>
      <c r="BQ69" s="93" t="s">
        <v>4026</v>
      </c>
      <c r="BR69" s="93" t="s">
        <v>4027</v>
      </c>
      <c r="BS69" s="93" t="s">
        <v>4028</v>
      </c>
      <c r="BT69" s="93" t="s">
        <v>4029</v>
      </c>
      <c r="BU69" s="93" t="s">
        <v>4030</v>
      </c>
      <c r="BV69" s="93" t="s">
        <v>1513</v>
      </c>
      <c r="BW69" s="93" t="s">
        <v>1392</v>
      </c>
      <c r="BX69" s="93" t="s">
        <v>4031</v>
      </c>
      <c r="BY69" s="93" t="s">
        <v>4032</v>
      </c>
      <c r="BZ69" s="93" t="s">
        <v>3416</v>
      </c>
      <c r="CA69" s="93" t="s">
        <v>4033</v>
      </c>
      <c r="CB69" s="98"/>
      <c r="CC69" s="98"/>
      <c r="CD69" s="98"/>
      <c r="CE69" s="267"/>
      <c r="CF69" s="93" t="s">
        <v>4034</v>
      </c>
      <c r="CG69" s="93" t="s">
        <v>4035</v>
      </c>
      <c r="CH69" s="93" t="s">
        <v>4036</v>
      </c>
      <c r="CI69" s="93" t="s">
        <v>4037</v>
      </c>
      <c r="CJ69" s="93" t="s">
        <v>1327</v>
      </c>
      <c r="CK69" s="93" t="s">
        <v>1439</v>
      </c>
      <c r="CL69" s="93" t="s">
        <v>975</v>
      </c>
      <c r="CM69" s="93" t="s">
        <v>1742</v>
      </c>
      <c r="CN69" s="93" t="s">
        <v>4038</v>
      </c>
      <c r="CO69" s="93" t="s">
        <v>4039</v>
      </c>
      <c r="CP69" s="98"/>
      <c r="CQ69" s="98"/>
      <c r="CR69" s="98"/>
      <c r="CS69" s="101"/>
      <c r="CT69" s="93" t="s">
        <v>4040</v>
      </c>
      <c r="CU69" s="93" t="s">
        <v>4041</v>
      </c>
      <c r="CV69" s="93" t="s">
        <v>4042</v>
      </c>
      <c r="CW69" s="93" t="s">
        <v>2424</v>
      </c>
      <c r="CX69" s="93" t="s">
        <v>4043</v>
      </c>
      <c r="CY69" s="93" t="s">
        <v>4044</v>
      </c>
      <c r="CZ69" s="93" t="s">
        <v>4045</v>
      </c>
      <c r="DA69" s="93" t="s">
        <v>4046</v>
      </c>
      <c r="DB69" s="93"/>
      <c r="DC69" s="98"/>
      <c r="DD69" s="98"/>
      <c r="DE69" s="98"/>
      <c r="DF69" s="267"/>
      <c r="DG69" s="93" t="s">
        <v>2072</v>
      </c>
      <c r="DH69" s="98"/>
      <c r="DI69" s="93" t="s">
        <v>4047</v>
      </c>
      <c r="DJ69" s="93"/>
      <c r="DK69" s="93" t="s">
        <v>3807</v>
      </c>
      <c r="DL69" s="93" t="s">
        <v>4048</v>
      </c>
      <c r="DM69" s="93" t="s">
        <v>1764</v>
      </c>
      <c r="DN69" s="93" t="s">
        <v>1010</v>
      </c>
      <c r="DO69" s="93" t="s">
        <v>4049</v>
      </c>
      <c r="DP69" s="93" t="s">
        <v>2203</v>
      </c>
      <c r="DQ69" s="93" t="s">
        <v>3443</v>
      </c>
      <c r="DR69" s="93" t="s">
        <v>3854</v>
      </c>
      <c r="DS69" s="93" t="s">
        <v>4050</v>
      </c>
      <c r="DT69" s="93" t="s">
        <v>4051</v>
      </c>
      <c r="DU69" s="93" t="s">
        <v>896</v>
      </c>
      <c r="DV69" s="93" t="s">
        <v>677</v>
      </c>
      <c r="DW69" s="93" t="s">
        <v>1379</v>
      </c>
      <c r="DX69" s="93" t="s">
        <v>3945</v>
      </c>
      <c r="DY69" s="93" t="s">
        <v>4052</v>
      </c>
      <c r="DZ69" s="93" t="s">
        <v>3377</v>
      </c>
      <c r="EA69" s="93" t="s">
        <v>4053</v>
      </c>
      <c r="EB69" s="300" t="s">
        <v>4054</v>
      </c>
    </row>
    <row r="70">
      <c r="A70" s="168" t="s">
        <v>4055</v>
      </c>
      <c r="B70" s="103" t="s">
        <v>4056</v>
      </c>
      <c r="C70" s="104" t="s">
        <v>1414</v>
      </c>
      <c r="D70" s="105" t="s">
        <v>1414</v>
      </c>
      <c r="E70" s="106" t="s">
        <v>1414</v>
      </c>
      <c r="F70" s="107" t="s">
        <v>1195</v>
      </c>
      <c r="G70" s="103" t="s">
        <v>2297</v>
      </c>
      <c r="H70" s="110" t="str">
        <f>HYPERLINK("https://clips.twitch.tv/LachrymoseCourteousDelicataSeemsGood","51.28")</f>
        <v>51.28</v>
      </c>
      <c r="I70" s="308" t="s">
        <v>4057</v>
      </c>
      <c r="J70" s="308" t="s">
        <v>719</v>
      </c>
      <c r="K70" s="169" t="s">
        <v>1419</v>
      </c>
      <c r="L70" s="308" t="s">
        <v>2959</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22" t="str">
        <f>HYPERLINK("https://clips.twitch.tv/BovineSecretiveTireItsBoshyTime","49.95")</f>
        <v>49.95</v>
      </c>
      <c r="BB70" s="177" t="s">
        <v>853</v>
      </c>
      <c r="BC70" s="125" t="str">
        <f>HYPERLINK("https://youtu.be/TzgOslc32vU","28.68")</f>
        <v>28.68</v>
      </c>
      <c r="BD70" s="177" t="s">
        <v>4065</v>
      </c>
      <c r="BE70" s="177" t="s">
        <v>3113</v>
      </c>
      <c r="BF70" s="176"/>
      <c r="BG70" s="176"/>
      <c r="BH70" s="177"/>
      <c r="BI70" s="176"/>
      <c r="BJ70" s="177" t="s">
        <v>1117</v>
      </c>
      <c r="BK70" s="177" t="s">
        <v>3903</v>
      </c>
      <c r="BL70" s="176"/>
      <c r="BM70" s="176"/>
      <c r="BN70" s="176"/>
      <c r="BO70" s="176"/>
      <c r="BP70" s="287"/>
      <c r="BQ70" s="178"/>
      <c r="BR70" s="179" t="s">
        <v>702</v>
      </c>
      <c r="BS70" s="178" t="s">
        <v>4066</v>
      </c>
      <c r="BT70" s="178" t="s">
        <v>633</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2446</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736</v>
      </c>
      <c r="D71" s="84" t="s">
        <v>1414</v>
      </c>
      <c r="E71" s="85" t="s">
        <v>1414</v>
      </c>
      <c r="F71" s="86" t="s">
        <v>4079</v>
      </c>
      <c r="G71" s="82" t="s">
        <v>3219</v>
      </c>
      <c r="H71" s="88" t="s">
        <v>3941</v>
      </c>
      <c r="I71" s="98"/>
      <c r="J71" s="98"/>
      <c r="K71" s="98"/>
      <c r="L71" s="93" t="s">
        <v>341</v>
      </c>
      <c r="M71" s="98"/>
      <c r="N71" s="98"/>
      <c r="O71" s="93" t="s">
        <v>4080</v>
      </c>
      <c r="P71" s="93" t="s">
        <v>3023</v>
      </c>
      <c r="Q71" s="97" t="s">
        <v>231</v>
      </c>
      <c r="R71" s="98"/>
      <c r="S71" s="98"/>
      <c r="T71" s="93" t="s">
        <v>2224</v>
      </c>
      <c r="U71" s="93" t="s">
        <v>3270</v>
      </c>
      <c r="V71" s="88" t="s">
        <v>1660</v>
      </c>
      <c r="W71" s="92"/>
      <c r="X71" s="98"/>
      <c r="Y71" s="93" t="s">
        <v>2389</v>
      </c>
      <c r="Z71" s="97" t="str">
        <f>HYPERLINK("https://youtu.be/esd_xoh2Wlk","14.77")</f>
        <v>14.77</v>
      </c>
      <c r="AA71" s="98"/>
      <c r="AB71" s="88" t="s">
        <v>3242</v>
      </c>
      <c r="AC71" s="93" t="s">
        <v>4081</v>
      </c>
      <c r="AD71" s="98"/>
      <c r="AE71" s="98"/>
      <c r="AF71" s="93" t="s">
        <v>3477</v>
      </c>
      <c r="AG71" s="93" t="s">
        <v>4082</v>
      </c>
      <c r="AH71" s="93"/>
      <c r="AI71" s="93" t="s">
        <v>4083</v>
      </c>
      <c r="AJ71" s="88" t="s">
        <v>3030</v>
      </c>
      <c r="AK71" s="92"/>
      <c r="AL71" s="98"/>
      <c r="AM71" s="98"/>
      <c r="AN71" s="88" t="s">
        <v>4084</v>
      </c>
      <c r="AO71" s="98"/>
      <c r="AP71" s="162" t="s">
        <v>368</v>
      </c>
      <c r="AQ71" s="88" t="s">
        <v>2406</v>
      </c>
      <c r="AR71" s="98"/>
      <c r="AS71" s="93" t="s">
        <v>3475</v>
      </c>
      <c r="AT71" s="93" t="s">
        <v>4085</v>
      </c>
      <c r="AU71" s="88" t="s">
        <v>956</v>
      </c>
      <c r="AV71" s="88" t="s">
        <v>1696</v>
      </c>
      <c r="AW71" s="98"/>
      <c r="AX71" s="98"/>
      <c r="AY71" s="98"/>
      <c r="AZ71" s="267"/>
      <c r="BA71" s="98"/>
      <c r="BB71" s="98"/>
      <c r="BC71" s="93"/>
      <c r="BD71" s="88" t="s">
        <v>3313</v>
      </c>
      <c r="BE71" s="98"/>
      <c r="BF71" s="88" t="s">
        <v>1923</v>
      </c>
      <c r="BG71" s="98"/>
      <c r="BH71" s="88" t="s">
        <v>2490</v>
      </c>
      <c r="BI71" s="98"/>
      <c r="BJ71" s="98"/>
      <c r="BK71" s="93" t="s">
        <v>2718</v>
      </c>
      <c r="BL71" s="98"/>
      <c r="BM71" s="98"/>
      <c r="BN71" s="98"/>
      <c r="BO71" s="93" t="s">
        <v>4086</v>
      </c>
      <c r="BP71" s="93"/>
      <c r="BQ71" s="98"/>
      <c r="BR71" s="98"/>
      <c r="BS71" s="93" t="s">
        <v>4087</v>
      </c>
      <c r="BT71" s="93" t="s">
        <v>4088</v>
      </c>
      <c r="BU71" s="98"/>
      <c r="BV71" s="93" t="s">
        <v>981</v>
      </c>
      <c r="BW71" s="98"/>
      <c r="BX71" s="98"/>
      <c r="BY71" s="98"/>
      <c r="BZ71" s="98"/>
      <c r="CA71" s="88" t="s">
        <v>4089</v>
      </c>
      <c r="CB71" s="93" t="s">
        <v>1768</v>
      </c>
      <c r="CC71" s="93" t="s">
        <v>366</v>
      </c>
      <c r="CD71" s="93" t="s">
        <v>4090</v>
      </c>
      <c r="CE71" s="96"/>
      <c r="CF71" s="93" t="s">
        <v>2895</v>
      </c>
      <c r="CG71" s="88" t="s">
        <v>3182</v>
      </c>
      <c r="CH71" s="301" t="s">
        <v>3946</v>
      </c>
      <c r="CI71" s="93" t="s">
        <v>2736</v>
      </c>
      <c r="CJ71" s="93" t="s">
        <v>3080</v>
      </c>
      <c r="CK71" s="93" t="s">
        <v>1085</v>
      </c>
      <c r="CL71" s="93" t="s">
        <v>4091</v>
      </c>
      <c r="CM71" s="98"/>
      <c r="CN71" s="98"/>
      <c r="CO71" s="162" t="s">
        <v>1815</v>
      </c>
      <c r="CP71" s="98"/>
      <c r="CQ71" s="98"/>
      <c r="CR71" s="93" t="s">
        <v>4092</v>
      </c>
      <c r="CS71" s="101"/>
      <c r="CT71" s="98"/>
      <c r="CU71" s="98"/>
      <c r="CV71" s="98"/>
      <c r="CW71" s="98"/>
      <c r="CX71" s="98"/>
      <c r="CY71" s="93" t="s">
        <v>2192</v>
      </c>
      <c r="CZ71" s="93" t="s">
        <v>2095</v>
      </c>
      <c r="DA71" s="98"/>
      <c r="DB71" s="87" t="s">
        <v>1777</v>
      </c>
      <c r="DC71" s="93"/>
      <c r="DD71" s="88" t="s">
        <v>193</v>
      </c>
      <c r="DE71" s="93" t="s">
        <v>4093</v>
      </c>
      <c r="DF71" s="96"/>
      <c r="DG71" s="98"/>
      <c r="DH71" s="98"/>
      <c r="DI71" s="98"/>
      <c r="DJ71" s="98"/>
      <c r="DK71" s="93" t="s">
        <v>521</v>
      </c>
      <c r="DL71" s="98"/>
      <c r="DM71" s="93" t="s">
        <v>1026</v>
      </c>
      <c r="DN71" s="93" t="s">
        <v>4094</v>
      </c>
      <c r="DO71" s="98"/>
      <c r="DP71" s="98"/>
      <c r="DQ71" s="88" t="s">
        <v>2192</v>
      </c>
      <c r="DR71" s="98"/>
      <c r="DS71" s="98"/>
      <c r="DT71" s="93" t="s">
        <v>2713</v>
      </c>
      <c r="DU71" s="98"/>
      <c r="DV71" s="98"/>
      <c r="DW71" s="93" t="s">
        <v>4095</v>
      </c>
      <c r="DX71" s="97" t="s">
        <v>2876</v>
      </c>
      <c r="DY71" s="97" t="str">
        <f>HYPERLINK("https://youtu.be/cSRvv7G0qWk","25.28")</f>
        <v>25.28</v>
      </c>
      <c r="DZ71" s="93" t="s">
        <v>4096</v>
      </c>
      <c r="EA71" s="93" t="s">
        <v>4097</v>
      </c>
      <c r="EB71" s="300"/>
    </row>
    <row r="72">
      <c r="A72" s="168" t="s">
        <v>4098</v>
      </c>
      <c r="B72" s="103" t="s">
        <v>4099</v>
      </c>
      <c r="C72" s="104" t="s">
        <v>736</v>
      </c>
      <c r="D72" s="105" t="s">
        <v>1414</v>
      </c>
      <c r="E72" s="106" t="s">
        <v>1414</v>
      </c>
      <c r="F72" s="107" t="s">
        <v>538</v>
      </c>
      <c r="G72" s="103" t="s">
        <v>3219</v>
      </c>
      <c r="H72" s="169" t="s">
        <v>678</v>
      </c>
      <c r="I72" s="308" t="s">
        <v>4100</v>
      </c>
      <c r="J72" s="308" t="s">
        <v>4101</v>
      </c>
      <c r="K72" s="169" t="s">
        <v>2692</v>
      </c>
      <c r="L72" s="308" t="s">
        <v>4102</v>
      </c>
      <c r="M72" s="226"/>
      <c r="N72" s="308" t="s">
        <v>4103</v>
      </c>
      <c r="O72" s="308" t="s">
        <v>4104</v>
      </c>
      <c r="P72" s="169" t="s">
        <v>107</v>
      </c>
      <c r="Q72" s="226"/>
      <c r="R72" s="226"/>
      <c r="S72" s="169" t="s">
        <v>4105</v>
      </c>
      <c r="T72" s="169" t="s">
        <v>1620</v>
      </c>
      <c r="U72" s="226"/>
      <c r="V72" s="226"/>
      <c r="W72" s="92"/>
      <c r="X72" s="201" t="s">
        <v>4106</v>
      </c>
      <c r="Y72" s="201" t="s">
        <v>3745</v>
      </c>
      <c r="Z72" s="201" t="s">
        <v>3711</v>
      </c>
      <c r="AA72" s="201" t="s">
        <v>4107</v>
      </c>
      <c r="AB72" s="201" t="s">
        <v>3364</v>
      </c>
      <c r="AC72" s="201" t="s">
        <v>4108</v>
      </c>
      <c r="AD72" s="284"/>
      <c r="AE72" s="201"/>
      <c r="AF72" s="201" t="s">
        <v>3314</v>
      </c>
      <c r="AG72" s="284"/>
      <c r="AH72" s="201"/>
      <c r="AI72" s="201" t="s">
        <v>2610</v>
      </c>
      <c r="AJ72" s="284"/>
      <c r="AK72" s="92"/>
      <c r="AL72" s="171" t="s">
        <v>850</v>
      </c>
      <c r="AM72" s="171" t="s">
        <v>4109</v>
      </c>
      <c r="AN72" s="274"/>
      <c r="AO72" s="171" t="s">
        <v>4110</v>
      </c>
      <c r="AP72" s="274"/>
      <c r="AQ72" s="274"/>
      <c r="AR72" s="274"/>
      <c r="AS72" s="274"/>
      <c r="AT72" s="171" t="s">
        <v>4111</v>
      </c>
      <c r="AU72" s="171" t="s">
        <v>1277</v>
      </c>
      <c r="AV72" s="171"/>
      <c r="AW72" s="274"/>
      <c r="AX72" s="171" t="s">
        <v>127</v>
      </c>
      <c r="AY72" s="274"/>
      <c r="AZ72" s="275"/>
      <c r="BA72" s="177" t="s">
        <v>4112</v>
      </c>
      <c r="BB72" s="177" t="s">
        <v>443</v>
      </c>
      <c r="BC72" s="177" t="s">
        <v>2981</v>
      </c>
      <c r="BD72" s="353" t="s">
        <v>4113</v>
      </c>
      <c r="BE72" s="177" t="s">
        <v>1770</v>
      </c>
      <c r="BF72" s="176"/>
      <c r="BG72" s="176"/>
      <c r="BH72" s="177" t="s">
        <v>1391</v>
      </c>
      <c r="BI72" s="177"/>
      <c r="BJ72" s="177"/>
      <c r="BK72" s="177" t="s">
        <v>1908</v>
      </c>
      <c r="BL72" s="176"/>
      <c r="BM72" s="177" t="s">
        <v>2900</v>
      </c>
      <c r="BN72" s="177" t="s">
        <v>4114</v>
      </c>
      <c r="BO72" s="176"/>
      <c r="BP72" s="287"/>
      <c r="BQ72" s="178"/>
      <c r="BR72" s="179" t="s">
        <v>4115</v>
      </c>
      <c r="BS72" s="178" t="s">
        <v>3633</v>
      </c>
      <c r="BT72" s="178" t="s">
        <v>4116</v>
      </c>
      <c r="BU72" s="178" t="s">
        <v>4117</v>
      </c>
      <c r="BV72" s="178" t="s">
        <v>733</v>
      </c>
      <c r="BW72" s="289" t="s">
        <v>4118</v>
      </c>
      <c r="BX72" s="290"/>
      <c r="BY72" s="178" t="s">
        <v>4119</v>
      </c>
      <c r="BZ72" s="178" t="s">
        <v>2339</v>
      </c>
      <c r="CA72" s="179" t="s">
        <v>4120</v>
      </c>
      <c r="CB72" s="178" t="s">
        <v>4121</v>
      </c>
      <c r="CC72" s="178" t="s">
        <v>685</v>
      </c>
      <c r="CD72" s="290"/>
      <c r="CE72" s="291"/>
      <c r="CF72" s="318" t="s">
        <v>4122</v>
      </c>
      <c r="CG72" s="180" t="s">
        <v>4123</v>
      </c>
      <c r="CH72" s="318"/>
      <c r="CI72" s="137" t="s">
        <v>4124</v>
      </c>
      <c r="CJ72" s="138"/>
      <c r="CK72" s="180" t="s">
        <v>2721</v>
      </c>
      <c r="CL72" s="180" t="s">
        <v>1545</v>
      </c>
      <c r="CM72" s="180" t="s">
        <v>3023</v>
      </c>
      <c r="CN72" s="278"/>
      <c r="CO72" s="278"/>
      <c r="CP72" s="278"/>
      <c r="CQ72" s="278"/>
      <c r="CR72" s="278"/>
      <c r="CS72" s="101"/>
      <c r="CT72" s="209" t="s">
        <v>4125</v>
      </c>
      <c r="CU72" s="279"/>
      <c r="CV72" s="209" t="s">
        <v>1610</v>
      </c>
      <c r="CW72" s="209" t="s">
        <v>4126</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4127</v>
      </c>
      <c r="DQ72" s="210"/>
      <c r="DR72" s="280"/>
      <c r="DS72" s="280"/>
      <c r="DT72" s="210" t="s">
        <v>1892</v>
      </c>
      <c r="DU72" s="280"/>
      <c r="DV72" s="280"/>
      <c r="DW72" s="280"/>
      <c r="DX72" s="280"/>
      <c r="DY72" s="210" t="s">
        <v>887</v>
      </c>
      <c r="DZ72" s="280"/>
      <c r="EA72" s="280"/>
      <c r="EB72" s="324"/>
    </row>
    <row r="73">
      <c r="A73" s="81" t="s">
        <v>4128</v>
      </c>
      <c r="B73" s="82" t="s">
        <v>4129</v>
      </c>
      <c r="C73" s="83" t="s">
        <v>1414</v>
      </c>
      <c r="D73" s="84" t="s">
        <v>1414</v>
      </c>
      <c r="E73" s="85" t="s">
        <v>1414</v>
      </c>
      <c r="F73" s="86" t="s">
        <v>1414</v>
      </c>
      <c r="G73" s="82" t="s">
        <v>3400</v>
      </c>
      <c r="H73" s="93"/>
      <c r="I73" s="93" t="s">
        <v>4130</v>
      </c>
      <c r="J73" s="93" t="s">
        <v>4131</v>
      </c>
      <c r="K73" s="93" t="s">
        <v>1807</v>
      </c>
      <c r="L73" s="93" t="s">
        <v>3299</v>
      </c>
      <c r="M73" s="93" t="s">
        <v>4132</v>
      </c>
      <c r="N73" s="93" t="s">
        <v>4133</v>
      </c>
      <c r="O73" s="93" t="s">
        <v>3945</v>
      </c>
      <c r="P73" s="93" t="s">
        <v>4134</v>
      </c>
      <c r="Q73" s="98"/>
      <c r="R73" s="98"/>
      <c r="S73" s="98"/>
      <c r="T73" s="98"/>
      <c r="U73" s="98"/>
      <c r="V73" s="98"/>
      <c r="W73" s="92"/>
      <c r="X73" s="93" t="s">
        <v>1592</v>
      </c>
      <c r="Y73" s="93" t="s">
        <v>4135</v>
      </c>
      <c r="Z73" s="93" t="s">
        <v>4136</v>
      </c>
      <c r="AA73" s="93" t="s">
        <v>4137</v>
      </c>
      <c r="AB73" s="93" t="s">
        <v>1696</v>
      </c>
      <c r="AC73" s="93" t="s">
        <v>4138</v>
      </c>
      <c r="AD73" s="98"/>
      <c r="AE73" s="300" t="s">
        <v>1343</v>
      </c>
      <c r="AF73" s="93" t="s">
        <v>3622</v>
      </c>
      <c r="AG73" s="98"/>
      <c r="AH73" s="98"/>
      <c r="AI73" s="98"/>
      <c r="AJ73" s="98"/>
      <c r="AK73" s="92"/>
      <c r="AL73" s="98"/>
      <c r="AM73" s="98"/>
      <c r="AN73" s="98"/>
      <c r="AO73" s="98"/>
      <c r="AP73" s="98"/>
      <c r="AQ73" s="98"/>
      <c r="AR73" s="98"/>
      <c r="AS73" s="98"/>
      <c r="AT73" s="93" t="s">
        <v>1546</v>
      </c>
      <c r="AU73" s="93" t="s">
        <v>4139</v>
      </c>
      <c r="AV73" s="98"/>
      <c r="AW73" s="98"/>
      <c r="AX73" s="98"/>
      <c r="AY73" s="98"/>
      <c r="AZ73" s="267"/>
      <c r="BA73" s="300" t="s">
        <v>2388</v>
      </c>
      <c r="BB73" s="93" t="s">
        <v>2402</v>
      </c>
      <c r="BC73" s="93" t="s">
        <v>3034</v>
      </c>
      <c r="BD73" s="93" t="s">
        <v>4140</v>
      </c>
      <c r="BE73" s="93" t="s">
        <v>4141</v>
      </c>
      <c r="BF73" s="93" t="s">
        <v>4142</v>
      </c>
      <c r="BG73" s="98"/>
      <c r="BH73" s="93" t="s">
        <v>2750</v>
      </c>
      <c r="BI73" s="93" t="s">
        <v>4143</v>
      </c>
      <c r="BJ73" s="93" t="s">
        <v>4144</v>
      </c>
      <c r="BK73" s="93" t="s">
        <v>3495</v>
      </c>
      <c r="BL73" s="98"/>
      <c r="BM73" s="98"/>
      <c r="BN73" s="98"/>
      <c r="BO73" s="98"/>
      <c r="BP73" s="267"/>
      <c r="BQ73" s="93" t="s">
        <v>4145</v>
      </c>
      <c r="BR73" s="93" t="s">
        <v>4146</v>
      </c>
      <c r="BS73" s="93" t="s">
        <v>3633</v>
      </c>
      <c r="BT73" s="93" t="s">
        <v>2937</v>
      </c>
      <c r="BU73" s="93" t="s">
        <v>847</v>
      </c>
      <c r="BV73" s="93" t="s">
        <v>4147</v>
      </c>
      <c r="BW73" s="93" t="s">
        <v>4148</v>
      </c>
      <c r="BX73" s="93" t="s">
        <v>4149</v>
      </c>
      <c r="BY73" s="93" t="s">
        <v>4150</v>
      </c>
      <c r="BZ73" s="93" t="s">
        <v>3290</v>
      </c>
      <c r="CA73" s="98"/>
      <c r="CB73" s="98"/>
      <c r="CC73" s="98"/>
      <c r="CD73" s="98"/>
      <c r="CE73" s="267"/>
      <c r="CF73" s="93" t="s">
        <v>2152</v>
      </c>
      <c r="CG73" s="93" t="s">
        <v>3032</v>
      </c>
      <c r="CH73" s="93" t="s">
        <v>511</v>
      </c>
      <c r="CI73" s="93" t="s">
        <v>4151</v>
      </c>
      <c r="CJ73" s="93" t="s">
        <v>4152</v>
      </c>
      <c r="CK73" s="93" t="s">
        <v>549</v>
      </c>
      <c r="CL73" s="93" t="s">
        <v>3936</v>
      </c>
      <c r="CM73" s="93" t="s">
        <v>3395</v>
      </c>
      <c r="CN73" s="98"/>
      <c r="CO73" s="98"/>
      <c r="CP73" s="98"/>
      <c r="CQ73" s="98"/>
      <c r="CR73" s="98"/>
      <c r="CS73" s="101"/>
      <c r="CT73" s="93" t="s">
        <v>4153</v>
      </c>
      <c r="CU73" s="93" t="s">
        <v>4154</v>
      </c>
      <c r="CV73" s="93" t="s">
        <v>4155</v>
      </c>
      <c r="CW73" s="93" t="s">
        <v>4156</v>
      </c>
      <c r="CX73" s="93" t="s">
        <v>4157</v>
      </c>
      <c r="CY73" s="93" t="s">
        <v>814</v>
      </c>
      <c r="CZ73" s="93" t="s">
        <v>2602</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1414</v>
      </c>
      <c r="D74" s="105" t="s">
        <v>1414</v>
      </c>
      <c r="E74" s="106" t="s">
        <v>1414</v>
      </c>
      <c r="F74" s="107" t="s">
        <v>1641</v>
      </c>
      <c r="G74" s="103" t="s">
        <v>913</v>
      </c>
      <c r="H74" s="305" t="s">
        <v>4163</v>
      </c>
      <c r="I74" s="112" t="s">
        <v>4164</v>
      </c>
      <c r="J74" s="112" t="s">
        <v>3316</v>
      </c>
      <c r="K74" s="112" t="s">
        <v>1419</v>
      </c>
      <c r="L74" s="112" t="s">
        <v>2823</v>
      </c>
      <c r="M74" s="112" t="s">
        <v>4165</v>
      </c>
      <c r="N74" s="112" t="s">
        <v>4166</v>
      </c>
      <c r="O74" s="112" t="s">
        <v>3383</v>
      </c>
      <c r="P74" s="112" t="s">
        <v>3511</v>
      </c>
      <c r="Q74" s="226"/>
      <c r="R74" s="226"/>
      <c r="S74" s="169" t="s">
        <v>4167</v>
      </c>
      <c r="T74" s="226"/>
      <c r="U74" s="169" t="s">
        <v>1428</v>
      </c>
      <c r="V74" s="226"/>
      <c r="W74" s="92"/>
      <c r="X74" s="201" t="s">
        <v>2656</v>
      </c>
      <c r="Y74" s="116" t="s">
        <v>4168</v>
      </c>
      <c r="Z74" s="116" t="s">
        <v>4169</v>
      </c>
      <c r="AA74" s="200" t="s">
        <v>1181</v>
      </c>
      <c r="AB74" s="116" t="s">
        <v>629</v>
      </c>
      <c r="AC74" s="116" t="s">
        <v>4170</v>
      </c>
      <c r="AD74" s="284"/>
      <c r="AE74" s="116" t="s">
        <v>4171</v>
      </c>
      <c r="AF74" s="116" t="s">
        <v>3625</v>
      </c>
      <c r="AG74" s="284"/>
      <c r="AH74" s="284"/>
      <c r="AI74" s="201" t="s">
        <v>1795</v>
      </c>
      <c r="AJ74" s="284"/>
      <c r="AK74" s="92"/>
      <c r="AL74" s="171" t="s">
        <v>195</v>
      </c>
      <c r="AM74" s="121" t="s">
        <v>3077</v>
      </c>
      <c r="AN74" s="431" t="s">
        <v>4172</v>
      </c>
      <c r="AO74" s="274"/>
      <c r="AP74" s="274"/>
      <c r="AQ74" s="274"/>
      <c r="AR74" s="274"/>
      <c r="AS74" s="274"/>
      <c r="AT74" s="121" t="s">
        <v>1572</v>
      </c>
      <c r="AU74" s="121" t="s">
        <v>4173</v>
      </c>
      <c r="AV74" s="274"/>
      <c r="AW74" s="274"/>
      <c r="AX74" s="121" t="s">
        <v>4174</v>
      </c>
      <c r="AY74" s="121" t="s">
        <v>4175</v>
      </c>
      <c r="AZ74" s="275"/>
      <c r="BA74" s="177"/>
      <c r="BB74" s="127" t="s">
        <v>4176</v>
      </c>
      <c r="BC74" s="127" t="s">
        <v>2627</v>
      </c>
      <c r="BD74" s="127" t="s">
        <v>4177</v>
      </c>
      <c r="BE74" s="177" t="s">
        <v>4178</v>
      </c>
      <c r="BF74" s="177" t="s">
        <v>436</v>
      </c>
      <c r="BG74" s="177" t="s">
        <v>4179</v>
      </c>
      <c r="BH74" s="340" t="s">
        <v>1384</v>
      </c>
      <c r="BI74" s="177"/>
      <c r="BJ74" s="177" t="s">
        <v>4180</v>
      </c>
      <c r="BK74" s="127" t="s">
        <v>4181</v>
      </c>
      <c r="BL74" s="177"/>
      <c r="BM74" s="177" t="s">
        <v>1345</v>
      </c>
      <c r="BN74" s="177" t="s">
        <v>4182</v>
      </c>
      <c r="BO74" s="177" t="s">
        <v>4183</v>
      </c>
      <c r="BP74" s="287"/>
      <c r="BQ74" s="178" t="s">
        <v>4184</v>
      </c>
      <c r="BR74" s="132" t="s">
        <v>4185</v>
      </c>
      <c r="BS74" s="132" t="s">
        <v>4186</v>
      </c>
      <c r="BT74" s="132" t="s">
        <v>2952</v>
      </c>
      <c r="BU74" s="132" t="s">
        <v>3113</v>
      </c>
      <c r="BV74" s="132" t="s">
        <v>1375</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2701</v>
      </c>
      <c r="CK74" s="180" t="s">
        <v>4198</v>
      </c>
      <c r="CL74" s="432" t="s">
        <v>3369</v>
      </c>
      <c r="CM74" s="278"/>
      <c r="CN74" s="278"/>
      <c r="CO74" s="137" t="s">
        <v>4199</v>
      </c>
      <c r="CP74" s="278"/>
      <c r="CQ74" s="137" t="s">
        <v>4200</v>
      </c>
      <c r="CR74" s="278"/>
      <c r="CS74" s="101"/>
      <c r="CT74" s="209" t="s">
        <v>1351</v>
      </c>
      <c r="CU74" s="142" t="s">
        <v>1605</v>
      </c>
      <c r="CV74" s="142" t="s">
        <v>1515</v>
      </c>
      <c r="CW74" s="142" t="s">
        <v>2579</v>
      </c>
      <c r="CX74" s="209" t="s">
        <v>4201</v>
      </c>
      <c r="CY74" s="333" t="s">
        <v>4202</v>
      </c>
      <c r="CZ74" s="373" t="s">
        <v>4203</v>
      </c>
      <c r="DA74" s="142" t="s">
        <v>1662</v>
      </c>
      <c r="DB74" s="279"/>
      <c r="DC74" s="142" t="s">
        <v>4204</v>
      </c>
      <c r="DD74" s="209" t="s">
        <v>4205</v>
      </c>
      <c r="DE74" s="279"/>
      <c r="DF74" s="292"/>
      <c r="DG74" s="210" t="s">
        <v>941</v>
      </c>
      <c r="DH74" s="280"/>
      <c r="DI74" s="280"/>
      <c r="DJ74" s="280"/>
      <c r="DK74" s="147" t="s">
        <v>503</v>
      </c>
      <c r="DL74" s="210" t="s">
        <v>1938</v>
      </c>
      <c r="DM74" s="147" t="s">
        <v>1868</v>
      </c>
      <c r="DN74" s="210" t="s">
        <v>889</v>
      </c>
      <c r="DO74" s="280"/>
      <c r="DP74" s="210" t="s">
        <v>4206</v>
      </c>
      <c r="DQ74" s="280"/>
      <c r="DR74" s="210" t="s">
        <v>418</v>
      </c>
      <c r="DS74" s="147" t="s">
        <v>4207</v>
      </c>
      <c r="DT74" s="210" t="s">
        <v>1705</v>
      </c>
      <c r="DU74" s="212" t="s">
        <v>3214</v>
      </c>
      <c r="DV74" s="280"/>
      <c r="DW74" s="212" t="s">
        <v>297</v>
      </c>
      <c r="DX74" s="210" t="s">
        <v>4208</v>
      </c>
      <c r="DY74" s="210" t="s">
        <v>4209</v>
      </c>
      <c r="DZ74" s="147" t="s">
        <v>4029</v>
      </c>
      <c r="EA74" s="147" t="s">
        <v>1875</v>
      </c>
      <c r="EB74" s="144" t="s">
        <v>2954</v>
      </c>
    </row>
    <row r="75">
      <c r="A75" s="523" t="s">
        <v>4210</v>
      </c>
      <c r="B75" s="82" t="s">
        <v>4211</v>
      </c>
      <c r="C75" s="83" t="s">
        <v>1414</v>
      </c>
      <c r="D75" s="84" t="s">
        <v>1414</v>
      </c>
      <c r="E75" s="85" t="s">
        <v>1414</v>
      </c>
      <c r="F75" s="86" t="s">
        <v>736</v>
      </c>
      <c r="G75" s="82" t="s">
        <v>4212</v>
      </c>
      <c r="H75" s="93" t="s">
        <v>2109</v>
      </c>
      <c r="I75" s="93" t="s">
        <v>4213</v>
      </c>
      <c r="J75" s="93" t="s">
        <v>3328</v>
      </c>
      <c r="K75" s="93" t="s">
        <v>2228</v>
      </c>
      <c r="L75" s="93" t="s">
        <v>1180</v>
      </c>
      <c r="M75" s="93" t="s">
        <v>4214</v>
      </c>
      <c r="N75" s="93" t="s">
        <v>4215</v>
      </c>
      <c r="O75" s="93" t="s">
        <v>4216</v>
      </c>
      <c r="P75" s="93" t="s">
        <v>3023</v>
      </c>
      <c r="Q75" s="98"/>
      <c r="R75" s="98"/>
      <c r="S75" s="93" t="s">
        <v>1405</v>
      </c>
      <c r="T75" s="98"/>
      <c r="U75" s="93" t="s">
        <v>4217</v>
      </c>
      <c r="V75" s="98"/>
      <c r="W75" s="92"/>
      <c r="X75" s="93" t="s">
        <v>4218</v>
      </c>
      <c r="Y75" s="93" t="s">
        <v>4219</v>
      </c>
      <c r="Z75" s="93" t="s">
        <v>503</v>
      </c>
      <c r="AA75" s="93" t="s">
        <v>4220</v>
      </c>
      <c r="AB75" s="93" t="s">
        <v>3896</v>
      </c>
      <c r="AC75" s="93" t="s">
        <v>4221</v>
      </c>
      <c r="AD75" s="98"/>
      <c r="AE75" s="93" t="s">
        <v>2826</v>
      </c>
      <c r="AF75" s="93" t="s">
        <v>4222</v>
      </c>
      <c r="AG75" s="93" t="s">
        <v>4223</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4224</v>
      </c>
      <c r="BB75" s="93" t="s">
        <v>1297</v>
      </c>
      <c r="BC75" s="93" t="s">
        <v>292</v>
      </c>
      <c r="BD75" s="93" t="s">
        <v>4225</v>
      </c>
      <c r="BE75" s="93" t="s">
        <v>4226</v>
      </c>
      <c r="BF75" s="93" t="s">
        <v>1361</v>
      </c>
      <c r="BG75" s="98"/>
      <c r="BH75" s="93" t="s">
        <v>2163</v>
      </c>
      <c r="BI75" s="93" t="s">
        <v>4227</v>
      </c>
      <c r="BJ75" s="98"/>
      <c r="BK75" s="93" t="s">
        <v>2449</v>
      </c>
      <c r="BL75" s="98"/>
      <c r="BM75" s="98"/>
      <c r="BN75" s="93" t="s">
        <v>4228</v>
      </c>
      <c r="BO75" s="98"/>
      <c r="BP75" s="267"/>
      <c r="BQ75" s="93" t="s">
        <v>4229</v>
      </c>
      <c r="BR75" s="346" t="s">
        <v>3191</v>
      </c>
      <c r="BS75" s="346" t="s">
        <v>4230</v>
      </c>
      <c r="BT75" s="346" t="s">
        <v>4231</v>
      </c>
      <c r="BU75" s="349" t="s">
        <v>1968</v>
      </c>
      <c r="BV75" s="346" t="s">
        <v>1638</v>
      </c>
      <c r="BW75" s="88" t="s">
        <v>4232</v>
      </c>
      <c r="BX75" s="93" t="s">
        <v>4233</v>
      </c>
      <c r="BY75" s="98"/>
      <c r="BZ75" s="93" t="s">
        <v>4234</v>
      </c>
      <c r="CA75" s="98"/>
      <c r="CB75" s="98"/>
      <c r="CC75" s="98"/>
      <c r="CD75" s="98"/>
      <c r="CE75" s="267"/>
      <c r="CF75" s="346" t="s">
        <v>4235</v>
      </c>
      <c r="CG75" s="349" t="s">
        <v>1384</v>
      </c>
      <c r="CH75" s="346" t="s">
        <v>4236</v>
      </c>
      <c r="CI75" s="349" t="s">
        <v>4237</v>
      </c>
      <c r="CJ75" s="349" t="s">
        <v>543</v>
      </c>
      <c r="CK75" s="346" t="s">
        <v>4238</v>
      </c>
      <c r="CL75" s="349" t="s">
        <v>1610</v>
      </c>
      <c r="CM75" s="346" t="s">
        <v>2434</v>
      </c>
      <c r="CN75" s="98"/>
      <c r="CO75" s="98"/>
      <c r="CP75" s="98"/>
      <c r="CQ75" s="98"/>
      <c r="CR75" s="98"/>
      <c r="CS75" s="101"/>
      <c r="CT75" s="346" t="s">
        <v>4137</v>
      </c>
      <c r="CU75" s="349" t="s">
        <v>2580</v>
      </c>
      <c r="CV75" s="346" t="s">
        <v>1564</v>
      </c>
      <c r="CW75" s="346" t="s">
        <v>2970</v>
      </c>
      <c r="CX75" s="346" t="s">
        <v>4239</v>
      </c>
      <c r="CY75" s="346" t="s">
        <v>1564</v>
      </c>
      <c r="CZ75" s="349" t="s">
        <v>4240</v>
      </c>
      <c r="DA75" s="346" t="s">
        <v>4241</v>
      </c>
      <c r="DB75" s="98"/>
      <c r="DC75" s="98"/>
      <c r="DD75" s="98"/>
      <c r="DE75" s="98"/>
      <c r="DF75" s="267"/>
      <c r="DG75" s="346"/>
      <c r="DH75" s="346"/>
      <c r="DI75" s="346"/>
      <c r="DJ75" s="346"/>
      <c r="DK75" s="346"/>
      <c r="DL75" s="93" t="s">
        <v>4242</v>
      </c>
      <c r="DM75" s="346"/>
      <c r="DN75" s="346"/>
      <c r="DO75" s="93" t="s">
        <v>3741</v>
      </c>
      <c r="DP75" s="93" t="s">
        <v>4243</v>
      </c>
      <c r="DQ75" s="93" t="s">
        <v>4244</v>
      </c>
      <c r="DR75" s="93" t="s">
        <v>3477</v>
      </c>
      <c r="DS75" s="93" t="s">
        <v>2958</v>
      </c>
      <c r="DT75" s="346"/>
      <c r="DU75" s="346"/>
      <c r="DV75" s="98"/>
      <c r="DW75" s="93" t="s">
        <v>4245</v>
      </c>
      <c r="DX75" s="346"/>
      <c r="DY75" s="346"/>
      <c r="DZ75" s="346"/>
      <c r="EA75" s="93" t="s">
        <v>4246</v>
      </c>
      <c r="EB75" s="349" t="s">
        <v>4247</v>
      </c>
    </row>
    <row r="76">
      <c r="A76" s="168" t="s">
        <v>4248</v>
      </c>
      <c r="B76" s="103" t="s">
        <v>4249</v>
      </c>
      <c r="C76" s="104" t="s">
        <v>1414</v>
      </c>
      <c r="D76" s="105" t="s">
        <v>1414</v>
      </c>
      <c r="E76" s="106" t="s">
        <v>1414</v>
      </c>
      <c r="F76" s="107" t="s">
        <v>329</v>
      </c>
      <c r="G76" s="103" t="s">
        <v>2885</v>
      </c>
      <c r="H76" s="169"/>
      <c r="I76" s="112" t="s">
        <v>3381</v>
      </c>
      <c r="J76" s="226" t="s">
        <v>1553</v>
      </c>
      <c r="K76" s="305" t="s">
        <v>4250</v>
      </c>
      <c r="L76" s="112" t="s">
        <v>879</v>
      </c>
      <c r="M76" s="367" t="s">
        <v>1644</v>
      </c>
      <c r="N76" s="226"/>
      <c r="O76" s="308" t="s">
        <v>4251</v>
      </c>
      <c r="P76" s="112" t="s">
        <v>3023</v>
      </c>
      <c r="Q76" s="226"/>
      <c r="R76" s="169"/>
      <c r="S76" s="169"/>
      <c r="T76" s="226"/>
      <c r="U76" s="226"/>
      <c r="V76" s="226"/>
      <c r="W76" s="92"/>
      <c r="X76" s="116" t="s">
        <v>1575</v>
      </c>
      <c r="Y76" s="201" t="s">
        <v>4219</v>
      </c>
      <c r="Z76" s="116" t="s">
        <v>1427</v>
      </c>
      <c r="AA76" s="201" t="s">
        <v>4252</v>
      </c>
      <c r="AB76" s="116" t="s">
        <v>3541</v>
      </c>
      <c r="AC76" s="201" t="s">
        <v>3047</v>
      </c>
      <c r="AD76" s="284"/>
      <c r="AE76" s="201"/>
      <c r="AF76" s="284"/>
      <c r="AG76" s="284"/>
      <c r="AH76" s="284"/>
      <c r="AI76" s="284"/>
      <c r="AJ76" s="284"/>
      <c r="AK76" s="92"/>
      <c r="AL76" s="274"/>
      <c r="AM76" s="274"/>
      <c r="AN76" s="171" t="s">
        <v>4253</v>
      </c>
      <c r="AO76" s="274"/>
      <c r="AP76" s="274"/>
      <c r="AQ76" s="274"/>
      <c r="AR76" s="274"/>
      <c r="AS76" s="171" t="s">
        <v>1645</v>
      </c>
      <c r="AT76" s="173" t="s">
        <v>4254</v>
      </c>
      <c r="AU76" s="274"/>
      <c r="AV76" s="274"/>
      <c r="AW76" s="274"/>
      <c r="AX76" s="274"/>
      <c r="AY76" s="274"/>
      <c r="AZ76" s="275"/>
      <c r="BA76" s="176"/>
      <c r="BB76" s="176"/>
      <c r="BC76" s="177" t="s">
        <v>1355</v>
      </c>
      <c r="BD76" s="127" t="s">
        <v>4255</v>
      </c>
      <c r="BE76" s="177" t="s">
        <v>4256</v>
      </c>
      <c r="BF76" s="176"/>
      <c r="BG76" s="176"/>
      <c r="BH76" s="177" t="s">
        <v>1354</v>
      </c>
      <c r="BI76" s="177" t="s">
        <v>4257</v>
      </c>
      <c r="BJ76" s="177"/>
      <c r="BK76" s="176"/>
      <c r="BL76" s="176"/>
      <c r="BM76" s="176"/>
      <c r="BN76" s="176"/>
      <c r="BO76" s="176"/>
      <c r="BP76" s="287"/>
      <c r="BQ76" s="178" t="s">
        <v>4258</v>
      </c>
      <c r="BR76" s="179" t="s">
        <v>4146</v>
      </c>
      <c r="BS76" s="178" t="s">
        <v>2722</v>
      </c>
      <c r="BT76" s="132" t="s">
        <v>3292</v>
      </c>
      <c r="BU76" s="290"/>
      <c r="BV76" s="132" t="s">
        <v>312</v>
      </c>
      <c r="BW76" s="290"/>
      <c r="BX76" s="178" t="s">
        <v>4259</v>
      </c>
      <c r="BY76" s="290"/>
      <c r="BZ76" s="290"/>
      <c r="CA76" s="290"/>
      <c r="CB76" s="290"/>
      <c r="CC76" s="290"/>
      <c r="CD76" s="290"/>
      <c r="CE76" s="291"/>
      <c r="CF76" s="180" t="s">
        <v>658</v>
      </c>
      <c r="CG76" s="135" t="str">
        <f>HYPERLINK("https://www.youtube.com/watch?v=UbZGpsQP5wY","28.32")</f>
        <v>28.32</v>
      </c>
      <c r="CH76" s="180" t="s">
        <v>4260</v>
      </c>
      <c r="CI76" s="278"/>
      <c r="CJ76" s="278"/>
      <c r="CK76" s="180" t="s">
        <v>283</v>
      </c>
      <c r="CL76" s="137" t="s">
        <v>1145</v>
      </c>
      <c r="CM76" s="137" t="s">
        <v>4261</v>
      </c>
      <c r="CN76" s="278"/>
      <c r="CO76" s="278"/>
      <c r="CP76" s="278"/>
      <c r="CQ76" s="278"/>
      <c r="CR76" s="278"/>
      <c r="CS76" s="101"/>
      <c r="CT76" s="209" t="s">
        <v>3792</v>
      </c>
      <c r="CU76" s="279"/>
      <c r="CV76" s="356" t="s">
        <v>752</v>
      </c>
      <c r="CW76" s="209" t="s">
        <v>3439</v>
      </c>
      <c r="CX76" s="209" t="s">
        <v>1774</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24" t="s">
        <v>4263</v>
      </c>
      <c r="B77" s="82" t="s">
        <v>4264</v>
      </c>
      <c r="C77" s="83" t="s">
        <v>1414</v>
      </c>
      <c r="D77" s="84" t="s">
        <v>1414</v>
      </c>
      <c r="E77" s="85" t="s">
        <v>736</v>
      </c>
      <c r="F77" s="86" t="s">
        <v>985</v>
      </c>
      <c r="G77" s="82" t="s">
        <v>4265</v>
      </c>
      <c r="H77" s="93" t="s">
        <v>4266</v>
      </c>
      <c r="I77" s="93" t="s">
        <v>1091</v>
      </c>
      <c r="J77" s="93" t="s">
        <v>1579</v>
      </c>
      <c r="K77" s="93" t="s">
        <v>1807</v>
      </c>
      <c r="L77" s="93" t="s">
        <v>1431</v>
      </c>
      <c r="M77" s="93" t="s">
        <v>1769</v>
      </c>
      <c r="N77" s="93" t="s">
        <v>4267</v>
      </c>
      <c r="O77" s="213" t="s">
        <v>551</v>
      </c>
      <c r="P77" s="93" t="s">
        <v>3259</v>
      </c>
      <c r="Q77" s="93" t="s">
        <v>4268</v>
      </c>
      <c r="R77" s="88" t="s">
        <v>1646</v>
      </c>
      <c r="S77" s="97" t="str">
        <f>HYPERLINK("https://www.youtube.com/watch?v=LyUwSuOy_jk","39.79")</f>
        <v>39.79</v>
      </c>
      <c r="T77" s="93" t="s">
        <v>4269</v>
      </c>
      <c r="U77" s="93" t="s">
        <v>2899</v>
      </c>
      <c r="V77" s="93" t="s">
        <v>4270</v>
      </c>
      <c r="W77" s="92"/>
      <c r="X77" s="93" t="s">
        <v>4271</v>
      </c>
      <c r="Y77" s="93" t="s">
        <v>4272</v>
      </c>
      <c r="Z77" s="93" t="s">
        <v>2232</v>
      </c>
      <c r="AA77" s="93" t="s">
        <v>2737</v>
      </c>
      <c r="AB77" s="93" t="s">
        <v>1818</v>
      </c>
      <c r="AC77" s="93" t="s">
        <v>562</v>
      </c>
      <c r="AD77" s="88" t="s">
        <v>4273</v>
      </c>
      <c r="AE77" s="93" t="s">
        <v>3175</v>
      </c>
      <c r="AF77" s="93" t="s">
        <v>4274</v>
      </c>
      <c r="AG77" s="88" t="s">
        <v>123</v>
      </c>
      <c r="AH77" s="99" t="s">
        <v>4275</v>
      </c>
      <c r="AI77" s="97" t="str">
        <f>HYPERLINK("https://youtu.be/S7FHDfAKU7I","1:00.88")</f>
        <v>1:00.88</v>
      </c>
      <c r="AJ77" s="93" t="s">
        <v>4276</v>
      </c>
      <c r="AK77" s="92"/>
      <c r="AL77" s="93" t="s">
        <v>4277</v>
      </c>
      <c r="AM77" s="88" t="s">
        <v>3162</v>
      </c>
      <c r="AN77" s="93" t="s">
        <v>4278</v>
      </c>
      <c r="AO77" s="88" t="s">
        <v>4279</v>
      </c>
      <c r="AP77" s="93" t="s">
        <v>4280</v>
      </c>
      <c r="AQ77" s="93" t="s">
        <v>858</v>
      </c>
      <c r="AR77" s="93" t="s">
        <v>4281</v>
      </c>
      <c r="AS77" s="93" t="s">
        <v>4282</v>
      </c>
      <c r="AT77" s="213" t="s">
        <v>2976</v>
      </c>
      <c r="AU77" s="93" t="s">
        <v>2106</v>
      </c>
      <c r="AV77" s="93" t="s">
        <v>1109</v>
      </c>
      <c r="AW77" s="93" t="s">
        <v>853</v>
      </c>
      <c r="AX77" s="93" t="s">
        <v>2760</v>
      </c>
      <c r="AY77" s="93" t="s">
        <v>4283</v>
      </c>
      <c r="AZ77" s="267"/>
      <c r="BA77" s="93" t="s">
        <v>3602</v>
      </c>
      <c r="BB77" s="93" t="s">
        <v>1089</v>
      </c>
      <c r="BC77" s="93" t="s">
        <v>1012</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2289</v>
      </c>
      <c r="CZ77" s="213" t="s">
        <v>2198</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1414</v>
      </c>
      <c r="D78" s="105" t="s">
        <v>1414</v>
      </c>
      <c r="E78" s="106" t="s">
        <v>1414</v>
      </c>
      <c r="F78" s="107" t="s">
        <v>1414</v>
      </c>
      <c r="G78" s="103" t="s">
        <v>1059</v>
      </c>
      <c r="H78" s="169" t="s">
        <v>1353</v>
      </c>
      <c r="I78" s="169" t="s">
        <v>4290</v>
      </c>
      <c r="J78" s="169" t="s">
        <v>4291</v>
      </c>
      <c r="K78" s="169" t="s">
        <v>4292</v>
      </c>
      <c r="L78" s="169" t="s">
        <v>4293</v>
      </c>
      <c r="M78" s="169" t="s">
        <v>4294</v>
      </c>
      <c r="N78" s="169" t="s">
        <v>4295</v>
      </c>
      <c r="O78" s="169" t="s">
        <v>366</v>
      </c>
      <c r="P78" s="169" t="s">
        <v>3259</v>
      </c>
      <c r="Q78" s="226"/>
      <c r="R78" s="169" t="s">
        <v>617</v>
      </c>
      <c r="S78" s="169" t="s">
        <v>4296</v>
      </c>
      <c r="T78" s="226"/>
      <c r="U78" s="226"/>
      <c r="V78" s="169" t="s">
        <v>4297</v>
      </c>
      <c r="W78" s="92"/>
      <c r="X78" s="201" t="s">
        <v>4298</v>
      </c>
      <c r="Y78" s="201" t="s">
        <v>4299</v>
      </c>
      <c r="Z78" s="201" t="s">
        <v>2800</v>
      </c>
      <c r="AA78" s="201" t="s">
        <v>1027</v>
      </c>
      <c r="AB78" s="201" t="s">
        <v>629</v>
      </c>
      <c r="AC78" s="201" t="s">
        <v>4300</v>
      </c>
      <c r="AD78" s="201" t="s">
        <v>4301</v>
      </c>
      <c r="AE78" s="201" t="s">
        <v>4302</v>
      </c>
      <c r="AF78" s="201" t="s">
        <v>3968</v>
      </c>
      <c r="AG78" s="201" t="s">
        <v>4303</v>
      </c>
      <c r="AH78" s="201"/>
      <c r="AI78" s="201" t="s">
        <v>4304</v>
      </c>
      <c r="AJ78" s="201" t="s">
        <v>4305</v>
      </c>
      <c r="AK78" s="92"/>
      <c r="AL78" s="171" t="s">
        <v>1328</v>
      </c>
      <c r="AM78" s="171" t="s">
        <v>4306</v>
      </c>
      <c r="AN78" s="171" t="s">
        <v>4307</v>
      </c>
      <c r="AO78" s="171" t="s">
        <v>4308</v>
      </c>
      <c r="AP78" s="171" t="s">
        <v>4309</v>
      </c>
      <c r="AQ78" s="171"/>
      <c r="AR78" s="171" t="s">
        <v>1008</v>
      </c>
      <c r="AS78" s="171" t="s">
        <v>4310</v>
      </c>
      <c r="AT78" s="171" t="s">
        <v>323</v>
      </c>
      <c r="AU78" s="171" t="s">
        <v>4311</v>
      </c>
      <c r="AV78" s="171" t="s">
        <v>4312</v>
      </c>
      <c r="AW78" s="171" t="s">
        <v>1579</v>
      </c>
      <c r="AX78" s="171" t="s">
        <v>1553</v>
      </c>
      <c r="AY78" s="171" t="s">
        <v>4313</v>
      </c>
      <c r="AZ78" s="171"/>
      <c r="BA78" s="177" t="s">
        <v>587</v>
      </c>
      <c r="BB78" s="177" t="s">
        <v>394</v>
      </c>
      <c r="BC78" s="177" t="s">
        <v>2838</v>
      </c>
      <c r="BD78" s="177" t="s">
        <v>261</v>
      </c>
      <c r="BE78" s="177" t="s">
        <v>3669</v>
      </c>
      <c r="BF78" s="177" t="s">
        <v>1215</v>
      </c>
      <c r="BG78" s="177" t="s">
        <v>2768</v>
      </c>
      <c r="BH78" s="177" t="s">
        <v>510</v>
      </c>
      <c r="BI78" s="176"/>
      <c r="BJ78" s="177" t="s">
        <v>4314</v>
      </c>
      <c r="BK78" s="177" t="s">
        <v>4315</v>
      </c>
      <c r="BL78" s="176"/>
      <c r="BM78" s="177" t="s">
        <v>2056</v>
      </c>
      <c r="BN78" s="177" t="s">
        <v>4114</v>
      </c>
      <c r="BO78" s="177" t="s">
        <v>4316</v>
      </c>
      <c r="BP78" s="177"/>
      <c r="BQ78" s="178"/>
      <c r="BR78" s="178" t="s">
        <v>4317</v>
      </c>
      <c r="BS78" s="178" t="s">
        <v>4318</v>
      </c>
      <c r="BT78" s="178" t="s">
        <v>4319</v>
      </c>
      <c r="BU78" s="178" t="s">
        <v>4320</v>
      </c>
      <c r="BV78" s="178" t="s">
        <v>4321</v>
      </c>
      <c r="BW78" s="178" t="s">
        <v>1307</v>
      </c>
      <c r="BX78" s="290"/>
      <c r="BY78" s="178" t="s">
        <v>4322</v>
      </c>
      <c r="BZ78" s="178" t="s">
        <v>4323</v>
      </c>
      <c r="CA78" s="178" t="s">
        <v>4324</v>
      </c>
      <c r="CB78" s="178" t="s">
        <v>4325</v>
      </c>
      <c r="CC78" s="178" t="s">
        <v>1062</v>
      </c>
      <c r="CD78" s="178" t="s">
        <v>4326</v>
      </c>
      <c r="CE78" s="178"/>
      <c r="CF78" s="180" t="s">
        <v>4327</v>
      </c>
      <c r="CG78" s="180" t="s">
        <v>3743</v>
      </c>
      <c r="CH78" s="180" t="s">
        <v>4328</v>
      </c>
      <c r="CI78" s="180" t="s">
        <v>4329</v>
      </c>
      <c r="CJ78" s="180" t="s">
        <v>239</v>
      </c>
      <c r="CK78" s="278"/>
      <c r="CL78" s="180" t="s">
        <v>411</v>
      </c>
      <c r="CM78" s="180" t="s">
        <v>1742</v>
      </c>
      <c r="CN78" s="278"/>
      <c r="CO78" s="180" t="s">
        <v>1290</v>
      </c>
      <c r="CP78" s="180"/>
      <c r="CQ78" s="180" t="s">
        <v>4330</v>
      </c>
      <c r="CR78" s="180" t="s">
        <v>4331</v>
      </c>
      <c r="CS78" s="101"/>
      <c r="CT78" s="209" t="s">
        <v>2865</v>
      </c>
      <c r="CU78" s="209" t="s">
        <v>4332</v>
      </c>
      <c r="CV78" s="209" t="s">
        <v>4333</v>
      </c>
      <c r="CW78" s="209" t="s">
        <v>1544</v>
      </c>
      <c r="CX78" s="209" t="s">
        <v>4334</v>
      </c>
      <c r="CY78" s="209" t="s">
        <v>4335</v>
      </c>
      <c r="CZ78" s="209" t="s">
        <v>4336</v>
      </c>
      <c r="DA78" s="209" t="s">
        <v>4337</v>
      </c>
      <c r="DB78" s="209" t="s">
        <v>721</v>
      </c>
      <c r="DC78" s="209" t="s">
        <v>4338</v>
      </c>
      <c r="DD78" s="209" t="s">
        <v>2913</v>
      </c>
      <c r="DE78" s="209" t="s">
        <v>4339</v>
      </c>
      <c r="DF78" s="209"/>
      <c r="DG78" s="210" t="s">
        <v>4340</v>
      </c>
      <c r="DH78" s="210" t="s">
        <v>412</v>
      </c>
      <c r="DI78" s="210" t="s">
        <v>4341</v>
      </c>
      <c r="DJ78" s="210"/>
      <c r="DK78" s="210" t="s">
        <v>3713</v>
      </c>
      <c r="DL78" s="210" t="s">
        <v>4342</v>
      </c>
      <c r="DM78" s="210" t="s">
        <v>388</v>
      </c>
      <c r="DN78" s="210" t="s">
        <v>4343</v>
      </c>
      <c r="DO78" s="280"/>
      <c r="DP78" s="210" t="s">
        <v>4344</v>
      </c>
      <c r="DQ78" s="210"/>
      <c r="DR78" s="280"/>
      <c r="DS78" s="210" t="s">
        <v>4207</v>
      </c>
      <c r="DT78" s="210" t="s">
        <v>1266</v>
      </c>
      <c r="DU78" s="210" t="s">
        <v>896</v>
      </c>
      <c r="DV78" s="280"/>
      <c r="DW78" s="210" t="s">
        <v>2210</v>
      </c>
      <c r="DX78" s="210" t="s">
        <v>3083</v>
      </c>
      <c r="DY78" s="210" t="s">
        <v>1162</v>
      </c>
      <c r="DZ78" s="210" t="s">
        <v>4345</v>
      </c>
      <c r="EA78" s="210" t="s">
        <v>2339</v>
      </c>
      <c r="EB78" s="324" t="s">
        <v>3586</v>
      </c>
    </row>
    <row r="79">
      <c r="A79" s="334" t="s">
        <v>4346</v>
      </c>
      <c r="B79" s="82" t="s">
        <v>4347</v>
      </c>
      <c r="C79" s="83" t="s">
        <v>1414</v>
      </c>
      <c r="D79" s="84" t="s">
        <v>1414</v>
      </c>
      <c r="E79" s="85" t="s">
        <v>1414</v>
      </c>
      <c r="F79" s="86" t="s">
        <v>218</v>
      </c>
      <c r="G79" s="82" t="s">
        <v>1881</v>
      </c>
      <c r="H79" s="88" t="s">
        <v>3041</v>
      </c>
      <c r="I79" s="303" t="s">
        <v>4348</v>
      </c>
      <c r="J79" s="93" t="s">
        <v>665</v>
      </c>
      <c r="K79" s="93" t="s">
        <v>4349</v>
      </c>
      <c r="L79" s="93" t="s">
        <v>4350</v>
      </c>
      <c r="M79" s="93" t="s">
        <v>4165</v>
      </c>
      <c r="N79" s="93" t="s">
        <v>4351</v>
      </c>
      <c r="O79" s="93" t="s">
        <v>366</v>
      </c>
      <c r="P79" s="93" t="s">
        <v>2800</v>
      </c>
      <c r="Q79" s="88" t="s">
        <v>4352</v>
      </c>
      <c r="R79" s="93" t="s">
        <v>2464</v>
      </c>
      <c r="S79" s="162" t="s">
        <v>2839</v>
      </c>
      <c r="T79" s="93" t="s">
        <v>2828</v>
      </c>
      <c r="U79" s="93" t="s">
        <v>2052</v>
      </c>
      <c r="V79" s="93" t="s">
        <v>4353</v>
      </c>
      <c r="W79" s="92"/>
      <c r="X79" s="303" t="s">
        <v>4354</v>
      </c>
      <c r="Y79" s="93" t="s">
        <v>2951</v>
      </c>
      <c r="Z79" s="213" t="s">
        <v>3200</v>
      </c>
      <c r="AA79" s="162" t="s">
        <v>3473</v>
      </c>
      <c r="AB79" s="162" t="s">
        <v>4355</v>
      </c>
      <c r="AC79" s="88" t="s">
        <v>4356</v>
      </c>
      <c r="AD79" s="98"/>
      <c r="AE79" s="88" t="s">
        <v>3175</v>
      </c>
      <c r="AF79" s="213" t="s">
        <v>1656</v>
      </c>
      <c r="AG79" s="93" t="s">
        <v>1832</v>
      </c>
      <c r="AH79" s="98"/>
      <c r="AI79" s="93" t="s">
        <v>4357</v>
      </c>
      <c r="AJ79" s="93" t="s">
        <v>4358</v>
      </c>
      <c r="AK79" s="92"/>
      <c r="AL79" s="93" t="s">
        <v>138</v>
      </c>
      <c r="AM79" s="93" t="s">
        <v>4359</v>
      </c>
      <c r="AN79" s="93" t="s">
        <v>4360</v>
      </c>
      <c r="AO79" s="93" t="s">
        <v>4361</v>
      </c>
      <c r="AP79" s="93" t="s">
        <v>1422</v>
      </c>
      <c r="AQ79" s="93" t="s">
        <v>3469</v>
      </c>
      <c r="AR79" s="93" t="s">
        <v>4362</v>
      </c>
      <c r="AS79" s="93" t="s">
        <v>4363</v>
      </c>
      <c r="AT79" s="93" t="s">
        <v>2680</v>
      </c>
      <c r="AU79" s="93" t="s">
        <v>1793</v>
      </c>
      <c r="AV79" s="93" t="s">
        <v>4364</v>
      </c>
      <c r="AW79" s="98"/>
      <c r="AX79" s="93" t="s">
        <v>1139</v>
      </c>
      <c r="AY79" s="303" t="s">
        <v>4365</v>
      </c>
      <c r="AZ79" s="93"/>
      <c r="BA79" s="93" t="s">
        <v>4366</v>
      </c>
      <c r="BB79" s="93" t="s">
        <v>599</v>
      </c>
      <c r="BC79" s="88" t="s">
        <v>1300</v>
      </c>
      <c r="BD79" s="93" t="s">
        <v>4367</v>
      </c>
      <c r="BE79" s="93" t="s">
        <v>3303</v>
      </c>
      <c r="BF79" s="93" t="s">
        <v>4368</v>
      </c>
      <c r="BG79" s="93" t="s">
        <v>4369</v>
      </c>
      <c r="BH79" s="93" t="s">
        <v>1389</v>
      </c>
      <c r="BI79" s="93" t="s">
        <v>4370</v>
      </c>
      <c r="BJ79" s="93" t="s">
        <v>4371</v>
      </c>
      <c r="BK79" s="93" t="s">
        <v>2718</v>
      </c>
      <c r="BL79" s="93" t="s">
        <v>4372</v>
      </c>
      <c r="BM79" s="213" t="s">
        <v>3917</v>
      </c>
      <c r="BN79" s="93" t="s">
        <v>3496</v>
      </c>
      <c r="BO79" s="93" t="s">
        <v>4373</v>
      </c>
      <c r="BP79" s="93"/>
      <c r="BQ79" s="88" t="s">
        <v>4374</v>
      </c>
      <c r="BR79" s="93" t="s">
        <v>3079</v>
      </c>
      <c r="BS79" s="93" t="s">
        <v>4375</v>
      </c>
      <c r="BT79" s="88" t="s">
        <v>4376</v>
      </c>
      <c r="BU79" s="93" t="s">
        <v>4377</v>
      </c>
      <c r="BV79" s="93" t="s">
        <v>324</v>
      </c>
      <c r="BW79" s="98"/>
      <c r="BX79" s="98"/>
      <c r="BY79" s="213" t="s">
        <v>3355</v>
      </c>
      <c r="BZ79" s="93" t="s">
        <v>4097</v>
      </c>
      <c r="CA79" s="93" t="s">
        <v>4378</v>
      </c>
      <c r="CB79" s="93" t="s">
        <v>4379</v>
      </c>
      <c r="CC79" s="93" t="s">
        <v>1580</v>
      </c>
      <c r="CD79" s="93" t="s">
        <v>4380</v>
      </c>
      <c r="CE79" s="267"/>
      <c r="CF79" s="93" t="s">
        <v>4381</v>
      </c>
      <c r="CG79" s="93" t="s">
        <v>634</v>
      </c>
      <c r="CH79" s="93" t="s">
        <v>2018</v>
      </c>
      <c r="CI79" s="93" t="s">
        <v>4382</v>
      </c>
      <c r="CJ79" s="93" t="s">
        <v>1258</v>
      </c>
      <c r="CK79" s="93" t="s">
        <v>4383</v>
      </c>
      <c r="CL79" s="88" t="s">
        <v>4384</v>
      </c>
      <c r="CM79" s="93" t="s">
        <v>4385</v>
      </c>
      <c r="CN79" s="93" t="s">
        <v>4386</v>
      </c>
      <c r="CO79" s="93" t="s">
        <v>4255</v>
      </c>
      <c r="CP79" s="93"/>
      <c r="CQ79" s="93" t="s">
        <v>1432</v>
      </c>
      <c r="CR79" s="88" t="s">
        <v>4387</v>
      </c>
      <c r="CS79" s="101"/>
      <c r="CT79" s="93" t="s">
        <v>4388</v>
      </c>
      <c r="CU79" s="93" t="s">
        <v>1071</v>
      </c>
      <c r="CV79" s="93" t="s">
        <v>4389</v>
      </c>
      <c r="CW79" s="93" t="s">
        <v>4266</v>
      </c>
      <c r="CX79" s="93" t="s">
        <v>1479</v>
      </c>
      <c r="CY79" s="93" t="s">
        <v>4390</v>
      </c>
      <c r="CZ79" s="213" t="s">
        <v>4391</v>
      </c>
      <c r="DA79" s="93" t="s">
        <v>4392</v>
      </c>
      <c r="DB79" s="93" t="s">
        <v>4393</v>
      </c>
      <c r="DC79" s="93" t="s">
        <v>2824</v>
      </c>
      <c r="DD79" s="93" t="s">
        <v>4394</v>
      </c>
      <c r="DE79" s="88" t="s">
        <v>4395</v>
      </c>
      <c r="DF79" s="93"/>
      <c r="DG79" s="98"/>
      <c r="DH79" s="98"/>
      <c r="DI79" s="93" t="s">
        <v>4396</v>
      </c>
      <c r="DJ79" s="98"/>
      <c r="DK79" s="88" t="s">
        <v>3459</v>
      </c>
      <c r="DL79" s="93" t="s">
        <v>1851</v>
      </c>
      <c r="DM79" s="93" t="s">
        <v>3727</v>
      </c>
      <c r="DN79" s="93" t="s">
        <v>4397</v>
      </c>
      <c r="DO79" s="93" t="s">
        <v>4398</v>
      </c>
      <c r="DP79" s="93" t="s">
        <v>4084</v>
      </c>
      <c r="DQ79" s="93" t="s">
        <v>4399</v>
      </c>
      <c r="DR79" s="93" t="s">
        <v>811</v>
      </c>
      <c r="DS79" s="93" t="s">
        <v>1718</v>
      </c>
      <c r="DT79" s="93" t="s">
        <v>2644</v>
      </c>
      <c r="DU79" s="93" t="s">
        <v>4400</v>
      </c>
      <c r="DV79" s="93" t="s">
        <v>4401</v>
      </c>
      <c r="DW79" s="93" t="s">
        <v>4402</v>
      </c>
      <c r="DX79" s="93" t="s">
        <v>4403</v>
      </c>
      <c r="DY79" s="93" t="s">
        <v>2594</v>
      </c>
      <c r="DZ79" s="88" t="s">
        <v>4404</v>
      </c>
      <c r="EA79" s="88" t="s">
        <v>3869</v>
      </c>
      <c r="EB79" s="97" t="s">
        <v>2882</v>
      </c>
    </row>
    <row r="80">
      <c r="A80" s="168" t="s">
        <v>4405</v>
      </c>
      <c r="B80" s="103" t="s">
        <v>4406</v>
      </c>
      <c r="C80" s="104" t="s">
        <v>1414</v>
      </c>
      <c r="D80" s="105" t="s">
        <v>1414</v>
      </c>
      <c r="E80" s="106" t="s">
        <v>1414</v>
      </c>
      <c r="F80" s="107" t="s">
        <v>2297</v>
      </c>
      <c r="G80" s="103" t="s">
        <v>738</v>
      </c>
      <c r="H80" s="112" t="s">
        <v>2629</v>
      </c>
      <c r="I80" s="112" t="s">
        <v>4407</v>
      </c>
      <c r="J80" s="296" t="s">
        <v>744</v>
      </c>
      <c r="K80" s="112" t="s">
        <v>4408</v>
      </c>
      <c r="L80" s="112" t="s">
        <v>299</v>
      </c>
      <c r="M80" s="112" t="s">
        <v>4409</v>
      </c>
      <c r="N80" s="112" t="s">
        <v>4410</v>
      </c>
      <c r="O80" s="112" t="s">
        <v>4411</v>
      </c>
      <c r="P80" s="112" t="s">
        <v>238</v>
      </c>
      <c r="Q80" s="112" t="s">
        <v>4412</v>
      </c>
      <c r="R80" s="169" t="s">
        <v>1907</v>
      </c>
      <c r="S80" s="169" t="s">
        <v>4066</v>
      </c>
      <c r="T80" s="169" t="s">
        <v>2129</v>
      </c>
      <c r="U80" s="169" t="s">
        <v>4413</v>
      </c>
      <c r="V80" s="169" t="s">
        <v>4414</v>
      </c>
      <c r="W80" s="92"/>
      <c r="X80" s="116" t="s">
        <v>1467</v>
      </c>
      <c r="Y80" s="116" t="s">
        <v>461</v>
      </c>
      <c r="Z80" s="116" t="s">
        <v>290</v>
      </c>
      <c r="AA80" s="201" t="s">
        <v>4415</v>
      </c>
      <c r="AB80" s="201" t="s">
        <v>2978</v>
      </c>
      <c r="AC80" s="116" t="s">
        <v>2743</v>
      </c>
      <c r="AD80" s="116" t="s">
        <v>4416</v>
      </c>
      <c r="AE80" s="116" t="s">
        <v>4417</v>
      </c>
      <c r="AF80" s="116" t="s">
        <v>1558</v>
      </c>
      <c r="AG80" s="201" t="s">
        <v>4418</v>
      </c>
      <c r="AH80" s="201" t="s">
        <v>4419</v>
      </c>
      <c r="AI80" s="201" t="s">
        <v>3337</v>
      </c>
      <c r="AJ80" s="201" t="s">
        <v>4420</v>
      </c>
      <c r="AK80" s="92"/>
      <c r="AL80" s="171" t="s">
        <v>711</v>
      </c>
      <c r="AM80" s="171" t="s">
        <v>4421</v>
      </c>
      <c r="AN80" s="171" t="s">
        <v>4422</v>
      </c>
      <c r="AO80" s="171" t="s">
        <v>4423</v>
      </c>
      <c r="AP80" s="171" t="s">
        <v>4424</v>
      </c>
      <c r="AQ80" s="171"/>
      <c r="AR80" s="171" t="s">
        <v>3342</v>
      </c>
      <c r="AS80" s="171" t="s">
        <v>2846</v>
      </c>
      <c r="AT80" s="121" t="s">
        <v>2741</v>
      </c>
      <c r="AU80" s="121" t="s">
        <v>179</v>
      </c>
      <c r="AV80" s="121" t="s">
        <v>629</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3570</v>
      </c>
      <c r="BT80" s="132" t="s">
        <v>1045</v>
      </c>
      <c r="BU80" s="132" t="s">
        <v>4436</v>
      </c>
      <c r="BV80" s="132" t="s">
        <v>2117</v>
      </c>
      <c r="BW80" s="178" t="s">
        <v>696</v>
      </c>
      <c r="BX80" s="178" t="s">
        <v>4437</v>
      </c>
      <c r="BY80" s="290"/>
      <c r="BZ80" s="132" t="s">
        <v>4438</v>
      </c>
      <c r="CA80" s="132" t="s">
        <v>4439</v>
      </c>
      <c r="CB80" s="132" t="s">
        <v>1067</v>
      </c>
      <c r="CC80" s="178" t="s">
        <v>139</v>
      </c>
      <c r="CD80" s="178" t="s">
        <v>4440</v>
      </c>
      <c r="CE80" s="178"/>
      <c r="CF80" s="432" t="s">
        <v>4441</v>
      </c>
      <c r="CG80" s="137" t="s">
        <v>1654</v>
      </c>
      <c r="CH80" s="137" t="s">
        <v>2891</v>
      </c>
      <c r="CI80" s="180" t="s">
        <v>4442</v>
      </c>
      <c r="CJ80" s="466" t="s">
        <v>4041</v>
      </c>
      <c r="CK80" s="137" t="s">
        <v>4443</v>
      </c>
      <c r="CL80" s="137" t="s">
        <v>4384</v>
      </c>
      <c r="CM80" s="137" t="s">
        <v>1694</v>
      </c>
      <c r="CN80" s="180" t="s">
        <v>4444</v>
      </c>
      <c r="CO80" s="180" t="s">
        <v>144</v>
      </c>
      <c r="CP80" s="180" t="s">
        <v>2250</v>
      </c>
      <c r="CQ80" s="180" t="s">
        <v>4445</v>
      </c>
      <c r="CR80" s="180" t="s">
        <v>870</v>
      </c>
      <c r="CS80" s="101"/>
      <c r="CT80" s="333" t="s">
        <v>4446</v>
      </c>
      <c r="CU80" s="142" t="s">
        <v>1919</v>
      </c>
      <c r="CV80" s="209" t="s">
        <v>2455</v>
      </c>
      <c r="CW80" s="209" t="s">
        <v>4447</v>
      </c>
      <c r="CX80" s="209" t="s">
        <v>541</v>
      </c>
      <c r="CY80" s="209" t="s">
        <v>3729</v>
      </c>
      <c r="CZ80" s="142" t="s">
        <v>4448</v>
      </c>
      <c r="DA80" s="209" t="s">
        <v>358</v>
      </c>
      <c r="DB80" s="209" t="s">
        <v>4449</v>
      </c>
      <c r="DC80" s="209" t="s">
        <v>2062</v>
      </c>
      <c r="DD80" s="209" t="s">
        <v>4450</v>
      </c>
      <c r="DE80" s="209" t="s">
        <v>4451</v>
      </c>
      <c r="DF80" s="209"/>
      <c r="DG80" s="210" t="s">
        <v>4452</v>
      </c>
      <c r="DH80" s="210" t="s">
        <v>4453</v>
      </c>
      <c r="DI80" s="210" t="s">
        <v>4454</v>
      </c>
      <c r="DJ80" s="147" t="s">
        <v>1465</v>
      </c>
      <c r="DK80" s="147" t="s">
        <v>3713</v>
      </c>
      <c r="DL80" s="210" t="s">
        <v>4455</v>
      </c>
      <c r="DM80" s="210" t="s">
        <v>4456</v>
      </c>
      <c r="DN80" s="210" t="s">
        <v>2951</v>
      </c>
      <c r="DO80" s="210" t="s">
        <v>4049</v>
      </c>
      <c r="DP80" s="147" t="s">
        <v>4457</v>
      </c>
      <c r="DQ80" s="147" t="s">
        <v>3188</v>
      </c>
      <c r="DR80" s="147" t="s">
        <v>3509</v>
      </c>
      <c r="DS80" s="210" t="s">
        <v>2098</v>
      </c>
      <c r="DT80" s="210" t="s">
        <v>4458</v>
      </c>
      <c r="DU80" s="147" t="s">
        <v>2749</v>
      </c>
      <c r="DV80" s="210" t="s">
        <v>2177</v>
      </c>
      <c r="DW80" s="210" t="s">
        <v>1827</v>
      </c>
      <c r="DX80" s="210" t="s">
        <v>2441</v>
      </c>
      <c r="DY80" s="210" t="s">
        <v>1453</v>
      </c>
      <c r="DZ80" s="210" t="s">
        <v>2047</v>
      </c>
      <c r="EA80" s="210" t="s">
        <v>4459</v>
      </c>
      <c r="EB80" s="144" t="s">
        <v>4460</v>
      </c>
    </row>
    <row r="81">
      <c r="A81" s="525" t="s">
        <v>4461</v>
      </c>
      <c r="B81" s="526" t="s">
        <v>4462</v>
      </c>
      <c r="C81" s="527" t="s">
        <v>1414</v>
      </c>
      <c r="D81" s="528" t="s">
        <v>1414</v>
      </c>
      <c r="E81" s="529" t="s">
        <v>1414</v>
      </c>
      <c r="F81" s="530" t="s">
        <v>432</v>
      </c>
      <c r="G81" s="526" t="s">
        <v>4463</v>
      </c>
      <c r="H81" s="303"/>
      <c r="I81" s="300" t="s">
        <v>4464</v>
      </c>
      <c r="J81" s="303" t="s">
        <v>106</v>
      </c>
      <c r="K81" s="303" t="s">
        <v>4465</v>
      </c>
      <c r="L81" s="303" t="s">
        <v>2766</v>
      </c>
      <c r="M81" s="88" t="s">
        <v>4466</v>
      </c>
      <c r="N81" s="303" t="s">
        <v>4467</v>
      </c>
      <c r="O81" s="303" t="s">
        <v>3643</v>
      </c>
      <c r="P81" s="303" t="s">
        <v>2890</v>
      </c>
      <c r="Q81" s="503"/>
      <c r="R81" s="503"/>
      <c r="S81" s="503"/>
      <c r="T81" s="503"/>
      <c r="U81" s="503"/>
      <c r="V81" s="503"/>
      <c r="W81" s="531"/>
      <c r="X81" s="303" t="s">
        <v>2923</v>
      </c>
      <c r="Y81" s="303" t="s">
        <v>2929</v>
      </c>
      <c r="Z81" s="303" t="s">
        <v>2149</v>
      </c>
      <c r="AA81" s="303" t="s">
        <v>4468</v>
      </c>
      <c r="AB81" s="303" t="s">
        <v>1696</v>
      </c>
      <c r="AC81" s="303" t="s">
        <v>3887</v>
      </c>
      <c r="AD81" s="503"/>
      <c r="AE81" s="303" t="s">
        <v>3684</v>
      </c>
      <c r="AF81" s="303" t="s">
        <v>3772</v>
      </c>
      <c r="AG81" s="503"/>
      <c r="AH81" s="503"/>
      <c r="AI81" s="303"/>
      <c r="AJ81" s="503"/>
      <c r="AK81" s="531"/>
      <c r="AL81" s="303"/>
      <c r="AM81" s="303"/>
      <c r="AN81" s="503"/>
      <c r="AO81" s="503"/>
      <c r="AP81" s="532"/>
      <c r="AQ81" s="532"/>
      <c r="AR81" s="503"/>
      <c r="AS81" s="503"/>
      <c r="AT81" s="303" t="s">
        <v>4469</v>
      </c>
      <c r="AU81" s="303" t="s">
        <v>1447</v>
      </c>
      <c r="AV81" s="303"/>
      <c r="AW81" s="503"/>
      <c r="AX81" s="503"/>
      <c r="AY81" s="503"/>
      <c r="AZ81" s="533"/>
      <c r="BA81" s="303" t="s">
        <v>4470</v>
      </c>
      <c r="BB81" s="303" t="s">
        <v>805</v>
      </c>
      <c r="BC81" s="303" t="s">
        <v>292</v>
      </c>
      <c r="BD81" s="303" t="s">
        <v>4471</v>
      </c>
      <c r="BE81" s="303" t="s">
        <v>4366</v>
      </c>
      <c r="BF81" s="303"/>
      <c r="BG81" s="503"/>
      <c r="BH81" s="303" t="s">
        <v>1277</v>
      </c>
      <c r="BI81" s="503"/>
      <c r="BJ81" s="303" t="s">
        <v>3336</v>
      </c>
      <c r="BK81" s="303" t="s">
        <v>4472</v>
      </c>
      <c r="BL81" s="503"/>
      <c r="BM81" s="503"/>
      <c r="BN81" s="303"/>
      <c r="BO81" s="503"/>
      <c r="BP81" s="533"/>
      <c r="BQ81" s="303" t="s">
        <v>4473</v>
      </c>
      <c r="BR81" s="303" t="s">
        <v>4474</v>
      </c>
      <c r="BS81" s="303" t="s">
        <v>4475</v>
      </c>
      <c r="BT81" s="303" t="s">
        <v>4476</v>
      </c>
      <c r="BU81" s="303" t="s">
        <v>2179</v>
      </c>
      <c r="BV81" s="303" t="s">
        <v>817</v>
      </c>
      <c r="BW81" s="88" t="s">
        <v>4477</v>
      </c>
      <c r="BX81" s="303"/>
      <c r="BY81" s="303" t="s">
        <v>4478</v>
      </c>
      <c r="BZ81" s="303" t="s">
        <v>4479</v>
      </c>
      <c r="CA81" s="503"/>
      <c r="CB81" s="503"/>
      <c r="CC81" s="503"/>
      <c r="CD81" s="503"/>
      <c r="CE81" s="533"/>
      <c r="CF81" s="303" t="s">
        <v>4178</v>
      </c>
      <c r="CG81" s="303" t="s">
        <v>1304</v>
      </c>
      <c r="CH81" s="303" t="s">
        <v>4480</v>
      </c>
      <c r="CI81" s="303" t="s">
        <v>4481</v>
      </c>
      <c r="CJ81" s="303" t="s">
        <v>4482</v>
      </c>
      <c r="CK81" s="303" t="s">
        <v>4483</v>
      </c>
      <c r="CL81" s="303" t="s">
        <v>123</v>
      </c>
      <c r="CM81" s="303" t="s">
        <v>4484</v>
      </c>
      <c r="CN81" s="534"/>
      <c r="CO81" s="503"/>
      <c r="CP81" s="503"/>
      <c r="CQ81" s="503"/>
      <c r="CR81" s="503"/>
      <c r="CS81" s="535"/>
      <c r="CT81" s="303" t="s">
        <v>4485</v>
      </c>
      <c r="CU81" s="303" t="s">
        <v>4486</v>
      </c>
      <c r="CV81" s="303" t="s">
        <v>1003</v>
      </c>
      <c r="CW81" s="303" t="s">
        <v>3473</v>
      </c>
      <c r="CX81" s="303" t="s">
        <v>2143</v>
      </c>
      <c r="CY81" s="303" t="s">
        <v>3610</v>
      </c>
      <c r="CZ81" s="303" t="s">
        <v>4487</v>
      </c>
      <c r="DA81" s="303" t="s">
        <v>3991</v>
      </c>
      <c r="DB81" s="503"/>
      <c r="DC81" s="503"/>
      <c r="DD81" s="503"/>
      <c r="DE81" s="503"/>
      <c r="DF81" s="533"/>
      <c r="DG81" s="303" t="s">
        <v>3863</v>
      </c>
      <c r="DH81" s="503"/>
      <c r="DI81" s="503"/>
      <c r="DJ81" s="303"/>
      <c r="DK81" s="303"/>
      <c r="DL81" s="303"/>
      <c r="DM81" s="503"/>
      <c r="DN81" s="503"/>
      <c r="DO81" s="503"/>
      <c r="DP81" s="303" t="s">
        <v>4488</v>
      </c>
      <c r="DQ81" s="303" t="s">
        <v>4489</v>
      </c>
      <c r="DR81" s="503"/>
      <c r="DS81" s="303"/>
      <c r="DT81" s="503"/>
      <c r="DU81" s="503"/>
      <c r="DV81" s="503"/>
      <c r="DW81" s="503"/>
      <c r="DX81" s="503"/>
      <c r="DY81" s="303"/>
      <c r="DZ81" s="503"/>
      <c r="EA81" s="503"/>
      <c r="EB81" s="300"/>
    </row>
    <row r="82">
      <c r="A82" s="168" t="s">
        <v>4490</v>
      </c>
      <c r="B82" s="103" t="s">
        <v>4491</v>
      </c>
      <c r="C82" s="104" t="s">
        <v>1414</v>
      </c>
      <c r="D82" s="105" t="s">
        <v>1414</v>
      </c>
      <c r="E82" s="106" t="s">
        <v>1414</v>
      </c>
      <c r="F82" s="107" t="s">
        <v>432</v>
      </c>
      <c r="G82" s="103" t="s">
        <v>4492</v>
      </c>
      <c r="H82" s="169"/>
      <c r="I82" s="169" t="s">
        <v>4493</v>
      </c>
      <c r="J82" s="169" t="s">
        <v>2691</v>
      </c>
      <c r="K82" s="169" t="s">
        <v>3875</v>
      </c>
      <c r="L82" s="169" t="s">
        <v>4494</v>
      </c>
      <c r="M82" s="226"/>
      <c r="N82" s="169" t="s">
        <v>1221</v>
      </c>
      <c r="O82" s="169" t="s">
        <v>4495</v>
      </c>
      <c r="P82" s="169" t="s">
        <v>238</v>
      </c>
      <c r="Q82" s="226"/>
      <c r="R82" s="226"/>
      <c r="S82" s="226"/>
      <c r="T82" s="226"/>
      <c r="U82" s="226"/>
      <c r="V82" s="226"/>
      <c r="W82" s="92"/>
      <c r="X82" s="201" t="s">
        <v>175</v>
      </c>
      <c r="Y82" s="201" t="s">
        <v>571</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1038</v>
      </c>
      <c r="AV82" s="274"/>
      <c r="AW82" s="274"/>
      <c r="AX82" s="274"/>
      <c r="AY82" s="274"/>
      <c r="AZ82" s="275"/>
      <c r="BA82" s="176"/>
      <c r="BB82" s="177" t="s">
        <v>4176</v>
      </c>
      <c r="BC82" s="177" t="s">
        <v>1447</v>
      </c>
      <c r="BD82" s="177" t="s">
        <v>4230</v>
      </c>
      <c r="BE82" s="177" t="s">
        <v>936</v>
      </c>
      <c r="BF82" s="176"/>
      <c r="BG82" s="176"/>
      <c r="BH82" s="177" t="s">
        <v>766</v>
      </c>
      <c r="BI82" s="176"/>
      <c r="BJ82" s="177" t="s">
        <v>4498</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4499</v>
      </c>
      <c r="CJ82" s="180"/>
      <c r="CK82" s="180" t="s">
        <v>4500</v>
      </c>
      <c r="CL82" s="180" t="s">
        <v>3771</v>
      </c>
      <c r="CM82" s="180" t="s">
        <v>4484</v>
      </c>
      <c r="CN82" s="278"/>
      <c r="CO82" s="278"/>
      <c r="CP82" s="278"/>
      <c r="CQ82" s="278"/>
      <c r="CR82" s="278"/>
      <c r="CS82" s="101"/>
      <c r="CT82" s="209" t="s">
        <v>1782</v>
      </c>
      <c r="CU82" s="279"/>
      <c r="CV82" s="209" t="s">
        <v>1827</v>
      </c>
      <c r="CW82" s="142" t="s">
        <v>4501</v>
      </c>
      <c r="CX82" s="209" t="s">
        <v>4502</v>
      </c>
      <c r="CY82" s="209" t="s">
        <v>4503</v>
      </c>
      <c r="CZ82" s="209" t="s">
        <v>4504</v>
      </c>
      <c r="DA82" s="209" t="s">
        <v>2741</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1414</v>
      </c>
      <c r="D83" s="84" t="s">
        <v>1414</v>
      </c>
      <c r="E83" s="85" t="s">
        <v>1414</v>
      </c>
      <c r="F83" s="86" t="s">
        <v>1414</v>
      </c>
      <c r="G83" s="82" t="s">
        <v>3400</v>
      </c>
      <c r="H83" s="98"/>
      <c r="I83" s="93" t="s">
        <v>4508</v>
      </c>
      <c r="J83" s="93" t="s">
        <v>4509</v>
      </c>
      <c r="K83" s="93" t="s">
        <v>4510</v>
      </c>
      <c r="L83" s="93" t="s">
        <v>2250</v>
      </c>
      <c r="M83" s="93" t="s">
        <v>4511</v>
      </c>
      <c r="N83" s="93" t="s">
        <v>4512</v>
      </c>
      <c r="O83" s="93" t="s">
        <v>932</v>
      </c>
      <c r="P83" s="93" t="s">
        <v>3823</v>
      </c>
      <c r="Q83" s="98"/>
      <c r="R83" s="93" t="s">
        <v>3469</v>
      </c>
      <c r="S83" s="93" t="s">
        <v>1502</v>
      </c>
      <c r="T83" s="98"/>
      <c r="U83" s="98"/>
      <c r="V83" s="98"/>
      <c r="W83" s="92"/>
      <c r="X83" s="93" t="s">
        <v>4513</v>
      </c>
      <c r="Y83" s="93" t="s">
        <v>358</v>
      </c>
      <c r="Z83" s="93" t="s">
        <v>3023</v>
      </c>
      <c r="AA83" s="300" t="s">
        <v>3747</v>
      </c>
      <c r="AB83" s="532" t="s">
        <v>3364</v>
      </c>
      <c r="AC83" s="93" t="s">
        <v>4514</v>
      </c>
      <c r="AD83" s="93"/>
      <c r="AE83" s="93" t="s">
        <v>4515</v>
      </c>
      <c r="AF83" s="93" t="s">
        <v>4516</v>
      </c>
      <c r="AG83" s="98"/>
      <c r="AH83" s="98"/>
      <c r="AI83" s="98"/>
      <c r="AJ83" s="93" t="s">
        <v>4517</v>
      </c>
      <c r="AK83" s="92"/>
      <c r="AL83" s="93"/>
      <c r="AM83" s="93" t="s">
        <v>4518</v>
      </c>
      <c r="AN83" s="98"/>
      <c r="AO83" s="93" t="s">
        <v>2916</v>
      </c>
      <c r="AP83" s="98"/>
      <c r="AQ83" s="98"/>
      <c r="AR83" s="98"/>
      <c r="AS83" s="98"/>
      <c r="AT83" s="98"/>
      <c r="AU83" s="93" t="s">
        <v>510</v>
      </c>
      <c r="AV83" s="98"/>
      <c r="AW83" s="98"/>
      <c r="AX83" s="93" t="s">
        <v>1271</v>
      </c>
      <c r="AY83" s="98"/>
      <c r="AZ83" s="267"/>
      <c r="BA83" s="98"/>
      <c r="BB83" s="93" t="s">
        <v>672</v>
      </c>
      <c r="BC83" s="93" t="s">
        <v>2278</v>
      </c>
      <c r="BD83" s="532" t="s">
        <v>4519</v>
      </c>
      <c r="BE83" s="93" t="s">
        <v>1770</v>
      </c>
      <c r="BF83" s="98"/>
      <c r="BG83" s="98"/>
      <c r="BH83" s="93" t="s">
        <v>2278</v>
      </c>
      <c r="BI83" s="93" t="s">
        <v>4520</v>
      </c>
      <c r="BJ83" s="93"/>
      <c r="BK83" s="98"/>
      <c r="BL83" s="98"/>
      <c r="BM83" s="93" t="s">
        <v>4521</v>
      </c>
      <c r="BN83" s="98"/>
      <c r="BO83" s="98"/>
      <c r="BP83" s="267"/>
      <c r="BQ83" s="93" t="s">
        <v>4522</v>
      </c>
      <c r="BR83" s="93" t="s">
        <v>3254</v>
      </c>
      <c r="BS83" s="93" t="s">
        <v>4523</v>
      </c>
      <c r="BT83" s="93" t="s">
        <v>4097</v>
      </c>
      <c r="BU83" s="93" t="s">
        <v>2828</v>
      </c>
      <c r="BV83" s="93" t="s">
        <v>2988</v>
      </c>
      <c r="BW83" s="98"/>
      <c r="BX83" s="93" t="s">
        <v>4524</v>
      </c>
      <c r="BY83" s="93"/>
      <c r="BZ83" s="93" t="s">
        <v>4525</v>
      </c>
      <c r="CA83" s="98"/>
      <c r="CB83" s="98"/>
      <c r="CC83" s="98"/>
      <c r="CD83" s="300" t="s">
        <v>4526</v>
      </c>
      <c r="CE83" s="300"/>
      <c r="CF83" s="93" t="s">
        <v>4527</v>
      </c>
      <c r="CG83" s="93" t="s">
        <v>4528</v>
      </c>
      <c r="CH83" s="98"/>
      <c r="CI83" s="93" t="s">
        <v>4529</v>
      </c>
      <c r="CJ83" s="93"/>
      <c r="CK83" s="93" t="s">
        <v>1664</v>
      </c>
      <c r="CL83" s="93" t="s">
        <v>3743</v>
      </c>
      <c r="CM83" s="93" t="s">
        <v>427</v>
      </c>
      <c r="CN83" s="98"/>
      <c r="CO83" s="98"/>
      <c r="CP83" s="98"/>
      <c r="CQ83" s="98"/>
      <c r="CR83" s="93" t="s">
        <v>4530</v>
      </c>
      <c r="CS83" s="101"/>
      <c r="CT83" s="93" t="s">
        <v>4531</v>
      </c>
      <c r="CU83" s="98"/>
      <c r="CV83" s="93" t="s">
        <v>3550</v>
      </c>
      <c r="CW83" s="93" t="s">
        <v>4532</v>
      </c>
      <c r="CX83" s="93" t="s">
        <v>4533</v>
      </c>
      <c r="CY83" s="93" t="s">
        <v>854</v>
      </c>
      <c r="CZ83" s="93" t="s">
        <v>4534</v>
      </c>
      <c r="DA83" s="93" t="s">
        <v>3809</v>
      </c>
      <c r="DB83" s="98"/>
      <c r="DC83" s="98"/>
      <c r="DD83" s="98"/>
      <c r="DE83" s="93" t="s">
        <v>4535</v>
      </c>
      <c r="DF83" s="93"/>
      <c r="DG83" s="93" t="s">
        <v>4536</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4537</v>
      </c>
      <c r="B84" s="103" t="s">
        <v>4538</v>
      </c>
      <c r="C84" s="104" t="s">
        <v>1414</v>
      </c>
      <c r="D84" s="105" t="s">
        <v>1414</v>
      </c>
      <c r="E84" s="106" t="s">
        <v>1414</v>
      </c>
      <c r="F84" s="107" t="s">
        <v>1414</v>
      </c>
      <c r="G84" s="103" t="s">
        <v>4539</v>
      </c>
      <c r="H84" s="169"/>
      <c r="I84" s="169" t="s">
        <v>3373</v>
      </c>
      <c r="J84" s="169" t="s">
        <v>4540</v>
      </c>
      <c r="K84" s="169" t="s">
        <v>4541</v>
      </c>
      <c r="L84" s="169" t="s">
        <v>4542</v>
      </c>
      <c r="M84" s="226"/>
      <c r="N84" s="169" t="s">
        <v>4543</v>
      </c>
      <c r="O84" s="169" t="s">
        <v>4080</v>
      </c>
      <c r="P84" s="169" t="s">
        <v>4544</v>
      </c>
      <c r="Q84" s="226"/>
      <c r="R84" s="226"/>
      <c r="S84" s="169" t="s">
        <v>1200</v>
      </c>
      <c r="T84" s="226"/>
      <c r="U84" s="169" t="s">
        <v>1991</v>
      </c>
      <c r="V84" s="226"/>
      <c r="W84" s="92"/>
      <c r="X84" s="201" t="s">
        <v>1382</v>
      </c>
      <c r="Y84" s="201" t="s">
        <v>716</v>
      </c>
      <c r="Z84" s="201" t="s">
        <v>4545</v>
      </c>
      <c r="AA84" s="201" t="s">
        <v>4546</v>
      </c>
      <c r="AB84" s="201" t="s">
        <v>1610</v>
      </c>
      <c r="AC84" s="201" t="s">
        <v>1559</v>
      </c>
      <c r="AD84" s="284"/>
      <c r="AE84" s="201" t="s">
        <v>2968</v>
      </c>
      <c r="AF84" s="284"/>
      <c r="AG84" s="284"/>
      <c r="AH84" s="201"/>
      <c r="AI84" s="201" t="s">
        <v>2963</v>
      </c>
      <c r="AJ84" s="284"/>
      <c r="AK84" s="92"/>
      <c r="AL84" s="274"/>
      <c r="AM84" s="171" t="s">
        <v>4063</v>
      </c>
      <c r="AN84" s="274"/>
      <c r="AO84" s="171" t="s">
        <v>4547</v>
      </c>
      <c r="AP84" s="274"/>
      <c r="AQ84" s="274"/>
      <c r="AR84" s="274"/>
      <c r="AS84" s="274"/>
      <c r="AT84" s="171" t="s">
        <v>2002</v>
      </c>
      <c r="AU84" s="171" t="s">
        <v>3180</v>
      </c>
      <c r="AV84" s="274"/>
      <c r="AW84" s="171"/>
      <c r="AX84" s="171" t="s">
        <v>4548</v>
      </c>
      <c r="AY84" s="274"/>
      <c r="AZ84" s="275"/>
      <c r="BA84" s="177" t="s">
        <v>4549</v>
      </c>
      <c r="BB84" s="177" t="s">
        <v>4102</v>
      </c>
      <c r="BC84" s="176"/>
      <c r="BD84" s="177" t="s">
        <v>1423</v>
      </c>
      <c r="BE84" s="177" t="s">
        <v>1507</v>
      </c>
      <c r="BF84" s="176"/>
      <c r="BG84" s="176"/>
      <c r="BH84" s="177" t="s">
        <v>1105</v>
      </c>
      <c r="BI84" s="177" t="s">
        <v>4550</v>
      </c>
      <c r="BJ84" s="177"/>
      <c r="BK84" s="176"/>
      <c r="BL84" s="176"/>
      <c r="BM84" s="177" t="s">
        <v>3261</v>
      </c>
      <c r="BN84" s="176"/>
      <c r="BO84" s="176"/>
      <c r="BP84" s="287"/>
      <c r="BQ84" s="178" t="s">
        <v>4551</v>
      </c>
      <c r="BR84" s="178" t="s">
        <v>3254</v>
      </c>
      <c r="BS84" s="178" t="s">
        <v>2258</v>
      </c>
      <c r="BT84" s="178" t="s">
        <v>4552</v>
      </c>
      <c r="BU84" s="178" t="s">
        <v>242</v>
      </c>
      <c r="BV84" s="178" t="s">
        <v>3603</v>
      </c>
      <c r="BW84" s="290"/>
      <c r="BX84" s="178" t="s">
        <v>2373</v>
      </c>
      <c r="BY84" s="178" t="s">
        <v>4553</v>
      </c>
      <c r="BZ84" s="178"/>
      <c r="CA84" s="290"/>
      <c r="CB84" s="178" t="s">
        <v>1479</v>
      </c>
      <c r="CC84" s="178" t="s">
        <v>233</v>
      </c>
      <c r="CD84" s="290"/>
      <c r="CE84" s="291"/>
      <c r="CF84" s="180" t="s">
        <v>3827</v>
      </c>
      <c r="CG84" s="180" t="s">
        <v>176</v>
      </c>
      <c r="CH84" s="180" t="s">
        <v>2276</v>
      </c>
      <c r="CI84" s="180" t="s">
        <v>4554</v>
      </c>
      <c r="CJ84" s="180"/>
      <c r="CK84" s="180" t="s">
        <v>4555</v>
      </c>
      <c r="CL84" s="180" t="s">
        <v>3091</v>
      </c>
      <c r="CM84" s="278"/>
      <c r="CN84" s="278"/>
      <c r="CO84" s="278"/>
      <c r="CP84" s="180"/>
      <c r="CQ84" s="180" t="s">
        <v>4556</v>
      </c>
      <c r="CR84" s="278"/>
      <c r="CS84" s="101"/>
      <c r="CT84" s="209" t="s">
        <v>3609</v>
      </c>
      <c r="CU84" s="279"/>
      <c r="CV84" s="209" t="s">
        <v>4528</v>
      </c>
      <c r="CW84" s="209" t="s">
        <v>4557</v>
      </c>
      <c r="CX84" s="209" t="s">
        <v>4108</v>
      </c>
      <c r="CY84" s="279"/>
      <c r="CZ84" s="209" t="s">
        <v>4558</v>
      </c>
      <c r="DA84" s="209" t="s">
        <v>4559</v>
      </c>
      <c r="DB84" s="279"/>
      <c r="DC84" s="209" t="s">
        <v>2229</v>
      </c>
      <c r="DD84" s="279"/>
      <c r="DE84" s="279"/>
      <c r="DF84" s="292"/>
      <c r="DG84" s="280"/>
      <c r="DH84" s="280"/>
      <c r="DI84" s="280"/>
      <c r="DJ84" s="280"/>
      <c r="DK84" s="210" t="s">
        <v>1608</v>
      </c>
      <c r="DL84" s="280"/>
      <c r="DM84" s="280"/>
      <c r="DN84" s="280"/>
      <c r="DO84" s="280"/>
      <c r="DP84" s="280"/>
      <c r="DQ84" s="280"/>
      <c r="DR84" s="210" t="s">
        <v>2518</v>
      </c>
      <c r="DS84" s="280"/>
      <c r="DT84" s="280"/>
      <c r="DU84" s="210" t="s">
        <v>4560</v>
      </c>
      <c r="DV84" s="280"/>
      <c r="DW84" s="280"/>
      <c r="DX84" s="210" t="s">
        <v>1674</v>
      </c>
      <c r="DY84" s="210" t="s">
        <v>4561</v>
      </c>
      <c r="DZ84" s="280"/>
      <c r="EA84" s="280"/>
      <c r="EB84" s="324"/>
    </row>
    <row r="85">
      <c r="A85" s="81" t="s">
        <v>4562</v>
      </c>
      <c r="B85" s="82" t="s">
        <v>4563</v>
      </c>
      <c r="C85" s="83" t="s">
        <v>1414</v>
      </c>
      <c r="D85" s="84" t="s">
        <v>1414</v>
      </c>
      <c r="E85" s="85" t="s">
        <v>1414</v>
      </c>
      <c r="F85" s="86" t="s">
        <v>2885</v>
      </c>
      <c r="G85" s="82" t="s">
        <v>2297</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4566</v>
      </c>
      <c r="CH85" s="97" t="str">
        <f>HYPERLINK("https://clips.twitch.tv/VenomousSavoryOtterPeteZaroll","48.70")</f>
        <v>48.70</v>
      </c>
      <c r="CI85" s="536" t="str">
        <f>HYPERLINK("https://www.twitch.tv/videos/203127903","1:35.90")</f>
        <v>1:35.90</v>
      </c>
      <c r="CJ85" s="537"/>
      <c r="CK85" s="213" t="s">
        <v>4567</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736</v>
      </c>
      <c r="D86" s="105" t="s">
        <v>736</v>
      </c>
      <c r="E86" s="106" t="s">
        <v>538</v>
      </c>
      <c r="F86" s="107" t="s">
        <v>4570</v>
      </c>
      <c r="G86" s="103" t="s">
        <v>4570</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4571</v>
      </c>
      <c r="Y86" s="116" t="s">
        <v>1070</v>
      </c>
      <c r="Z86" s="116" t="s">
        <v>348</v>
      </c>
      <c r="AA86" s="116" t="s">
        <v>4572</v>
      </c>
      <c r="AB86" s="116" t="s">
        <v>1471</v>
      </c>
      <c r="AC86" s="116" t="s">
        <v>558</v>
      </c>
      <c r="AD86" s="284"/>
      <c r="AE86" s="116" t="s">
        <v>755</v>
      </c>
      <c r="AF86" s="116" t="s">
        <v>4169</v>
      </c>
      <c r="AG86" s="116" t="s">
        <v>4091</v>
      </c>
      <c r="AH86" s="284"/>
      <c r="AI86" s="539"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4575</v>
      </c>
      <c r="CZ86" s="142" t="s">
        <v>4576</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4577</v>
      </c>
      <c r="B87" s="546" t="s">
        <v>4578</v>
      </c>
      <c r="C87" s="547" t="s">
        <v>1414</v>
      </c>
      <c r="D87" s="548" t="s">
        <v>1414</v>
      </c>
      <c r="E87" s="549" t="s">
        <v>1414</v>
      </c>
      <c r="F87" s="550" t="s">
        <v>2814</v>
      </c>
      <c r="G87" s="546" t="s">
        <v>1254</v>
      </c>
      <c r="H87" s="551" t="s">
        <v>4579</v>
      </c>
      <c r="I87" s="552" t="s">
        <v>4580</v>
      </c>
      <c r="J87" s="551" t="s">
        <v>4581</v>
      </c>
      <c r="K87" s="551" t="s">
        <v>2759</v>
      </c>
      <c r="L87" s="551" t="s">
        <v>2762</v>
      </c>
      <c r="M87" s="551" t="s">
        <v>4582</v>
      </c>
      <c r="N87" s="552" t="s">
        <v>4583</v>
      </c>
      <c r="O87" s="551" t="s">
        <v>366</v>
      </c>
      <c r="P87" s="553" t="s">
        <v>4584</v>
      </c>
      <c r="Q87" s="553" t="s">
        <v>4585</v>
      </c>
      <c r="R87" s="553" t="s">
        <v>2473</v>
      </c>
      <c r="S87" s="553" t="s">
        <v>4199</v>
      </c>
      <c r="T87" s="553" t="s">
        <v>1332</v>
      </c>
      <c r="U87" s="553" t="s">
        <v>4468</v>
      </c>
      <c r="V87" s="551" t="s">
        <v>4586</v>
      </c>
      <c r="W87" s="554"/>
      <c r="X87" s="551" t="s">
        <v>2787</v>
      </c>
      <c r="Y87" s="551" t="s">
        <v>4587</v>
      </c>
      <c r="Z87" s="552" t="s">
        <v>503</v>
      </c>
      <c r="AA87" s="552" t="s">
        <v>622</v>
      </c>
      <c r="AB87" s="551" t="s">
        <v>2248</v>
      </c>
      <c r="AC87" s="552" t="s">
        <v>4588</v>
      </c>
      <c r="AD87" s="551"/>
      <c r="AE87" s="551" t="s">
        <v>4589</v>
      </c>
      <c r="AF87" s="555" t="s">
        <v>4590</v>
      </c>
      <c r="AG87" s="551" t="s">
        <v>3323</v>
      </c>
      <c r="AH87" s="553" t="s">
        <v>1309</v>
      </c>
      <c r="AI87" s="88" t="s">
        <v>2156</v>
      </c>
      <c r="AJ87" s="553" t="s">
        <v>4591</v>
      </c>
      <c r="AK87" s="554"/>
      <c r="AL87" s="551" t="s">
        <v>3160</v>
      </c>
      <c r="AM87" s="551" t="s">
        <v>1372</v>
      </c>
      <c r="AN87" s="551" t="s">
        <v>4592</v>
      </c>
      <c r="AO87" s="553" t="s">
        <v>2819</v>
      </c>
      <c r="AP87" s="553" t="s">
        <v>4593</v>
      </c>
      <c r="AQ87" s="553" t="s">
        <v>4594</v>
      </c>
      <c r="AR87" s="551" t="s">
        <v>4595</v>
      </c>
      <c r="AS87" s="553" t="s">
        <v>4596</v>
      </c>
      <c r="AT87" s="553" t="s">
        <v>2976</v>
      </c>
      <c r="AU87" s="555" t="s">
        <v>2488</v>
      </c>
      <c r="AV87" s="551" t="s">
        <v>3443</v>
      </c>
      <c r="AW87" s="553" t="s">
        <v>258</v>
      </c>
      <c r="AX87" s="553" t="s">
        <v>746</v>
      </c>
      <c r="AY87" s="553" t="s">
        <v>4597</v>
      </c>
      <c r="AZ87" s="556"/>
      <c r="BA87" s="551" t="s">
        <v>4598</v>
      </c>
      <c r="BB87" s="555" t="s">
        <v>413</v>
      </c>
      <c r="BC87" s="551" t="s">
        <v>609</v>
      </c>
      <c r="BD87" s="552" t="s">
        <v>138</v>
      </c>
      <c r="BE87" s="551" t="s">
        <v>4599</v>
      </c>
      <c r="BF87" s="551" t="s">
        <v>4600</v>
      </c>
      <c r="BG87" s="551" t="s">
        <v>4141</v>
      </c>
      <c r="BH87" s="551" t="s">
        <v>2427</v>
      </c>
      <c r="BI87" s="551" t="s">
        <v>4601</v>
      </c>
      <c r="BJ87" s="93"/>
      <c r="BK87" s="552" t="s">
        <v>2449</v>
      </c>
      <c r="BL87" s="557"/>
      <c r="BM87" s="557"/>
      <c r="BN87" s="557"/>
      <c r="BO87" s="557"/>
      <c r="BP87" s="558"/>
      <c r="BQ87" s="557"/>
      <c r="BR87" s="555" t="s">
        <v>3760</v>
      </c>
      <c r="BS87" s="551" t="s">
        <v>4602</v>
      </c>
      <c r="BT87" s="555" t="s">
        <v>3042</v>
      </c>
      <c r="BU87" s="551" t="s">
        <v>4141</v>
      </c>
      <c r="BV87" s="551" t="s">
        <v>4603</v>
      </c>
      <c r="BW87" s="551" t="s">
        <v>4604</v>
      </c>
      <c r="BX87" s="559" t="s">
        <v>4605</v>
      </c>
      <c r="BY87" s="557"/>
      <c r="BZ87" s="553" t="s">
        <v>4606</v>
      </c>
      <c r="CA87" s="557"/>
      <c r="CB87" s="557"/>
      <c r="CC87" s="557"/>
      <c r="CD87" s="557"/>
      <c r="CE87" s="558"/>
      <c r="CF87" s="552" t="s">
        <v>4607</v>
      </c>
      <c r="CG87" s="551" t="s">
        <v>814</v>
      </c>
      <c r="CH87" s="553" t="s">
        <v>4608</v>
      </c>
      <c r="CI87" s="551" t="s">
        <v>4609</v>
      </c>
      <c r="CJ87" s="551" t="s">
        <v>4610</v>
      </c>
      <c r="CK87" s="551" t="s">
        <v>4611</v>
      </c>
      <c r="CL87" s="551" t="s">
        <v>1134</v>
      </c>
      <c r="CM87" s="553" t="s">
        <v>4612</v>
      </c>
      <c r="CN87" s="551"/>
      <c r="CO87" s="553" t="s">
        <v>3450</v>
      </c>
      <c r="CP87" s="553" t="s">
        <v>180</v>
      </c>
      <c r="CQ87" s="557"/>
      <c r="CR87" s="557"/>
      <c r="CS87" s="560"/>
      <c r="CT87" s="551" t="s">
        <v>4428</v>
      </c>
      <c r="CU87" s="552" t="s">
        <v>2126</v>
      </c>
      <c r="CV87" s="553" t="s">
        <v>3783</v>
      </c>
      <c r="CW87" s="552" t="s">
        <v>4613</v>
      </c>
      <c r="CX87" s="553" t="s">
        <v>4614</v>
      </c>
      <c r="CY87" s="551" t="s">
        <v>2116</v>
      </c>
      <c r="CZ87" s="561" t="s">
        <v>4615</v>
      </c>
      <c r="DA87" s="555" t="s">
        <v>1055</v>
      </c>
      <c r="DB87" s="557"/>
      <c r="DC87" s="557"/>
      <c r="DD87" s="557"/>
      <c r="DE87" s="557"/>
      <c r="DF87" s="558"/>
      <c r="DG87" s="551" t="s">
        <v>3876</v>
      </c>
      <c r="DH87" s="557"/>
      <c r="DI87" s="551" t="s">
        <v>4616</v>
      </c>
      <c r="DJ87" s="551"/>
      <c r="DK87" s="552" t="s">
        <v>4617</v>
      </c>
      <c r="DL87" s="551" t="s">
        <v>4618</v>
      </c>
      <c r="DM87" s="551" t="s">
        <v>4619</v>
      </c>
      <c r="DN87" s="551" t="s">
        <v>1868</v>
      </c>
      <c r="DO87" s="551" t="s">
        <v>4620</v>
      </c>
      <c r="DP87" s="551" t="s">
        <v>4621</v>
      </c>
      <c r="DQ87" s="553" t="s">
        <v>4622</v>
      </c>
      <c r="DR87" s="551" t="s">
        <v>3066</v>
      </c>
      <c r="DS87" s="551" t="s">
        <v>4623</v>
      </c>
      <c r="DT87" s="556"/>
      <c r="DU87" s="552" t="s">
        <v>1796</v>
      </c>
      <c r="DV87" s="557"/>
      <c r="DW87" s="552" t="s">
        <v>2911</v>
      </c>
      <c r="DX87" s="551" t="s">
        <v>3018</v>
      </c>
      <c r="DY87" s="556"/>
      <c r="DZ87" s="551" t="s">
        <v>1028</v>
      </c>
      <c r="EA87" s="556"/>
      <c r="EB87" s="97" t="s">
        <v>4624</v>
      </c>
    </row>
    <row r="88">
      <c r="A88" s="168" t="s">
        <v>4625</v>
      </c>
      <c r="B88" s="103" t="s">
        <v>4626</v>
      </c>
      <c r="C88" s="104" t="s">
        <v>1414</v>
      </c>
      <c r="D88" s="105" t="s">
        <v>1414</v>
      </c>
      <c r="E88" s="106" t="s">
        <v>1414</v>
      </c>
      <c r="F88" s="107" t="s">
        <v>433</v>
      </c>
      <c r="G88" s="103" t="s">
        <v>1058</v>
      </c>
      <c r="H88" s="169" t="s">
        <v>4627</v>
      </c>
      <c r="I88" s="169" t="s">
        <v>4628</v>
      </c>
      <c r="J88" s="169" t="s">
        <v>1271</v>
      </c>
      <c r="K88" s="169" t="s">
        <v>4510</v>
      </c>
      <c r="L88" s="169" t="s">
        <v>3848</v>
      </c>
      <c r="M88" s="226"/>
      <c r="N88" s="169" t="s">
        <v>2191</v>
      </c>
      <c r="O88" s="169" t="s">
        <v>4225</v>
      </c>
      <c r="P88" s="169" t="s">
        <v>1006</v>
      </c>
      <c r="Q88" s="169" t="s">
        <v>2681</v>
      </c>
      <c r="R88" s="226"/>
      <c r="S88" s="169" t="s">
        <v>3861</v>
      </c>
      <c r="T88" s="226"/>
      <c r="U88" s="226"/>
      <c r="V88" s="169" t="s">
        <v>4629</v>
      </c>
      <c r="W88" s="92"/>
      <c r="X88" s="201" t="s">
        <v>4630</v>
      </c>
      <c r="Y88" s="201" t="s">
        <v>4631</v>
      </c>
      <c r="Z88" s="201" t="s">
        <v>238</v>
      </c>
      <c r="AA88" s="201" t="s">
        <v>4632</v>
      </c>
      <c r="AB88" s="201" t="s">
        <v>4633</v>
      </c>
      <c r="AC88" s="201" t="s">
        <v>2831</v>
      </c>
      <c r="AD88" s="201" t="s">
        <v>4387</v>
      </c>
      <c r="AE88" s="201" t="s">
        <v>1289</v>
      </c>
      <c r="AF88" s="201" t="s">
        <v>4134</v>
      </c>
      <c r="AG88" s="201" t="s">
        <v>1406</v>
      </c>
      <c r="AH88" s="201"/>
      <c r="AI88" s="116" t="s">
        <v>2515</v>
      </c>
      <c r="AJ88" s="201" t="s">
        <v>4634</v>
      </c>
      <c r="AK88" s="92"/>
      <c r="AL88" s="171" t="s">
        <v>3305</v>
      </c>
      <c r="AM88" s="171" t="s">
        <v>384</v>
      </c>
      <c r="AN88" s="171" t="s">
        <v>4635</v>
      </c>
      <c r="AO88" s="171" t="s">
        <v>4636</v>
      </c>
      <c r="AP88" s="171" t="s">
        <v>4637</v>
      </c>
      <c r="AQ88" s="171"/>
      <c r="AR88" s="171" t="s">
        <v>1529</v>
      </c>
      <c r="AS88" s="171" t="s">
        <v>4638</v>
      </c>
      <c r="AT88" s="171" t="s">
        <v>2434</v>
      </c>
      <c r="AU88" s="121" t="s">
        <v>4639</v>
      </c>
      <c r="AV88" s="171" t="s">
        <v>1713</v>
      </c>
      <c r="AW88" s="274"/>
      <c r="AX88" s="171" t="s">
        <v>928</v>
      </c>
      <c r="AY88" s="171" t="s">
        <v>4640</v>
      </c>
      <c r="AZ88" s="171"/>
      <c r="BA88" s="176"/>
      <c r="BB88" s="177" t="s">
        <v>923</v>
      </c>
      <c r="BC88" s="177" t="s">
        <v>1042</v>
      </c>
      <c r="BD88" s="177" t="s">
        <v>1387</v>
      </c>
      <c r="BE88" s="177" t="s">
        <v>4641</v>
      </c>
      <c r="BF88" s="177" t="s">
        <v>4196</v>
      </c>
      <c r="BG88" s="176"/>
      <c r="BH88" s="177" t="s">
        <v>401</v>
      </c>
      <c r="BI88" s="177" t="s">
        <v>4642</v>
      </c>
      <c r="BJ88" s="177"/>
      <c r="BK88" s="177" t="s">
        <v>4643</v>
      </c>
      <c r="BL88" s="176"/>
      <c r="BM88" s="177" t="s">
        <v>3070</v>
      </c>
      <c r="BN88" s="177" t="s">
        <v>2253</v>
      </c>
      <c r="BO88" s="177" t="s">
        <v>4644</v>
      </c>
      <c r="BP88" s="177"/>
      <c r="BQ88" s="290"/>
      <c r="BR88" s="290"/>
      <c r="BS88" s="178" t="s">
        <v>4645</v>
      </c>
      <c r="BT88" s="178" t="s">
        <v>2507</v>
      </c>
      <c r="BU88" s="178" t="s">
        <v>4646</v>
      </c>
      <c r="BV88" s="178" t="s">
        <v>2811</v>
      </c>
      <c r="BW88" s="290"/>
      <c r="BX88" s="178" t="s">
        <v>4647</v>
      </c>
      <c r="BY88" s="290"/>
      <c r="BZ88" s="178" t="s">
        <v>1182</v>
      </c>
      <c r="CA88" s="178" t="s">
        <v>4648</v>
      </c>
      <c r="CB88" s="178" t="s">
        <v>662</v>
      </c>
      <c r="CC88" s="178" t="s">
        <v>3971</v>
      </c>
      <c r="CD88" s="132" t="s">
        <v>4649</v>
      </c>
      <c r="CE88" s="276"/>
      <c r="CF88" s="180" t="s">
        <v>4650</v>
      </c>
      <c r="CG88" s="180" t="s">
        <v>1818</v>
      </c>
      <c r="CH88" s="278"/>
      <c r="CI88" s="278"/>
      <c r="CJ88" s="278" t="s">
        <v>3574</v>
      </c>
      <c r="CK88" s="278"/>
      <c r="CL88" s="180" t="s">
        <v>4651</v>
      </c>
      <c r="CM88" s="180" t="s">
        <v>3141</v>
      </c>
      <c r="CN88" s="278"/>
      <c r="CO88" s="180" t="s">
        <v>3837</v>
      </c>
      <c r="CP88" s="278"/>
      <c r="CQ88" s="278"/>
      <c r="CR88" s="137" t="s">
        <v>4652</v>
      </c>
      <c r="CS88" s="101"/>
      <c r="CT88" s="209" t="s">
        <v>2579</v>
      </c>
      <c r="CU88" s="142" t="s">
        <v>2196</v>
      </c>
      <c r="CV88" s="209" t="s">
        <v>4653</v>
      </c>
      <c r="CW88" s="209" t="s">
        <v>1229</v>
      </c>
      <c r="CX88" s="209" t="s">
        <v>4654</v>
      </c>
      <c r="CY88" s="279"/>
      <c r="CZ88" s="279"/>
      <c r="DA88" s="209" t="s">
        <v>4655</v>
      </c>
      <c r="DB88" s="142" t="s">
        <v>4656</v>
      </c>
      <c r="DC88" s="209" t="s">
        <v>1332</v>
      </c>
      <c r="DD88" s="279"/>
      <c r="DE88" s="209" t="s">
        <v>4657</v>
      </c>
      <c r="DF88" s="209"/>
      <c r="DG88" s="280"/>
      <c r="DH88" s="210" t="s">
        <v>4341</v>
      </c>
      <c r="DI88" s="280"/>
      <c r="DJ88" s="210"/>
      <c r="DK88" s="210" t="s">
        <v>4544</v>
      </c>
      <c r="DL88" s="210" t="s">
        <v>4658</v>
      </c>
      <c r="DM88" s="147" t="s">
        <v>3930</v>
      </c>
      <c r="DN88" s="210" t="s">
        <v>3006</v>
      </c>
      <c r="DO88" s="210" t="s">
        <v>2243</v>
      </c>
      <c r="DP88" s="210" t="s">
        <v>1035</v>
      </c>
      <c r="DQ88" s="280"/>
      <c r="DR88" s="210" t="s">
        <v>4659</v>
      </c>
      <c r="DS88" s="210" t="s">
        <v>4660</v>
      </c>
      <c r="DT88" s="210" t="s">
        <v>4661</v>
      </c>
      <c r="DU88" s="210" t="s">
        <v>4662</v>
      </c>
      <c r="DV88" s="210" t="s">
        <v>1977</v>
      </c>
      <c r="DW88" s="210" t="s">
        <v>1379</v>
      </c>
      <c r="DX88" s="210" t="s">
        <v>3537</v>
      </c>
      <c r="DY88" s="210" t="s">
        <v>3278</v>
      </c>
      <c r="DZ88" s="210" t="s">
        <v>4663</v>
      </c>
      <c r="EA88" s="210" t="s">
        <v>1754</v>
      </c>
      <c r="EB88" s="324" t="s">
        <v>4664</v>
      </c>
    </row>
    <row r="89">
      <c r="A89" s="562" t="s">
        <v>4665</v>
      </c>
      <c r="B89" s="82" t="s">
        <v>4666</v>
      </c>
      <c r="C89" s="83" t="s">
        <v>1414</v>
      </c>
      <c r="D89" s="84" t="s">
        <v>1414</v>
      </c>
      <c r="E89" s="85" t="s">
        <v>1414</v>
      </c>
      <c r="F89" s="86" t="s">
        <v>218</v>
      </c>
      <c r="G89" s="82" t="s">
        <v>2353</v>
      </c>
      <c r="H89" s="98"/>
      <c r="I89" s="98"/>
      <c r="J89" s="93" t="s">
        <v>4667</v>
      </c>
      <c r="K89" s="93" t="s">
        <v>998</v>
      </c>
      <c r="L89" s="93" t="s">
        <v>4668</v>
      </c>
      <c r="M89" s="93" t="s">
        <v>4669</v>
      </c>
      <c r="N89" s="93" t="s">
        <v>4670</v>
      </c>
      <c r="O89" s="93" t="s">
        <v>2659</v>
      </c>
      <c r="P89" s="88" t="s">
        <v>2890</v>
      </c>
      <c r="Q89" s="98"/>
      <c r="R89" s="98"/>
      <c r="S89" s="98"/>
      <c r="T89" s="98"/>
      <c r="U89" s="98"/>
      <c r="V89" s="93" t="s">
        <v>4671</v>
      </c>
      <c r="W89" s="92"/>
      <c r="X89" s="303" t="s">
        <v>4672</v>
      </c>
      <c r="Y89" s="93" t="s">
        <v>1006</v>
      </c>
      <c r="Z89" s="88" t="s">
        <v>1656</v>
      </c>
      <c r="AA89" s="88" t="s">
        <v>4673</v>
      </c>
      <c r="AB89" s="88" t="s">
        <v>2289</v>
      </c>
      <c r="AC89" s="303" t="s">
        <v>4338</v>
      </c>
      <c r="AD89" s="93"/>
      <c r="AE89" s="162" t="s">
        <v>3226</v>
      </c>
      <c r="AF89" s="88" t="s">
        <v>1957</v>
      </c>
      <c r="AG89" s="98"/>
      <c r="AH89" s="98"/>
      <c r="AI89" s="93" t="s">
        <v>2014</v>
      </c>
      <c r="AJ89" s="93" t="s">
        <v>4674</v>
      </c>
      <c r="AK89" s="92"/>
      <c r="AL89" s="98"/>
      <c r="AM89" s="98"/>
      <c r="AN89" s="98"/>
      <c r="AO89" s="98"/>
      <c r="AP89" s="93" t="s">
        <v>234</v>
      </c>
      <c r="AQ89" s="93"/>
      <c r="AR89" s="98"/>
      <c r="AS89" s="98"/>
      <c r="AT89" s="93" t="s">
        <v>906</v>
      </c>
      <c r="AU89" s="303" t="s">
        <v>4675</v>
      </c>
      <c r="AV89" s="98"/>
      <c r="AW89" s="98"/>
      <c r="AX89" s="88" t="s">
        <v>338</v>
      </c>
      <c r="AY89" s="93" t="s">
        <v>4676</v>
      </c>
      <c r="AZ89" s="93"/>
      <c r="BA89" s="93" t="s">
        <v>4383</v>
      </c>
      <c r="BB89" s="93" t="s">
        <v>1867</v>
      </c>
      <c r="BC89" s="93" t="s">
        <v>2164</v>
      </c>
      <c r="BD89" s="88" t="s">
        <v>373</v>
      </c>
      <c r="BE89" s="93" t="s">
        <v>1224</v>
      </c>
      <c r="BF89" s="98"/>
      <c r="BG89" s="98"/>
      <c r="BH89" s="303" t="s">
        <v>2613</v>
      </c>
      <c r="BI89" s="98"/>
      <c r="BJ89" s="93" t="s">
        <v>4677</v>
      </c>
      <c r="BK89" s="98"/>
      <c r="BL89" s="93"/>
      <c r="BM89" s="93" t="s">
        <v>3450</v>
      </c>
      <c r="BN89" s="93" t="s">
        <v>4396</v>
      </c>
      <c r="BO89" s="98"/>
      <c r="BP89" s="267"/>
      <c r="BQ89" s="98"/>
      <c r="BR89" s="93" t="s">
        <v>2185</v>
      </c>
      <c r="BS89" s="97" t="s">
        <v>3149</v>
      </c>
      <c r="BT89" s="93" t="s">
        <v>1939</v>
      </c>
      <c r="BU89" s="93" t="s">
        <v>4678</v>
      </c>
      <c r="BV89" s="93" t="s">
        <v>2811</v>
      </c>
      <c r="BW89" s="98"/>
      <c r="BX89" s="98"/>
      <c r="BY89" s="98"/>
      <c r="BZ89" s="88" t="s">
        <v>4606</v>
      </c>
      <c r="CA89" s="88" t="s">
        <v>4679</v>
      </c>
      <c r="CB89" s="98"/>
      <c r="CC89" s="88" t="s">
        <v>2993</v>
      </c>
      <c r="CD89" s="93" t="s">
        <v>4680</v>
      </c>
      <c r="CE89" s="93"/>
      <c r="CF89" s="93" t="s">
        <v>4681</v>
      </c>
      <c r="CG89" s="88" t="s">
        <v>292</v>
      </c>
      <c r="CH89" s="93" t="s">
        <v>4682</v>
      </c>
      <c r="CI89" s="93" t="s">
        <v>4683</v>
      </c>
      <c r="CJ89" s="93"/>
      <c r="CK89" s="98"/>
      <c r="CL89" s="93" t="s">
        <v>4684</v>
      </c>
      <c r="CM89" s="88" t="s">
        <v>2945</v>
      </c>
      <c r="CN89" s="98"/>
      <c r="CO89" s="93"/>
      <c r="CP89" s="98"/>
      <c r="CQ89" s="98"/>
      <c r="CR89" s="93" t="s">
        <v>4685</v>
      </c>
      <c r="CS89" s="101"/>
      <c r="CT89" s="93" t="s">
        <v>4468</v>
      </c>
      <c r="CU89" s="98"/>
      <c r="CV89" s="303" t="s">
        <v>4686</v>
      </c>
      <c r="CW89" s="93" t="s">
        <v>4137</v>
      </c>
      <c r="CX89" s="93" t="s">
        <v>4687</v>
      </c>
      <c r="CY89" s="93" t="s">
        <v>4688</v>
      </c>
      <c r="CZ89" s="303" t="s">
        <v>4558</v>
      </c>
      <c r="DA89" s="93" t="s">
        <v>3809</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63" t="s">
        <v>4695</v>
      </c>
      <c r="B90" s="103" t="s">
        <v>4696</v>
      </c>
      <c r="C90" s="104" t="s">
        <v>1414</v>
      </c>
      <c r="D90" s="105" t="s">
        <v>1414</v>
      </c>
      <c r="E90" s="106" t="s">
        <v>1414</v>
      </c>
      <c r="F90" s="107" t="s">
        <v>4697</v>
      </c>
      <c r="G90" s="103" t="s">
        <v>4697</v>
      </c>
      <c r="H90" s="462"/>
      <c r="I90" s="112" t="s">
        <v>4698</v>
      </c>
      <c r="J90" s="112" t="s">
        <v>4699</v>
      </c>
      <c r="K90" s="169"/>
      <c r="L90" s="110" t="s">
        <v>4700</v>
      </c>
      <c r="M90" s="226"/>
      <c r="N90" s="226"/>
      <c r="O90" s="112" t="s">
        <v>1821</v>
      </c>
      <c r="P90" s="169"/>
      <c r="Q90" s="226"/>
      <c r="R90" s="226"/>
      <c r="S90" s="110" t="s">
        <v>3284</v>
      </c>
      <c r="T90" s="110" t="s">
        <v>4701</v>
      </c>
      <c r="U90" s="308"/>
      <c r="V90" s="226"/>
      <c r="W90" s="92"/>
      <c r="X90" s="115" t="s">
        <v>3196</v>
      </c>
      <c r="Y90" s="115" t="s">
        <v>4702</v>
      </c>
      <c r="Z90" s="115" t="s">
        <v>450</v>
      </c>
      <c r="AA90" s="116" t="s">
        <v>4703</v>
      </c>
      <c r="AB90" s="284"/>
      <c r="AC90" s="116" t="s">
        <v>4704</v>
      </c>
      <c r="AD90" s="115" t="s">
        <v>4705</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2326</v>
      </c>
      <c r="BN90" s="125" t="s">
        <v>970</v>
      </c>
      <c r="BO90" s="176"/>
      <c r="BP90" s="287"/>
      <c r="BQ90" s="178"/>
      <c r="BR90" s="130" t="s">
        <v>772</v>
      </c>
      <c r="BS90" s="130" t="s">
        <v>3526</v>
      </c>
      <c r="BT90" s="132" t="s">
        <v>4476</v>
      </c>
      <c r="BU90" s="290"/>
      <c r="BV90" s="132" t="s">
        <v>733</v>
      </c>
      <c r="BW90" s="290"/>
      <c r="BX90" s="130" t="s">
        <v>4708</v>
      </c>
      <c r="BY90" s="132" t="s">
        <v>4709</v>
      </c>
      <c r="BZ90" s="290"/>
      <c r="CA90" s="132" t="s">
        <v>1464</v>
      </c>
      <c r="CB90" s="130" t="s">
        <v>228</v>
      </c>
      <c r="CC90" s="130" t="s">
        <v>1431</v>
      </c>
      <c r="CD90" s="290"/>
      <c r="CE90" s="291"/>
      <c r="CF90" s="137" t="s">
        <v>4710</v>
      </c>
      <c r="CG90" s="137" t="s">
        <v>2278</v>
      </c>
      <c r="CH90" s="137" t="s">
        <v>4711</v>
      </c>
      <c r="CI90" s="278"/>
      <c r="CJ90" s="278"/>
      <c r="CK90" s="137" t="s">
        <v>3612</v>
      </c>
      <c r="CL90" s="137" t="s">
        <v>398</v>
      </c>
      <c r="CM90" s="278"/>
      <c r="CN90" s="180"/>
      <c r="CO90" s="278"/>
      <c r="CP90" s="207"/>
      <c r="CQ90" s="135" t="s">
        <v>4712</v>
      </c>
      <c r="CR90" s="278"/>
      <c r="CS90" s="101"/>
      <c r="CT90" s="142" t="s">
        <v>4713</v>
      </c>
      <c r="CU90" s="209"/>
      <c r="CV90" s="142" t="s">
        <v>4714</v>
      </c>
      <c r="CW90" s="279"/>
      <c r="CX90" s="142" t="s">
        <v>4710</v>
      </c>
      <c r="CY90" s="142" t="s">
        <v>2627</v>
      </c>
      <c r="CZ90" s="139" t="s">
        <v>1926</v>
      </c>
      <c r="DA90" s="279"/>
      <c r="DB90" s="279"/>
      <c r="DC90" s="139" t="s">
        <v>4034</v>
      </c>
      <c r="DD90" s="279"/>
      <c r="DE90" s="279"/>
      <c r="DF90" s="292"/>
      <c r="DG90" s="374"/>
      <c r="DH90" s="144" t="s">
        <v>3967</v>
      </c>
      <c r="DI90" s="280"/>
      <c r="DJ90" s="280"/>
      <c r="DK90" s="280"/>
      <c r="DL90" s="280"/>
      <c r="DM90" s="144" t="s">
        <v>1463</v>
      </c>
      <c r="DN90" s="144" t="s">
        <v>4715</v>
      </c>
      <c r="DO90" s="147" t="s">
        <v>4620</v>
      </c>
      <c r="DP90" s="147" t="s">
        <v>4716</v>
      </c>
      <c r="DQ90" s="210"/>
      <c r="DR90" s="280"/>
      <c r="DS90" s="280"/>
      <c r="DT90" s="280"/>
      <c r="DU90" s="147" t="s">
        <v>1489</v>
      </c>
      <c r="DV90" s="280"/>
      <c r="DW90" s="210"/>
      <c r="DX90" s="210"/>
      <c r="DY90" s="147" t="s">
        <v>1719</v>
      </c>
      <c r="DZ90" s="280"/>
      <c r="EA90" s="147" t="s">
        <v>4603</v>
      </c>
      <c r="EB90" s="324"/>
    </row>
    <row r="91">
      <c r="A91" s="564" t="s">
        <v>4717</v>
      </c>
      <c r="B91" s="82" t="s">
        <v>4718</v>
      </c>
      <c r="C91" s="83" t="s">
        <v>1414</v>
      </c>
      <c r="D91" s="84" t="s">
        <v>736</v>
      </c>
      <c r="E91" s="85" t="s">
        <v>736</v>
      </c>
      <c r="F91" s="86" t="s">
        <v>2814</v>
      </c>
      <c r="G91" s="82" t="s">
        <v>4719</v>
      </c>
      <c r="H91" s="93" t="s">
        <v>3451</v>
      </c>
      <c r="I91" s="93" t="s">
        <v>4720</v>
      </c>
      <c r="J91" s="93" t="s">
        <v>4721</v>
      </c>
      <c r="K91" s="303" t="s">
        <v>2692</v>
      </c>
      <c r="L91" s="88" t="s">
        <v>4722</v>
      </c>
      <c r="M91" s="98"/>
      <c r="N91" s="98"/>
      <c r="O91" s="98"/>
      <c r="P91" s="88" t="s">
        <v>3023</v>
      </c>
      <c r="Q91" s="98"/>
      <c r="R91" s="98"/>
      <c r="S91" s="88" t="s">
        <v>110</v>
      </c>
      <c r="T91" s="98"/>
      <c r="U91" s="98"/>
      <c r="V91" s="88" t="s">
        <v>113</v>
      </c>
      <c r="W91" s="92"/>
      <c r="X91" s="88" t="s">
        <v>175</v>
      </c>
      <c r="Y91" s="88" t="s">
        <v>2148</v>
      </c>
      <c r="Z91" s="88" t="s">
        <v>4136</v>
      </c>
      <c r="AA91" s="88" t="s">
        <v>3540</v>
      </c>
      <c r="AB91" s="88" t="s">
        <v>3771</v>
      </c>
      <c r="AC91" s="98"/>
      <c r="AD91" s="98"/>
      <c r="AE91" s="98"/>
      <c r="AF91" s="88" t="s">
        <v>3597</v>
      </c>
      <c r="AG91" s="98"/>
      <c r="AH91" s="98"/>
      <c r="AI91" s="98"/>
      <c r="AJ91" s="98"/>
      <c r="AK91" s="92"/>
      <c r="AL91" s="98"/>
      <c r="AM91" s="98"/>
      <c r="AN91" s="98"/>
      <c r="AO91" s="88" t="s">
        <v>4723</v>
      </c>
      <c r="AP91" s="98"/>
      <c r="AQ91" s="88" t="s">
        <v>465</v>
      </c>
      <c r="AR91" s="98"/>
      <c r="AS91" s="98"/>
      <c r="AT91" s="98"/>
      <c r="AU91" s="98"/>
      <c r="AV91" s="88" t="s">
        <v>4724</v>
      </c>
      <c r="AW91" s="98"/>
      <c r="AX91" s="98"/>
      <c r="AY91" s="98"/>
      <c r="AZ91" s="267"/>
      <c r="BA91" s="98"/>
      <c r="BB91" s="93" t="s">
        <v>599</v>
      </c>
      <c r="BC91" s="88" t="s">
        <v>2049</v>
      </c>
      <c r="BD91" s="88" t="s">
        <v>3942</v>
      </c>
      <c r="BE91" s="98"/>
      <c r="BF91" s="98"/>
      <c r="BG91" s="98"/>
      <c r="BH91" s="88" t="s">
        <v>1754</v>
      </c>
      <c r="BI91" s="93" t="s">
        <v>4725</v>
      </c>
      <c r="BJ91" s="98"/>
      <c r="BK91" s="98"/>
      <c r="BL91" s="98"/>
      <c r="BM91" s="88" t="s">
        <v>685</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921</v>
      </c>
      <c r="CE91" s="267"/>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417</v>
      </c>
      <c r="DN91" s="89" t="s">
        <v>4736</v>
      </c>
      <c r="DO91" s="88" t="s">
        <v>4737</v>
      </c>
      <c r="DP91" s="98"/>
      <c r="DQ91" s="98"/>
      <c r="DR91" s="98"/>
      <c r="DS91" s="93" t="s">
        <v>4375</v>
      </c>
      <c r="DT91" s="98"/>
      <c r="DU91" s="93" t="s">
        <v>2000</v>
      </c>
      <c r="DV91" s="98"/>
      <c r="DW91" s="98"/>
      <c r="DX91" s="98"/>
      <c r="DY91" s="98"/>
      <c r="DZ91" s="98"/>
      <c r="EA91" s="98"/>
      <c r="EB91" s="300"/>
    </row>
    <row r="92">
      <c r="A92" s="565" t="s">
        <v>4738</v>
      </c>
      <c r="B92" s="103" t="s">
        <v>4739</v>
      </c>
      <c r="C92" s="104" t="s">
        <v>1414</v>
      </c>
      <c r="D92" s="105" t="s">
        <v>736</v>
      </c>
      <c r="E92" s="106" t="s">
        <v>1414</v>
      </c>
      <c r="F92" s="107" t="s">
        <v>4740</v>
      </c>
      <c r="G92" s="103" t="s">
        <v>2008</v>
      </c>
      <c r="H92" s="169" t="s">
        <v>788</v>
      </c>
      <c r="I92" s="112" t="s">
        <v>4741</v>
      </c>
      <c r="J92" s="112" t="s">
        <v>2503</v>
      </c>
      <c r="K92" s="112" t="s">
        <v>3875</v>
      </c>
      <c r="L92" s="112" t="s">
        <v>2770</v>
      </c>
      <c r="M92" s="112" t="s">
        <v>4742</v>
      </c>
      <c r="N92" s="112" t="s">
        <v>4743</v>
      </c>
      <c r="O92" s="112" t="s">
        <v>4080</v>
      </c>
      <c r="P92" s="112" t="s">
        <v>4744</v>
      </c>
      <c r="Q92" s="112" t="s">
        <v>4745</v>
      </c>
      <c r="R92" s="226"/>
      <c r="S92" s="112" t="s">
        <v>2932</v>
      </c>
      <c r="T92" s="112" t="s">
        <v>4746</v>
      </c>
      <c r="U92" s="226"/>
      <c r="V92" s="169" t="s">
        <v>4747</v>
      </c>
      <c r="W92" s="92"/>
      <c r="X92" s="116" t="s">
        <v>1664</v>
      </c>
      <c r="Y92" s="284"/>
      <c r="Z92" s="116" t="s">
        <v>1140</v>
      </c>
      <c r="AA92" s="200" t="s">
        <v>4748</v>
      </c>
      <c r="AB92" s="116" t="s">
        <v>1480</v>
      </c>
      <c r="AC92" s="201" t="s">
        <v>2696</v>
      </c>
      <c r="AD92" s="284"/>
      <c r="AE92" s="116" t="s">
        <v>3226</v>
      </c>
      <c r="AF92" s="116" t="s">
        <v>115</v>
      </c>
      <c r="AG92" s="284"/>
      <c r="AH92" s="201" t="s">
        <v>2748</v>
      </c>
      <c r="AI92" s="201" t="s">
        <v>753</v>
      </c>
      <c r="AJ92" s="284"/>
      <c r="AK92" s="92"/>
      <c r="AL92" s="171" t="s">
        <v>4749</v>
      </c>
      <c r="AM92" s="171" t="s">
        <v>4750</v>
      </c>
      <c r="AN92" s="274"/>
      <c r="AO92" s="171" t="s">
        <v>4751</v>
      </c>
      <c r="AP92" s="274"/>
      <c r="AQ92" s="274"/>
      <c r="AR92" s="274"/>
      <c r="AS92" s="171" t="s">
        <v>4752</v>
      </c>
      <c r="AT92" s="121" t="s">
        <v>4241</v>
      </c>
      <c r="AU92" s="121" t="s">
        <v>3000</v>
      </c>
      <c r="AV92" s="121" t="s">
        <v>4753</v>
      </c>
      <c r="AW92" s="274"/>
      <c r="AX92" s="121" t="s">
        <v>4296</v>
      </c>
      <c r="AY92" s="274"/>
      <c r="AZ92" s="275"/>
      <c r="BA92" s="177" t="s">
        <v>2009</v>
      </c>
      <c r="BB92" s="177" t="s">
        <v>3019</v>
      </c>
      <c r="BC92" s="177" t="s">
        <v>2048</v>
      </c>
      <c r="BD92" s="127" t="s">
        <v>4754</v>
      </c>
      <c r="BE92" s="127" t="s">
        <v>4497</v>
      </c>
      <c r="BF92" s="176"/>
      <c r="BG92" s="176"/>
      <c r="BH92" s="127" t="s">
        <v>2750</v>
      </c>
      <c r="BI92" s="176"/>
      <c r="BJ92" s="127" t="s">
        <v>4755</v>
      </c>
      <c r="BK92" s="127" t="s">
        <v>3784</v>
      </c>
      <c r="BL92" s="176"/>
      <c r="BM92" s="127" t="s">
        <v>2441</v>
      </c>
      <c r="BN92" s="176"/>
      <c r="BO92" s="176"/>
      <c r="BP92" s="287"/>
      <c r="BQ92" s="132" t="s">
        <v>4756</v>
      </c>
      <c r="BR92" s="290"/>
      <c r="BS92" s="178" t="s">
        <v>4757</v>
      </c>
      <c r="BT92" s="132" t="s">
        <v>4479</v>
      </c>
      <c r="BU92" s="290"/>
      <c r="BV92" s="290"/>
      <c r="BW92" s="290"/>
      <c r="BX92" s="178" t="s">
        <v>4758</v>
      </c>
      <c r="BY92" s="316" t="s">
        <v>799</v>
      </c>
      <c r="BZ92" s="132" t="s">
        <v>4190</v>
      </c>
      <c r="CA92" s="132" t="s">
        <v>4759</v>
      </c>
      <c r="CB92" s="178" t="s">
        <v>4760</v>
      </c>
      <c r="CC92" s="132" t="s">
        <v>3831</v>
      </c>
      <c r="CD92" s="290"/>
      <c r="CE92" s="291"/>
      <c r="CF92" s="137" t="s">
        <v>4761</v>
      </c>
      <c r="CG92" s="137" t="s">
        <v>1302</v>
      </c>
      <c r="CH92" s="180" t="s">
        <v>4762</v>
      </c>
      <c r="CI92" s="137" t="s">
        <v>4763</v>
      </c>
      <c r="CJ92" s="137" t="s">
        <v>4764</v>
      </c>
      <c r="CK92" s="137" t="s">
        <v>4256</v>
      </c>
      <c r="CL92" s="180" t="s">
        <v>4765</v>
      </c>
      <c r="CM92" s="137" t="s">
        <v>230</v>
      </c>
      <c r="CN92" s="278"/>
      <c r="CO92" s="278"/>
      <c r="CP92" s="138"/>
      <c r="CQ92" s="137" t="s">
        <v>1332</v>
      </c>
      <c r="CR92" s="278"/>
      <c r="CS92" s="101"/>
      <c r="CT92" s="373" t="s">
        <v>1991</v>
      </c>
      <c r="CU92" s="279"/>
      <c r="CV92" s="209" t="s">
        <v>4686</v>
      </c>
      <c r="CW92" s="142" t="s">
        <v>3775</v>
      </c>
      <c r="CX92" s="279"/>
      <c r="CY92" s="209" t="s">
        <v>4766</v>
      </c>
      <c r="CZ92" s="209" t="s">
        <v>4767</v>
      </c>
      <c r="DA92" s="142" t="s">
        <v>2279</v>
      </c>
      <c r="DB92" s="279"/>
      <c r="DC92" s="209" t="s">
        <v>4768</v>
      </c>
      <c r="DD92" s="142" t="s">
        <v>4769</v>
      </c>
      <c r="DE92" s="279"/>
      <c r="DF92" s="292"/>
      <c r="DG92" s="280"/>
      <c r="DH92" s="280"/>
      <c r="DI92" s="280"/>
      <c r="DJ92" s="280"/>
      <c r="DK92" s="280"/>
      <c r="DL92" s="280"/>
      <c r="DM92" s="147" t="s">
        <v>1121</v>
      </c>
      <c r="DN92" s="210" t="s">
        <v>3096</v>
      </c>
      <c r="DO92" s="210" t="s">
        <v>4770</v>
      </c>
      <c r="DP92" s="280"/>
      <c r="DQ92" s="280"/>
      <c r="DR92" s="210" t="s">
        <v>2746</v>
      </c>
      <c r="DS92" s="210" t="s">
        <v>4771</v>
      </c>
      <c r="DT92" s="280"/>
      <c r="DU92" s="210" t="s">
        <v>4662</v>
      </c>
      <c r="DV92" s="280"/>
      <c r="DW92" s="280"/>
      <c r="DX92" s="280"/>
      <c r="DY92" s="143" t="s">
        <v>4772</v>
      </c>
      <c r="DZ92" s="280"/>
      <c r="EA92" s="280"/>
      <c r="EB92" s="324"/>
    </row>
    <row r="93">
      <c r="A93" s="566" t="s">
        <v>4773</v>
      </c>
      <c r="B93" s="567" t="s">
        <v>4774</v>
      </c>
      <c r="C93" s="568" t="s">
        <v>1414</v>
      </c>
      <c r="D93" s="569" t="s">
        <v>1414</v>
      </c>
      <c r="E93" s="570" t="s">
        <v>1414</v>
      </c>
      <c r="F93" s="571" t="s">
        <v>433</v>
      </c>
      <c r="G93" s="567" t="s">
        <v>4079</v>
      </c>
      <c r="H93" s="346"/>
      <c r="I93" s="346"/>
      <c r="J93" s="346"/>
      <c r="K93" s="572" t="s">
        <v>102</v>
      </c>
      <c r="L93" s="349"/>
      <c r="M93" s="346"/>
      <c r="N93" s="573"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2504</v>
      </c>
      <c r="AA93" s="349" t="s">
        <v>4776</v>
      </c>
      <c r="AB93" s="574" t="s">
        <v>4777</v>
      </c>
      <c r="AC93" s="346"/>
      <c r="AD93" s="346"/>
      <c r="AE93" s="573" t="s">
        <v>755</v>
      </c>
      <c r="AF93" s="574" t="s">
        <v>244</v>
      </c>
      <c r="AG93" s="346"/>
      <c r="AH93" s="346"/>
      <c r="AI93" s="346"/>
      <c r="AJ93" s="346"/>
      <c r="AK93" s="156"/>
      <c r="AL93" s="346"/>
      <c r="AM93" s="346"/>
      <c r="AN93" s="346"/>
      <c r="AO93" s="346"/>
      <c r="AP93" s="346"/>
      <c r="AQ93" s="346"/>
      <c r="AR93" s="346"/>
      <c r="AS93" s="346"/>
      <c r="AT93" s="349" t="s">
        <v>2318</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4778</v>
      </c>
      <c r="B94" s="103" t="s">
        <v>4779</v>
      </c>
      <c r="C94" s="104" t="s">
        <v>1414</v>
      </c>
      <c r="D94" s="105" t="s">
        <v>736</v>
      </c>
      <c r="E94" s="106" t="s">
        <v>1414</v>
      </c>
      <c r="F94" s="107" t="s">
        <v>4740</v>
      </c>
      <c r="G94" s="103" t="s">
        <v>825</v>
      </c>
      <c r="H94" s="112" t="s">
        <v>3287</v>
      </c>
      <c r="I94" s="296" t="s">
        <v>4780</v>
      </c>
      <c r="J94" s="296" t="s">
        <v>2098</v>
      </c>
      <c r="K94" s="112" t="s">
        <v>1807</v>
      </c>
      <c r="L94" s="112" t="s">
        <v>3718</v>
      </c>
      <c r="M94" s="112" t="s">
        <v>4781</v>
      </c>
      <c r="N94" s="296" t="s">
        <v>4782</v>
      </c>
      <c r="O94" s="296" t="s">
        <v>4754</v>
      </c>
      <c r="P94" s="296" t="s">
        <v>2890</v>
      </c>
      <c r="Q94" s="296" t="s">
        <v>4783</v>
      </c>
      <c r="R94" s="112" t="s">
        <v>3584</v>
      </c>
      <c r="S94" s="112" t="s">
        <v>4639</v>
      </c>
      <c r="T94" s="226"/>
      <c r="U94" s="112" t="s">
        <v>673</v>
      </c>
      <c r="V94" s="112" t="s">
        <v>4784</v>
      </c>
      <c r="W94" s="92"/>
      <c r="X94" s="328" t="s">
        <v>2848</v>
      </c>
      <c r="Y94" s="328" t="s">
        <v>4785</v>
      </c>
      <c r="Z94" s="328" t="s">
        <v>399</v>
      </c>
      <c r="AA94" s="328" t="s">
        <v>4786</v>
      </c>
      <c r="AB94" s="328" t="s">
        <v>4787</v>
      </c>
      <c r="AC94" s="328" t="s">
        <v>4788</v>
      </c>
      <c r="AD94" s="201"/>
      <c r="AE94" s="116" t="s">
        <v>885</v>
      </c>
      <c r="AF94" s="116" t="s">
        <v>4789</v>
      </c>
      <c r="AG94" s="116" t="s">
        <v>4790</v>
      </c>
      <c r="AH94" s="201"/>
      <c r="AI94" s="116" t="s">
        <v>4549</v>
      </c>
      <c r="AJ94" s="116" t="s">
        <v>4791</v>
      </c>
      <c r="AK94" s="92"/>
      <c r="AL94" s="121" t="s">
        <v>4792</v>
      </c>
      <c r="AM94" s="121" t="s">
        <v>4793</v>
      </c>
      <c r="AN94" s="274"/>
      <c r="AO94" s="274"/>
      <c r="AP94" s="274"/>
      <c r="AQ94" s="274"/>
      <c r="AR94" s="274"/>
      <c r="AS94" s="274"/>
      <c r="AT94" s="314" t="s">
        <v>2897</v>
      </c>
      <c r="AU94" s="121" t="s">
        <v>4794</v>
      </c>
      <c r="AV94" s="121" t="s">
        <v>4795</v>
      </c>
      <c r="AW94" s="121" t="s">
        <v>4796</v>
      </c>
      <c r="AX94" s="121" t="s">
        <v>1499</v>
      </c>
      <c r="AY94" s="274"/>
      <c r="AZ94" s="275"/>
      <c r="BA94" s="340" t="s">
        <v>360</v>
      </c>
      <c r="BB94" s="127" t="s">
        <v>4797</v>
      </c>
      <c r="BC94" s="340" t="s">
        <v>2654</v>
      </c>
      <c r="BD94" s="340" t="s">
        <v>3709</v>
      </c>
      <c r="BE94" s="127" t="s">
        <v>4275</v>
      </c>
      <c r="BF94" s="127" t="s">
        <v>4798</v>
      </c>
      <c r="BG94" s="127" t="s">
        <v>2428</v>
      </c>
      <c r="BH94" s="340" t="s">
        <v>297</v>
      </c>
      <c r="BI94" s="177" t="s">
        <v>4799</v>
      </c>
      <c r="BJ94" s="176"/>
      <c r="BK94" s="340" t="s">
        <v>4800</v>
      </c>
      <c r="BL94" s="176"/>
      <c r="BM94" s="127" t="s">
        <v>1345</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2354</v>
      </c>
      <c r="CI94" s="180" t="s">
        <v>4812</v>
      </c>
      <c r="CJ94" s="466" t="s">
        <v>3363</v>
      </c>
      <c r="CK94" s="180" t="s">
        <v>4813</v>
      </c>
      <c r="CL94" s="137" t="s">
        <v>1434</v>
      </c>
      <c r="CM94" s="137" t="s">
        <v>4612</v>
      </c>
      <c r="CN94" s="278"/>
      <c r="CO94" s="278"/>
      <c r="CP94" s="278"/>
      <c r="CQ94" s="278"/>
      <c r="CR94" s="137" t="s">
        <v>4814</v>
      </c>
      <c r="CS94" s="101"/>
      <c r="CT94" s="142" t="s">
        <v>4815</v>
      </c>
      <c r="CU94" s="333" t="s">
        <v>3716</v>
      </c>
      <c r="CV94" s="333" t="s">
        <v>4113</v>
      </c>
      <c r="CW94" s="333" t="s">
        <v>2764</v>
      </c>
      <c r="CX94" s="142" t="s">
        <v>4816</v>
      </c>
      <c r="CY94" s="333" t="s">
        <v>2420</v>
      </c>
      <c r="CZ94" s="333" t="s">
        <v>4817</v>
      </c>
      <c r="DA94" s="333" t="s">
        <v>2708</v>
      </c>
      <c r="DB94" s="279"/>
      <c r="DC94" s="279"/>
      <c r="DD94" s="279"/>
      <c r="DE94" s="142" t="s">
        <v>472</v>
      </c>
      <c r="DF94" s="142"/>
      <c r="DG94" s="210" t="s">
        <v>2039</v>
      </c>
      <c r="DH94" s="280"/>
      <c r="DI94" s="280"/>
      <c r="DJ94" s="280"/>
      <c r="DK94" s="143" t="s">
        <v>198</v>
      </c>
      <c r="DL94" s="147" t="s">
        <v>4048</v>
      </c>
      <c r="DM94" s="280"/>
      <c r="DN94" s="280"/>
      <c r="DO94" s="280"/>
      <c r="DP94" s="210" t="s">
        <v>3049</v>
      </c>
      <c r="DQ94" s="210" t="s">
        <v>2751</v>
      </c>
      <c r="DR94" s="280"/>
      <c r="DS94" s="147" t="s">
        <v>2202</v>
      </c>
      <c r="DT94" s="280"/>
      <c r="DU94" s="210" t="s">
        <v>981</v>
      </c>
      <c r="DV94" s="280"/>
      <c r="DW94" s="147" t="s">
        <v>2855</v>
      </c>
      <c r="DX94" s="210" t="s">
        <v>1886</v>
      </c>
      <c r="DY94" s="280"/>
      <c r="DZ94" s="280"/>
      <c r="EA94" s="280"/>
      <c r="EB94" s="144" t="s">
        <v>2493</v>
      </c>
    </row>
    <row r="95">
      <c r="A95" s="81" t="s">
        <v>4818</v>
      </c>
      <c r="B95" s="82" t="s">
        <v>4819</v>
      </c>
      <c r="C95" s="83" t="s">
        <v>1414</v>
      </c>
      <c r="D95" s="84" t="s">
        <v>1414</v>
      </c>
      <c r="E95" s="85" t="s">
        <v>1414</v>
      </c>
      <c r="F95" s="86" t="s">
        <v>328</v>
      </c>
      <c r="G95" s="82" t="s">
        <v>4820</v>
      </c>
      <c r="H95" s="98"/>
      <c r="I95" s="98"/>
      <c r="J95" s="98"/>
      <c r="K95" s="93" t="s">
        <v>2574</v>
      </c>
      <c r="L95" s="93" t="s">
        <v>4501</v>
      </c>
      <c r="M95" s="88" t="s">
        <v>4821</v>
      </c>
      <c r="N95" s="98"/>
      <c r="O95" s="93" t="s">
        <v>853</v>
      </c>
      <c r="P95" s="93" t="s">
        <v>3023</v>
      </c>
      <c r="Q95" s="98"/>
      <c r="R95" s="98"/>
      <c r="S95" s="98"/>
      <c r="T95" s="98"/>
      <c r="U95" s="98"/>
      <c r="V95" s="98"/>
      <c r="W95" s="92"/>
      <c r="X95" s="93" t="s">
        <v>4822</v>
      </c>
      <c r="Y95" s="93" t="s">
        <v>2676</v>
      </c>
      <c r="Z95" s="98"/>
      <c r="AA95" s="93" t="s">
        <v>2948</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1284</v>
      </c>
      <c r="AV95" s="98"/>
      <c r="AW95" s="98"/>
      <c r="AX95" s="98"/>
      <c r="AY95" s="98"/>
      <c r="AZ95" s="267"/>
      <c r="BA95" s="93" t="s">
        <v>4824</v>
      </c>
      <c r="BB95" s="93" t="s">
        <v>990</v>
      </c>
      <c r="BC95" s="93" t="s">
        <v>1304</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975</v>
      </c>
      <c r="CH95" s="98"/>
      <c r="CI95" s="88" t="s">
        <v>4831</v>
      </c>
      <c r="CJ95" s="213"/>
      <c r="CK95" s="93" t="s">
        <v>3280</v>
      </c>
      <c r="CL95" s="93" t="s">
        <v>1053</v>
      </c>
      <c r="CM95" s="98"/>
      <c r="CN95" s="98"/>
      <c r="CO95" s="98"/>
      <c r="CP95" s="98"/>
      <c r="CQ95" s="98"/>
      <c r="CR95" s="98"/>
      <c r="CS95" s="101"/>
      <c r="CT95" s="93" t="s">
        <v>1616</v>
      </c>
      <c r="CU95" s="98"/>
      <c r="CV95" s="93" t="s">
        <v>3771</v>
      </c>
      <c r="CW95" s="98"/>
      <c r="CX95" s="98"/>
      <c r="CY95" s="93" t="s">
        <v>2880</v>
      </c>
      <c r="CZ95" s="93" t="s">
        <v>4358</v>
      </c>
      <c r="DA95" s="93" t="s">
        <v>1510</v>
      </c>
      <c r="DB95" s="98"/>
      <c r="DC95" s="98"/>
      <c r="DD95" s="98"/>
      <c r="DE95" s="98"/>
      <c r="DF95" s="267"/>
      <c r="DG95" s="93"/>
      <c r="DH95" s="98"/>
      <c r="DI95" s="98"/>
      <c r="DJ95" s="98"/>
      <c r="DK95" s="93" t="s">
        <v>521</v>
      </c>
      <c r="DL95" s="98"/>
      <c r="DM95" s="98"/>
      <c r="DN95" s="98"/>
      <c r="DO95" s="98"/>
      <c r="DP95" s="93" t="s">
        <v>4832</v>
      </c>
      <c r="DQ95" s="98"/>
      <c r="DR95" s="98"/>
      <c r="DS95" s="98"/>
      <c r="DT95" s="98"/>
      <c r="DU95" s="98"/>
      <c r="DV95" s="98"/>
      <c r="DW95" s="98"/>
      <c r="DX95" s="98"/>
      <c r="DY95" s="98"/>
      <c r="DZ95" s="98"/>
      <c r="EA95" s="98"/>
      <c r="EB95" s="576"/>
    </row>
    <row r="96">
      <c r="A96" s="168" t="s">
        <v>4833</v>
      </c>
      <c r="B96" s="103" t="s">
        <v>4834</v>
      </c>
      <c r="C96" s="104" t="s">
        <v>1414</v>
      </c>
      <c r="D96" s="105" t="s">
        <v>1414</v>
      </c>
      <c r="E96" s="106" t="s">
        <v>1414</v>
      </c>
      <c r="F96" s="107" t="s">
        <v>328</v>
      </c>
      <c r="G96" s="103" t="s">
        <v>4835</v>
      </c>
      <c r="H96" s="226"/>
      <c r="I96" s="169" t="s">
        <v>2757</v>
      </c>
      <c r="J96" s="169" t="s">
        <v>3129</v>
      </c>
      <c r="K96" s="169" t="s">
        <v>1554</v>
      </c>
      <c r="L96" s="462" t="s">
        <v>4836</v>
      </c>
      <c r="M96" s="226"/>
      <c r="N96" s="169" t="s">
        <v>4837</v>
      </c>
      <c r="O96" s="169" t="s">
        <v>4838</v>
      </c>
      <c r="P96" s="169" t="s">
        <v>2890</v>
      </c>
      <c r="Q96" s="226"/>
      <c r="R96" s="226"/>
      <c r="S96" s="226"/>
      <c r="T96" s="226"/>
      <c r="U96" s="226"/>
      <c r="V96" s="226"/>
      <c r="W96" s="92"/>
      <c r="X96" s="201" t="s">
        <v>4839</v>
      </c>
      <c r="Y96" s="201" t="s">
        <v>1426</v>
      </c>
      <c r="Z96" s="201" t="s">
        <v>2038</v>
      </c>
      <c r="AA96" s="201" t="s">
        <v>1339</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2732</v>
      </c>
      <c r="BS96" s="178" t="s">
        <v>4841</v>
      </c>
      <c r="BT96" s="178" t="s">
        <v>4842</v>
      </c>
      <c r="BU96" s="178" t="s">
        <v>4843</v>
      </c>
      <c r="BV96" s="178" t="s">
        <v>3152</v>
      </c>
      <c r="BW96" s="290"/>
      <c r="BX96" s="290"/>
      <c r="BY96" s="178" t="s">
        <v>4844</v>
      </c>
      <c r="BZ96" s="290"/>
      <c r="CA96" s="290"/>
      <c r="CB96" s="290"/>
      <c r="CC96" s="290"/>
      <c r="CD96" s="290"/>
      <c r="CE96" s="291"/>
      <c r="CF96" s="180" t="s">
        <v>4845</v>
      </c>
      <c r="CG96" s="137" t="s">
        <v>4846</v>
      </c>
      <c r="CH96" s="278"/>
      <c r="CI96" s="278"/>
      <c r="CJ96" s="278"/>
      <c r="CK96" s="278"/>
      <c r="CL96" s="432" t="s">
        <v>3051</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4850</v>
      </c>
      <c r="B97" s="82" t="s">
        <v>4851</v>
      </c>
      <c r="C97" s="83" t="s">
        <v>1414</v>
      </c>
      <c r="D97" s="84" t="s">
        <v>1414</v>
      </c>
      <c r="E97" s="85" t="s">
        <v>1414</v>
      </c>
      <c r="F97" s="86" t="s">
        <v>1641</v>
      </c>
      <c r="G97" s="82" t="s">
        <v>4719</v>
      </c>
      <c r="H97" s="98"/>
      <c r="I97" s="88" t="s">
        <v>3555</v>
      </c>
      <c r="J97" s="88" t="s">
        <v>2165</v>
      </c>
      <c r="K97" s="88" t="s">
        <v>3166</v>
      </c>
      <c r="L97" s="88" t="s">
        <v>4852</v>
      </c>
      <c r="M97" s="88" t="str">
        <f>HYPERLINK("https://youtu.be/EP_OKh5RgxA", "2:18.82")</f>
        <v>2:18.82</v>
      </c>
      <c r="N97" s="88" t="s">
        <v>4853</v>
      </c>
      <c r="O97" s="88" t="s">
        <v>264</v>
      </c>
      <c r="P97" s="88" t="s">
        <v>548</v>
      </c>
      <c r="Q97" s="98"/>
      <c r="R97" s="98"/>
      <c r="S97" s="98"/>
      <c r="T97" s="98"/>
      <c r="U97" s="98"/>
      <c r="V97" s="98"/>
      <c r="W97" s="92"/>
      <c r="X97" s="88" t="s">
        <v>4854</v>
      </c>
      <c r="Y97" s="98"/>
      <c r="Z97" s="88" t="s">
        <v>3968</v>
      </c>
      <c r="AA97" s="88" t="s">
        <v>4855</v>
      </c>
      <c r="AB97" s="88" t="s">
        <v>4856</v>
      </c>
      <c r="AC97" s="88" t="s">
        <v>2832</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2164</v>
      </c>
      <c r="BD97" s="93" t="s">
        <v>4858</v>
      </c>
      <c r="BE97" s="98"/>
      <c r="BF97" s="98"/>
      <c r="BG97" s="98"/>
      <c r="BH97" s="88" t="s">
        <v>603</v>
      </c>
      <c r="BI97" s="98"/>
      <c r="BJ97" s="88" t="s">
        <v>4859</v>
      </c>
      <c r="BK97" s="88" t="s">
        <v>2558</v>
      </c>
      <c r="BL97" s="98"/>
      <c r="BM97" s="98"/>
      <c r="BN97" s="98"/>
      <c r="BO97" s="98"/>
      <c r="BP97" s="267"/>
      <c r="BQ97" s="88" t="s">
        <v>4860</v>
      </c>
      <c r="BR97" s="98"/>
      <c r="BS97" s="88" t="s">
        <v>2839</v>
      </c>
      <c r="BT97" s="88" t="s">
        <v>4861</v>
      </c>
      <c r="BU97" s="98"/>
      <c r="BV97" s="88" t="s">
        <v>907</v>
      </c>
      <c r="BW97" s="93" t="s">
        <v>4862</v>
      </c>
      <c r="BX97" s="98"/>
      <c r="BY97" s="88" t="s">
        <v>4863</v>
      </c>
      <c r="BZ97" s="88" t="s">
        <v>1463</v>
      </c>
      <c r="CA97" s="98"/>
      <c r="CB97" s="98"/>
      <c r="CC97" s="98"/>
      <c r="CD97" s="98"/>
      <c r="CE97" s="267"/>
      <c r="CF97" s="98"/>
      <c r="CG97" s="98"/>
      <c r="CH97" s="98"/>
      <c r="CI97" s="93" t="s">
        <v>4864</v>
      </c>
      <c r="CJ97" s="93"/>
      <c r="CK97" s="98"/>
      <c r="CL97" s="88" t="s">
        <v>4865</v>
      </c>
      <c r="CM97" s="88" t="s">
        <v>1608</v>
      </c>
      <c r="CN97" s="98"/>
      <c r="CO97" s="98"/>
      <c r="CP97" s="98"/>
      <c r="CQ97" s="98"/>
      <c r="CR97" s="98"/>
      <c r="CS97" s="101"/>
      <c r="CT97" s="88" t="s">
        <v>4866</v>
      </c>
      <c r="CU97" s="379" t="str">
        <f>HYPERLINK("https://youtu.be/E3G9EWGMU-8?t=986", "14.55")</f>
        <v>14.55</v>
      </c>
      <c r="CV97" s="88" t="s">
        <v>1631</v>
      </c>
      <c r="CW97" s="88" t="s">
        <v>4867</v>
      </c>
      <c r="CX97" s="88" t="s">
        <v>616</v>
      </c>
      <c r="CY97" s="98"/>
      <c r="CZ97" s="88" t="s">
        <v>4868</v>
      </c>
      <c r="DA97" s="88" t="s">
        <v>3924</v>
      </c>
      <c r="DB97" s="98"/>
      <c r="DC97" s="98"/>
      <c r="DD97" s="98"/>
      <c r="DE97" s="98"/>
      <c r="DF97" s="267"/>
      <c r="DG97" s="88" t="s">
        <v>2302</v>
      </c>
      <c r="DH97" s="98"/>
      <c r="DI97" s="98"/>
      <c r="DJ97" s="98"/>
      <c r="DK97" s="88" t="s">
        <v>521</v>
      </c>
      <c r="DL97" s="98"/>
      <c r="DM97" s="98"/>
      <c r="DN97" s="98"/>
      <c r="DO97" s="98"/>
      <c r="DP97" s="88" t="s">
        <v>4869</v>
      </c>
      <c r="DQ97" s="88" t="s">
        <v>2347</v>
      </c>
      <c r="DR97" s="98"/>
      <c r="DS97" s="98"/>
      <c r="DT97" s="98"/>
      <c r="DU97" s="98"/>
      <c r="DV97" s="98"/>
      <c r="DW97" s="98"/>
      <c r="DX97" s="98"/>
      <c r="DY97" s="93" t="s">
        <v>4870</v>
      </c>
      <c r="DZ97" s="88" t="s">
        <v>2664</v>
      </c>
      <c r="EA97" s="98"/>
      <c r="EB97" s="97" t="s">
        <v>1722</v>
      </c>
    </row>
    <row r="98">
      <c r="A98" s="578" t="s">
        <v>4871</v>
      </c>
      <c r="B98" s="103" t="s">
        <v>4872</v>
      </c>
      <c r="C98" s="104" t="s">
        <v>1414</v>
      </c>
      <c r="D98" s="105" t="s">
        <v>1414</v>
      </c>
      <c r="E98" s="106" t="s">
        <v>1414</v>
      </c>
      <c r="F98" s="107" t="s">
        <v>736</v>
      </c>
      <c r="G98" s="103" t="s">
        <v>2353</v>
      </c>
      <c r="H98" s="169" t="s">
        <v>678</v>
      </c>
      <c r="I98" s="169" t="s">
        <v>4873</v>
      </c>
      <c r="J98" s="169" t="s">
        <v>3101</v>
      </c>
      <c r="K98" s="169" t="s">
        <v>4874</v>
      </c>
      <c r="L98" s="169" t="s">
        <v>2770</v>
      </c>
      <c r="M98" s="169" t="s">
        <v>4875</v>
      </c>
      <c r="N98" s="169" t="s">
        <v>4876</v>
      </c>
      <c r="O98" s="169" t="s">
        <v>1821</v>
      </c>
      <c r="P98" s="169" t="s">
        <v>4877</v>
      </c>
      <c r="Q98" s="226"/>
      <c r="R98" s="226"/>
      <c r="S98" s="169" t="s">
        <v>4878</v>
      </c>
      <c r="T98" s="226"/>
      <c r="U98" s="169" t="s">
        <v>630</v>
      </c>
      <c r="V98" s="226"/>
      <c r="W98" s="92"/>
      <c r="X98" s="201" t="s">
        <v>1925</v>
      </c>
      <c r="Y98" s="201" t="s">
        <v>1822</v>
      </c>
      <c r="Z98" s="201" t="s">
        <v>4879</v>
      </c>
      <c r="AA98" s="201" t="s">
        <v>2572</v>
      </c>
      <c r="AB98" s="579" t="s">
        <v>4091</v>
      </c>
      <c r="AC98" s="201" t="s">
        <v>4381</v>
      </c>
      <c r="AD98" s="284"/>
      <c r="AE98" s="284"/>
      <c r="AF98" s="201" t="s">
        <v>4880</v>
      </c>
      <c r="AG98" s="284"/>
      <c r="AH98" s="284"/>
      <c r="AI98" s="284"/>
      <c r="AJ98" s="284"/>
      <c r="AK98" s="92"/>
      <c r="AL98" s="171" t="s">
        <v>2321</v>
      </c>
      <c r="AM98" s="171" t="s">
        <v>4881</v>
      </c>
      <c r="AN98" s="274"/>
      <c r="AO98" s="274"/>
      <c r="AP98" s="274"/>
      <c r="AQ98" s="274"/>
      <c r="AR98" s="171" t="s">
        <v>1071</v>
      </c>
      <c r="AS98" s="274"/>
      <c r="AT98" s="171" t="s">
        <v>2548</v>
      </c>
      <c r="AU98" s="171" t="s">
        <v>1584</v>
      </c>
      <c r="AV98" s="171" t="s">
        <v>4039</v>
      </c>
      <c r="AW98" s="274"/>
      <c r="AX98" s="171" t="s">
        <v>4858</v>
      </c>
      <c r="AY98" s="171" t="s">
        <v>4882</v>
      </c>
      <c r="AZ98" s="329"/>
      <c r="BA98" s="177" t="s">
        <v>4883</v>
      </c>
      <c r="BB98" s="177" t="s">
        <v>4884</v>
      </c>
      <c r="BC98" s="177" t="s">
        <v>1042</v>
      </c>
      <c r="BD98" s="177" t="s">
        <v>1021</v>
      </c>
      <c r="BE98" s="177" t="s">
        <v>2866</v>
      </c>
      <c r="BF98" s="177" t="s">
        <v>3033</v>
      </c>
      <c r="BG98" s="177" t="s">
        <v>4885</v>
      </c>
      <c r="BH98" s="177" t="s">
        <v>4886</v>
      </c>
      <c r="BI98" s="176"/>
      <c r="BJ98" s="177" t="s">
        <v>4887</v>
      </c>
      <c r="BK98" s="177" t="s">
        <v>3050</v>
      </c>
      <c r="BL98" s="176"/>
      <c r="BM98" s="176"/>
      <c r="BN98" s="177"/>
      <c r="BO98" s="176"/>
      <c r="BP98" s="287"/>
      <c r="BQ98" s="290"/>
      <c r="BR98" s="290"/>
      <c r="BS98" s="178" t="s">
        <v>4888</v>
      </c>
      <c r="BT98" s="178" t="s">
        <v>2186</v>
      </c>
      <c r="BU98" s="290"/>
      <c r="BV98" s="178" t="s">
        <v>3239</v>
      </c>
      <c r="BW98" s="290"/>
      <c r="BX98" s="290"/>
      <c r="BY98" s="290"/>
      <c r="BZ98" s="178" t="s">
        <v>2595</v>
      </c>
      <c r="CA98" s="290"/>
      <c r="CB98" s="178" t="s">
        <v>4889</v>
      </c>
      <c r="CC98" s="290"/>
      <c r="CD98" s="290"/>
      <c r="CE98" s="291"/>
      <c r="CF98" s="180" t="s">
        <v>4890</v>
      </c>
      <c r="CG98" s="180" t="s">
        <v>4891</v>
      </c>
      <c r="CH98" s="180" t="s">
        <v>1092</v>
      </c>
      <c r="CI98" s="180"/>
      <c r="CJ98" s="180" t="s">
        <v>4892</v>
      </c>
      <c r="CK98" s="180" t="s">
        <v>4533</v>
      </c>
      <c r="CL98" s="492" t="s">
        <v>1314</v>
      </c>
      <c r="CM98" s="180" t="s">
        <v>2972</v>
      </c>
      <c r="CN98" s="278"/>
      <c r="CO98" s="278"/>
      <c r="CP98" s="180"/>
      <c r="CQ98" s="180" t="s">
        <v>4893</v>
      </c>
      <c r="CR98" s="278"/>
      <c r="CS98" s="101"/>
      <c r="CT98" s="209" t="s">
        <v>4894</v>
      </c>
      <c r="CU98" s="209" t="s">
        <v>2580</v>
      </c>
      <c r="CV98" s="209" t="s">
        <v>4895</v>
      </c>
      <c r="CW98" s="209" t="s">
        <v>4221</v>
      </c>
      <c r="CX98" s="279"/>
      <c r="CY98" s="209" t="s">
        <v>383</v>
      </c>
      <c r="CZ98" s="209" t="s">
        <v>4896</v>
      </c>
      <c r="DA98" s="209" t="s">
        <v>4085</v>
      </c>
      <c r="DB98" s="279"/>
      <c r="DC98" s="279"/>
      <c r="DD98" s="209" t="s">
        <v>3209</v>
      </c>
      <c r="DE98" s="209" t="s">
        <v>1536</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1414</v>
      </c>
      <c r="D99" s="84" t="s">
        <v>1414</v>
      </c>
      <c r="E99" s="85" t="s">
        <v>1414</v>
      </c>
      <c r="F99" s="86" t="s">
        <v>432</v>
      </c>
      <c r="G99" s="82" t="s">
        <v>2885</v>
      </c>
      <c r="H99" s="93" t="s">
        <v>994</v>
      </c>
      <c r="I99" s="98"/>
      <c r="J99" s="93" t="s">
        <v>4902</v>
      </c>
      <c r="K99" s="93" t="s">
        <v>4874</v>
      </c>
      <c r="L99" s="93" t="s">
        <v>4903</v>
      </c>
      <c r="M99" s="93" t="s">
        <v>4904</v>
      </c>
      <c r="N99" s="93" t="s">
        <v>4905</v>
      </c>
      <c r="O99" s="93" t="s">
        <v>4906</v>
      </c>
      <c r="P99" s="93" t="s">
        <v>1147</v>
      </c>
      <c r="Q99" s="98"/>
      <c r="R99" s="98"/>
      <c r="S99" s="98"/>
      <c r="T99" s="98"/>
      <c r="U99" s="98"/>
      <c r="V99" s="98"/>
      <c r="W99" s="92"/>
      <c r="X99" s="98"/>
      <c r="Y99" s="93" t="s">
        <v>2892</v>
      </c>
      <c r="Z99" s="93" t="s">
        <v>1694</v>
      </c>
      <c r="AA99" s="213" t="s">
        <v>1924</v>
      </c>
      <c r="AB99" s="93" t="s">
        <v>3159</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4908</v>
      </c>
      <c r="BG99" s="98"/>
      <c r="BH99" s="97" t="str">
        <f>HYPERLINK("https://www.youtube.com/watch?v=D3qit_yrtB8&amp;feature=youtu.be","27.76")</f>
        <v>27.76</v>
      </c>
      <c r="BI99" s="93" t="s">
        <v>4348</v>
      </c>
      <c r="BJ99" s="93"/>
      <c r="BK99" s="93" t="s">
        <v>4909</v>
      </c>
      <c r="BL99" s="98"/>
      <c r="BM99" s="93" t="s">
        <v>1762</v>
      </c>
      <c r="BN99" s="98"/>
      <c r="BO99" s="98"/>
      <c r="BP99" s="267"/>
      <c r="BQ99" s="98"/>
      <c r="BR99" s="93" t="s">
        <v>4910</v>
      </c>
      <c r="BS99" s="93" t="s">
        <v>4911</v>
      </c>
      <c r="BT99" s="93" t="s">
        <v>4147</v>
      </c>
      <c r="BU99" s="98"/>
      <c r="BV99" s="93" t="s">
        <v>2938</v>
      </c>
      <c r="BW99" s="98"/>
      <c r="BX99" s="93" t="s">
        <v>4912</v>
      </c>
      <c r="BY99" s="98"/>
      <c r="BZ99" s="93" t="s">
        <v>4913</v>
      </c>
      <c r="CA99" s="93" t="s">
        <v>4914</v>
      </c>
      <c r="CB99" s="98"/>
      <c r="CC99" s="98"/>
      <c r="CD99" s="98"/>
      <c r="CE99" s="267"/>
      <c r="CF99" s="93" t="s">
        <v>4915</v>
      </c>
      <c r="CG99" s="213" t="s">
        <v>4916</v>
      </c>
      <c r="CH99" s="93"/>
      <c r="CI99" s="98"/>
      <c r="CJ99" s="98" t="s">
        <v>543</v>
      </c>
      <c r="CK99" s="98"/>
      <c r="CL99" s="213" t="s">
        <v>3364</v>
      </c>
      <c r="CM99" s="93" t="s">
        <v>4917</v>
      </c>
      <c r="CN99" s="98"/>
      <c r="CO99" s="98"/>
      <c r="CP99" s="98"/>
      <c r="CQ99" s="98"/>
      <c r="CR99" s="98"/>
      <c r="CS99" s="101"/>
      <c r="CT99" s="93" t="s">
        <v>3567</v>
      </c>
      <c r="CU99" s="93"/>
      <c r="CV99" s="93" t="s">
        <v>3213</v>
      </c>
      <c r="CW99" s="98"/>
      <c r="CX99" s="98"/>
      <c r="CY99" s="98"/>
      <c r="CZ99" s="93" t="s">
        <v>4918</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1414</v>
      </c>
      <c r="D100" s="105" t="s">
        <v>1414</v>
      </c>
      <c r="E100" s="106" t="s">
        <v>1414</v>
      </c>
      <c r="F100" s="107" t="s">
        <v>736</v>
      </c>
      <c r="G100" s="103" t="s">
        <v>4921</v>
      </c>
      <c r="H100" s="169" t="s">
        <v>4822</v>
      </c>
      <c r="I100" s="169" t="s">
        <v>4038</v>
      </c>
      <c r="J100" s="169" t="s">
        <v>2422</v>
      </c>
      <c r="K100" s="308" t="s">
        <v>4152</v>
      </c>
      <c r="L100" s="169" t="s">
        <v>3048</v>
      </c>
      <c r="M100" s="226"/>
      <c r="N100" s="169" t="s">
        <v>668</v>
      </c>
      <c r="O100" s="169" t="s">
        <v>3593</v>
      </c>
      <c r="P100" s="169" t="s">
        <v>3745</v>
      </c>
      <c r="Q100" s="169" t="s">
        <v>4922</v>
      </c>
      <c r="R100" s="169"/>
      <c r="S100" s="169" t="s">
        <v>229</v>
      </c>
      <c r="T100" s="226"/>
      <c r="U100" s="169" t="s">
        <v>2330</v>
      </c>
      <c r="V100" s="169" t="s">
        <v>4923</v>
      </c>
      <c r="W100" s="92"/>
      <c r="X100" s="201" t="s">
        <v>4924</v>
      </c>
      <c r="Y100" s="311" t="s">
        <v>2643</v>
      </c>
      <c r="Z100" s="201" t="s">
        <v>2769</v>
      </c>
      <c r="AA100" s="201" t="s">
        <v>4925</v>
      </c>
      <c r="AB100" s="201" t="s">
        <v>975</v>
      </c>
      <c r="AC100" s="201" t="s">
        <v>4112</v>
      </c>
      <c r="AD100" s="201" t="s">
        <v>4926</v>
      </c>
      <c r="AE100" s="201" t="s">
        <v>1289</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2122</v>
      </c>
      <c r="BB100" s="177" t="s">
        <v>2169</v>
      </c>
      <c r="BC100" s="177" t="s">
        <v>931</v>
      </c>
      <c r="BD100" s="177" t="s">
        <v>4929</v>
      </c>
      <c r="BE100" s="176"/>
      <c r="BF100" s="176"/>
      <c r="BG100" s="176"/>
      <c r="BH100" s="177" t="s">
        <v>4930</v>
      </c>
      <c r="BI100" s="176"/>
      <c r="BJ100" s="176"/>
      <c r="BK100" s="176"/>
      <c r="BL100" s="176"/>
      <c r="BM100" s="177" t="s">
        <v>4931</v>
      </c>
      <c r="BN100" s="177" t="s">
        <v>2785</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3221</v>
      </c>
      <c r="L101" s="93" t="s">
        <v>4940</v>
      </c>
      <c r="M101" s="93" t="s">
        <v>4941</v>
      </c>
      <c r="N101" s="93" t="s">
        <v>4942</v>
      </c>
      <c r="O101" s="93" t="s">
        <v>4943</v>
      </c>
      <c r="P101" s="93" t="s">
        <v>2641</v>
      </c>
      <c r="Q101" s="98"/>
      <c r="R101" s="98"/>
      <c r="S101" s="98"/>
      <c r="T101" s="98"/>
      <c r="U101" s="98"/>
      <c r="V101" s="98"/>
      <c r="W101" s="92"/>
      <c r="X101" s="93" t="s">
        <v>3225</v>
      </c>
      <c r="Y101" s="93" t="s">
        <v>3178</v>
      </c>
      <c r="Z101" s="93" t="s">
        <v>115</v>
      </c>
      <c r="AA101" s="97" t="str">
        <f>HYPERLINK("https://youtu.be/qJ6N4MrS6B4","48.05")</f>
        <v>48.05</v>
      </c>
      <c r="AB101" s="93" t="s">
        <v>2427</v>
      </c>
      <c r="AC101" s="97" t="str">
        <f>HYPERLINK("https://www.twitch.tv/videos/230818041","57.20")</f>
        <v>57.20</v>
      </c>
      <c r="AD101" s="98"/>
      <c r="AE101" s="93" t="s">
        <v>2114</v>
      </c>
      <c r="AF101" s="93" t="s">
        <v>4584</v>
      </c>
      <c r="AG101" s="98"/>
      <c r="AH101" s="98"/>
      <c r="AI101" s="98"/>
      <c r="AJ101" s="98"/>
      <c r="AK101" s="92"/>
      <c r="AL101" s="98"/>
      <c r="AM101" s="98"/>
      <c r="AN101" s="98"/>
      <c r="AO101" s="98"/>
      <c r="AP101" s="98"/>
      <c r="AQ101" s="98"/>
      <c r="AR101" s="98"/>
      <c r="AS101" s="98"/>
      <c r="AT101" s="93" t="s">
        <v>4469</v>
      </c>
      <c r="AU101" s="93" t="s">
        <v>2747</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3669</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2845</v>
      </c>
      <c r="J102" s="112" t="s">
        <v>3707</v>
      </c>
      <c r="K102" s="169" t="s">
        <v>1338</v>
      </c>
      <c r="L102" s="169" t="s">
        <v>4958</v>
      </c>
      <c r="M102" s="169" t="s">
        <v>4959</v>
      </c>
      <c r="N102" s="169" t="s">
        <v>4960</v>
      </c>
      <c r="O102" s="169" t="s">
        <v>4961</v>
      </c>
      <c r="P102" s="112" t="s">
        <v>3823</v>
      </c>
      <c r="Q102" s="169" t="s">
        <v>4962</v>
      </c>
      <c r="R102" s="226"/>
      <c r="S102" s="169" t="s">
        <v>1290</v>
      </c>
      <c r="T102" s="226"/>
      <c r="U102" s="169" t="s">
        <v>232</v>
      </c>
      <c r="V102" s="367" t="s">
        <v>4963</v>
      </c>
      <c r="W102" s="214"/>
      <c r="X102" s="201" t="s">
        <v>1770</v>
      </c>
      <c r="Y102" s="311" t="s">
        <v>1742</v>
      </c>
      <c r="Z102" s="201" t="s">
        <v>4964</v>
      </c>
      <c r="AA102" s="201" t="s">
        <v>4965</v>
      </c>
      <c r="AB102" s="201" t="s">
        <v>2207</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2809</v>
      </c>
      <c r="CM102" s="180" t="s">
        <v>1541</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1384</v>
      </c>
      <c r="DX102" s="210" t="s">
        <v>5008</v>
      </c>
      <c r="DY102" s="210" t="s">
        <v>1149</v>
      </c>
      <c r="DZ102" s="210" t="s">
        <v>633</v>
      </c>
      <c r="EA102" s="210" t="s">
        <v>2739</v>
      </c>
      <c r="EB102" s="324" t="s">
        <v>5009</v>
      </c>
    </row>
    <row r="103">
      <c r="A103" s="81" t="s">
        <v>5010</v>
      </c>
      <c r="B103" s="82" t="s">
        <v>5011</v>
      </c>
      <c r="C103" s="83" t="s">
        <v>1414</v>
      </c>
      <c r="D103" s="84" t="s">
        <v>1414</v>
      </c>
      <c r="E103" s="85" t="s">
        <v>1414</v>
      </c>
      <c r="F103" s="86" t="s">
        <v>538</v>
      </c>
      <c r="G103" s="82" t="s">
        <v>5012</v>
      </c>
      <c r="H103" s="93" t="s">
        <v>2732</v>
      </c>
      <c r="I103" s="93" t="s">
        <v>5013</v>
      </c>
      <c r="J103" s="93" t="s">
        <v>5014</v>
      </c>
      <c r="K103" s="93" t="s">
        <v>4292</v>
      </c>
      <c r="L103" s="93" t="s">
        <v>2276</v>
      </c>
      <c r="M103" s="98"/>
      <c r="N103" s="93" t="s">
        <v>4103</v>
      </c>
      <c r="O103" s="93" t="s">
        <v>1151</v>
      </c>
      <c r="P103" s="93" t="s">
        <v>3823</v>
      </c>
      <c r="Q103" s="98"/>
      <c r="R103" s="98"/>
      <c r="S103" s="98"/>
      <c r="T103" s="98"/>
      <c r="U103" s="98"/>
      <c r="V103" s="98"/>
      <c r="W103" s="92"/>
      <c r="X103" s="93" t="s">
        <v>2515</v>
      </c>
      <c r="Y103" s="93" t="s">
        <v>3077</v>
      </c>
      <c r="Z103" s="93" t="s">
        <v>5015</v>
      </c>
      <c r="AA103" s="93" t="s">
        <v>4748</v>
      </c>
      <c r="AB103" s="98"/>
      <c r="AC103" s="93" t="s">
        <v>4014</v>
      </c>
      <c r="AD103" s="98"/>
      <c r="AE103" s="93" t="s">
        <v>3175</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1920</v>
      </c>
      <c r="BB103" s="98"/>
      <c r="BC103" s="93" t="s">
        <v>5018</v>
      </c>
      <c r="BD103" s="93" t="s">
        <v>4841</v>
      </c>
      <c r="BE103" s="88" t="s">
        <v>3972</v>
      </c>
      <c r="BF103" s="93" t="s">
        <v>1406</v>
      </c>
      <c r="BG103" s="98"/>
      <c r="BH103" s="93" t="s">
        <v>2627</v>
      </c>
      <c r="BI103" s="93" t="s">
        <v>5019</v>
      </c>
      <c r="BJ103" s="93"/>
      <c r="BK103" s="98"/>
      <c r="BL103" s="98"/>
      <c r="BM103" s="98"/>
      <c r="BN103" s="98"/>
      <c r="BO103" s="98"/>
      <c r="BP103" s="267"/>
      <c r="BQ103" s="93" t="s">
        <v>3508</v>
      </c>
      <c r="BR103" s="98"/>
      <c r="BS103" s="93" t="s">
        <v>2594</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2770</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2450</v>
      </c>
      <c r="J104" s="169" t="s">
        <v>5030</v>
      </c>
      <c r="K104" s="169" t="s">
        <v>998</v>
      </c>
      <c r="L104" s="169" t="s">
        <v>5031</v>
      </c>
      <c r="M104" s="226"/>
      <c r="N104" s="169" t="s">
        <v>4813</v>
      </c>
      <c r="O104" s="169" t="s">
        <v>4754</v>
      </c>
      <c r="P104" s="169" t="s">
        <v>449</v>
      </c>
      <c r="Q104" s="226"/>
      <c r="R104" s="226"/>
      <c r="S104" s="226"/>
      <c r="T104" s="226"/>
      <c r="U104" s="226"/>
      <c r="V104" s="226"/>
      <c r="W104" s="92"/>
      <c r="X104" s="201" t="s">
        <v>3602</v>
      </c>
      <c r="Y104" s="201" t="s">
        <v>4219</v>
      </c>
      <c r="Z104" s="201" t="s">
        <v>3854</v>
      </c>
      <c r="AA104" s="201" t="s">
        <v>4722</v>
      </c>
      <c r="AB104" s="201" t="s">
        <v>5032</v>
      </c>
      <c r="AC104" s="201" t="s">
        <v>5033</v>
      </c>
      <c r="AD104" s="284"/>
      <c r="AE104" s="201" t="s">
        <v>2704</v>
      </c>
      <c r="AF104" s="201" t="s">
        <v>5034</v>
      </c>
      <c r="AG104" s="284"/>
      <c r="AH104" s="284"/>
      <c r="AI104" s="284"/>
      <c r="AJ104" s="284"/>
      <c r="AK104" s="92"/>
      <c r="AL104" s="274"/>
      <c r="AM104" s="274"/>
      <c r="AN104" s="274"/>
      <c r="AO104" s="274"/>
      <c r="AP104" s="274"/>
      <c r="AQ104" s="274"/>
      <c r="AR104" s="274"/>
      <c r="AS104" s="274"/>
      <c r="AT104" s="171" t="s">
        <v>4109</v>
      </c>
      <c r="AU104" s="171" t="s">
        <v>3771</v>
      </c>
      <c r="AV104" s="274"/>
      <c r="AW104" s="274"/>
      <c r="AX104" s="274"/>
      <c r="AY104" s="274"/>
      <c r="AZ104" s="275"/>
      <c r="BA104" s="177" t="s">
        <v>4366</v>
      </c>
      <c r="BB104" s="177" t="s">
        <v>3641</v>
      </c>
      <c r="BC104" s="176"/>
      <c r="BD104" s="177" t="s">
        <v>4225</v>
      </c>
      <c r="BE104" s="177" t="s">
        <v>5035</v>
      </c>
      <c r="BF104" s="176"/>
      <c r="BG104" s="176"/>
      <c r="BH104" s="177" t="s">
        <v>3074</v>
      </c>
      <c r="BI104" s="177" t="s">
        <v>5036</v>
      </c>
      <c r="BJ104" s="176"/>
      <c r="BK104" s="177" t="s">
        <v>1489</v>
      </c>
      <c r="BL104" s="176"/>
      <c r="BM104" s="176"/>
      <c r="BN104" s="176"/>
      <c r="BO104" s="176"/>
      <c r="BP104" s="287"/>
      <c r="BQ104" s="178" t="s">
        <v>5037</v>
      </c>
      <c r="BR104" s="178" t="s">
        <v>4300</v>
      </c>
      <c r="BS104" s="178" t="s">
        <v>1200</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876</v>
      </c>
      <c r="CI104" s="180" t="s">
        <v>5041</v>
      </c>
      <c r="CJ104" s="180"/>
      <c r="CK104" s="180" t="s">
        <v>3227</v>
      </c>
      <c r="CL104" s="180" t="s">
        <v>3651</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2353</v>
      </c>
      <c r="H105" s="93" t="s">
        <v>5049</v>
      </c>
      <c r="I105" s="93" t="s">
        <v>3959</v>
      </c>
      <c r="J105" s="93" t="s">
        <v>5050</v>
      </c>
      <c r="K105" s="93" t="s">
        <v>3816</v>
      </c>
      <c r="L105" s="93" t="s">
        <v>1152</v>
      </c>
      <c r="M105" s="93" t="s">
        <v>5051</v>
      </c>
      <c r="N105" s="93" t="s">
        <v>5052</v>
      </c>
      <c r="O105" s="93" t="s">
        <v>850</v>
      </c>
      <c r="P105" s="93" t="s">
        <v>5053</v>
      </c>
      <c r="Q105" s="98"/>
      <c r="R105" s="98"/>
      <c r="S105" s="98"/>
      <c r="T105" s="98"/>
      <c r="U105" s="98"/>
      <c r="V105" s="98"/>
      <c r="W105" s="92"/>
      <c r="X105" s="93" t="s">
        <v>5054</v>
      </c>
      <c r="Y105" s="93" t="s">
        <v>2523</v>
      </c>
      <c r="Z105" s="93" t="s">
        <v>5055</v>
      </c>
      <c r="AA105" s="93" t="s">
        <v>5056</v>
      </c>
      <c r="AB105" s="93" t="s">
        <v>3987</v>
      </c>
      <c r="AC105" s="93" t="s">
        <v>2431</v>
      </c>
      <c r="AD105" s="93"/>
      <c r="AE105" s="93" t="s">
        <v>286</v>
      </c>
      <c r="AF105" s="93" t="s">
        <v>4134</v>
      </c>
      <c r="AG105" s="98"/>
      <c r="AH105" s="98"/>
      <c r="AI105" s="98"/>
      <c r="AJ105" s="98"/>
      <c r="AK105" s="92"/>
      <c r="AL105" s="98"/>
      <c r="AM105" s="93" t="s">
        <v>159</v>
      </c>
      <c r="AN105" s="98"/>
      <c r="AO105" s="98"/>
      <c r="AP105" s="98"/>
      <c r="AQ105" s="98"/>
      <c r="AR105" s="98"/>
      <c r="AS105" s="98"/>
      <c r="AT105" s="93" t="s">
        <v>1742</v>
      </c>
      <c r="AU105" s="93" t="s">
        <v>4186</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2487</v>
      </c>
      <c r="BL105" s="98"/>
      <c r="BM105" s="93" t="s">
        <v>3083</v>
      </c>
      <c r="BN105" s="98"/>
      <c r="BO105" s="98"/>
      <c r="BP105" s="267"/>
      <c r="BQ105" s="93"/>
      <c r="BR105" s="93" t="s">
        <v>2161</v>
      </c>
      <c r="BS105" s="93" t="s">
        <v>5061</v>
      </c>
      <c r="BT105" s="88" t="s">
        <v>973</v>
      </c>
      <c r="BU105" s="93" t="s">
        <v>5062</v>
      </c>
      <c r="BV105" s="88" t="s">
        <v>1186</v>
      </c>
      <c r="BW105" s="93" t="s">
        <v>3131</v>
      </c>
      <c r="BX105" s="93" t="s">
        <v>5063</v>
      </c>
      <c r="BY105" s="98"/>
      <c r="BZ105" s="93" t="s">
        <v>2293</v>
      </c>
      <c r="CA105" s="93" t="s">
        <v>4810</v>
      </c>
      <c r="CB105" s="93" t="s">
        <v>4752</v>
      </c>
      <c r="CC105" s="93" t="s">
        <v>1580</v>
      </c>
      <c r="CD105" s="98"/>
      <c r="CE105" s="267"/>
      <c r="CF105" s="93" t="s">
        <v>5064</v>
      </c>
      <c r="CG105" s="93" t="s">
        <v>3541</v>
      </c>
      <c r="CH105" s="93" t="s">
        <v>2804</v>
      </c>
      <c r="CI105" s="93" t="s">
        <v>5065</v>
      </c>
      <c r="CJ105" s="93"/>
      <c r="CK105" s="93" t="s">
        <v>5066</v>
      </c>
      <c r="CL105" s="93" t="s">
        <v>2409</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2781</v>
      </c>
      <c r="DR105" s="98"/>
      <c r="DS105" s="93" t="s">
        <v>5072</v>
      </c>
      <c r="DT105" s="93" t="s">
        <v>5073</v>
      </c>
      <c r="DU105" s="93" t="s">
        <v>3152</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4250</v>
      </c>
      <c r="L106" s="296" t="s">
        <v>557</v>
      </c>
      <c r="M106" s="226"/>
      <c r="N106" s="169" t="s">
        <v>5078</v>
      </c>
      <c r="O106" s="169" t="s">
        <v>1021</v>
      </c>
      <c r="P106" s="169" t="s">
        <v>3329</v>
      </c>
      <c r="Q106" s="226"/>
      <c r="R106" s="226"/>
      <c r="S106" s="226"/>
      <c r="T106" s="226"/>
      <c r="U106" s="226"/>
      <c r="V106" s="226"/>
      <c r="W106" s="92"/>
      <c r="X106" s="201" t="s">
        <v>2588</v>
      </c>
      <c r="Y106" s="201" t="s">
        <v>1006</v>
      </c>
      <c r="Z106" s="201" t="s">
        <v>3435</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3141</v>
      </c>
      <c r="AU106" s="171" t="s">
        <v>5079</v>
      </c>
      <c r="AV106" s="274"/>
      <c r="AW106" s="274"/>
      <c r="AX106" s="274"/>
      <c r="AY106" s="274"/>
      <c r="AZ106" s="275"/>
      <c r="BA106" s="177" t="s">
        <v>1174</v>
      </c>
      <c r="BB106" s="177" t="s">
        <v>366</v>
      </c>
      <c r="BC106" s="177" t="s">
        <v>4561</v>
      </c>
      <c r="BD106" s="177" t="s">
        <v>4754</v>
      </c>
      <c r="BE106" s="177" t="s">
        <v>1658</v>
      </c>
      <c r="BF106" s="176"/>
      <c r="BG106" s="176"/>
      <c r="BH106" s="177" t="s">
        <v>1903</v>
      </c>
      <c r="BI106" s="177" t="s">
        <v>5080</v>
      </c>
      <c r="BJ106" s="177" t="s">
        <v>686</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2729</v>
      </c>
      <c r="CH106" s="278"/>
      <c r="CI106" s="278"/>
      <c r="CJ106" s="278"/>
      <c r="CK106" s="180" t="s">
        <v>5085</v>
      </c>
      <c r="CL106" s="180" t="s">
        <v>2337</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2592</v>
      </c>
      <c r="T107" s="98"/>
      <c r="U107" s="98"/>
      <c r="V107" s="98"/>
      <c r="W107" s="92"/>
      <c r="X107" s="88" t="s">
        <v>2942</v>
      </c>
      <c r="Y107" s="213" t="s">
        <v>5092</v>
      </c>
      <c r="Z107" s="213" t="s">
        <v>3854</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2739</v>
      </c>
      <c r="BI107" s="98"/>
      <c r="BJ107" s="98"/>
      <c r="BK107" s="98"/>
      <c r="BL107" s="98"/>
      <c r="BM107" s="98"/>
      <c r="BN107" s="98"/>
      <c r="BO107" s="98"/>
      <c r="BP107" s="267"/>
      <c r="BQ107" s="93"/>
      <c r="BR107" s="98"/>
      <c r="BS107" s="93" t="s">
        <v>2594</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2319</v>
      </c>
      <c r="CM107" s="93"/>
      <c r="CN107" s="98"/>
      <c r="CO107" s="98"/>
      <c r="CP107" s="98"/>
      <c r="CQ107" s="98"/>
      <c r="CR107" s="98"/>
      <c r="CS107" s="101"/>
      <c r="CT107" s="93" t="s">
        <v>3600</v>
      </c>
      <c r="CU107" s="93" t="s">
        <v>4152</v>
      </c>
      <c r="CV107" s="213" t="s">
        <v>5100</v>
      </c>
      <c r="CW107" s="93" t="s">
        <v>1152</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4925</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3224</v>
      </c>
      <c r="AV108" s="274"/>
      <c r="AW108" s="171"/>
      <c r="AX108" s="171"/>
      <c r="AY108" s="171"/>
      <c r="AZ108" s="329"/>
      <c r="BA108" s="177" t="s">
        <v>4746</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2822</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4921</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2834</v>
      </c>
      <c r="Z110" s="201" t="s">
        <v>1510</v>
      </c>
      <c r="AA110" s="201" t="s">
        <v>602</v>
      </c>
      <c r="AB110" s="201" t="s">
        <v>3413</v>
      </c>
      <c r="AC110" s="201" t="s">
        <v>5132</v>
      </c>
      <c r="AD110" s="201"/>
      <c r="AE110" s="201" t="s">
        <v>3698</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4287</v>
      </c>
      <c r="AU110" s="171" t="s">
        <v>1178</v>
      </c>
      <c r="AV110" s="171" t="s">
        <v>5137</v>
      </c>
      <c r="AW110" s="274"/>
      <c r="AX110" s="121" t="s">
        <v>1579</v>
      </c>
      <c r="AY110" s="171" t="s">
        <v>5138</v>
      </c>
      <c r="AZ110" s="171"/>
      <c r="BA110" s="176"/>
      <c r="BB110" s="177" t="s">
        <v>5139</v>
      </c>
      <c r="BC110" s="177" t="s">
        <v>3224</v>
      </c>
      <c r="BD110" s="177" t="s">
        <v>5140</v>
      </c>
      <c r="BE110" s="177" t="s">
        <v>2555</v>
      </c>
      <c r="BF110" s="177" t="s">
        <v>4710</v>
      </c>
      <c r="BG110" s="176"/>
      <c r="BH110" s="177" t="s">
        <v>4865</v>
      </c>
      <c r="BI110" s="177" t="s">
        <v>1075</v>
      </c>
      <c r="BJ110" s="176"/>
      <c r="BK110" s="175" t="s">
        <v>5141</v>
      </c>
      <c r="BL110" s="177" t="s">
        <v>5142</v>
      </c>
      <c r="BM110" s="177" t="s">
        <v>3837</v>
      </c>
      <c r="BN110" s="176"/>
      <c r="BO110" s="177" t="s">
        <v>5143</v>
      </c>
      <c r="BP110" s="177"/>
      <c r="BQ110" s="290"/>
      <c r="BR110" s="178" t="s">
        <v>5144</v>
      </c>
      <c r="BS110" s="178" t="s">
        <v>229</v>
      </c>
      <c r="BT110" s="178" t="s">
        <v>572</v>
      </c>
      <c r="BU110" s="178" t="s">
        <v>5145</v>
      </c>
      <c r="BV110" s="178" t="s">
        <v>5146</v>
      </c>
      <c r="BW110" s="290"/>
      <c r="BX110" s="132" t="s">
        <v>2908</v>
      </c>
      <c r="BY110" s="290"/>
      <c r="BZ110" s="132" t="s">
        <v>3417</v>
      </c>
      <c r="CA110" s="132" t="s">
        <v>5147</v>
      </c>
      <c r="CB110" s="132" t="s">
        <v>5148</v>
      </c>
      <c r="CC110" s="178" t="s">
        <v>2722</v>
      </c>
      <c r="CD110" s="178" t="s">
        <v>5149</v>
      </c>
      <c r="CE110" s="178"/>
      <c r="CF110" s="180" t="s">
        <v>5150</v>
      </c>
      <c r="CG110" s="180" t="s">
        <v>5151</v>
      </c>
      <c r="CH110" s="180" t="s">
        <v>1530</v>
      </c>
      <c r="CI110" s="180" t="s">
        <v>5152</v>
      </c>
      <c r="CJ110" s="180"/>
      <c r="CK110" s="180" t="s">
        <v>5153</v>
      </c>
      <c r="CL110" s="432" t="s">
        <v>5154</v>
      </c>
      <c r="CM110" s="137" t="s">
        <v>3329</v>
      </c>
      <c r="CN110" s="278"/>
      <c r="CO110" s="180" t="s">
        <v>5155</v>
      </c>
      <c r="CP110" s="278"/>
      <c r="CQ110" s="278"/>
      <c r="CR110" s="180" t="s">
        <v>3192</v>
      </c>
      <c r="CS110" s="101"/>
      <c r="CT110" s="209" t="s">
        <v>2566</v>
      </c>
      <c r="CU110" s="209" t="s">
        <v>5068</v>
      </c>
      <c r="CV110" s="209" t="s">
        <v>5156</v>
      </c>
      <c r="CW110" s="209" t="s">
        <v>652</v>
      </c>
      <c r="CX110" s="279"/>
      <c r="CY110" s="279"/>
      <c r="CZ110" s="142" t="s">
        <v>5157</v>
      </c>
      <c r="DA110" s="142" t="s">
        <v>2341</v>
      </c>
      <c r="DB110" s="209" t="s">
        <v>5158</v>
      </c>
      <c r="DC110" s="209" t="s">
        <v>5106</v>
      </c>
      <c r="DD110" s="209" t="s">
        <v>5159</v>
      </c>
      <c r="DE110" s="209" t="s">
        <v>5160</v>
      </c>
      <c r="DF110" s="209"/>
      <c r="DG110" s="210" t="s">
        <v>3804</v>
      </c>
      <c r="DH110" s="210"/>
      <c r="DI110" s="210" t="s">
        <v>5161</v>
      </c>
      <c r="DJ110" s="210"/>
      <c r="DK110" s="210" t="s">
        <v>5162</v>
      </c>
      <c r="DL110" s="210" t="s">
        <v>2739</v>
      </c>
      <c r="DM110" s="212" t="s">
        <v>3781</v>
      </c>
      <c r="DN110" s="210" t="s">
        <v>3437</v>
      </c>
      <c r="DO110" s="280"/>
      <c r="DP110" s="210" t="s">
        <v>5163</v>
      </c>
      <c r="DQ110" s="210" t="s">
        <v>5164</v>
      </c>
      <c r="DR110" s="210" t="s">
        <v>3484</v>
      </c>
      <c r="DS110" s="210" t="s">
        <v>3223</v>
      </c>
      <c r="DT110" s="210" t="s">
        <v>1148</v>
      </c>
      <c r="DU110" s="210" t="s">
        <v>1408</v>
      </c>
      <c r="DV110" s="210" t="s">
        <v>3997</v>
      </c>
      <c r="DW110" s="210" t="s">
        <v>1015</v>
      </c>
      <c r="DX110" s="210" t="s">
        <v>3054</v>
      </c>
      <c r="DY110" s="210" t="s">
        <v>3680</v>
      </c>
      <c r="DZ110" s="210" t="s">
        <v>1670</v>
      </c>
      <c r="EA110" s="210" t="s">
        <v>2319</v>
      </c>
      <c r="EB110" s="324" t="s">
        <v>5165</v>
      </c>
    </row>
    <row r="111">
      <c r="A111" s="81" t="s">
        <v>5166</v>
      </c>
      <c r="B111" s="82" t="s">
        <v>5167</v>
      </c>
      <c r="C111" s="83" t="s">
        <v>1414</v>
      </c>
      <c r="D111" s="84" t="s">
        <v>1414</v>
      </c>
      <c r="E111" s="85" t="s">
        <v>1414</v>
      </c>
      <c r="F111" s="86" t="s">
        <v>1414</v>
      </c>
      <c r="G111" s="82" t="s">
        <v>3321</v>
      </c>
      <c r="H111" s="93" t="s">
        <v>3760</v>
      </c>
      <c r="I111" s="93" t="s">
        <v>2271</v>
      </c>
      <c r="J111" s="93" t="s">
        <v>1808</v>
      </c>
      <c r="K111" s="93" t="s">
        <v>1071</v>
      </c>
      <c r="L111" s="93" t="s">
        <v>2566</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4852</v>
      </c>
      <c r="AB111" s="93" t="s">
        <v>5174</v>
      </c>
      <c r="AC111" s="93" t="s">
        <v>5175</v>
      </c>
      <c r="AD111" s="93" t="s">
        <v>5176</v>
      </c>
      <c r="AE111" s="93" t="s">
        <v>1789</v>
      </c>
      <c r="AF111" s="93" t="s">
        <v>4134</v>
      </c>
      <c r="AG111" s="93" t="s">
        <v>1963</v>
      </c>
      <c r="AH111" s="93"/>
      <c r="AI111" s="93" t="s">
        <v>1266</v>
      </c>
      <c r="AJ111" s="93" t="s">
        <v>5177</v>
      </c>
      <c r="AK111" s="92"/>
      <c r="AL111" s="93" t="s">
        <v>2035</v>
      </c>
      <c r="AM111" s="93" t="s">
        <v>4094</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1042</v>
      </c>
      <c r="BD111" s="93" t="s">
        <v>2430</v>
      </c>
      <c r="BE111" s="93" t="s">
        <v>5182</v>
      </c>
      <c r="BF111" s="93" t="s">
        <v>4067</v>
      </c>
      <c r="BG111" s="93" t="s">
        <v>4427</v>
      </c>
      <c r="BH111" s="93" t="s">
        <v>3774</v>
      </c>
      <c r="BI111" s="93" t="s">
        <v>894</v>
      </c>
      <c r="BJ111" s="93"/>
      <c r="BK111" s="93" t="s">
        <v>5183</v>
      </c>
      <c r="BL111" s="98"/>
      <c r="BM111" s="93" t="s">
        <v>1977</v>
      </c>
      <c r="BN111" s="93" t="s">
        <v>2806</v>
      </c>
      <c r="BO111" s="98"/>
      <c r="BP111" s="267"/>
      <c r="BQ111" s="93"/>
      <c r="BR111" s="93" t="s">
        <v>3750</v>
      </c>
      <c r="BS111" s="93" t="s">
        <v>2751</v>
      </c>
      <c r="BT111" s="93" t="s">
        <v>2378</v>
      </c>
      <c r="BU111" s="93" t="s">
        <v>5184</v>
      </c>
      <c r="BV111" s="93" t="s">
        <v>209</v>
      </c>
      <c r="BW111" s="93" t="s">
        <v>5185</v>
      </c>
      <c r="BX111" s="98"/>
      <c r="BY111" s="93" t="s">
        <v>5186</v>
      </c>
      <c r="BZ111" s="93" t="s">
        <v>5187</v>
      </c>
      <c r="CA111" s="98"/>
      <c r="CB111" s="93" t="s">
        <v>5188</v>
      </c>
      <c r="CC111" s="93" t="s">
        <v>1499</v>
      </c>
      <c r="CD111" s="98"/>
      <c r="CE111" s="267"/>
      <c r="CF111" s="93" t="s">
        <v>4681</v>
      </c>
      <c r="CG111" s="93" t="s">
        <v>1818</v>
      </c>
      <c r="CH111" s="93" t="s">
        <v>4965</v>
      </c>
      <c r="CI111" s="93" t="s">
        <v>5189</v>
      </c>
      <c r="CJ111" s="93" t="s">
        <v>5190</v>
      </c>
      <c r="CK111" s="93" t="s">
        <v>5191</v>
      </c>
      <c r="CL111" s="93" t="s">
        <v>1442</v>
      </c>
      <c r="CM111" s="93" t="s">
        <v>2897</v>
      </c>
      <c r="CN111" s="93" t="s">
        <v>5192</v>
      </c>
      <c r="CO111" s="93" t="s">
        <v>542</v>
      </c>
      <c r="CP111" s="93"/>
      <c r="CQ111" s="93" t="s">
        <v>5193</v>
      </c>
      <c r="CR111" s="98"/>
      <c r="CS111" s="101"/>
      <c r="CT111" s="93" t="s">
        <v>5194</v>
      </c>
      <c r="CU111" s="93" t="s">
        <v>5195</v>
      </c>
      <c r="CV111" s="93" t="s">
        <v>5196</v>
      </c>
      <c r="CW111" s="93" t="s">
        <v>3289</v>
      </c>
      <c r="CX111" s="93" t="s">
        <v>5197</v>
      </c>
      <c r="CY111" s="93" t="s">
        <v>3731</v>
      </c>
      <c r="CZ111" s="93" t="s">
        <v>5198</v>
      </c>
      <c r="DA111" s="93" t="s">
        <v>2548</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4697</v>
      </c>
      <c r="H112" s="169" t="s">
        <v>658</v>
      </c>
      <c r="I112" s="169" t="s">
        <v>2451</v>
      </c>
      <c r="J112" s="169" t="s">
        <v>1580</v>
      </c>
      <c r="K112" s="169" t="s">
        <v>3816</v>
      </c>
      <c r="L112" s="169" t="s">
        <v>4531</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2892</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2364</v>
      </c>
      <c r="CM112" s="180" t="s">
        <v>5097</v>
      </c>
      <c r="CN112" s="278"/>
      <c r="CO112" s="278"/>
      <c r="CP112" s="278"/>
      <c r="CQ112" s="278"/>
      <c r="CR112" s="278"/>
      <c r="CS112" s="101"/>
      <c r="CT112" s="209" t="s">
        <v>4994</v>
      </c>
      <c r="CU112" s="209" t="s">
        <v>2858</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4570</v>
      </c>
      <c r="H113" s="100"/>
      <c r="I113" s="94" t="s">
        <v>5229</v>
      </c>
      <c r="J113" s="100" t="s">
        <v>2818</v>
      </c>
      <c r="K113" s="100" t="s">
        <v>2574</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3753</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2251</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2467</v>
      </c>
      <c r="I115" s="93" t="s">
        <v>5253</v>
      </c>
      <c r="J115" s="93" t="s">
        <v>5254</v>
      </c>
      <c r="K115" s="93" t="s">
        <v>5255</v>
      </c>
      <c r="L115" s="93" t="s">
        <v>780</v>
      </c>
      <c r="M115" s="98"/>
      <c r="N115" s="93" t="s">
        <v>5256</v>
      </c>
      <c r="O115" s="93" t="s">
        <v>474</v>
      </c>
      <c r="P115" s="93" t="s">
        <v>5257</v>
      </c>
      <c r="Q115" s="98"/>
      <c r="R115" s="98"/>
      <c r="S115" s="93" t="s">
        <v>2862</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4485</v>
      </c>
      <c r="BE115" s="93" t="s">
        <v>5267</v>
      </c>
      <c r="BF115" s="93" t="s">
        <v>5268</v>
      </c>
      <c r="BG115" s="93" t="s">
        <v>5269</v>
      </c>
      <c r="BH115" s="93" t="s">
        <v>2278</v>
      </c>
      <c r="BI115" s="93" t="s">
        <v>5270</v>
      </c>
      <c r="BJ115" s="93" t="s">
        <v>5271</v>
      </c>
      <c r="BK115" s="93" t="s">
        <v>5272</v>
      </c>
      <c r="BL115" s="98"/>
      <c r="BM115" s="93" t="s">
        <v>2278</v>
      </c>
      <c r="BN115" s="93" t="s">
        <v>5273</v>
      </c>
      <c r="BO115" s="98"/>
      <c r="BP115" s="267"/>
      <c r="BQ115" s="93" t="s">
        <v>5274</v>
      </c>
      <c r="BR115" s="98"/>
      <c r="BS115" s="93" t="s">
        <v>4375</v>
      </c>
      <c r="BT115" s="93" t="s">
        <v>5275</v>
      </c>
      <c r="BU115" s="93" t="s">
        <v>5276</v>
      </c>
      <c r="BV115" s="93" t="s">
        <v>5277</v>
      </c>
      <c r="BW115" s="98"/>
      <c r="BX115" s="93" t="s">
        <v>3614</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3225</v>
      </c>
      <c r="CX115" s="93" t="s">
        <v>5288</v>
      </c>
      <c r="CY115" s="93" t="s">
        <v>1833</v>
      </c>
      <c r="CZ115" s="93" t="s">
        <v>5289</v>
      </c>
      <c r="DA115" s="93" t="s">
        <v>5290</v>
      </c>
      <c r="DB115" s="98"/>
      <c r="DC115" s="98"/>
      <c r="DD115" s="93" t="s">
        <v>351</v>
      </c>
      <c r="DE115" s="98"/>
      <c r="DF115" s="267"/>
      <c r="DG115" s="93" t="s">
        <v>2445</v>
      </c>
      <c r="DH115" s="98"/>
      <c r="DI115" s="93" t="s">
        <v>4692</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2228</v>
      </c>
      <c r="L116" s="112" t="s">
        <v>3941</v>
      </c>
      <c r="M116" s="169" t="s">
        <v>950</v>
      </c>
      <c r="N116" s="169" t="s">
        <v>5304</v>
      </c>
      <c r="O116" s="296" t="s">
        <v>153</v>
      </c>
      <c r="P116" s="112" t="s">
        <v>2800</v>
      </c>
      <c r="Q116" s="226"/>
      <c r="R116" s="226"/>
      <c r="S116" s="169" t="s">
        <v>3460</v>
      </c>
      <c r="T116" s="226"/>
      <c r="U116" s="169" t="s">
        <v>1453</v>
      </c>
      <c r="V116" s="226"/>
      <c r="W116" s="92"/>
      <c r="X116" s="328" t="s">
        <v>2515</v>
      </c>
      <c r="Y116" s="328" t="s">
        <v>3410</v>
      </c>
      <c r="Z116" s="116" t="s">
        <v>5305</v>
      </c>
      <c r="AA116" s="201" t="s">
        <v>5306</v>
      </c>
      <c r="AB116" s="116" t="s">
        <v>2575</v>
      </c>
      <c r="AC116" s="328" t="s">
        <v>5307</v>
      </c>
      <c r="AD116" s="284"/>
      <c r="AE116" s="201" t="s">
        <v>5308</v>
      </c>
      <c r="AF116" s="328" t="s">
        <v>4927</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7" t="s">
        <v>3277</v>
      </c>
      <c r="AU116" s="314" t="s">
        <v>2267</v>
      </c>
      <c r="AV116" s="121" t="s">
        <v>3558</v>
      </c>
      <c r="AW116" s="274"/>
      <c r="AX116" s="171" t="s">
        <v>5313</v>
      </c>
      <c r="AY116" s="274"/>
      <c r="AZ116" s="275"/>
      <c r="BA116" s="177" t="s">
        <v>4122</v>
      </c>
      <c r="BB116" s="177" t="s">
        <v>1118</v>
      </c>
      <c r="BC116" s="127" t="s">
        <v>4561</v>
      </c>
      <c r="BD116" s="177" t="s">
        <v>2899</v>
      </c>
      <c r="BE116" s="177" t="s">
        <v>4083</v>
      </c>
      <c r="BF116" s="177" t="s">
        <v>2489</v>
      </c>
      <c r="BG116" s="177" t="s">
        <v>5314</v>
      </c>
      <c r="BH116" s="177" t="s">
        <v>3199</v>
      </c>
      <c r="BI116" s="177" t="s">
        <v>5315</v>
      </c>
      <c r="BJ116" s="176"/>
      <c r="BK116" s="177" t="s">
        <v>3066</v>
      </c>
      <c r="BL116" s="176"/>
      <c r="BM116" s="177" t="s">
        <v>4255</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3141</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2892</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2900</v>
      </c>
      <c r="P117" s="96" t="s">
        <v>4770</v>
      </c>
      <c r="Q117" s="98"/>
      <c r="R117" s="98"/>
      <c r="S117" s="96" t="s">
        <v>5337</v>
      </c>
      <c r="T117" s="98"/>
      <c r="U117" s="98"/>
      <c r="V117" s="98"/>
      <c r="W117" s="92"/>
      <c r="X117" s="596" t="s">
        <v>4122</v>
      </c>
      <c r="Y117" s="594" t="s">
        <v>4913</v>
      </c>
      <c r="Z117" s="93" t="s">
        <v>449</v>
      </c>
      <c r="AA117" s="96" t="s">
        <v>4280</v>
      </c>
      <c r="AB117" s="596" t="s">
        <v>5338</v>
      </c>
      <c r="AC117" s="98"/>
      <c r="AD117" s="98"/>
      <c r="AE117" s="98"/>
      <c r="AF117" s="96" t="s">
        <v>5257</v>
      </c>
      <c r="AG117" s="98"/>
      <c r="AH117" s="98"/>
      <c r="AI117" s="98"/>
      <c r="AJ117" s="96" t="s">
        <v>5339</v>
      </c>
      <c r="AK117" s="92"/>
      <c r="AL117" s="98"/>
      <c r="AM117" s="96" t="s">
        <v>522</v>
      </c>
      <c r="AN117" s="96" t="s">
        <v>5340</v>
      </c>
      <c r="AO117" s="98"/>
      <c r="AP117" s="96" t="s">
        <v>2201</v>
      </c>
      <c r="AQ117" s="93"/>
      <c r="AR117" s="98"/>
      <c r="AS117" s="98"/>
      <c r="AT117" s="96" t="s">
        <v>5042</v>
      </c>
      <c r="AU117" s="96" t="s">
        <v>5341</v>
      </c>
      <c r="AV117" s="98"/>
      <c r="AW117" s="98"/>
      <c r="AX117" s="96" t="s">
        <v>5342</v>
      </c>
      <c r="AY117" s="98"/>
      <c r="AZ117" s="267"/>
      <c r="BA117" s="96" t="s">
        <v>5343</v>
      </c>
      <c r="BB117" s="96" t="s">
        <v>2110</v>
      </c>
      <c r="BC117" s="96" t="s">
        <v>4561</v>
      </c>
      <c r="BD117" s="596" t="s">
        <v>2127</v>
      </c>
      <c r="BE117" s="93" t="s">
        <v>4200</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4427</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4343</v>
      </c>
      <c r="CN117" s="98"/>
      <c r="CO117" s="98"/>
      <c r="CP117" s="98"/>
      <c r="CQ117" s="98"/>
      <c r="CR117" s="98"/>
      <c r="CS117" s="101"/>
      <c r="CT117" s="595" t="s">
        <v>630</v>
      </c>
      <c r="CU117" s="98"/>
      <c r="CV117" s="97" t="s">
        <v>5351</v>
      </c>
      <c r="CW117" s="93"/>
      <c r="CX117" s="96" t="s">
        <v>2499</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3188</v>
      </c>
      <c r="DY117" s="96" t="s">
        <v>2901</v>
      </c>
      <c r="DZ117" s="98"/>
      <c r="EA117" s="98"/>
      <c r="EB117" s="300"/>
    </row>
    <row r="118">
      <c r="A118" s="168" t="s">
        <v>5356</v>
      </c>
      <c r="B118" s="103" t="s">
        <v>5357</v>
      </c>
      <c r="C118" s="104" t="s">
        <v>1414</v>
      </c>
      <c r="D118" s="105" t="s">
        <v>1414</v>
      </c>
      <c r="E118" s="106" t="s">
        <v>1414</v>
      </c>
      <c r="F118" s="107" t="s">
        <v>538</v>
      </c>
      <c r="G118" s="103" t="s">
        <v>3127</v>
      </c>
      <c r="H118" s="296" t="s">
        <v>1382</v>
      </c>
      <c r="I118" s="296" t="s">
        <v>5358</v>
      </c>
      <c r="J118" s="296" t="s">
        <v>5359</v>
      </c>
      <c r="K118" s="296" t="s">
        <v>4349</v>
      </c>
      <c r="L118" s="296" t="s">
        <v>4368</v>
      </c>
      <c r="M118" s="296" t="s">
        <v>5360</v>
      </c>
      <c r="N118" s="296" t="s">
        <v>1824</v>
      </c>
      <c r="O118" s="296" t="s">
        <v>1453</v>
      </c>
      <c r="P118" s="112" t="s">
        <v>1006</v>
      </c>
      <c r="Q118" s="112" t="s">
        <v>5361</v>
      </c>
      <c r="R118" s="226"/>
      <c r="S118" s="226"/>
      <c r="T118" s="226"/>
      <c r="U118" s="226"/>
      <c r="V118" s="226"/>
      <c r="W118" s="92"/>
      <c r="X118" s="328" t="s">
        <v>5362</v>
      </c>
      <c r="Y118" s="328" t="s">
        <v>3931</v>
      </c>
      <c r="Z118" s="328" t="s">
        <v>5363</v>
      </c>
      <c r="AA118" s="328" t="s">
        <v>3181</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2831</v>
      </c>
      <c r="BF118" s="177" t="s">
        <v>5372</v>
      </c>
      <c r="BG118" s="177" t="s">
        <v>5373</v>
      </c>
      <c r="BH118" s="177" t="s">
        <v>5374</v>
      </c>
      <c r="BI118" s="176"/>
      <c r="BJ118" s="177" t="s">
        <v>5375</v>
      </c>
      <c r="BK118" s="177" t="s">
        <v>3539</v>
      </c>
      <c r="BL118" s="176"/>
      <c r="BM118" s="177" t="s">
        <v>5287</v>
      </c>
      <c r="BN118" s="177" t="s">
        <v>4351</v>
      </c>
      <c r="BO118" s="177" t="s">
        <v>5376</v>
      </c>
      <c r="BP118" s="177"/>
      <c r="BQ118" s="178"/>
      <c r="BR118" s="178" t="s">
        <v>3669</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4007</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3949</v>
      </c>
      <c r="DB118" s="279"/>
      <c r="DC118" s="279"/>
      <c r="DD118" s="279"/>
      <c r="DE118" s="209" t="s">
        <v>5392</v>
      </c>
      <c r="DF118" s="342"/>
      <c r="DG118" s="210" t="s">
        <v>2338</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4007</v>
      </c>
      <c r="Q119" s="98"/>
      <c r="R119" s="98"/>
      <c r="S119" s="98"/>
      <c r="T119" s="98"/>
      <c r="U119" s="98"/>
      <c r="V119" s="98"/>
      <c r="W119" s="92"/>
      <c r="X119" s="93" t="s">
        <v>2828</v>
      </c>
      <c r="Y119" s="93" t="s">
        <v>5402</v>
      </c>
      <c r="Z119" s="93" t="s">
        <v>4587</v>
      </c>
      <c r="AA119" s="93" t="s">
        <v>996</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4204</v>
      </c>
      <c r="BF119" s="93" t="s">
        <v>3973</v>
      </c>
      <c r="BG119" s="98"/>
      <c r="BH119" s="303" t="s">
        <v>603</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2496</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2302</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2752</v>
      </c>
      <c r="CA120" s="290"/>
      <c r="CB120" s="290"/>
      <c r="CC120" s="290"/>
      <c r="CD120" s="290"/>
      <c r="CE120" s="291"/>
      <c r="CF120" s="180" t="s">
        <v>2224</v>
      </c>
      <c r="CG120" s="137" t="s">
        <v>3387</v>
      </c>
      <c r="CH120" s="180" t="s">
        <v>5439</v>
      </c>
      <c r="CI120" s="180" t="s">
        <v>5440</v>
      </c>
      <c r="CJ120" s="180" t="s">
        <v>1258</v>
      </c>
      <c r="CK120" s="180" t="s">
        <v>5441</v>
      </c>
      <c r="CL120" s="180" t="s">
        <v>2300</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4734</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4265</v>
      </c>
      <c r="H121" s="93" t="s">
        <v>4579</v>
      </c>
      <c r="I121" s="93" t="s">
        <v>5451</v>
      </c>
      <c r="J121" s="93" t="s">
        <v>5090</v>
      </c>
      <c r="K121" s="93" t="s">
        <v>348</v>
      </c>
      <c r="L121" s="93" t="s">
        <v>4786</v>
      </c>
      <c r="M121" s="93" t="s">
        <v>5452</v>
      </c>
      <c r="N121" s="93" t="s">
        <v>5453</v>
      </c>
      <c r="O121" s="93" t="s">
        <v>2935</v>
      </c>
      <c r="P121" s="93" t="s">
        <v>5454</v>
      </c>
      <c r="Q121" s="98"/>
      <c r="R121" s="98"/>
      <c r="S121" s="98"/>
      <c r="T121" s="98"/>
      <c r="U121" s="98"/>
      <c r="V121" s="98"/>
      <c r="W121" s="92"/>
      <c r="X121" s="93" t="s">
        <v>3146</v>
      </c>
      <c r="Y121" s="93" t="s">
        <v>566</v>
      </c>
      <c r="Z121" s="93" t="s">
        <v>4590</v>
      </c>
      <c r="AA121" s="93" t="s">
        <v>611</v>
      </c>
      <c r="AB121" s="93" t="s">
        <v>4622</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2525</v>
      </c>
      <c r="BH121" s="93" t="s">
        <v>2958</v>
      </c>
      <c r="BI121" s="98"/>
      <c r="BJ121" s="93" t="s">
        <v>5461</v>
      </c>
      <c r="BK121" s="93" t="s">
        <v>5462</v>
      </c>
      <c r="BL121" s="98"/>
      <c r="BM121" s="98"/>
      <c r="BN121" s="98"/>
      <c r="BO121" s="98"/>
      <c r="BP121" s="267"/>
      <c r="BQ121" s="93" t="s">
        <v>5463</v>
      </c>
      <c r="BR121" s="93" t="s">
        <v>4945</v>
      </c>
      <c r="BS121" s="93" t="s">
        <v>2300</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1009</v>
      </c>
      <c r="CU121" s="93" t="s">
        <v>4879</v>
      </c>
      <c r="CV121" s="93" t="s">
        <v>5473</v>
      </c>
      <c r="CW121" s="93" t="s">
        <v>4413</v>
      </c>
      <c r="CX121" s="93" t="s">
        <v>5080</v>
      </c>
      <c r="CY121" s="93" t="s">
        <v>4854</v>
      </c>
      <c r="CZ121" s="93" t="s">
        <v>5474</v>
      </c>
      <c r="DA121" s="93" t="s">
        <v>3650</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5" t="s">
        <v>5476</v>
      </c>
      <c r="B122" s="103" t="s">
        <v>5477</v>
      </c>
      <c r="C122" s="104" t="s">
        <v>1414</v>
      </c>
      <c r="D122" s="105" t="s">
        <v>1414</v>
      </c>
      <c r="E122" s="106" t="s">
        <v>1414</v>
      </c>
      <c r="F122" s="107" t="s">
        <v>736</v>
      </c>
      <c r="G122" s="103" t="s">
        <v>1803</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2729</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5485</v>
      </c>
      <c r="B123" s="82" t="s">
        <v>5486</v>
      </c>
      <c r="C123" s="83" t="s">
        <v>1414</v>
      </c>
      <c r="D123" s="84" t="s">
        <v>1414</v>
      </c>
      <c r="E123" s="85" t="s">
        <v>1414</v>
      </c>
      <c r="F123" s="86" t="s">
        <v>1414</v>
      </c>
      <c r="G123" s="82" t="s">
        <v>4697</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2436</v>
      </c>
      <c r="Y123" s="93" t="s">
        <v>3421</v>
      </c>
      <c r="Z123" s="93" t="s">
        <v>5431</v>
      </c>
      <c r="AA123" s="93" t="s">
        <v>5491</v>
      </c>
      <c r="AB123" s="93" t="s">
        <v>4052</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4015</v>
      </c>
      <c r="AU123" s="93" t="s">
        <v>5494</v>
      </c>
      <c r="AV123" s="98"/>
      <c r="AW123" s="98"/>
      <c r="AX123" s="98"/>
      <c r="AY123" s="98"/>
      <c r="AZ123" s="267"/>
      <c r="BA123" s="93" t="s">
        <v>4320</v>
      </c>
      <c r="BB123" s="93" t="s">
        <v>573</v>
      </c>
      <c r="BC123" s="93" t="s">
        <v>3376</v>
      </c>
      <c r="BD123" s="93" t="s">
        <v>5495</v>
      </c>
      <c r="BE123" s="93" t="s">
        <v>5496</v>
      </c>
      <c r="BF123" s="98"/>
      <c r="BG123" s="601"/>
      <c r="BH123" s="93" t="s">
        <v>752</v>
      </c>
      <c r="BI123" s="93" t="s">
        <v>5497</v>
      </c>
      <c r="BJ123" s="98"/>
      <c r="BK123" s="93" t="s">
        <v>4482</v>
      </c>
      <c r="BL123" s="98"/>
      <c r="BM123" s="98"/>
      <c r="BN123" s="98"/>
      <c r="BO123" s="98"/>
      <c r="BP123" s="267"/>
      <c r="BQ123" s="93" t="s">
        <v>5270</v>
      </c>
      <c r="BR123" s="93" t="s">
        <v>4352</v>
      </c>
      <c r="BS123" s="93" t="s">
        <v>2503</v>
      </c>
      <c r="BT123" s="93" t="s">
        <v>1983</v>
      </c>
      <c r="BU123" s="93" t="s">
        <v>1004</v>
      </c>
      <c r="BV123" s="93" t="s">
        <v>5498</v>
      </c>
      <c r="BW123" s="93"/>
      <c r="BX123" s="93" t="s">
        <v>5499</v>
      </c>
      <c r="BY123" s="98"/>
      <c r="BZ123" s="93" t="s">
        <v>2212</v>
      </c>
      <c r="CA123" s="98"/>
      <c r="CB123" s="98"/>
      <c r="CC123" s="98"/>
      <c r="CD123" s="98"/>
      <c r="CE123" s="267"/>
      <c r="CF123" s="93" t="s">
        <v>5500</v>
      </c>
      <c r="CG123" s="93" t="s">
        <v>2291</v>
      </c>
      <c r="CH123" s="98"/>
      <c r="CI123" s="98"/>
      <c r="CJ123" s="98"/>
      <c r="CK123" s="93" t="s">
        <v>5501</v>
      </c>
      <c r="CL123" s="93" t="s">
        <v>928</v>
      </c>
      <c r="CM123" s="93" t="s">
        <v>2897</v>
      </c>
      <c r="CN123" s="98"/>
      <c r="CO123" s="98"/>
      <c r="CP123" s="98"/>
      <c r="CQ123" s="98"/>
      <c r="CR123" s="98"/>
      <c r="CS123" s="101"/>
      <c r="CT123" s="93" t="s">
        <v>3348</v>
      </c>
      <c r="CU123" s="93" t="s">
        <v>3027</v>
      </c>
      <c r="CV123" s="93" t="s">
        <v>5007</v>
      </c>
      <c r="CW123" s="93" t="s">
        <v>835</v>
      </c>
      <c r="CX123" s="93" t="s">
        <v>1679</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2356</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2497</v>
      </c>
      <c r="H124" s="226"/>
      <c r="I124" s="112" t="s">
        <v>5507</v>
      </c>
      <c r="J124" s="112" t="s">
        <v>5508</v>
      </c>
      <c r="K124" s="112" t="s">
        <v>5509</v>
      </c>
      <c r="L124" s="112" t="s">
        <v>2424</v>
      </c>
      <c r="M124" s="112" t="s">
        <v>1462</v>
      </c>
      <c r="N124" s="112" t="s">
        <v>5510</v>
      </c>
      <c r="O124" s="112" t="s">
        <v>1366</v>
      </c>
      <c r="P124" s="169" t="s">
        <v>5208</v>
      </c>
      <c r="Q124" s="226"/>
      <c r="R124" s="226"/>
      <c r="S124" s="226"/>
      <c r="T124" s="226"/>
      <c r="U124" s="226"/>
      <c r="V124" s="226"/>
      <c r="W124" s="92"/>
      <c r="X124" s="116" t="s">
        <v>3009</v>
      </c>
      <c r="Y124" s="116" t="s">
        <v>2434</v>
      </c>
      <c r="Z124" s="328" t="s">
        <v>5511</v>
      </c>
      <c r="AA124" s="201" t="s">
        <v>5512</v>
      </c>
      <c r="AB124" s="116" t="s">
        <v>3655</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2972</v>
      </c>
      <c r="AU124" s="121" t="s">
        <v>3935</v>
      </c>
      <c r="AV124" s="274"/>
      <c r="AW124" s="274"/>
      <c r="AX124" s="274"/>
      <c r="AY124" s="274"/>
      <c r="AZ124" s="275"/>
      <c r="BA124" s="127" t="s">
        <v>5515</v>
      </c>
      <c r="BB124" s="340" t="s">
        <v>5516</v>
      </c>
      <c r="BC124" s="340" t="s">
        <v>3108</v>
      </c>
      <c r="BD124" s="127" t="s">
        <v>3071</v>
      </c>
      <c r="BE124" s="127" t="s">
        <v>2392</v>
      </c>
      <c r="BF124" s="176"/>
      <c r="BG124" s="176"/>
      <c r="BH124" s="127" t="s">
        <v>3715</v>
      </c>
      <c r="BI124" s="176"/>
      <c r="BJ124" s="177" t="s">
        <v>5517</v>
      </c>
      <c r="BK124" s="340" t="s">
        <v>4826</v>
      </c>
      <c r="BL124" s="176"/>
      <c r="BM124" s="176"/>
      <c r="BN124" s="176"/>
      <c r="BO124" s="176"/>
      <c r="BP124" s="287"/>
      <c r="BQ124" s="132" t="s">
        <v>5518</v>
      </c>
      <c r="BR124" s="178" t="s">
        <v>5519</v>
      </c>
      <c r="BS124" s="178" t="s">
        <v>5520</v>
      </c>
      <c r="BT124" s="178" t="s">
        <v>1717</v>
      </c>
      <c r="BU124" s="178" t="s">
        <v>4650</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4169</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2516</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8"/>
    </row>
    <row r="125">
      <c r="A125" s="603" t="s">
        <v>5536</v>
      </c>
      <c r="B125" s="82" t="s">
        <v>5537</v>
      </c>
      <c r="C125" s="83" t="s">
        <v>1414</v>
      </c>
      <c r="D125" s="84" t="s">
        <v>1414</v>
      </c>
      <c r="E125" s="85" t="s">
        <v>1414</v>
      </c>
      <c r="F125" s="86" t="s">
        <v>1130</v>
      </c>
      <c r="G125" s="82" t="s">
        <v>2687</v>
      </c>
      <c r="H125" s="100"/>
      <c r="I125" s="94"/>
      <c r="J125" s="100"/>
      <c r="K125" s="88" t="s">
        <v>2759</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2501</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4160</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3814</v>
      </c>
      <c r="H126" s="226"/>
      <c r="I126" s="169" t="s">
        <v>5544</v>
      </c>
      <c r="J126" s="226"/>
      <c r="K126" s="226"/>
      <c r="L126" s="169" t="s">
        <v>3203</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4753</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4928</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4867</v>
      </c>
      <c r="CU126" s="279"/>
      <c r="CV126" s="209" t="s">
        <v>3213</v>
      </c>
      <c r="CW126" s="279"/>
      <c r="CX126" s="279"/>
      <c r="CY126" s="279"/>
      <c r="CZ126" s="209" t="s">
        <v>5550</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4250</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2480</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4079</v>
      </c>
      <c r="H128" s="169" t="s">
        <v>3420</v>
      </c>
      <c r="I128" s="169" t="s">
        <v>2112</v>
      </c>
      <c r="J128" s="169" t="s">
        <v>5559</v>
      </c>
      <c r="K128" s="169" t="s">
        <v>3221</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5562</v>
      </c>
      <c r="BJ128" s="177"/>
      <c r="BK128" s="176"/>
      <c r="BL128" s="176"/>
      <c r="BM128" s="176"/>
      <c r="BN128" s="176"/>
      <c r="BO128" s="176"/>
      <c r="BP128" s="287"/>
      <c r="BQ128" s="290"/>
      <c r="BR128" s="179" t="s">
        <v>3887</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2814</v>
      </c>
      <c r="H129" s="93" t="s">
        <v>5567</v>
      </c>
      <c r="I129" s="93" t="s">
        <v>5568</v>
      </c>
      <c r="J129" s="93" t="s">
        <v>843</v>
      </c>
      <c r="K129" s="93" t="s">
        <v>3875</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2305</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5575</v>
      </c>
      <c r="BC129" s="93" t="s">
        <v>3983</v>
      </c>
      <c r="BD129" s="98"/>
      <c r="BE129" s="98"/>
      <c r="BF129" s="98"/>
      <c r="BG129" s="98"/>
      <c r="BH129" s="93" t="s">
        <v>838</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5576</v>
      </c>
      <c r="CG129" s="93" t="s">
        <v>3886</v>
      </c>
      <c r="CH129" s="98"/>
      <c r="CI129" s="98"/>
      <c r="CJ129" s="98"/>
      <c r="CK129" s="98"/>
      <c r="CL129" s="98"/>
      <c r="CM129" s="98"/>
      <c r="CN129" s="98"/>
      <c r="CO129" s="98"/>
      <c r="CP129" s="98"/>
      <c r="CQ129" s="98"/>
      <c r="CR129" s="98"/>
      <c r="CS129" s="101"/>
      <c r="CT129" s="93" t="s">
        <v>4555</v>
      </c>
      <c r="CU129" s="93" t="s">
        <v>5577</v>
      </c>
      <c r="CV129" s="93" t="s">
        <v>2594</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2885</v>
      </c>
      <c r="H130" s="169" t="s">
        <v>4034</v>
      </c>
      <c r="I130" s="169" t="s">
        <v>5582</v>
      </c>
      <c r="J130" s="169" t="s">
        <v>3078</v>
      </c>
      <c r="K130" s="169" t="s">
        <v>2228</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3968</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2337</v>
      </c>
      <c r="BI130" s="176"/>
      <c r="BJ130" s="176"/>
      <c r="BK130" s="177" t="s">
        <v>4643</v>
      </c>
      <c r="BL130" s="176"/>
      <c r="BM130" s="176"/>
      <c r="BN130" s="176"/>
      <c r="BO130" s="176"/>
      <c r="BP130" s="287"/>
      <c r="BQ130" s="178"/>
      <c r="BR130" s="290"/>
      <c r="BS130" s="290"/>
      <c r="BT130" s="178" t="s">
        <v>2440</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4894</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4820</v>
      </c>
      <c r="H131" s="517"/>
      <c r="I131" s="517" t="s">
        <v>5602</v>
      </c>
      <c r="J131" s="517"/>
      <c r="K131" s="517" t="s">
        <v>2893</v>
      </c>
      <c r="L131" s="516" t="s">
        <v>5043</v>
      </c>
      <c r="M131" s="517"/>
      <c r="N131" s="606" t="s">
        <v>5603</v>
      </c>
      <c r="O131" s="606" t="s">
        <v>5538</v>
      </c>
      <c r="P131" s="516" t="s">
        <v>3435</v>
      </c>
      <c r="Q131" s="517"/>
      <c r="R131" s="517"/>
      <c r="S131" s="517" t="s">
        <v>3857</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3159</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2546</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3143</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2746</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2548</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4548</v>
      </c>
      <c r="K133" s="98"/>
      <c r="L133" s="88" t="s">
        <v>5637</v>
      </c>
      <c r="M133" s="88" t="s">
        <v>5638</v>
      </c>
      <c r="N133" s="98"/>
      <c r="O133" s="98"/>
      <c r="P133" s="88" t="s">
        <v>3329</v>
      </c>
      <c r="Q133" s="98"/>
      <c r="R133" s="98"/>
      <c r="S133" s="98"/>
      <c r="T133" s="98"/>
      <c r="U133" s="98"/>
      <c r="V133" s="98"/>
      <c r="W133" s="92"/>
      <c r="X133" s="88" t="s">
        <v>2251</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2860</v>
      </c>
      <c r="AA134" s="616"/>
      <c r="AB134" s="352" t="s">
        <v>3199</v>
      </c>
      <c r="AC134" s="615"/>
      <c r="AD134" s="617"/>
      <c r="AE134" s="615"/>
      <c r="AF134" s="615"/>
      <c r="AG134" s="617"/>
      <c r="AH134" s="617"/>
      <c r="AI134" s="117" t="s">
        <v>2249</v>
      </c>
      <c r="AJ134" s="617"/>
      <c r="AK134" s="614"/>
      <c r="AL134" s="618"/>
      <c r="AM134" s="124" t="s">
        <v>2456</v>
      </c>
      <c r="AN134" s="619"/>
      <c r="AO134" s="619"/>
      <c r="AP134" s="620"/>
      <c r="AQ134" s="620"/>
      <c r="AR134" s="619"/>
      <c r="AS134" s="619"/>
      <c r="AT134" s="457" t="s">
        <v>5574</v>
      </c>
      <c r="AU134" s="457" t="s">
        <v>5654</v>
      </c>
      <c r="AV134" s="457" t="s">
        <v>476</v>
      </c>
      <c r="AW134" s="619"/>
      <c r="AX134" s="619"/>
      <c r="AY134" s="619"/>
      <c r="AZ134" s="621"/>
      <c r="BA134" s="622"/>
      <c r="BB134" s="622"/>
      <c r="BC134" s="369" t="s">
        <v>1654</v>
      </c>
      <c r="BD134" s="204" t="s">
        <v>366</v>
      </c>
      <c r="BE134" s="622"/>
      <c r="BF134" s="622"/>
      <c r="BG134" s="623"/>
      <c r="BH134" s="204" t="s">
        <v>2925</v>
      </c>
      <c r="BI134" s="623"/>
      <c r="BJ134" s="369" t="s">
        <v>5655</v>
      </c>
      <c r="BK134" s="204" t="s">
        <v>3495</v>
      </c>
      <c r="BL134" s="623"/>
      <c r="BM134" s="624">
        <v>35.32</v>
      </c>
      <c r="BN134" s="622"/>
      <c r="BO134" s="623"/>
      <c r="BP134" s="625"/>
      <c r="BQ134" s="626"/>
      <c r="BR134" s="626"/>
      <c r="BS134" s="464" t="s">
        <v>5656</v>
      </c>
      <c r="BT134" s="464" t="s">
        <v>5657</v>
      </c>
      <c r="BU134" s="626"/>
      <c r="BV134" s="464" t="s">
        <v>2902</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4274</v>
      </c>
      <c r="CV134" s="322" t="s">
        <v>2809</v>
      </c>
      <c r="CW134" s="635"/>
      <c r="CX134" s="635"/>
      <c r="CY134" s="321" t="s">
        <v>2405</v>
      </c>
      <c r="CZ134" s="636" t="s">
        <v>5661</v>
      </c>
      <c r="DA134" s="635"/>
      <c r="DB134" s="637"/>
      <c r="DC134" s="637"/>
      <c r="DD134" s="637"/>
      <c r="DE134" s="637"/>
      <c r="DF134" s="638"/>
      <c r="DG134" s="639"/>
      <c r="DH134" s="640"/>
      <c r="DI134" s="640"/>
      <c r="DJ134" s="639"/>
      <c r="DK134" s="639"/>
      <c r="DL134" s="324" t="s">
        <v>3886</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2136</v>
      </c>
      <c r="H136" s="169" t="s">
        <v>5674</v>
      </c>
      <c r="I136" s="296" t="s">
        <v>1758</v>
      </c>
      <c r="J136" s="169" t="s">
        <v>5675</v>
      </c>
      <c r="K136" s="169" t="s">
        <v>5676</v>
      </c>
      <c r="L136" s="169" t="s">
        <v>5677</v>
      </c>
      <c r="M136" s="226"/>
      <c r="N136" s="169" t="s">
        <v>5678</v>
      </c>
      <c r="O136" s="169" t="s">
        <v>4176</v>
      </c>
      <c r="P136" s="169" t="s">
        <v>1147</v>
      </c>
      <c r="Q136" s="226"/>
      <c r="R136" s="169" t="s">
        <v>320</v>
      </c>
      <c r="S136" s="169" t="s">
        <v>2164</v>
      </c>
      <c r="T136" s="226"/>
      <c r="U136" s="169" t="s">
        <v>3564</v>
      </c>
      <c r="V136" s="226"/>
      <c r="W136" s="92"/>
      <c r="X136" s="201" t="s">
        <v>5679</v>
      </c>
      <c r="Y136" s="116" t="s">
        <v>2315</v>
      </c>
      <c r="Z136" s="201" t="s">
        <v>4469</v>
      </c>
      <c r="AA136" s="201" t="s">
        <v>1682</v>
      </c>
      <c r="AB136" s="201" t="s">
        <v>3652</v>
      </c>
      <c r="AC136" s="201" t="s">
        <v>2313</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3720</v>
      </c>
      <c r="BI136" s="177" t="s">
        <v>5682</v>
      </c>
      <c r="BJ136" s="177"/>
      <c r="BK136" s="177" t="s">
        <v>2574</v>
      </c>
      <c r="BL136" s="176"/>
      <c r="BM136" s="177" t="s">
        <v>4053</v>
      </c>
      <c r="BN136" s="176"/>
      <c r="BO136" s="176"/>
      <c r="BP136" s="287"/>
      <c r="BQ136" s="178" t="s">
        <v>5683</v>
      </c>
      <c r="BR136" s="178" t="s">
        <v>4059</v>
      </c>
      <c r="BS136" s="178" t="s">
        <v>3129</v>
      </c>
      <c r="BT136" s="178" t="s">
        <v>5684</v>
      </c>
      <c r="BU136" s="178" t="s">
        <v>5685</v>
      </c>
      <c r="BV136" s="178" t="s">
        <v>5038</v>
      </c>
      <c r="BW136" s="290"/>
      <c r="BX136" s="178" t="s">
        <v>2694</v>
      </c>
      <c r="BY136" s="290"/>
      <c r="BZ136" s="178" t="s">
        <v>5686</v>
      </c>
      <c r="CA136" s="290"/>
      <c r="CB136" s="290"/>
      <c r="CC136" s="290"/>
      <c r="CD136" s="290"/>
      <c r="CE136" s="291"/>
      <c r="CF136" s="180" t="s">
        <v>5687</v>
      </c>
      <c r="CG136" s="180" t="s">
        <v>4255</v>
      </c>
      <c r="CH136" s="180" t="s">
        <v>4571</v>
      </c>
      <c r="CI136" s="180" t="s">
        <v>5688</v>
      </c>
      <c r="CJ136" s="180" t="s">
        <v>5689</v>
      </c>
      <c r="CK136" s="180" t="s">
        <v>5690</v>
      </c>
      <c r="CL136" s="180" t="s">
        <v>1557</v>
      </c>
      <c r="CM136" s="180" t="s">
        <v>4306</v>
      </c>
      <c r="CN136" s="278"/>
      <c r="CO136" s="278"/>
      <c r="CP136" s="278"/>
      <c r="CQ136" s="278"/>
      <c r="CR136" s="278"/>
      <c r="CS136" s="101"/>
      <c r="CT136" s="209" t="s">
        <v>5691</v>
      </c>
      <c r="CU136" s="209" t="s">
        <v>3027</v>
      </c>
      <c r="CV136" s="209" t="s">
        <v>3469</v>
      </c>
      <c r="CW136" s="209" t="s">
        <v>5692</v>
      </c>
      <c r="CX136" s="279"/>
      <c r="CY136" s="209" t="s">
        <v>5693</v>
      </c>
      <c r="CZ136" s="142" t="s">
        <v>5694</v>
      </c>
      <c r="DA136" s="209" t="s">
        <v>4385</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3857</v>
      </c>
      <c r="DV136" s="210" t="s">
        <v>5697</v>
      </c>
      <c r="DW136" s="210" t="s">
        <v>3091</v>
      </c>
      <c r="DX136" s="210" t="s">
        <v>5698</v>
      </c>
      <c r="DY136" s="210" t="s">
        <v>5699</v>
      </c>
      <c r="DZ136" s="280"/>
      <c r="EA136" s="280"/>
      <c r="EB136" s="324" t="s">
        <v>5700</v>
      </c>
    </row>
    <row r="137">
      <c r="A137" s="459" t="s">
        <v>5701</v>
      </c>
      <c r="B137" s="82" t="s">
        <v>5702</v>
      </c>
      <c r="C137" s="83" t="s">
        <v>1414</v>
      </c>
      <c r="D137" s="84" t="s">
        <v>1414</v>
      </c>
      <c r="E137" s="85" t="s">
        <v>1414</v>
      </c>
      <c r="F137" s="86" t="s">
        <v>1414</v>
      </c>
      <c r="G137" s="82" t="s">
        <v>4820</v>
      </c>
      <c r="H137" s="93" t="s">
        <v>2062</v>
      </c>
      <c r="I137" s="93" t="s">
        <v>3286</v>
      </c>
      <c r="J137" s="93" t="s">
        <v>565</v>
      </c>
      <c r="K137" s="93" t="s">
        <v>4315</v>
      </c>
      <c r="L137" s="93" t="s">
        <v>3941</v>
      </c>
      <c r="M137" s="93" t="s">
        <v>5703</v>
      </c>
      <c r="N137" s="93" t="s">
        <v>5704</v>
      </c>
      <c r="O137" s="93" t="s">
        <v>439</v>
      </c>
      <c r="P137" s="93" t="s">
        <v>3924</v>
      </c>
      <c r="Q137" s="98"/>
      <c r="R137" s="98"/>
      <c r="S137" s="98"/>
      <c r="T137" s="98"/>
      <c r="U137" s="98"/>
      <c r="V137" s="98"/>
      <c r="W137" s="92"/>
      <c r="X137" s="93" t="s">
        <v>4848</v>
      </c>
      <c r="Y137" s="93" t="s">
        <v>4063</v>
      </c>
      <c r="Z137" s="93" t="s">
        <v>5705</v>
      </c>
      <c r="AA137" s="93" t="s">
        <v>782</v>
      </c>
      <c r="AB137" s="93" t="s">
        <v>4333</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2858</v>
      </c>
      <c r="CK137" s="98"/>
      <c r="CL137" s="93" t="s">
        <v>2659</v>
      </c>
      <c r="CM137" s="93" t="s">
        <v>2708</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3651</v>
      </c>
      <c r="DZ137" s="98"/>
      <c r="EA137" s="98"/>
      <c r="EB137" s="300"/>
    </row>
    <row r="138">
      <c r="A138" s="470"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4770</v>
      </c>
      <c r="Q138" s="169" t="s">
        <v>5717</v>
      </c>
      <c r="R138" s="226"/>
      <c r="S138" s="169" t="s">
        <v>3857</v>
      </c>
      <c r="T138" s="226"/>
      <c r="U138" s="169" t="s">
        <v>142</v>
      </c>
      <c r="V138" s="169" t="s">
        <v>5718</v>
      </c>
      <c r="W138" s="92"/>
      <c r="X138" s="642" t="s">
        <v>4845</v>
      </c>
      <c r="Y138" s="200" t="s">
        <v>5290</v>
      </c>
      <c r="Z138" s="116" t="s">
        <v>409</v>
      </c>
      <c r="AA138" s="328" t="s">
        <v>3989</v>
      </c>
      <c r="AB138" s="328" t="s">
        <v>3651</v>
      </c>
      <c r="AC138" s="352" t="s">
        <v>4637</v>
      </c>
      <c r="AD138" s="284"/>
      <c r="AE138" s="311" t="s">
        <v>5719</v>
      </c>
      <c r="AF138" s="352" t="s">
        <v>5720</v>
      </c>
      <c r="AG138" s="284"/>
      <c r="AH138" s="284"/>
      <c r="AI138" s="117"/>
      <c r="AJ138" s="284"/>
      <c r="AK138" s="92"/>
      <c r="AL138" s="457" t="s">
        <v>2193</v>
      </c>
      <c r="AM138" s="457" t="s">
        <v>1634</v>
      </c>
      <c r="AN138" s="171" t="s">
        <v>5721</v>
      </c>
      <c r="AO138" s="171" t="s">
        <v>826</v>
      </c>
      <c r="AP138" s="171"/>
      <c r="AQ138" s="171"/>
      <c r="AR138" s="171" t="s">
        <v>5722</v>
      </c>
      <c r="AS138" s="274"/>
      <c r="AT138" s="457" t="s">
        <v>4306</v>
      </c>
      <c r="AU138" s="457" t="s">
        <v>3223</v>
      </c>
      <c r="AV138" s="124"/>
      <c r="AW138" s="274"/>
      <c r="AX138" s="274"/>
      <c r="AY138" s="274"/>
      <c r="AZ138" s="275"/>
      <c r="BA138" s="204" t="s">
        <v>5723</v>
      </c>
      <c r="BB138" s="204" t="s">
        <v>1915</v>
      </c>
      <c r="BC138" s="204" t="s">
        <v>1145</v>
      </c>
      <c r="BD138" s="204" t="s">
        <v>5724</v>
      </c>
      <c r="BE138" s="369"/>
      <c r="BF138" s="204" t="s">
        <v>5725</v>
      </c>
      <c r="BG138" s="176"/>
      <c r="BH138" s="204" t="s">
        <v>2809</v>
      </c>
      <c r="BI138" s="176"/>
      <c r="BJ138" s="369"/>
      <c r="BK138" s="204" t="s">
        <v>5726</v>
      </c>
      <c r="BL138" s="176"/>
      <c r="BM138" s="176"/>
      <c r="BN138" s="369"/>
      <c r="BO138" s="176"/>
      <c r="BP138" s="287"/>
      <c r="BQ138" s="464" t="s">
        <v>5727</v>
      </c>
      <c r="BR138" s="464" t="s">
        <v>5728</v>
      </c>
      <c r="BS138" s="464" t="s">
        <v>3615</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3909</v>
      </c>
      <c r="CU138" s="321" t="s">
        <v>5734</v>
      </c>
      <c r="CV138" s="643" t="s">
        <v>4174</v>
      </c>
      <c r="CW138" s="142" t="s">
        <v>4256</v>
      </c>
      <c r="CX138" s="321" t="s">
        <v>3396</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5742</v>
      </c>
      <c r="BD139" s="98"/>
      <c r="BE139" s="98"/>
      <c r="BF139" s="98"/>
      <c r="BG139" s="98"/>
      <c r="BH139" s="88" t="s">
        <v>3627</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3993</v>
      </c>
      <c r="CN139" s="98"/>
      <c r="CO139" s="98"/>
      <c r="CP139" s="98"/>
      <c r="CQ139" s="98"/>
      <c r="CR139" s="98"/>
      <c r="CS139" s="101"/>
      <c r="CT139" s="88" t="s">
        <v>3914</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4835</v>
      </c>
      <c r="H140" s="226"/>
      <c r="I140" s="169" t="s">
        <v>5748</v>
      </c>
      <c r="J140" s="169" t="s">
        <v>4107</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2705</v>
      </c>
      <c r="AG140" s="284"/>
      <c r="AH140" s="284"/>
      <c r="AI140" s="284"/>
      <c r="AJ140" s="284"/>
      <c r="AK140" s="92"/>
      <c r="AL140" s="274"/>
      <c r="AM140" s="121" t="s">
        <v>4063</v>
      </c>
      <c r="AN140" s="274"/>
      <c r="AO140" s="274"/>
      <c r="AP140" s="274"/>
      <c r="AQ140" s="274"/>
      <c r="AR140" s="274"/>
      <c r="AS140" s="274"/>
      <c r="AT140" s="121" t="s">
        <v>2584</v>
      </c>
      <c r="AU140" s="171" t="s">
        <v>2374</v>
      </c>
      <c r="AV140" s="121" t="s">
        <v>2835</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2809</v>
      </c>
      <c r="BU140" s="290"/>
      <c r="BV140" s="132" t="s">
        <v>4658</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3901</v>
      </c>
      <c r="I141" s="93" t="s">
        <v>3839</v>
      </c>
      <c r="J141" s="93" t="s">
        <v>672</v>
      </c>
      <c r="K141" s="93" t="s">
        <v>5757</v>
      </c>
      <c r="L141" s="93" t="s">
        <v>5758</v>
      </c>
      <c r="M141" s="93" t="s">
        <v>5759</v>
      </c>
      <c r="N141" s="93" t="s">
        <v>5760</v>
      </c>
      <c r="O141" s="93" t="s">
        <v>2957</v>
      </c>
      <c r="P141" s="93" t="s">
        <v>3986</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4095</v>
      </c>
      <c r="BN141" s="93" t="s">
        <v>552</v>
      </c>
      <c r="BO141" s="93" t="s">
        <v>5786</v>
      </c>
      <c r="BP141" s="267"/>
      <c r="BQ141" s="93" t="s">
        <v>5787</v>
      </c>
      <c r="BR141" s="93" t="s">
        <v>1088</v>
      </c>
      <c r="BS141" s="93" t="s">
        <v>170</v>
      </c>
      <c r="BT141" s="93" t="s">
        <v>2582</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4879</v>
      </c>
      <c r="CK141" s="93" t="s">
        <v>5796</v>
      </c>
      <c r="CL141" s="93" t="s">
        <v>3529</v>
      </c>
      <c r="CM141" s="93" t="s">
        <v>2105</v>
      </c>
      <c r="CN141" s="93" t="s">
        <v>2517</v>
      </c>
      <c r="CO141" s="93" t="s">
        <v>5797</v>
      </c>
      <c r="CP141" s="98"/>
      <c r="CQ141" s="93" t="s">
        <v>5798</v>
      </c>
      <c r="CR141" s="93" t="s">
        <v>5799</v>
      </c>
      <c r="CS141" s="101"/>
      <c r="CT141" s="93" t="s">
        <v>2715</v>
      </c>
      <c r="CU141" s="93" t="s">
        <v>5800</v>
      </c>
      <c r="CV141" s="93" t="s">
        <v>2363</v>
      </c>
      <c r="CW141" s="93" t="s">
        <v>5801</v>
      </c>
      <c r="CX141" s="93" t="s">
        <v>1429</v>
      </c>
      <c r="CY141" s="93" t="s">
        <v>4043</v>
      </c>
      <c r="CZ141" s="93" t="s">
        <v>5802</v>
      </c>
      <c r="DA141" s="93" t="s">
        <v>5803</v>
      </c>
      <c r="DB141" s="93" t="s">
        <v>5804</v>
      </c>
      <c r="DC141" s="93" t="s">
        <v>4006</v>
      </c>
      <c r="DD141" s="93" t="s">
        <v>2168</v>
      </c>
      <c r="DE141" s="93" t="s">
        <v>5805</v>
      </c>
      <c r="DF141" s="267"/>
      <c r="DG141" s="93" t="s">
        <v>3629</v>
      </c>
      <c r="DH141" s="98"/>
      <c r="DI141" s="93" t="s">
        <v>150</v>
      </c>
      <c r="DJ141" s="93" t="s">
        <v>2096</v>
      </c>
      <c r="DK141" s="93" t="s">
        <v>3269</v>
      </c>
      <c r="DL141" s="93" t="s">
        <v>2339</v>
      </c>
      <c r="DM141" s="93" t="s">
        <v>3955</v>
      </c>
      <c r="DN141" s="93" t="s">
        <v>5806</v>
      </c>
      <c r="DO141" s="93" t="s">
        <v>198</v>
      </c>
      <c r="DP141" s="93" t="s">
        <v>5807</v>
      </c>
      <c r="DQ141" s="93" t="s">
        <v>2958</v>
      </c>
      <c r="DR141" s="93" t="s">
        <v>4655</v>
      </c>
      <c r="DS141" s="93" t="s">
        <v>5808</v>
      </c>
      <c r="DT141" s="93" t="s">
        <v>5809</v>
      </c>
      <c r="DU141" s="93" t="s">
        <v>1190</v>
      </c>
      <c r="DV141" s="93" t="s">
        <v>3652</v>
      </c>
      <c r="DW141" s="93" t="s">
        <v>5810</v>
      </c>
      <c r="DX141" s="93" t="s">
        <v>599</v>
      </c>
      <c r="DY141" s="93" t="s">
        <v>2530</v>
      </c>
      <c r="DZ141" s="93" t="s">
        <v>5117</v>
      </c>
      <c r="EA141" s="93" t="s">
        <v>3374</v>
      </c>
      <c r="EB141" s="337" t="s">
        <v>4247</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2386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4820</v>
      </c>
      <c r="H143" s="213"/>
      <c r="I143" s="97" t="s">
        <v>5820</v>
      </c>
      <c r="J143" s="88" t="s">
        <v>4581</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4427</v>
      </c>
      <c r="BF143" s="100"/>
      <c r="BG143" s="98"/>
      <c r="BH143" s="88" t="s">
        <v>2880</v>
      </c>
      <c r="BI143" s="303" t="s">
        <v>5830</v>
      </c>
      <c r="BJ143" s="100"/>
      <c r="BK143" s="100"/>
      <c r="BL143" s="98"/>
      <c r="BM143" s="98"/>
      <c r="BN143" s="100"/>
      <c r="BO143" s="98"/>
      <c r="BP143" s="267"/>
      <c r="BQ143" s="100" t="s">
        <v>2458</v>
      </c>
      <c r="BR143" s="100" t="s">
        <v>5831</v>
      </c>
      <c r="BS143" s="100"/>
      <c r="BT143" s="100" t="s">
        <v>2894</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3644</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4820</v>
      </c>
      <c r="H145" s="93"/>
      <c r="I145" s="88" t="s">
        <v>5845</v>
      </c>
      <c r="J145" s="88" t="s">
        <v>1571</v>
      </c>
      <c r="K145" s="88" t="s">
        <v>1957</v>
      </c>
      <c r="L145" s="88" t="s">
        <v>5846</v>
      </c>
      <c r="M145" s="93" t="s">
        <v>5847</v>
      </c>
      <c r="N145" s="93" t="s">
        <v>3312</v>
      </c>
      <c r="O145" s="93" t="s">
        <v>5614</v>
      </c>
      <c r="P145" s="93" t="s">
        <v>3924</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2756</v>
      </c>
      <c r="H146" s="169" t="s">
        <v>2656</v>
      </c>
      <c r="I146" s="169" t="s">
        <v>5863</v>
      </c>
      <c r="J146" s="169" t="s">
        <v>4667</v>
      </c>
      <c r="K146" s="169" t="s">
        <v>543</v>
      </c>
      <c r="L146" s="169" t="s">
        <v>5864</v>
      </c>
      <c r="M146" s="226"/>
      <c r="N146" s="226"/>
      <c r="O146" s="169" t="s">
        <v>1967</v>
      </c>
      <c r="P146" s="169" t="s">
        <v>347</v>
      </c>
      <c r="Q146" s="169"/>
      <c r="R146" s="226"/>
      <c r="S146" s="169" t="s">
        <v>5865</v>
      </c>
      <c r="T146" s="226"/>
      <c r="U146" s="169" t="s">
        <v>2777</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2405</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1414</v>
      </c>
      <c r="D149" s="84" t="s">
        <v>1414</v>
      </c>
      <c r="E149" s="85" t="s">
        <v>1414</v>
      </c>
      <c r="F149" s="86" t="s">
        <v>1414</v>
      </c>
      <c r="G149" s="82" t="s">
        <v>330</v>
      </c>
      <c r="H149" s="213" t="s">
        <v>3181</v>
      </c>
      <c r="I149" s="213" t="s">
        <v>5883</v>
      </c>
      <c r="J149" s="213" t="s">
        <v>5884</v>
      </c>
      <c r="K149" s="93" t="s">
        <v>1807</v>
      </c>
      <c r="L149" s="93" t="s">
        <v>4340</v>
      </c>
      <c r="M149" s="93"/>
      <c r="N149" s="98"/>
      <c r="O149" s="98"/>
      <c r="P149" s="213" t="s">
        <v>1558</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2543</v>
      </c>
      <c r="K150" s="169" t="s">
        <v>2893</v>
      </c>
      <c r="L150" s="169" t="s">
        <v>2616</v>
      </c>
      <c r="M150" s="169" t="s">
        <v>5887</v>
      </c>
      <c r="N150" s="169" t="s">
        <v>5888</v>
      </c>
      <c r="O150" s="169" t="s">
        <v>5889</v>
      </c>
      <c r="P150" s="169" t="s">
        <v>3986</v>
      </c>
      <c r="Q150" s="226"/>
      <c r="R150" s="226"/>
      <c r="S150" s="226"/>
      <c r="T150" s="226"/>
      <c r="U150" s="226"/>
      <c r="V150" s="226"/>
      <c r="W150" s="92"/>
      <c r="X150" s="201" t="s">
        <v>5171</v>
      </c>
      <c r="Y150" s="201" t="s">
        <v>2117</v>
      </c>
      <c r="Z150" s="201" t="s">
        <v>2199</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1205</v>
      </c>
      <c r="BC150" s="176"/>
      <c r="BD150" s="177" t="s">
        <v>1606</v>
      </c>
      <c r="BE150" s="176"/>
      <c r="BF150" s="177" t="s">
        <v>5302</v>
      </c>
      <c r="BG150" s="176"/>
      <c r="BH150" s="127" t="s">
        <v>4686</v>
      </c>
      <c r="BI150" s="176"/>
      <c r="BJ150" s="176"/>
      <c r="BK150" s="177" t="s">
        <v>5893</v>
      </c>
      <c r="BL150" s="176"/>
      <c r="BM150" s="176"/>
      <c r="BN150" s="176"/>
      <c r="BO150" s="176"/>
      <c r="BP150" s="287"/>
      <c r="BQ150" s="290"/>
      <c r="BR150" s="290"/>
      <c r="BS150" s="178" t="s">
        <v>2445</v>
      </c>
      <c r="BT150" s="290"/>
      <c r="BU150" s="290"/>
      <c r="BV150" s="290"/>
      <c r="BW150" s="290"/>
      <c r="BX150" s="290"/>
      <c r="BY150" s="290"/>
      <c r="BZ150" s="290"/>
      <c r="CA150" s="290"/>
      <c r="CB150" s="290"/>
      <c r="CC150" s="290"/>
      <c r="CD150" s="290"/>
      <c r="CE150" s="291"/>
      <c r="CF150" s="180" t="s">
        <v>3830</v>
      </c>
      <c r="CG150" s="180" t="s">
        <v>629</v>
      </c>
      <c r="CH150" s="278"/>
      <c r="CI150" s="278"/>
      <c r="CJ150" s="278"/>
      <c r="CK150" s="278"/>
      <c r="CL150" s="278"/>
      <c r="CM150" s="278"/>
      <c r="CN150" s="278"/>
      <c r="CO150" s="278"/>
      <c r="CP150" s="278"/>
      <c r="CQ150" s="278"/>
      <c r="CR150" s="278"/>
      <c r="CS150" s="101"/>
      <c r="CT150" s="209" t="s">
        <v>4238</v>
      </c>
      <c r="CU150" s="209" t="s">
        <v>555</v>
      </c>
      <c r="CV150" s="209" t="s">
        <v>4167</v>
      </c>
      <c r="CW150" s="209" t="s">
        <v>4071</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1414</v>
      </c>
      <c r="D151" s="84" t="s">
        <v>1414</v>
      </c>
      <c r="E151" s="85" t="s">
        <v>1414</v>
      </c>
      <c r="F151" s="86" t="s">
        <v>328</v>
      </c>
      <c r="G151" s="82" t="s">
        <v>3428</v>
      </c>
      <c r="H151" s="93" t="s">
        <v>5899</v>
      </c>
      <c r="I151" s="93" t="s">
        <v>4726</v>
      </c>
      <c r="J151" s="93" t="s">
        <v>2314</v>
      </c>
      <c r="K151" s="93" t="s">
        <v>1427</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5900</v>
      </c>
      <c r="AA151" s="93" t="s">
        <v>2629</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4079</v>
      </c>
      <c r="H152" s="169" t="s">
        <v>3295</v>
      </c>
      <c r="I152" s="226"/>
      <c r="J152" s="169" t="s">
        <v>5907</v>
      </c>
      <c r="K152" s="169" t="s">
        <v>3816</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2498</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0" t="s">
        <v>5912</v>
      </c>
      <c r="B153" s="82" t="s">
        <v>5913</v>
      </c>
      <c r="C153" s="83" t="s">
        <v>1414</v>
      </c>
      <c r="D153" s="84" t="s">
        <v>1414</v>
      </c>
      <c r="E153" s="85" t="s">
        <v>1414</v>
      </c>
      <c r="F153" s="86" t="s">
        <v>1414</v>
      </c>
      <c r="G153" s="82" t="s">
        <v>4079</v>
      </c>
      <c r="H153" s="93" t="s">
        <v>1832</v>
      </c>
      <c r="I153" s="93" t="s">
        <v>5914</v>
      </c>
      <c r="J153" s="98"/>
      <c r="K153" s="93" t="s">
        <v>4315</v>
      </c>
      <c r="L153" s="98"/>
      <c r="M153" s="98"/>
      <c r="N153" s="98"/>
      <c r="O153" s="93" t="s">
        <v>5915</v>
      </c>
      <c r="P153" s="93" t="s">
        <v>2043</v>
      </c>
      <c r="Q153" s="98"/>
      <c r="R153" s="98"/>
      <c r="S153" s="98"/>
      <c r="T153" s="98"/>
      <c r="U153" s="98"/>
      <c r="V153" s="98"/>
      <c r="W153" s="92"/>
      <c r="X153" s="93" t="s">
        <v>3225</v>
      </c>
      <c r="Y153" s="98"/>
      <c r="Z153" s="93" t="s">
        <v>4559</v>
      </c>
      <c r="AA153" s="98"/>
      <c r="AB153" s="93" t="s">
        <v>2437</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4181</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1" t="s">
        <v>3972</v>
      </c>
      <c r="M154" s="471" t="s">
        <v>5924</v>
      </c>
      <c r="N154" s="471" t="s">
        <v>5639</v>
      </c>
      <c r="O154" s="471"/>
      <c r="P154" s="471" t="s">
        <v>2890</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369" t="s">
        <v>5926</v>
      </c>
      <c r="BB154" s="369"/>
      <c r="BC154" s="369"/>
      <c r="BD154" s="369"/>
      <c r="BE154" s="369" t="s">
        <v>5927</v>
      </c>
      <c r="BF154" s="369"/>
      <c r="BG154" s="176"/>
      <c r="BH154" s="369"/>
      <c r="BI154" s="176"/>
      <c r="BJ154" s="369"/>
      <c r="BK154" s="369"/>
      <c r="BL154" s="176"/>
      <c r="BM154" s="176"/>
      <c r="BN154" s="369"/>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2776</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2473</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1414</v>
      </c>
      <c r="D160" s="105" t="s">
        <v>1414</v>
      </c>
      <c r="E160" s="106" t="s">
        <v>1414</v>
      </c>
      <c r="F160" s="107" t="s">
        <v>328</v>
      </c>
      <c r="G160" s="103" t="s">
        <v>5634</v>
      </c>
      <c r="H160" s="471" t="s">
        <v>5958</v>
      </c>
      <c r="I160" s="471" t="s">
        <v>5959</v>
      </c>
      <c r="J160" s="471" t="s">
        <v>444</v>
      </c>
      <c r="K160" s="471" t="s">
        <v>4136</v>
      </c>
      <c r="L160" s="471" t="s">
        <v>5960</v>
      </c>
      <c r="M160" s="471" t="s">
        <v>5961</v>
      </c>
      <c r="N160" s="658"/>
      <c r="O160" s="658"/>
      <c r="P160" s="471"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4384</v>
      </c>
      <c r="CH160" s="138"/>
      <c r="CI160" s="138"/>
      <c r="CJ160" s="138"/>
      <c r="CK160" s="138"/>
      <c r="CL160" s="138" t="s">
        <v>3188</v>
      </c>
      <c r="CM160" s="137" t="s">
        <v>5962</v>
      </c>
      <c r="CN160" s="472"/>
      <c r="CO160" s="278"/>
      <c r="CP160" s="278"/>
      <c r="CQ160" s="278"/>
      <c r="CR160" s="278"/>
      <c r="CS160" s="101"/>
      <c r="CT160" s="322"/>
      <c r="CU160" s="322"/>
      <c r="CV160" s="322" t="s">
        <v>5030</v>
      </c>
      <c r="CW160" s="322" t="s">
        <v>3174</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2893</v>
      </c>
      <c r="L163" s="93" t="s">
        <v>5973</v>
      </c>
      <c r="M163" s="98"/>
      <c r="N163" s="98"/>
      <c r="O163" s="98"/>
      <c r="P163" s="93" t="s">
        <v>3072</v>
      </c>
      <c r="Q163" s="98"/>
      <c r="R163" s="98"/>
      <c r="S163" s="98"/>
      <c r="T163" s="98"/>
      <c r="U163" s="98"/>
      <c r="V163" s="98"/>
      <c r="W163" s="92"/>
      <c r="X163" s="581" t="s">
        <v>1826</v>
      </c>
      <c r="Y163" s="98"/>
      <c r="Z163" s="93" t="s">
        <v>3134</v>
      </c>
      <c r="AA163" s="97" t="str">
        <f>HYPERLINK("https://clips.twitch.tv/DeliciousHomelyChoughMingLee","53.66")</f>
        <v>53.66</v>
      </c>
      <c r="AB163" s="93" t="s">
        <v>4753</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1"/>
      <c r="I164" s="658"/>
      <c r="J164" s="471"/>
      <c r="K164" s="471"/>
      <c r="L164" s="471"/>
      <c r="M164" s="471"/>
      <c r="N164" s="471"/>
      <c r="O164" s="471"/>
      <c r="P164" s="112" t="s">
        <v>5262</v>
      </c>
      <c r="Q164" s="226"/>
      <c r="R164" s="226"/>
      <c r="S164" s="226"/>
      <c r="T164" s="226"/>
      <c r="U164" s="226"/>
      <c r="V164" s="226"/>
      <c r="W164" s="92"/>
      <c r="X164" s="116" t="s">
        <v>5981</v>
      </c>
      <c r="Y164" s="117"/>
      <c r="Z164" s="116" t="s">
        <v>4693</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3173</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2844</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4501</v>
      </c>
      <c r="CM166" s="180" t="s">
        <v>1494</v>
      </c>
      <c r="CN166" s="278"/>
      <c r="CO166" s="278"/>
      <c r="CP166" s="278"/>
      <c r="CQ166" s="278"/>
      <c r="CR166" s="278"/>
      <c r="CS166" s="101"/>
      <c r="CT166" s="209" t="s">
        <v>5035</v>
      </c>
      <c r="CU166" s="279"/>
      <c r="CV166" s="209" t="s">
        <v>6002</v>
      </c>
      <c r="CW166" s="209" t="s">
        <v>2895</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3814</v>
      </c>
      <c r="H167" s="662" t="s">
        <v>2828</v>
      </c>
      <c r="I167" s="662" t="s">
        <v>6009</v>
      </c>
      <c r="J167" s="662" t="s">
        <v>4711</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4019</v>
      </c>
      <c r="BI167" s="663"/>
      <c r="BJ167" s="663"/>
      <c r="BK167" s="663"/>
      <c r="BL167" s="663"/>
      <c r="BM167" s="663"/>
      <c r="BN167" s="663"/>
      <c r="BO167" s="663"/>
      <c r="BP167" s="666"/>
      <c r="BQ167" s="663"/>
      <c r="BR167" s="663"/>
      <c r="BS167" s="662" t="s">
        <v>6015</v>
      </c>
      <c r="BT167" s="665" t="s">
        <v>2788</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2426</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4079</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2584</v>
      </c>
      <c r="AA168" s="352" t="s">
        <v>114</v>
      </c>
      <c r="AB168" s="352" t="s">
        <v>3651</v>
      </c>
      <c r="AC168" s="352"/>
      <c r="AD168" s="672"/>
      <c r="AE168" s="352"/>
      <c r="AF168" s="352" t="s">
        <v>4590</v>
      </c>
      <c r="AG168" s="672"/>
      <c r="AH168" s="672"/>
      <c r="AI168" s="352"/>
      <c r="AJ168" s="672"/>
      <c r="AK168" s="671"/>
      <c r="AL168" s="457"/>
      <c r="AM168" s="457"/>
      <c r="AN168" s="673"/>
      <c r="AO168" s="673"/>
      <c r="AP168" s="674"/>
      <c r="AQ168" s="674"/>
      <c r="AR168" s="673"/>
      <c r="AS168" s="673"/>
      <c r="AT168" s="457" t="s">
        <v>4095</v>
      </c>
      <c r="AU168" s="457" t="s">
        <v>5675</v>
      </c>
      <c r="AV168" s="457"/>
      <c r="AW168" s="673"/>
      <c r="AX168" s="673"/>
      <c r="AY168" s="673"/>
      <c r="AZ168" s="675"/>
      <c r="BA168" s="204"/>
      <c r="BB168" s="204"/>
      <c r="BC168" s="204"/>
      <c r="BD168" s="204" t="s">
        <v>2512</v>
      </c>
      <c r="BE168" s="204"/>
      <c r="BF168" s="204"/>
      <c r="BG168" s="676"/>
      <c r="BH168" s="204" t="s">
        <v>3731</v>
      </c>
      <c r="BI168" s="676"/>
      <c r="BJ168" s="204" t="s">
        <v>6022</v>
      </c>
      <c r="BK168" s="204" t="s">
        <v>4041</v>
      </c>
      <c r="BL168" s="676"/>
      <c r="BM168" s="676"/>
      <c r="BN168" s="204"/>
      <c r="BO168" s="676"/>
      <c r="BP168" s="677"/>
      <c r="BQ168" s="464"/>
      <c r="BR168" s="464"/>
      <c r="BS168" s="464" t="s">
        <v>4470</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2212</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6034</v>
      </c>
      <c r="B171" s="82" t="s">
        <v>6035</v>
      </c>
      <c r="C171" s="83" t="s">
        <v>1414</v>
      </c>
      <c r="D171" s="84" t="s">
        <v>1414</v>
      </c>
      <c r="E171" s="85" t="s">
        <v>1414</v>
      </c>
      <c r="F171" s="86" t="s">
        <v>1130</v>
      </c>
      <c r="G171" s="82" t="s">
        <v>4835</v>
      </c>
      <c r="H171" s="93" t="s">
        <v>2581</v>
      </c>
      <c r="I171" s="98"/>
      <c r="J171" s="93" t="s">
        <v>6036</v>
      </c>
      <c r="K171" s="88" t="s">
        <v>2504</v>
      </c>
      <c r="L171" s="162" t="s">
        <v>6037</v>
      </c>
      <c r="M171" s="98"/>
      <c r="N171" s="98"/>
      <c r="O171" s="98"/>
      <c r="P171" s="93" t="s">
        <v>6038</v>
      </c>
      <c r="Q171" s="98"/>
      <c r="R171" s="98"/>
      <c r="S171" s="98"/>
      <c r="T171" s="98"/>
      <c r="U171" s="98"/>
      <c r="V171" s="98"/>
      <c r="W171" s="92"/>
      <c r="X171" s="88" t="s">
        <v>6039</v>
      </c>
      <c r="Y171" s="93" t="s">
        <v>159</v>
      </c>
      <c r="Z171" s="88" t="s">
        <v>5101</v>
      </c>
      <c r="AA171" s="98"/>
      <c r="AB171" s="93" t="s">
        <v>4841</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4760</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4658</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4906</v>
      </c>
      <c r="K172" s="169" t="s">
        <v>2308</v>
      </c>
      <c r="L172" s="169" t="s">
        <v>3860</v>
      </c>
      <c r="M172" s="169" t="s">
        <v>6051</v>
      </c>
      <c r="N172" s="226"/>
      <c r="O172" s="169" t="s">
        <v>1990</v>
      </c>
      <c r="P172" s="169" t="s">
        <v>6052</v>
      </c>
      <c r="Q172" s="226"/>
      <c r="R172" s="226"/>
      <c r="S172" s="226"/>
      <c r="T172" s="226"/>
      <c r="U172" s="226"/>
      <c r="V172" s="226"/>
      <c r="W172" s="92"/>
      <c r="X172" s="201" t="s">
        <v>4352</v>
      </c>
      <c r="Y172" s="201" t="s">
        <v>6053</v>
      </c>
      <c r="Z172" s="201" t="s">
        <v>4385</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2483</v>
      </c>
      <c r="AU172" s="171" t="s">
        <v>1582</v>
      </c>
      <c r="AV172" s="274"/>
      <c r="AW172" s="274"/>
      <c r="AX172" s="274"/>
      <c r="AY172" s="274"/>
      <c r="AZ172" s="275"/>
      <c r="BA172" s="176"/>
      <c r="BB172" s="177" t="s">
        <v>770</v>
      </c>
      <c r="BC172" s="177" t="s">
        <v>4019</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4783</v>
      </c>
      <c r="CG172" s="180" t="s">
        <v>2474</v>
      </c>
      <c r="CH172" s="180" t="s">
        <v>2572</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4921</v>
      </c>
      <c r="H173" s="93" t="s">
        <v>6070</v>
      </c>
      <c r="I173" s="93" t="s">
        <v>6071</v>
      </c>
      <c r="J173" s="93" t="s">
        <v>610</v>
      </c>
      <c r="K173" s="93" t="s">
        <v>4315</v>
      </c>
      <c r="L173" s="93" t="s">
        <v>2768</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3952</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4074</v>
      </c>
      <c r="BC173" s="93" t="s">
        <v>3485</v>
      </c>
      <c r="BD173" s="93" t="s">
        <v>6080</v>
      </c>
      <c r="BE173" s="93" t="s">
        <v>6081</v>
      </c>
      <c r="BF173" s="93" t="s">
        <v>6082</v>
      </c>
      <c r="BG173" s="93" t="s">
        <v>4926</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1651</v>
      </c>
      <c r="CV173" s="93" t="s">
        <v>5889</v>
      </c>
      <c r="CW173" s="98"/>
      <c r="CX173" s="93" t="s">
        <v>6086</v>
      </c>
      <c r="CY173" s="98"/>
      <c r="CZ173" s="98"/>
      <c r="DA173" s="98"/>
      <c r="DB173" s="98"/>
      <c r="DC173" s="98"/>
      <c r="DD173" s="98"/>
      <c r="DE173" s="98"/>
      <c r="DF173" s="267"/>
      <c r="DG173" s="93" t="s">
        <v>4082</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4306</v>
      </c>
      <c r="AU176" s="171" t="s">
        <v>2758</v>
      </c>
      <c r="AV176" s="274"/>
      <c r="AW176" s="274"/>
      <c r="AX176" s="274"/>
      <c r="AY176" s="274"/>
      <c r="AZ176" s="275"/>
      <c r="BA176" s="177" t="s">
        <v>3414</v>
      </c>
      <c r="BB176" s="177" t="s">
        <v>4885</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3610</v>
      </c>
      <c r="CA176" s="290"/>
      <c r="CB176" s="290"/>
      <c r="CC176" s="290"/>
      <c r="CD176" s="290"/>
      <c r="CE176" s="291"/>
      <c r="CF176" s="180" t="s">
        <v>6105</v>
      </c>
      <c r="CG176" s="180" t="s">
        <v>3173</v>
      </c>
      <c r="CH176" s="180" t="s">
        <v>702</v>
      </c>
      <c r="CI176" s="180" t="s">
        <v>6106</v>
      </c>
      <c r="CJ176" s="180"/>
      <c r="CK176" s="278"/>
      <c r="CL176" s="180" t="s">
        <v>3404</v>
      </c>
      <c r="CM176" s="180" t="s">
        <v>5975</v>
      </c>
      <c r="CN176" s="278"/>
      <c r="CO176" s="278"/>
      <c r="CP176" s="278"/>
      <c r="CQ176" s="278"/>
      <c r="CR176" s="278"/>
      <c r="CS176" s="101"/>
      <c r="CT176" s="209" t="s">
        <v>4908</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2893</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4641</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4062</v>
      </c>
      <c r="K182" s="169" t="s">
        <v>4136</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2270</v>
      </c>
      <c r="BC182" s="175" t="s">
        <v>5170</v>
      </c>
      <c r="BD182" s="176"/>
      <c r="BE182" s="176"/>
      <c r="BF182" s="176"/>
      <c r="BG182" s="176"/>
      <c r="BH182" s="176"/>
      <c r="BI182" s="176"/>
      <c r="BJ182" s="177" t="s">
        <v>2373</v>
      </c>
      <c r="BK182" s="176"/>
      <c r="BL182" s="176"/>
      <c r="BM182" s="176"/>
      <c r="BN182" s="176"/>
      <c r="BO182" s="176"/>
      <c r="BP182" s="287"/>
      <c r="BQ182" s="290"/>
      <c r="BR182" s="290"/>
      <c r="BS182" s="290"/>
      <c r="BT182" s="178" t="s">
        <v>6133</v>
      </c>
      <c r="BU182" s="290"/>
      <c r="BV182" s="178" t="s">
        <v>4714</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4560</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4845</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8"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6150</v>
      </c>
      <c r="B185" s="82" t="s">
        <v>2216</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3219</v>
      </c>
      <c r="H186" s="226"/>
      <c r="I186" s="169" t="s">
        <v>6153</v>
      </c>
      <c r="J186" s="169" t="s">
        <v>1363</v>
      </c>
      <c r="K186" s="169" t="s">
        <v>1055</v>
      </c>
      <c r="L186" s="169" t="s">
        <v>6154</v>
      </c>
      <c r="M186" s="169" t="s">
        <v>6155</v>
      </c>
      <c r="N186" s="169" t="s">
        <v>6156</v>
      </c>
      <c r="O186" s="169" t="s">
        <v>6157</v>
      </c>
      <c r="P186" s="169" t="s">
        <v>4521</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4915</v>
      </c>
      <c r="AM186" s="171" t="s">
        <v>1277</v>
      </c>
      <c r="AN186" s="171" t="s">
        <v>6160</v>
      </c>
      <c r="AO186" s="171" t="s">
        <v>6161</v>
      </c>
      <c r="AP186" s="171" t="s">
        <v>6162</v>
      </c>
      <c r="AQ186" s="171"/>
      <c r="AR186" s="171" t="s">
        <v>4610</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3902</v>
      </c>
      <c r="CI186" s="180" t="s">
        <v>6178</v>
      </c>
      <c r="CJ186" s="180" t="s">
        <v>4061</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2768</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3814</v>
      </c>
      <c r="H188" s="169" t="s">
        <v>6195</v>
      </c>
      <c r="I188" s="169" t="s">
        <v>6196</v>
      </c>
      <c r="J188" s="169" t="s">
        <v>6197</v>
      </c>
      <c r="K188" s="169" t="s">
        <v>1785</v>
      </c>
      <c r="L188" s="169" t="s">
        <v>3830</v>
      </c>
      <c r="M188" s="169" t="s">
        <v>6198</v>
      </c>
      <c r="N188" s="169" t="s">
        <v>6199</v>
      </c>
      <c r="O188" s="169" t="s">
        <v>4239</v>
      </c>
      <c r="P188" s="169" t="s">
        <v>4559</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2486</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2529</v>
      </c>
      <c r="C190" s="104" t="s">
        <v>1414</v>
      </c>
      <c r="D190" s="105" t="s">
        <v>1414</v>
      </c>
      <c r="E190" s="106" t="s">
        <v>1414</v>
      </c>
      <c r="F190" s="107" t="s">
        <v>1414</v>
      </c>
      <c r="G190" s="103" t="s">
        <v>2687</v>
      </c>
      <c r="H190" s="169"/>
      <c r="I190" s="169" t="s">
        <v>6209</v>
      </c>
      <c r="J190" s="169" t="s">
        <v>4082</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205</v>
      </c>
      <c r="BD190" s="177" t="s">
        <v>6210</v>
      </c>
      <c r="BE190" s="176"/>
      <c r="BF190" s="176"/>
      <c r="BG190" s="176"/>
      <c r="BH190" s="177" t="s">
        <v>4350</v>
      </c>
      <c r="BI190" s="176"/>
      <c r="BJ190" s="176"/>
      <c r="BK190" s="176"/>
      <c r="BL190" s="176"/>
      <c r="BM190" s="176"/>
      <c r="BN190" s="176"/>
      <c r="BO190" s="176"/>
      <c r="BP190" s="287"/>
      <c r="BQ190" s="290"/>
      <c r="BR190" s="178" t="s">
        <v>4763</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8"/>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4655</v>
      </c>
      <c r="AA191" s="98"/>
      <c r="AB191" s="98"/>
      <c r="AC191" s="98"/>
      <c r="AD191" s="98"/>
      <c r="AE191" s="98"/>
      <c r="AF191" s="93" t="s">
        <v>3649</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3127</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2007</v>
      </c>
      <c r="C195" s="83" t="s">
        <v>1414</v>
      </c>
      <c r="D195" s="84" t="s">
        <v>1414</v>
      </c>
      <c r="E195" s="85" t="s">
        <v>1414</v>
      </c>
      <c r="F195" s="86" t="s">
        <v>218</v>
      </c>
      <c r="G195" s="82" t="s">
        <v>218</v>
      </c>
      <c r="H195" s="88" t="s">
        <v>6223</v>
      </c>
      <c r="I195" s="98"/>
      <c r="J195" s="98"/>
      <c r="K195" s="88" t="s">
        <v>4299</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4719</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1414</v>
      </c>
      <c r="D199" s="84" t="s">
        <v>1414</v>
      </c>
      <c r="E199" s="85" t="s">
        <v>1414</v>
      </c>
      <c r="F199" s="86" t="s">
        <v>1414</v>
      </c>
      <c r="G199" s="82" t="s">
        <v>538</v>
      </c>
      <c r="H199" s="98"/>
      <c r="I199" s="93"/>
      <c r="J199" s="98"/>
      <c r="K199" s="93" t="s">
        <v>2504</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4835</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2421</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4079</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4161</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3871</v>
      </c>
      <c r="AQ1" s="706" t="s">
        <v>5329</v>
      </c>
      <c r="AR1" s="706" t="s">
        <v>1723</v>
      </c>
      <c r="AS1" s="706" t="s">
        <v>6278</v>
      </c>
      <c r="AT1" s="706" t="s">
        <v>3735</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4539</v>
      </c>
      <c r="Z2" s="711" t="s">
        <v>2297</v>
      </c>
      <c r="AA2" s="711" t="s">
        <v>5647</v>
      </c>
      <c r="AB2" s="711" t="s">
        <v>4820</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3639</v>
      </c>
      <c r="G3" s="712" t="s">
        <v>3322</v>
      </c>
      <c r="H3" s="712" t="s">
        <v>5252</v>
      </c>
      <c r="I3" s="712" t="s">
        <v>6299</v>
      </c>
      <c r="J3" s="712" t="s">
        <v>6300</v>
      </c>
      <c r="K3" s="712" t="s">
        <v>3639</v>
      </c>
      <c r="L3" s="712" t="s">
        <v>1131</v>
      </c>
      <c r="M3" s="712" t="s">
        <v>4921</v>
      </c>
      <c r="N3" s="712" t="s">
        <v>2529</v>
      </c>
      <c r="O3" s="712" t="s">
        <v>3737</v>
      </c>
      <c r="P3" s="712" t="s">
        <v>4740</v>
      </c>
      <c r="Q3" s="712" t="s">
        <v>4937</v>
      </c>
      <c r="R3" s="712" t="s">
        <v>3814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4463</v>
      </c>
      <c r="F4" s="713" t="s">
        <v>6303</v>
      </c>
      <c r="G4" s="713" t="s">
        <v>3589</v>
      </c>
      <c r="H4" s="713" t="s">
        <v>4719</v>
      </c>
      <c r="I4" s="713" t="s">
        <v>6304</v>
      </c>
      <c r="J4" s="713" t="s">
        <v>3219</v>
      </c>
      <c r="K4" s="713" t="s">
        <v>538</v>
      </c>
      <c r="L4" s="713" t="s">
        <v>3321</v>
      </c>
      <c r="M4" s="713" t="s">
        <v>2814</v>
      </c>
      <c r="N4" s="713" t="s">
        <v>4835</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2807</v>
      </c>
      <c r="G6" s="720" t="s">
        <v>436</v>
      </c>
      <c r="H6" s="720" t="s">
        <v>1133</v>
      </c>
      <c r="I6" s="720" t="s">
        <v>1324</v>
      </c>
      <c r="J6" s="720" t="str">
        <f>HYPERLINK("https://youtu.be/BAG8a3WI9KM","52.27")</f>
        <v>52.27</v>
      </c>
      <c r="K6" s="721" t="s">
        <v>157</v>
      </c>
      <c r="L6" s="720" t="s">
        <v>2566</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4780</v>
      </c>
      <c r="P7" s="724"/>
      <c r="Q7" s="724" t="s">
        <v>2530</v>
      </c>
      <c r="R7" s="724"/>
      <c r="S7" s="724"/>
      <c r="T7" s="724"/>
      <c r="U7" s="724"/>
      <c r="V7" s="724"/>
      <c r="W7" s="724"/>
      <c r="X7" s="724"/>
      <c r="Y7" s="724"/>
      <c r="Z7" s="724" t="s">
        <v>4164</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4508</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3598</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2277</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2575</v>
      </c>
      <c r="AE10" s="730"/>
      <c r="AF10" s="730"/>
      <c r="AG10" s="730"/>
      <c r="AH10" s="730"/>
      <c r="AI10" s="730"/>
      <c r="AJ10" s="730"/>
      <c r="AK10" s="730" t="s">
        <v>6326</v>
      </c>
      <c r="AL10" s="730"/>
      <c r="AM10" s="730"/>
      <c r="AN10" s="730"/>
      <c r="AO10" s="730"/>
      <c r="AP10" s="730"/>
      <c r="AQ10" s="730"/>
      <c r="AR10" s="730"/>
      <c r="AS10" s="730" t="s">
        <v>2277</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4403</v>
      </c>
      <c r="F12" s="724"/>
      <c r="G12" s="724"/>
      <c r="H12" s="724"/>
      <c r="I12" s="724" t="s">
        <v>6331</v>
      </c>
      <c r="J12" s="724" t="s">
        <v>6332</v>
      </c>
      <c r="K12" s="724" t="s">
        <v>3129</v>
      </c>
      <c r="L12" s="724"/>
      <c r="M12" s="724"/>
      <c r="N12" s="724" t="s">
        <v>6333</v>
      </c>
      <c r="O12" s="724" t="s">
        <v>5834</v>
      </c>
      <c r="P12" s="724" t="s">
        <v>4403</v>
      </c>
      <c r="Q12" s="724" t="s">
        <v>4131</v>
      </c>
      <c r="R12" s="724"/>
      <c r="S12" s="724"/>
      <c r="T12" s="724" t="s">
        <v>2711</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2385</v>
      </c>
      <c r="H13" s="720" t="s">
        <v>988</v>
      </c>
      <c r="I13" s="720" t="s">
        <v>1326</v>
      </c>
      <c r="J13" s="721" t="s">
        <v>6337</v>
      </c>
      <c r="K13" s="721" t="s">
        <v>3018</v>
      </c>
      <c r="L13" s="720" t="s">
        <v>719</v>
      </c>
      <c r="M13" s="721" t="s">
        <v>1499</v>
      </c>
      <c r="N13" s="721" t="s">
        <v>6338</v>
      </c>
      <c r="O13" s="721"/>
      <c r="P13" s="721" t="s">
        <v>3570</v>
      </c>
      <c r="Q13" s="720" t="s">
        <v>2531</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4349</v>
      </c>
      <c r="I14" s="724" t="str">
        <f>HYPERLINK("https://www.twitch.tv/videos/569558488","14.31")</f>
        <v>14.31</v>
      </c>
      <c r="J14" s="724" t="str">
        <f>HYPERLINK("https://youtu.be/F4XtupQ5d4o","14.33")</f>
        <v>14.33</v>
      </c>
      <c r="K14" s="724" t="s">
        <v>4154</v>
      </c>
      <c r="L14" s="724" t="s">
        <v>4349</v>
      </c>
      <c r="M14" s="724"/>
      <c r="N14" s="724" t="str">
        <f>HYPERLINK("https://youtu.be/rZW3Nzg9CsM","14.20")</f>
        <v>14.20</v>
      </c>
      <c r="O14" s="724" t="s">
        <v>4315</v>
      </c>
      <c r="P14" s="724" t="s">
        <v>2228</v>
      </c>
      <c r="Q14" s="724"/>
      <c r="R14" s="724"/>
      <c r="S14" s="724"/>
      <c r="T14" s="724" t="s">
        <v>5426</v>
      </c>
      <c r="U14" s="724"/>
      <c r="V14" s="724"/>
      <c r="W14" s="724"/>
      <c r="X14" s="724" t="s">
        <v>6339</v>
      </c>
      <c r="Y14" s="724"/>
      <c r="Z14" s="724" t="s">
        <v>6090</v>
      </c>
      <c r="AA14" s="724"/>
      <c r="AB14" s="724" t="s">
        <v>4465</v>
      </c>
      <c r="AC14" s="724"/>
      <c r="AD14" s="724"/>
      <c r="AE14" s="724"/>
      <c r="AF14" s="724" t="s">
        <v>348</v>
      </c>
      <c r="AG14" s="724"/>
      <c r="AH14" s="724"/>
      <c r="AI14" s="724" t="s">
        <v>656</v>
      </c>
      <c r="AJ14" s="724"/>
      <c r="AK14" s="724"/>
      <c r="AL14" s="724"/>
      <c r="AM14" s="724"/>
      <c r="AN14" s="724"/>
      <c r="AO14" s="724"/>
      <c r="AP14" s="724"/>
      <c r="AQ14" s="724"/>
      <c r="AR14" s="724"/>
      <c r="AS14" s="724" t="s">
        <v>3875</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2301</v>
      </c>
      <c r="L15" s="724" t="s">
        <v>1327</v>
      </c>
      <c r="M15" s="724"/>
      <c r="N15" s="724" t="str">
        <f>HYPERLINK("https://youtu.be/Kv9otnDdZKc","13.93")</f>
        <v>13.93</v>
      </c>
      <c r="O15" s="724" t="s">
        <v>1807</v>
      </c>
      <c r="P15" s="724" t="s">
        <v>1807</v>
      </c>
      <c r="Q15" s="724" t="s">
        <v>1554</v>
      </c>
      <c r="R15" s="724"/>
      <c r="S15" s="724"/>
      <c r="T15" s="724" t="s">
        <v>2574</v>
      </c>
      <c r="U15" s="724" t="s">
        <v>989</v>
      </c>
      <c r="V15" s="724"/>
      <c r="W15" s="724"/>
      <c r="X15" s="724"/>
      <c r="Y15" s="724"/>
      <c r="Z15" s="724" t="s">
        <v>1419</v>
      </c>
      <c r="AA15" s="724" t="s">
        <v>3620</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2206</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2326</v>
      </c>
      <c r="D18" s="724" t="s">
        <v>2326</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2223</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2839</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4350</v>
      </c>
      <c r="J19" s="724" t="s">
        <v>4040</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4546</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3629</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2402</v>
      </c>
      <c r="I21" s="724" t="s">
        <v>1328</v>
      </c>
      <c r="J21" s="724" t="str">
        <f>HYPERLINK("https://clips.twitch.tv/EnergeticBeautifulMallardRalpherZ","42.96")</f>
        <v>42.96</v>
      </c>
      <c r="K21" s="724" t="s">
        <v>6362</v>
      </c>
      <c r="L21" s="724" t="s">
        <v>138</v>
      </c>
      <c r="M21" s="724"/>
      <c r="N21" s="724" t="s">
        <v>1954</v>
      </c>
      <c r="O21" s="724" t="s">
        <v>1428</v>
      </c>
      <c r="P21" s="724" t="s">
        <v>3488</v>
      </c>
      <c r="Q21" s="724" t="s">
        <v>2532</v>
      </c>
      <c r="R21" s="724" t="s">
        <v>544</v>
      </c>
      <c r="S21" s="724"/>
      <c r="T21" s="724" t="s">
        <v>4572</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3611</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3992</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4424</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4279</v>
      </c>
      <c r="N27" s="724"/>
      <c r="O27" s="724" t="s">
        <v>6383</v>
      </c>
      <c r="P27" s="724" t="s">
        <v>6384</v>
      </c>
      <c r="Q27" s="724" t="s">
        <v>2534</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2778</v>
      </c>
      <c r="D29" s="724" t="s">
        <v>2778</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4080</v>
      </c>
      <c r="D30" s="724" t="s">
        <v>1821</v>
      </c>
      <c r="E30" s="724" t="s">
        <v>1444</v>
      </c>
      <c r="F30" s="724"/>
      <c r="G30" s="724"/>
      <c r="H30" s="724"/>
      <c r="I30" s="724"/>
      <c r="J30" s="724" t="s">
        <v>4771</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2173</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2314</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3643</v>
      </c>
      <c r="D32" s="724" t="s">
        <v>3643</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2173</v>
      </c>
      <c r="D33" s="724" t="s">
        <v>2993</v>
      </c>
      <c r="E33" s="724" t="s">
        <v>2173</v>
      </c>
      <c r="F33" s="724"/>
      <c r="G33" s="724"/>
      <c r="H33" s="724"/>
      <c r="I33" s="724"/>
      <c r="J33" s="724"/>
      <c r="K33" s="724"/>
      <c r="L33" s="724"/>
      <c r="M33" s="724"/>
      <c r="N33" s="724"/>
      <c r="O33" s="724" t="s">
        <v>4080</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4706</v>
      </c>
      <c r="F34" s="724"/>
      <c r="G34" s="724"/>
      <c r="H34" s="724"/>
      <c r="I34" s="724"/>
      <c r="J34" s="724"/>
      <c r="K34" s="724"/>
      <c r="L34" s="724" t="s">
        <v>3022</v>
      </c>
      <c r="M34" s="724"/>
      <c r="N34" s="724"/>
      <c r="O34" s="724" t="s">
        <v>3643</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3971</v>
      </c>
      <c r="D35" s="724" t="s">
        <v>3593</v>
      </c>
      <c r="E35" s="724" t="s">
        <v>2173</v>
      </c>
      <c r="F35" s="724"/>
      <c r="G35" s="724" t="s">
        <v>2221</v>
      </c>
      <c r="H35" s="724"/>
      <c r="I35" s="724"/>
      <c r="J35" s="724"/>
      <c r="K35" s="724"/>
      <c r="L35" s="724" t="s">
        <v>3971</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2267</v>
      </c>
      <c r="D36" s="724" t="s">
        <v>3022</v>
      </c>
      <c r="E36" s="724" t="s">
        <v>6397</v>
      </c>
      <c r="F36" s="724"/>
      <c r="G36" s="724"/>
      <c r="H36" s="724"/>
      <c r="I36" s="724"/>
      <c r="J36" s="724" t="s">
        <v>6399</v>
      </c>
      <c r="K36" s="724"/>
      <c r="L36" s="724" t="s">
        <v>2267</v>
      </c>
      <c r="M36" s="724"/>
      <c r="N36" s="724"/>
      <c r="O36" s="724" t="s">
        <v>2221</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3409</v>
      </c>
      <c r="J37" s="724" t="s">
        <v>1888</v>
      </c>
      <c r="K37" s="724" t="s">
        <v>2441</v>
      </c>
      <c r="L37" s="724" t="s">
        <v>1065</v>
      </c>
      <c r="M37" s="724" t="s">
        <v>3707</v>
      </c>
      <c r="N37" s="724"/>
      <c r="O37" s="724" t="s">
        <v>2503</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4123</v>
      </c>
      <c r="D38" s="724" t="s">
        <v>4123</v>
      </c>
      <c r="E38" s="724"/>
      <c r="F38" s="724"/>
      <c r="G38" s="724"/>
      <c r="H38" s="724"/>
      <c r="I38" s="724" t="s">
        <v>2911</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2490</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2490</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4701</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4701</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2585</v>
      </c>
      <c r="D41" s="723"/>
      <c r="E41" s="723"/>
      <c r="F41" s="723"/>
      <c r="G41" s="723"/>
      <c r="H41" s="723"/>
      <c r="I41" s="723"/>
      <c r="J41" s="740" t="s">
        <v>2585</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2224</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4744</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3200</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4788</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3150</v>
      </c>
      <c r="L49" s="724" t="s">
        <v>1976</v>
      </c>
      <c r="M49" s="724"/>
      <c r="N49" s="724" t="s">
        <v>2816</v>
      </c>
      <c r="O49" s="724" t="s">
        <v>4500</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3191</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4224</v>
      </c>
      <c r="D50" s="724" t="s">
        <v>4224</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4513</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3986</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4877</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3965</v>
      </c>
      <c r="D57" s="725"/>
      <c r="E57" s="725"/>
      <c r="F57" s="725"/>
      <c r="G57" s="725"/>
      <c r="H57" s="75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3953</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4913</v>
      </c>
      <c r="AR61" s="723" t="s">
        <v>4048</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2279</v>
      </c>
      <c r="D62" s="724" t="s">
        <v>4241</v>
      </c>
      <c r="E62" s="724" t="s">
        <v>4241</v>
      </c>
      <c r="F62" s="724"/>
      <c r="G62" s="724"/>
      <c r="H62" s="724" t="s">
        <v>566</v>
      </c>
      <c r="I62" s="724"/>
      <c r="J62" s="724"/>
      <c r="K62" s="724"/>
      <c r="L62" s="724" t="s">
        <v>6432</v>
      </c>
      <c r="M62" s="724" t="s">
        <v>3031</v>
      </c>
      <c r="N62" s="724"/>
      <c r="O62" s="724"/>
      <c r="P62" s="724"/>
      <c r="Q62" s="724"/>
      <c r="R62" s="724" t="s">
        <v>3095</v>
      </c>
      <c r="S62" s="724" t="s">
        <v>4655</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2393</v>
      </c>
      <c r="AS62" s="724"/>
      <c r="AT62" s="724"/>
      <c r="AU62" s="724"/>
      <c r="AV62" s="724"/>
      <c r="AW62" s="724"/>
      <c r="AX62" s="724"/>
      <c r="AY62" s="724"/>
      <c r="AZ62" s="724"/>
      <c r="BA62" s="724" t="s">
        <v>2279</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4169</v>
      </c>
      <c r="D64" s="724"/>
      <c r="E64" s="724"/>
      <c r="F64" s="724"/>
      <c r="G64" s="724"/>
      <c r="H64" s="724" t="s">
        <v>3539</v>
      </c>
      <c r="I64" s="724" t="s">
        <v>2162</v>
      </c>
      <c r="J64" s="724" t="s">
        <v>399</v>
      </c>
      <c r="K64" s="724"/>
      <c r="L64" s="724" t="s">
        <v>3438</v>
      </c>
      <c r="M64" s="724"/>
      <c r="N64" s="724" t="str">
        <f>HYPERLINK("https://youtu.be/1clufi5ICPo","15.10")</f>
        <v>15.10</v>
      </c>
      <c r="O64" s="724"/>
      <c r="P64" s="724" t="s">
        <v>2705</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4136</v>
      </c>
      <c r="M65" s="741"/>
      <c r="N65" s="741" t="s">
        <v>354</v>
      </c>
      <c r="O65" s="741" t="s">
        <v>2892</v>
      </c>
      <c r="P65" s="741" t="s">
        <v>1813</v>
      </c>
      <c r="Q65" s="741" t="s">
        <v>1776</v>
      </c>
      <c r="R65" s="741"/>
      <c r="S65" s="741"/>
      <c r="T65" s="741"/>
      <c r="U65" s="741" t="s">
        <v>656</v>
      </c>
      <c r="V65" s="741"/>
      <c r="W65" s="741"/>
      <c r="X65" s="741"/>
      <c r="Y65" s="741"/>
      <c r="Z65" s="741" t="s">
        <v>4169</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2276</v>
      </c>
      <c r="G67" s="724" t="s">
        <v>837</v>
      </c>
      <c r="H67" s="724" t="s">
        <v>1141</v>
      </c>
      <c r="I67" s="724" t="s">
        <v>1339</v>
      </c>
      <c r="J67" s="724" t="s">
        <v>1428</v>
      </c>
      <c r="K67" s="724" t="s">
        <v>1852</v>
      </c>
      <c r="L67" s="724" t="s">
        <v>4776</v>
      </c>
      <c r="M67" s="724"/>
      <c r="N67" s="724" t="s">
        <v>1265</v>
      </c>
      <c r="O67" s="724" t="s">
        <v>6445</v>
      </c>
      <c r="P67" s="724" t="s">
        <v>6446</v>
      </c>
      <c r="Q67" s="724" t="s">
        <v>4496</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3541</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3816</v>
      </c>
      <c r="D69" s="724" t="s">
        <v>3816</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2718</v>
      </c>
      <c r="D70" s="724" t="s">
        <v>2324</v>
      </c>
      <c r="E70" s="724" t="s">
        <v>6451</v>
      </c>
      <c r="F70" s="724"/>
      <c r="G70" s="724"/>
      <c r="H70" s="724"/>
      <c r="I70" s="724" t="s">
        <v>6452</v>
      </c>
      <c r="J70" s="724"/>
      <c r="K70" s="724" t="s">
        <v>6453</v>
      </c>
      <c r="L70" s="724"/>
      <c r="M70" s="724"/>
      <c r="N70" s="724"/>
      <c r="O70" s="724"/>
      <c r="P70" s="724"/>
      <c r="Q70" s="724" t="s">
        <v>3631</v>
      </c>
      <c r="R70" s="724" t="s">
        <v>6453</v>
      </c>
      <c r="S70" s="724"/>
      <c r="T70" s="724"/>
      <c r="U70" s="724"/>
      <c r="V70" s="724" t="s">
        <v>2718</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2842</v>
      </c>
      <c r="D71" s="754"/>
      <c r="E71" s="754"/>
      <c r="F71" s="754" t="s">
        <v>2842</v>
      </c>
      <c r="G71" s="754"/>
      <c r="H71" s="754" t="s">
        <v>1588</v>
      </c>
      <c r="I71" s="754"/>
      <c r="J71" s="754"/>
      <c r="K71" s="754" t="s">
        <v>4800</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4083</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2205</v>
      </c>
      <c r="D73" s="724" t="s">
        <v>2205</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2229</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2768</v>
      </c>
      <c r="K75" s="724"/>
      <c r="L75" s="724" t="s">
        <v>4235</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3187</v>
      </c>
      <c r="D76" s="724" t="s">
        <v>6464</v>
      </c>
      <c r="E76" s="724"/>
      <c r="F76" s="724"/>
      <c r="G76" s="724"/>
      <c r="H76" s="724"/>
      <c r="I76" s="724" t="s">
        <v>5111</v>
      </c>
      <c r="J76" s="724"/>
      <c r="K76" s="724"/>
      <c r="L76" s="724"/>
      <c r="M76" s="724"/>
      <c r="N76" s="724"/>
      <c r="O76" s="724"/>
      <c r="P76" s="724"/>
      <c r="Q76" s="724"/>
      <c r="R76" s="724"/>
      <c r="S76" s="724"/>
      <c r="T76" s="724"/>
      <c r="U76" s="724"/>
      <c r="V76" s="724"/>
      <c r="W76" s="724" t="s">
        <v>3187</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2704</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2896</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4927</v>
      </c>
      <c r="K81" s="724" t="s">
        <v>5055</v>
      </c>
      <c r="L81" s="724"/>
      <c r="M81" s="724"/>
      <c r="N81" s="724" t="str">
        <f>HYPERLINK("https://youtu.be/HjDDp_Mj_yI","16.74")</f>
        <v>16.74</v>
      </c>
      <c r="O81" s="724" t="s">
        <v>4590</v>
      </c>
      <c r="P81" s="724"/>
      <c r="Q81" s="724"/>
      <c r="R81" s="724"/>
      <c r="S81" s="724"/>
      <c r="T81" s="724" t="s">
        <v>4927</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2746</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4847</v>
      </c>
      <c r="J86" s="724" t="str">
        <f>HYPERLINK("https://youtu.be/VjOXmvP4h2s","46.37")</f>
        <v>46.37</v>
      </c>
      <c r="K86" s="724"/>
      <c r="L86" s="724" t="s">
        <v>355</v>
      </c>
      <c r="M86" s="724"/>
      <c r="N86" s="724" t="s">
        <v>3150</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2363</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4287</v>
      </c>
      <c r="K90" s="779" t="s">
        <v>2734</v>
      </c>
      <c r="L90" s="779" t="s">
        <v>3986</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4241</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4593</v>
      </c>
      <c r="J96" s="779" t="s">
        <v>6497</v>
      </c>
      <c r="K96" s="779"/>
      <c r="L96" s="779" t="s">
        <v>3105</v>
      </c>
      <c r="M96" s="779"/>
      <c r="N96" s="779" t="s">
        <v>2460</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4085</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2192</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2476</v>
      </c>
      <c r="L105" s="779" t="s">
        <v>179</v>
      </c>
      <c r="M105" s="779"/>
      <c r="N105" s="779"/>
      <c r="O105" s="779" t="s">
        <v>118</v>
      </c>
      <c r="P105" s="779" t="s">
        <v>2739</v>
      </c>
      <c r="Q105" s="779"/>
      <c r="R105" s="779"/>
      <c r="S105" s="779"/>
      <c r="T105" s="779" t="s">
        <v>3798</v>
      </c>
      <c r="U105" s="779"/>
      <c r="V105" s="779"/>
      <c r="W105" s="779"/>
      <c r="X105" s="779"/>
      <c r="Y105" s="779"/>
      <c r="Z105" s="779" t="s">
        <v>4173</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4574</v>
      </c>
      <c r="G106" s="774"/>
      <c r="H106" s="774"/>
      <c r="I106" s="774"/>
      <c r="J106" s="774" t="s">
        <v>256</v>
      </c>
      <c r="K106" s="774" t="s">
        <v>5854</v>
      </c>
      <c r="L106" s="774" t="s">
        <v>4870</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2779</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3870</v>
      </c>
      <c r="D111" s="774" t="s">
        <v>6516</v>
      </c>
      <c r="E111" s="774"/>
      <c r="F111" s="774"/>
      <c r="G111" s="774" t="s">
        <v>6516</v>
      </c>
      <c r="H111" s="774" t="s">
        <v>3870</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2738</v>
      </c>
      <c r="D113" s="779"/>
      <c r="E113" s="779"/>
      <c r="F113" s="779"/>
      <c r="G113" s="779"/>
      <c r="H113" s="779"/>
      <c r="I113" s="779" t="s">
        <v>2738</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3136</v>
      </c>
      <c r="D116" s="776"/>
      <c r="E116" s="776"/>
      <c r="F116" s="776"/>
      <c r="G116" s="776"/>
      <c r="H116" s="776" t="s">
        <v>2767</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2278</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2842</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4196</v>
      </c>
      <c r="J123" s="779"/>
      <c r="K123" s="779"/>
      <c r="L123" s="779"/>
      <c r="M123" s="779"/>
      <c r="N123" s="779"/>
      <c r="O123" s="779" t="s">
        <v>4350</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2550</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3231</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4714</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2392</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4298</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4419</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4419</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3961</v>
      </c>
      <c r="D130" s="779"/>
      <c r="E130" s="779"/>
      <c r="F130" s="779"/>
      <c r="G130" s="779"/>
      <c r="H130" s="779"/>
      <c r="I130" s="779"/>
      <c r="J130" s="779"/>
      <c r="K130" s="779"/>
      <c r="L130" s="779"/>
      <c r="M130" s="779"/>
      <c r="N130" s="779"/>
      <c r="O130" s="779" t="s">
        <v>3926</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2516</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2269</v>
      </c>
      <c r="F134" s="774"/>
      <c r="G134" s="774"/>
      <c r="H134" s="774"/>
      <c r="I134" s="774" t="s">
        <v>2767</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2406</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4910</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2720</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4907</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4867</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2239</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2558</v>
      </c>
      <c r="D152" s="779"/>
      <c r="E152" s="779"/>
      <c r="F152" s="779" t="s">
        <v>2558</v>
      </c>
      <c r="G152" s="779"/>
      <c r="H152" s="779" t="s">
        <v>2558</v>
      </c>
      <c r="I152" s="779" t="s">
        <v>3050</v>
      </c>
      <c r="J152" s="779"/>
      <c r="K152" s="779" t="s">
        <v>2798</v>
      </c>
      <c r="L152" s="779"/>
      <c r="M152" s="779"/>
      <c r="N152" s="779"/>
      <c r="O152" s="779" t="s">
        <v>3495</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2366</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2509</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4398</v>
      </c>
      <c r="H160" s="724" t="s">
        <v>2822</v>
      </c>
      <c r="I160" s="724" t="s">
        <v>6617</v>
      </c>
      <c r="J160" s="724"/>
      <c r="K160" s="724"/>
      <c r="L160" s="724"/>
      <c r="M160" s="724" t="s">
        <v>2761</v>
      </c>
      <c r="N160" s="724"/>
      <c r="O160" s="724"/>
      <c r="P160" s="724"/>
      <c r="Q160" s="724" t="s">
        <v>4012</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4682</v>
      </c>
      <c r="D163" s="724" t="s">
        <v>4682</v>
      </c>
      <c r="E163" s="724"/>
      <c r="F163" s="724" t="s">
        <v>6622</v>
      </c>
      <c r="G163" s="724"/>
      <c r="H163" s="724" t="s">
        <v>5973</v>
      </c>
      <c r="I163" s="724" t="s">
        <v>157</v>
      </c>
      <c r="J163" s="724"/>
      <c r="K163" s="724"/>
      <c r="L163" s="724" t="s">
        <v>602</v>
      </c>
      <c r="M163" s="724"/>
      <c r="N163" s="724" t="s">
        <v>2454</v>
      </c>
      <c r="O163" s="724" t="s">
        <v>351</v>
      </c>
      <c r="P163" s="724"/>
      <c r="Q163" s="724" t="s">
        <v>2563</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4208</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2809</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4255</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3884</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4789</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2346</v>
      </c>
      <c r="D174" s="816"/>
      <c r="E174" s="816"/>
      <c r="F174" s="816"/>
      <c r="G174" s="816"/>
      <c r="H174" s="816"/>
      <c r="I174" s="816"/>
      <c r="J174" s="816"/>
      <c r="K174" s="816"/>
      <c r="L174" s="816" t="s">
        <v>2346</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2565</v>
      </c>
      <c r="D175" s="816"/>
      <c r="E175" s="816"/>
      <c r="F175" s="816"/>
      <c r="G175" s="816"/>
      <c r="H175" s="816"/>
      <c r="I175" s="816" t="s">
        <v>6649</v>
      </c>
      <c r="J175" s="816"/>
      <c r="K175" s="816"/>
      <c r="L175" s="816"/>
      <c r="M175" s="816"/>
      <c r="N175" s="816" t="s">
        <v>4438</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3801</v>
      </c>
      <c r="AS176" s="816"/>
      <c r="AT176" s="816"/>
      <c r="AU176" s="816"/>
      <c r="AV176" s="816"/>
      <c r="AW176" s="816"/>
      <c r="AX176" s="816"/>
      <c r="AY176" s="816" t="s">
        <v>4479</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2509</v>
      </c>
      <c r="D181" s="816"/>
      <c r="E181" s="816"/>
      <c r="F181" s="816"/>
      <c r="G181" s="816"/>
      <c r="H181" s="816" t="s">
        <v>2934</v>
      </c>
      <c r="I181" s="816"/>
      <c r="J181" s="816"/>
      <c r="K181" s="816"/>
      <c r="L181" s="816"/>
      <c r="M181" s="816" t="s">
        <v>2509</v>
      </c>
      <c r="N181" s="816"/>
      <c r="O181" s="816"/>
      <c r="P181" s="816"/>
      <c r="Q181" s="816"/>
      <c r="R181" s="816"/>
      <c r="S181" s="816" t="s">
        <v>683</v>
      </c>
      <c r="T181" s="816"/>
      <c r="U181" s="816"/>
      <c r="V181" s="816"/>
      <c r="W181" s="816" t="s">
        <v>2509</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3181</v>
      </c>
      <c r="N183" s="816" t="s">
        <v>4549</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3416</v>
      </c>
      <c r="E188" s="741"/>
      <c r="F188" s="741"/>
      <c r="G188" s="741" t="s">
        <v>3416</v>
      </c>
      <c r="H188" s="741"/>
      <c r="I188" s="741" t="s">
        <v>6672</v>
      </c>
      <c r="J188" s="741" t="s">
        <v>6673</v>
      </c>
      <c r="K188" s="741" t="s">
        <v>3603</v>
      </c>
      <c r="L188" s="741"/>
      <c r="M188" s="741"/>
      <c r="N188" s="741" t="s">
        <v>6674</v>
      </c>
      <c r="O188" s="741"/>
      <c r="P188" s="741"/>
      <c r="Q188" s="741"/>
      <c r="R188" s="741"/>
      <c r="S188" s="741"/>
      <c r="T188" s="741" t="s">
        <v>2988</v>
      </c>
      <c r="U188" s="741"/>
      <c r="V188" s="741"/>
      <c r="W188" s="741"/>
      <c r="X188" s="741"/>
      <c r="Y188" s="741"/>
      <c r="Z188" s="741"/>
      <c r="AA188" s="741"/>
      <c r="AB188" s="741" t="s">
        <v>3908</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4772</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4603</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2749</v>
      </c>
      <c r="D190" s="724" t="s">
        <v>2749</v>
      </c>
      <c r="E190" s="724" t="s">
        <v>6675</v>
      </c>
      <c r="F190" s="724" t="s">
        <v>4662</v>
      </c>
      <c r="G190" s="724"/>
      <c r="H190" s="724"/>
      <c r="I190" s="724"/>
      <c r="J190" s="724" t="s">
        <v>1459</v>
      </c>
      <c r="K190" s="724" t="s">
        <v>6676</v>
      </c>
      <c r="L190" s="724" t="s">
        <v>6677</v>
      </c>
      <c r="M190" s="724"/>
      <c r="N190" s="724" t="s">
        <v>4404</v>
      </c>
      <c r="O190" s="724" t="s">
        <v>4068</v>
      </c>
      <c r="P190" s="724"/>
      <c r="Q190" s="724"/>
      <c r="R190" s="724" t="s">
        <v>2483</v>
      </c>
      <c r="S190" s="724"/>
      <c r="T190" s="724"/>
      <c r="U190" s="724"/>
      <c r="V190" s="724"/>
      <c r="W190" s="724"/>
      <c r="X190" s="724"/>
      <c r="Y190" s="724"/>
      <c r="Z190" s="724"/>
      <c r="AA190" s="724" t="s">
        <v>4662</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4242</v>
      </c>
      <c r="S192" s="720" t="s">
        <v>4242</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4359</v>
      </c>
      <c r="D196" s="724" t="s">
        <v>4359</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2909</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3992</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3215</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4435</v>
      </c>
      <c r="M204" s="779"/>
      <c r="N204" s="779" t="s">
        <v>4235</v>
      </c>
      <c r="O204" s="779" t="s">
        <v>1647</v>
      </c>
      <c r="P204" s="779"/>
      <c r="Q204" s="779"/>
      <c r="R204" s="779"/>
      <c r="S204" s="779" t="s">
        <v>497</v>
      </c>
      <c r="T204" s="779" t="s">
        <v>3624</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2750</v>
      </c>
      <c r="G205" s="774" t="s">
        <v>878</v>
      </c>
      <c r="H205" s="774" t="s">
        <v>2163</v>
      </c>
      <c r="I205" s="774" t="s">
        <v>3785</v>
      </c>
      <c r="J205" s="774" t="s">
        <v>1771</v>
      </c>
      <c r="K205" s="774" t="s">
        <v>2582</v>
      </c>
      <c r="L205" s="774" t="s">
        <v>1964</v>
      </c>
      <c r="M205" s="774"/>
      <c r="N205" s="774" t="s">
        <v>370</v>
      </c>
      <c r="O205" s="774" t="s">
        <v>2163</v>
      </c>
      <c r="P205" s="774" t="s">
        <v>931</v>
      </c>
      <c r="Q205" s="774"/>
      <c r="R205" s="774"/>
      <c r="S205" s="774"/>
      <c r="T205" s="774" t="s">
        <v>2269</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4026</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2910</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4472</v>
      </c>
      <c r="M215" s="835"/>
      <c r="N215" s="835"/>
      <c r="O215" s="835"/>
      <c r="P215" s="835"/>
      <c r="Q215" s="835"/>
      <c r="R215" s="837" t="s">
        <v>2558</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4023</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4142</v>
      </c>
      <c r="K220" s="779" t="s">
        <v>2128</v>
      </c>
      <c r="L220" s="779" t="s">
        <v>6732</v>
      </c>
      <c r="M220" s="779" t="s">
        <v>3632</v>
      </c>
      <c r="N220" s="779" t="s">
        <v>4122</v>
      </c>
      <c r="O220" s="779" t="s">
        <v>3191</v>
      </c>
      <c r="P220" s="779" t="s">
        <v>1774</v>
      </c>
      <c r="Q220" s="779" t="s">
        <v>1066</v>
      </c>
      <c r="R220" s="779"/>
      <c r="S220" s="779"/>
      <c r="T220" s="779" t="s">
        <v>4239</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2777</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4064</v>
      </c>
      <c r="D223" s="774" t="s">
        <v>4064</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3774</v>
      </c>
      <c r="D224" s="779"/>
      <c r="E224" s="779"/>
      <c r="F224" s="779"/>
      <c r="G224" s="779"/>
      <c r="H224" s="779"/>
      <c r="I224" s="779" t="s">
        <v>1610</v>
      </c>
      <c r="J224" s="779" t="s">
        <v>2337</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4675</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2427</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2911</v>
      </c>
      <c r="G225" s="779" t="s">
        <v>882</v>
      </c>
      <c r="H225" s="779" t="s">
        <v>2473</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4359</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2548</v>
      </c>
      <c r="E230" s="774"/>
      <c r="F230" s="774" t="s">
        <v>4612</v>
      </c>
      <c r="G230" s="774"/>
      <c r="H230" s="774" t="s">
        <v>5363</v>
      </c>
      <c r="I230" s="774"/>
      <c r="J230" s="774"/>
      <c r="K230" s="774" t="s">
        <v>5402</v>
      </c>
      <c r="L230" s="774"/>
      <c r="M230" s="774"/>
      <c r="N230" s="774" t="s">
        <v>5097</v>
      </c>
      <c r="O230" s="774" t="s">
        <v>5442</v>
      </c>
      <c r="P230" s="774"/>
      <c r="Q230" s="774"/>
      <c r="R230" s="774"/>
      <c r="S230" s="774"/>
      <c r="T230" s="774" t="s">
        <v>4094</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4085</v>
      </c>
      <c r="E231" s="774"/>
      <c r="F231" s="774"/>
      <c r="G231" s="774"/>
      <c r="H231" s="774" t="s">
        <v>2929</v>
      </c>
      <c r="I231" s="774"/>
      <c r="J231" s="774" t="str">
        <f>HYPERLINK("https://youtu.be/yGR2akJEjQQ","19.18")</f>
        <v>19.18</v>
      </c>
      <c r="K231" s="774"/>
      <c r="L231" s="774"/>
      <c r="M231" s="774" t="s">
        <v>2341</v>
      </c>
      <c r="N231" s="774"/>
      <c r="O231" s="774"/>
      <c r="P231" s="774"/>
      <c r="Q231" s="774"/>
      <c r="R231" s="774" t="s">
        <v>2860</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2190</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4879</v>
      </c>
      <c r="D234" s="779"/>
      <c r="E234" s="779"/>
      <c r="F234" s="779"/>
      <c r="G234" s="779"/>
      <c r="H234" s="800" t="s">
        <v>4879</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3159</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4415</v>
      </c>
      <c r="D241" s="779"/>
      <c r="E241" s="779"/>
      <c r="F241" s="779"/>
      <c r="G241" s="779"/>
      <c r="H241" s="779"/>
      <c r="I241" s="779"/>
      <c r="J241" s="779" t="str">
        <f>HYPERLINK("https://youtu.be/K8Egs0-qumI","48.41")</f>
        <v>48.41</v>
      </c>
      <c r="K241" s="779"/>
      <c r="L241" s="779"/>
      <c r="M241" s="779" t="s">
        <v>4415</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4415</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2913</v>
      </c>
      <c r="I245" s="774"/>
      <c r="J245" s="774"/>
      <c r="K245" s="774"/>
      <c r="L245" s="774"/>
      <c r="M245" s="774"/>
      <c r="N245" s="774"/>
      <c r="O245" s="774"/>
      <c r="P245" s="774"/>
      <c r="Q245" s="774"/>
      <c r="R245" s="774" t="s">
        <v>4450</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2207</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2319</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3159</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4177</v>
      </c>
      <c r="D253" s="774" t="s">
        <v>3988</v>
      </c>
      <c r="E253" s="774" t="s">
        <v>6779</v>
      </c>
      <c r="F253" s="774"/>
      <c r="G253" s="774" t="s">
        <v>6780</v>
      </c>
      <c r="H253" s="774"/>
      <c r="I253" s="774" t="s">
        <v>6781</v>
      </c>
      <c r="J253" s="774" t="str">
        <f>HYPERLINK("https://youtu.be/fNmQmNF7N9I","46.93")</f>
        <v>46.93</v>
      </c>
      <c r="K253" s="774"/>
      <c r="L253" s="774" t="s">
        <v>4177</v>
      </c>
      <c r="M253" s="774" t="s">
        <v>6760</v>
      </c>
      <c r="N253" s="774"/>
      <c r="O253" s="774" t="s">
        <v>528</v>
      </c>
      <c r="P253" s="774"/>
      <c r="Q253" s="774" t="s">
        <v>3694</v>
      </c>
      <c r="R253" s="774" t="s">
        <v>4156</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3680</v>
      </c>
      <c r="D254" s="774" t="s">
        <v>3160</v>
      </c>
      <c r="E254" s="774" t="s">
        <v>1616</v>
      </c>
      <c r="F254" s="774" t="s">
        <v>3629</v>
      </c>
      <c r="G254" s="774" t="s">
        <v>3876</v>
      </c>
      <c r="H254" s="774"/>
      <c r="I254" s="774" t="s">
        <v>6788</v>
      </c>
      <c r="J254" s="774" t="str">
        <f>HYPERLINK(" https://youtu.be/dsDcBzsPA5s","45.74")</f>
        <v>45.74</v>
      </c>
      <c r="K254" s="774" t="s">
        <v>3203</v>
      </c>
      <c r="L254" s="774" t="s">
        <v>3680</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6762</v>
      </c>
      <c r="O255" s="774" t="s">
        <v>6760</v>
      </c>
      <c r="P255" s="774" t="s">
        <v>1990</v>
      </c>
      <c r="Q255" s="774" t="s">
        <v>424</v>
      </c>
      <c r="R255" s="774" t="s">
        <v>610</v>
      </c>
      <c r="S255" s="774"/>
      <c r="T255" s="774"/>
      <c r="U255" s="774"/>
      <c r="V255" s="774"/>
      <c r="W255" s="774" t="s">
        <v>1305</v>
      </c>
      <c r="X255" s="774"/>
      <c r="Y255" s="774"/>
      <c r="Z255" s="774" t="s">
        <v>4153</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4413</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2772</v>
      </c>
      <c r="E258" s="774"/>
      <c r="F258" s="774" t="s">
        <v>5594</v>
      </c>
      <c r="G258" s="774" t="s">
        <v>6796</v>
      </c>
      <c r="H258" s="774" t="s">
        <v>5594</v>
      </c>
      <c r="I258" s="774" t="s">
        <v>5545</v>
      </c>
      <c r="J258" s="774"/>
      <c r="K258" s="774"/>
      <c r="L258" s="774" t="s">
        <v>5097</v>
      </c>
      <c r="M258" s="774" t="s">
        <v>5594</v>
      </c>
      <c r="N258" s="774"/>
      <c r="O258" s="774"/>
      <c r="P258" s="774"/>
      <c r="Q258" s="774"/>
      <c r="R258" s="774" t="s">
        <v>4612</v>
      </c>
      <c r="S258" s="774" t="s">
        <v>5994</v>
      </c>
      <c r="T258" s="774"/>
      <c r="U258" s="774"/>
      <c r="V258" s="774" t="s">
        <v>6797</v>
      </c>
      <c r="W258" s="774"/>
      <c r="X258" s="774" t="s">
        <v>4015</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4233</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4046</v>
      </c>
      <c r="D261" s="800" t="s">
        <v>4111</v>
      </c>
      <c r="E261" s="801"/>
      <c r="F261" s="801"/>
      <c r="G261" s="801"/>
      <c r="H261" s="800" t="s">
        <v>4046</v>
      </c>
      <c r="I261" s="800" t="s">
        <v>3582</v>
      </c>
      <c r="J261" s="801"/>
      <c r="K261" s="801" t="s">
        <v>6807</v>
      </c>
      <c r="L261" s="801"/>
      <c r="M261" s="801"/>
      <c r="N261" s="801" t="s">
        <v>4337</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4254</v>
      </c>
      <c r="D262" s="774" t="s">
        <v>2741</v>
      </c>
      <c r="E262" s="774"/>
      <c r="F262" s="774"/>
      <c r="G262" s="774"/>
      <c r="H262" s="774" t="s">
        <v>1272</v>
      </c>
      <c r="I262" s="774"/>
      <c r="J262" s="774"/>
      <c r="K262" s="774" t="s">
        <v>5101</v>
      </c>
      <c r="L262" s="774"/>
      <c r="M262" s="774" t="s">
        <v>4254</v>
      </c>
      <c r="N262" s="774"/>
      <c r="O262" s="774"/>
      <c r="P262" s="774" t="s">
        <v>2584</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4004</v>
      </c>
      <c r="D265" s="779"/>
      <c r="E265" s="779"/>
      <c r="F265" s="779"/>
      <c r="G265" s="779"/>
      <c r="H265" s="779"/>
      <c r="I265" s="779" t="s">
        <v>1557</v>
      </c>
      <c r="J265" s="779" t="s">
        <v>4004</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4660</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4677</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4280</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2169</v>
      </c>
      <c r="D272" s="774" t="s">
        <v>4176</v>
      </c>
      <c r="E272" s="774"/>
      <c r="F272" s="774" t="s">
        <v>2169</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3156</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4091</v>
      </c>
      <c r="D273" s="774" t="s">
        <v>4091</v>
      </c>
      <c r="E273" s="774"/>
      <c r="F273" s="774"/>
      <c r="G273" s="774"/>
      <c r="H273" s="774"/>
      <c r="I273" s="774"/>
      <c r="J273" s="774"/>
      <c r="K273" s="774" t="s">
        <v>6541</v>
      </c>
      <c r="L273" s="774"/>
      <c r="M273" s="774"/>
      <c r="N273" s="774"/>
      <c r="O273" s="774" t="s">
        <v>2291</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2558</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4736</v>
      </c>
      <c r="D285" s="779"/>
      <c r="E285" s="779"/>
      <c r="F285" s="779"/>
      <c r="G285" s="779" t="s">
        <v>901</v>
      </c>
      <c r="H285" s="779" t="s">
        <v>523</v>
      </c>
      <c r="I285" s="779" t="s">
        <v>200</v>
      </c>
      <c r="J285" s="779" t="str">
        <f>HYPERLINK("https://youtu.be/sgOTHqRQcwI","23.00")</f>
        <v>23.00</v>
      </c>
      <c r="K285" s="779" t="s">
        <v>529</v>
      </c>
      <c r="L285" s="779" t="s">
        <v>4736</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4460</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3539</v>
      </c>
      <c r="D296" s="877" t="s">
        <v>4012</v>
      </c>
      <c r="E296" s="877" t="s">
        <v>6358</v>
      </c>
      <c r="F296" s="877"/>
      <c r="G296" s="877"/>
      <c r="H296" s="877"/>
      <c r="I296" s="877"/>
      <c r="J296" s="877" t="s">
        <v>3539</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3159</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2855</v>
      </c>
      <c r="D308" s="800" t="s">
        <v>5170</v>
      </c>
      <c r="E308" s="801"/>
      <c r="F308" s="801"/>
      <c r="G308" s="801"/>
      <c r="H308" s="801" t="s">
        <v>2048</v>
      </c>
      <c r="I308" s="801"/>
      <c r="J308" s="801"/>
      <c r="K308" s="801"/>
      <c r="L308" s="801"/>
      <c r="M308" s="800" t="s">
        <v>2855</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4384</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2309</v>
      </c>
      <c r="D311" s="879" t="s">
        <v>1700</v>
      </c>
      <c r="E311" s="879" t="s">
        <v>4700</v>
      </c>
      <c r="F311" s="880"/>
      <c r="G311" s="879" t="s">
        <v>3156</v>
      </c>
      <c r="H311" s="879" t="s">
        <v>2309</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4332</v>
      </c>
      <c r="D314" s="800" t="s">
        <v>4332</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4362</v>
      </c>
      <c r="D315" s="800" t="s">
        <v>4362</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3893</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3930</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4595</v>
      </c>
      <c r="D322" s="800" t="s">
        <v>4595</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4385</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4518</v>
      </c>
      <c r="D326" s="800" t="s">
        <v>6018</v>
      </c>
      <c r="E326" s="801"/>
      <c r="F326" s="801"/>
      <c r="G326" s="801"/>
      <c r="H326" s="801"/>
      <c r="I326" s="801"/>
      <c r="J326" s="801"/>
      <c r="K326" s="801"/>
      <c r="L326" s="801"/>
      <c r="M326" s="801"/>
      <c r="N326" s="801"/>
      <c r="O326" s="801"/>
      <c r="P326" s="801"/>
      <c r="Q326" s="801"/>
      <c r="R326" s="801"/>
      <c r="S326" s="801"/>
      <c r="T326" s="801"/>
      <c r="U326" s="801"/>
      <c r="V326" s="800" t="s">
        <v>4518</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3158</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3158</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4079</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4351</v>
      </c>
      <c r="AA4" s="934" t="s">
        <v>5490</v>
      </c>
      <c r="AB4" s="934" t="s">
        <v>788</v>
      </c>
      <c r="AC4" s="935" t="s">
        <v>2801</v>
      </c>
      <c r="AD4" s="935" t="s">
        <v>1210</v>
      </c>
      <c r="AE4" s="934" t="s">
        <v>5479</v>
      </c>
      <c r="AF4" s="936"/>
      <c r="AG4" s="935" t="s">
        <v>6948</v>
      </c>
      <c r="AH4" s="937"/>
      <c r="AI4" s="926"/>
      <c r="AJ4" s="938"/>
      <c r="AK4" s="938" t="s">
        <v>3834</v>
      </c>
      <c r="AL4" s="939"/>
      <c r="AM4" s="938" t="s">
        <v>175</v>
      </c>
      <c r="AN4" s="938"/>
      <c r="AO4" s="940" t="s">
        <v>2309</v>
      </c>
      <c r="AP4" s="939"/>
      <c r="AQ4" s="941" t="s">
        <v>6949</v>
      </c>
      <c r="AR4" s="938" t="s">
        <v>6950</v>
      </c>
      <c r="AS4" s="938" t="s">
        <v>6951</v>
      </c>
      <c r="AT4" s="939"/>
      <c r="AU4" s="939"/>
      <c r="AV4" s="939"/>
      <c r="AW4" s="942" t="s">
        <v>5941</v>
      </c>
      <c r="AX4" s="943" t="s">
        <v>3476</v>
      </c>
      <c r="AY4" s="938" t="s">
        <v>6952</v>
      </c>
      <c r="AZ4" s="926"/>
      <c r="BA4" s="944"/>
      <c r="BB4" s="945" t="s">
        <v>6953</v>
      </c>
      <c r="BC4" s="946" t="s">
        <v>6954</v>
      </c>
      <c r="BD4" s="944"/>
      <c r="BE4" s="947" t="s">
        <v>6955</v>
      </c>
      <c r="BF4" s="926"/>
      <c r="BG4" s="948" t="s">
        <v>6956</v>
      </c>
      <c r="BH4" s="949" t="s">
        <v>3180</v>
      </c>
      <c r="BI4" s="949"/>
      <c r="BJ4" s="949"/>
      <c r="BK4" s="950" t="s">
        <v>1902</v>
      </c>
      <c r="BL4" s="951"/>
      <c r="BM4" s="949" t="s">
        <v>6957</v>
      </c>
      <c r="BN4" s="926"/>
      <c r="BO4" s="952" t="s">
        <v>6958</v>
      </c>
      <c r="BP4" s="953"/>
      <c r="BQ4" s="953"/>
      <c r="BR4" s="954" t="s">
        <v>6959</v>
      </c>
      <c r="BS4" s="953"/>
      <c r="BT4" s="955" t="s">
        <v>1784</v>
      </c>
      <c r="BU4" s="953"/>
      <c r="BV4" s="956" t="s">
        <v>3608</v>
      </c>
      <c r="BW4" s="955" t="s">
        <v>5933</v>
      </c>
      <c r="BX4" s="926"/>
      <c r="BY4" s="957" t="s">
        <v>2672</v>
      </c>
      <c r="BZ4" s="958" t="s">
        <v>4039</v>
      </c>
      <c r="CA4" s="959"/>
      <c r="CB4" s="959"/>
      <c r="CC4" s="959"/>
      <c r="CD4" s="958" t="s">
        <v>1305</v>
      </c>
      <c r="CE4" s="960" t="s">
        <v>4585</v>
      </c>
      <c r="CF4" s="958" t="s">
        <v>6960</v>
      </c>
      <c r="CG4" s="959"/>
      <c r="CH4" s="959"/>
      <c r="CI4" s="959"/>
      <c r="CJ4" s="959"/>
      <c r="CK4" s="959"/>
    </row>
    <row r="5">
      <c r="A5" s="961" t="s">
        <v>430</v>
      </c>
      <c r="B5" s="917" t="s">
        <v>6961</v>
      </c>
      <c r="C5" s="918" t="s">
        <v>432</v>
      </c>
      <c r="D5" s="919" t="s">
        <v>433</v>
      </c>
      <c r="E5" s="920" t="s">
        <v>330</v>
      </c>
      <c r="F5" s="921" t="s">
        <v>3814</v>
      </c>
      <c r="G5" s="917" t="s">
        <v>1497</v>
      </c>
      <c r="H5" s="962" t="s">
        <v>1882</v>
      </c>
      <c r="I5" s="963" t="s">
        <v>2904</v>
      </c>
      <c r="J5" s="925" t="s">
        <v>6962</v>
      </c>
      <c r="K5" s="964" t="s">
        <v>5696</v>
      </c>
      <c r="L5" s="962" t="s">
        <v>5366</v>
      </c>
      <c r="M5" s="922"/>
      <c r="N5" s="922"/>
      <c r="O5" s="924" t="s">
        <v>6963</v>
      </c>
      <c r="P5" s="965"/>
      <c r="Q5" s="966" t="s">
        <v>6964</v>
      </c>
      <c r="R5" s="966" t="s">
        <v>2673</v>
      </c>
      <c r="S5" s="928"/>
      <c r="T5" s="967" t="s">
        <v>230</v>
      </c>
      <c r="U5" s="968"/>
      <c r="V5" s="929" t="s">
        <v>6965</v>
      </c>
      <c r="W5" s="965"/>
      <c r="X5" s="969" t="s">
        <v>3446</v>
      </c>
      <c r="Y5" s="969" t="s">
        <v>6966</v>
      </c>
      <c r="Z5" s="969" t="s">
        <v>2545</v>
      </c>
      <c r="AA5" s="970" t="s">
        <v>6967</v>
      </c>
      <c r="AB5" s="932" t="s">
        <v>1341</v>
      </c>
      <c r="AC5" s="970" t="s">
        <v>1158</v>
      </c>
      <c r="AD5" s="935" t="s">
        <v>1210</v>
      </c>
      <c r="AE5" s="935" t="s">
        <v>5232</v>
      </c>
      <c r="AF5" s="971"/>
      <c r="AG5" s="972" t="s">
        <v>6968</v>
      </c>
      <c r="AH5" s="937"/>
      <c r="AI5" s="973"/>
      <c r="AJ5" s="938"/>
      <c r="AK5" s="938" t="s">
        <v>6969</v>
      </c>
      <c r="AL5" s="939"/>
      <c r="AM5" s="974" t="s">
        <v>3451</v>
      </c>
      <c r="AN5" s="975" t="s">
        <v>3188</v>
      </c>
      <c r="AO5" s="938" t="s">
        <v>6970</v>
      </c>
      <c r="AP5" s="974" t="s">
        <v>2421</v>
      </c>
      <c r="AQ5" s="976" t="s">
        <v>6971</v>
      </c>
      <c r="AR5" s="938" t="s">
        <v>6972</v>
      </c>
      <c r="AS5" s="939"/>
      <c r="AT5" s="940" t="s">
        <v>4756</v>
      </c>
      <c r="AU5" s="939"/>
      <c r="AV5" s="939"/>
      <c r="AW5" s="943" t="s">
        <v>4879</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4192</v>
      </c>
      <c r="BP5" s="954"/>
      <c r="BQ5" s="983" t="s">
        <v>159</v>
      </c>
      <c r="BR5" s="954" t="s">
        <v>6978</v>
      </c>
      <c r="BS5" s="953"/>
      <c r="BT5" s="983" t="s">
        <v>6979</v>
      </c>
      <c r="BU5" s="953"/>
      <c r="BV5" s="954" t="s">
        <v>6980</v>
      </c>
      <c r="BW5" s="954" t="s">
        <v>2118</v>
      </c>
      <c r="BX5" s="965"/>
      <c r="BY5" s="984" t="s">
        <v>298</v>
      </c>
      <c r="BZ5" s="958" t="s">
        <v>3183</v>
      </c>
      <c r="CA5" s="985"/>
      <c r="CB5" s="985"/>
      <c r="CC5" s="985"/>
      <c r="CD5" s="959"/>
      <c r="CE5" s="959"/>
      <c r="CF5" s="959"/>
      <c r="CG5" s="959"/>
      <c r="CH5" s="959"/>
      <c r="CI5" s="959"/>
      <c r="CJ5" s="985"/>
      <c r="CK5" s="985"/>
    </row>
    <row r="6">
      <c r="A6" s="916" t="s">
        <v>6981</v>
      </c>
      <c r="B6" s="917" t="s">
        <v>6982</v>
      </c>
      <c r="C6" s="918" t="s">
        <v>2687</v>
      </c>
      <c r="D6" s="919" t="s">
        <v>330</v>
      </c>
      <c r="E6" s="920" t="s">
        <v>736</v>
      </c>
      <c r="F6" s="921" t="s">
        <v>2885</v>
      </c>
      <c r="G6" s="917" t="s">
        <v>2007</v>
      </c>
      <c r="H6" s="924" t="s">
        <v>2816</v>
      </c>
      <c r="I6" s="922"/>
      <c r="J6" s="963" t="s">
        <v>1883</v>
      </c>
      <c r="K6" s="986" t="s">
        <v>6983</v>
      </c>
      <c r="L6" s="963" t="s">
        <v>6984</v>
      </c>
      <c r="M6" s="987" t="s">
        <v>4752</v>
      </c>
      <c r="N6" s="922"/>
      <c r="O6" s="988" t="s">
        <v>6985</v>
      </c>
      <c r="P6" s="965"/>
      <c r="Q6" s="967" t="s">
        <v>6986</v>
      </c>
      <c r="R6" s="931" t="s">
        <v>1564</v>
      </c>
      <c r="S6" s="927" t="s">
        <v>4967</v>
      </c>
      <c r="T6" s="927" t="s">
        <v>5493</v>
      </c>
      <c r="U6" s="927"/>
      <c r="V6" s="935" t="s">
        <v>6987</v>
      </c>
      <c r="W6" s="965"/>
      <c r="X6" s="931" t="s">
        <v>2302</v>
      </c>
      <c r="Y6" s="935" t="s">
        <v>6988</v>
      </c>
      <c r="Z6" s="935" t="s">
        <v>6989</v>
      </c>
      <c r="AA6" s="933" t="s">
        <v>4876</v>
      </c>
      <c r="AB6" s="933" t="s">
        <v>6990</v>
      </c>
      <c r="AC6" s="932" t="s">
        <v>2681</v>
      </c>
      <c r="AD6" s="969" t="s">
        <v>4085</v>
      </c>
      <c r="AE6" s="969" t="s">
        <v>2480</v>
      </c>
      <c r="AF6" s="936"/>
      <c r="AG6" s="933" t="s">
        <v>6991</v>
      </c>
      <c r="AH6" s="937"/>
      <c r="AI6" s="973"/>
      <c r="AJ6" s="938"/>
      <c r="AK6" s="939"/>
      <c r="AL6" s="939"/>
      <c r="AM6" s="975" t="s">
        <v>1201</v>
      </c>
      <c r="AN6" s="938"/>
      <c r="AO6" s="939"/>
      <c r="AP6" s="940" t="s">
        <v>833</v>
      </c>
      <c r="AQ6" s="939"/>
      <c r="AR6" s="939"/>
      <c r="AS6" s="939"/>
      <c r="AT6" s="974"/>
      <c r="AU6" s="939"/>
      <c r="AV6" s="939"/>
      <c r="AW6" s="943" t="s">
        <v>4590</v>
      </c>
      <c r="AX6" s="940" t="s">
        <v>1590</v>
      </c>
      <c r="AY6" s="940" t="s">
        <v>2153</v>
      </c>
      <c r="AZ6" s="926"/>
      <c r="BA6" s="940" t="s">
        <v>6992</v>
      </c>
      <c r="BB6" s="946" t="s">
        <v>6993</v>
      </c>
      <c r="BC6" s="989" t="s">
        <v>290</v>
      </c>
      <c r="BD6" s="945" t="s">
        <v>4089</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5266</v>
      </c>
      <c r="BU6" s="956" t="s">
        <v>2785</v>
      </c>
      <c r="BV6" s="954"/>
      <c r="BW6" s="955" t="s">
        <v>7000</v>
      </c>
      <c r="BX6" s="965"/>
      <c r="BY6" s="995" t="s">
        <v>2374</v>
      </c>
      <c r="BZ6" s="996" t="s">
        <v>7001</v>
      </c>
      <c r="CA6" s="997" t="s">
        <v>7002</v>
      </c>
      <c r="CB6" s="985"/>
      <c r="CC6" s="998"/>
      <c r="CD6" s="997" t="s">
        <v>7003</v>
      </c>
      <c r="CE6" s="999" t="s">
        <v>7004</v>
      </c>
      <c r="CF6" s="997" t="s">
        <v>7005</v>
      </c>
      <c r="CG6" s="984" t="s">
        <v>5006</v>
      </c>
      <c r="CH6" s="957" t="s">
        <v>7006</v>
      </c>
      <c r="CI6" s="959"/>
      <c r="CJ6" s="997" t="s">
        <v>2163</v>
      </c>
      <c r="CK6" s="997" t="s">
        <v>3641</v>
      </c>
    </row>
    <row r="7">
      <c r="A7" s="1000" t="s">
        <v>1723</v>
      </c>
      <c r="B7" s="917" t="s">
        <v>7007</v>
      </c>
      <c r="C7" s="918" t="s">
        <v>824</v>
      </c>
      <c r="D7" s="919" t="s">
        <v>433</v>
      </c>
      <c r="E7" s="920" t="s">
        <v>640</v>
      </c>
      <c r="F7" s="921" t="s">
        <v>2756</v>
      </c>
      <c r="G7" s="917" t="s">
        <v>7008</v>
      </c>
      <c r="H7" s="962" t="s">
        <v>1361</v>
      </c>
      <c r="I7" s="987" t="s">
        <v>7009</v>
      </c>
      <c r="J7" s="922"/>
      <c r="K7" s="923" t="s">
        <v>7010</v>
      </c>
      <c r="L7" s="987" t="s">
        <v>1792</v>
      </c>
      <c r="M7" s="922"/>
      <c r="N7" s="924" t="s">
        <v>7011</v>
      </c>
      <c r="O7" s="922"/>
      <c r="P7" s="965"/>
      <c r="Q7" s="927" t="s">
        <v>3994</v>
      </c>
      <c r="R7" s="967" t="s">
        <v>3000</v>
      </c>
      <c r="S7" s="968" t="s">
        <v>5680</v>
      </c>
      <c r="T7" s="1001" t="s">
        <v>5208</v>
      </c>
      <c r="U7" s="1001" t="s">
        <v>7012</v>
      </c>
      <c r="V7" s="966" t="s">
        <v>7013</v>
      </c>
      <c r="W7" s="965"/>
      <c r="X7" s="970" t="s">
        <v>837</v>
      </c>
      <c r="Y7" s="970" t="s">
        <v>7014</v>
      </c>
      <c r="Z7" s="969" t="s">
        <v>1744</v>
      </c>
      <c r="AA7" s="1002" t="s">
        <v>4716</v>
      </c>
      <c r="AB7" s="932" t="s">
        <v>4788</v>
      </c>
      <c r="AC7" s="932" t="s">
        <v>4942</v>
      </c>
      <c r="AD7" s="970" t="s">
        <v>4793</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3200</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2600</v>
      </c>
      <c r="CA7" s="985"/>
      <c r="CB7" s="1010" t="s">
        <v>2327</v>
      </c>
      <c r="CC7" s="1010"/>
      <c r="CD7" s="958" t="s">
        <v>2774</v>
      </c>
      <c r="CE7" s="1011" t="s">
        <v>7035</v>
      </c>
      <c r="CF7" s="1011" t="s">
        <v>7036</v>
      </c>
      <c r="CG7" s="995" t="s">
        <v>7037</v>
      </c>
      <c r="CH7" s="997" t="s">
        <v>7038</v>
      </c>
      <c r="CI7" s="997" t="s">
        <v>3343</v>
      </c>
      <c r="CJ7" s="995" t="s">
        <v>4886</v>
      </c>
      <c r="CK7" s="985"/>
    </row>
    <row r="8">
      <c r="A8" s="1012" t="s">
        <v>7039</v>
      </c>
      <c r="B8" s="1013" t="s">
        <v>7040</v>
      </c>
      <c r="C8" s="918" t="s">
        <v>824</v>
      </c>
      <c r="D8" s="919" t="s">
        <v>330</v>
      </c>
      <c r="E8" s="920" t="s">
        <v>2919</v>
      </c>
      <c r="F8" s="921" t="s">
        <v>4539</v>
      </c>
      <c r="G8" s="917" t="s">
        <v>3639</v>
      </c>
      <c r="H8" s="1014" t="s">
        <v>6757</v>
      </c>
      <c r="I8" s="962" t="s">
        <v>7041</v>
      </c>
      <c r="J8" s="1014" t="s">
        <v>3296</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4142</v>
      </c>
      <c r="AC8" s="969" t="s">
        <v>5554</v>
      </c>
      <c r="AD8" s="969" t="s">
        <v>128</v>
      </c>
      <c r="AE8" s="969" t="s">
        <v>7052</v>
      </c>
      <c r="AF8" s="936"/>
      <c r="AG8" s="972" t="s">
        <v>7053</v>
      </c>
      <c r="AH8" s="1016" t="s">
        <v>7054</v>
      </c>
      <c r="AI8" s="965"/>
      <c r="AJ8" s="1017"/>
      <c r="AK8" s="975" t="s">
        <v>826</v>
      </c>
      <c r="AL8" s="976" t="s">
        <v>7055</v>
      </c>
      <c r="AM8" s="943" t="s">
        <v>2179</v>
      </c>
      <c r="AN8" s="938" t="s">
        <v>4532</v>
      </c>
      <c r="AO8" s="938" t="s">
        <v>7056</v>
      </c>
      <c r="AP8" s="943" t="s">
        <v>7057</v>
      </c>
      <c r="AQ8" s="938" t="s">
        <v>7058</v>
      </c>
      <c r="AR8" s="975" t="s">
        <v>7059</v>
      </c>
      <c r="AS8" s="943" t="s">
        <v>7060</v>
      </c>
      <c r="AT8" s="976" t="s">
        <v>7061</v>
      </c>
      <c r="AU8" s="940" t="s">
        <v>7062</v>
      </c>
      <c r="AV8" s="976" t="s">
        <v>7063</v>
      </c>
      <c r="AW8" s="943" t="s">
        <v>3023</v>
      </c>
      <c r="AX8" s="976" t="s">
        <v>7064</v>
      </c>
      <c r="AY8" s="976" t="s">
        <v>7065</v>
      </c>
      <c r="AZ8" s="926"/>
      <c r="BA8" s="947" t="s">
        <v>7066</v>
      </c>
      <c r="BB8" s="978" t="s">
        <v>7067</v>
      </c>
      <c r="BC8" s="1018" t="s">
        <v>3459</v>
      </c>
      <c r="BD8" s="1019"/>
      <c r="BE8" s="946" t="s">
        <v>7068</v>
      </c>
      <c r="BF8" s="926"/>
      <c r="BG8" s="991" t="s">
        <v>7069</v>
      </c>
      <c r="BH8" s="1020" t="s">
        <v>3201</v>
      </c>
      <c r="BI8" s="948" t="s">
        <v>603</v>
      </c>
      <c r="BJ8" s="949" t="s">
        <v>7070</v>
      </c>
      <c r="BK8" s="948" t="s">
        <v>7071</v>
      </c>
      <c r="BL8" s="948" t="s">
        <v>7072</v>
      </c>
      <c r="BM8" s="948" t="s">
        <v>7073</v>
      </c>
      <c r="BN8" s="965"/>
      <c r="BO8" s="955" t="s">
        <v>2421</v>
      </c>
      <c r="BP8" s="956" t="s">
        <v>5595</v>
      </c>
      <c r="BQ8" s="955" t="s">
        <v>6651</v>
      </c>
      <c r="BR8" s="955" t="s">
        <v>3925</v>
      </c>
      <c r="BS8" s="955" t="s">
        <v>812</v>
      </c>
      <c r="BT8" s="955" t="s">
        <v>1277</v>
      </c>
      <c r="BU8" s="983" t="s">
        <v>3925</v>
      </c>
      <c r="BV8" s="982" t="s">
        <v>7074</v>
      </c>
      <c r="BW8" s="955" t="s">
        <v>7075</v>
      </c>
      <c r="BX8" s="965"/>
      <c r="BY8" s="984" t="s">
        <v>7076</v>
      </c>
      <c r="BZ8" s="995" t="s">
        <v>5061</v>
      </c>
      <c r="CA8" s="1011" t="s">
        <v>105</v>
      </c>
      <c r="CB8" s="995" t="s">
        <v>7077</v>
      </c>
      <c r="CC8" s="995"/>
      <c r="CD8" s="1021"/>
      <c r="CE8" s="984" t="s">
        <v>2681</v>
      </c>
      <c r="CF8" s="984" t="s">
        <v>6717</v>
      </c>
      <c r="CG8" s="984" t="s">
        <v>7078</v>
      </c>
      <c r="CH8" s="984" t="s">
        <v>2194</v>
      </c>
      <c r="CI8" s="1011" t="s">
        <v>7079</v>
      </c>
      <c r="CJ8" s="1011" t="s">
        <v>3753</v>
      </c>
      <c r="CK8" s="995"/>
    </row>
    <row r="9">
      <c r="A9" s="961" t="s">
        <v>1412</v>
      </c>
      <c r="B9" s="917" t="s">
        <v>7080</v>
      </c>
      <c r="C9" s="918" t="s">
        <v>432</v>
      </c>
      <c r="D9" s="919" t="s">
        <v>538</v>
      </c>
      <c r="E9" s="920" t="s">
        <v>640</v>
      </c>
      <c r="F9" s="921" t="s">
        <v>5923</v>
      </c>
      <c r="G9" s="917" t="s">
        <v>1641</v>
      </c>
      <c r="H9" s="922"/>
      <c r="I9" s="962" t="s">
        <v>7081</v>
      </c>
      <c r="J9" s="964"/>
      <c r="K9" s="963" t="s">
        <v>7082</v>
      </c>
      <c r="L9" s="1014" t="s">
        <v>2916</v>
      </c>
      <c r="M9" s="922"/>
      <c r="N9" s="922"/>
      <c r="O9" s="987" t="s">
        <v>7083</v>
      </c>
      <c r="P9" s="965"/>
      <c r="Q9" s="931" t="s">
        <v>6565</v>
      </c>
      <c r="R9" s="928"/>
      <c r="S9" s="928"/>
      <c r="T9" s="1022" t="s">
        <v>5720</v>
      </c>
      <c r="U9" s="927"/>
      <c r="V9" s="1001" t="s">
        <v>7084</v>
      </c>
      <c r="W9" s="965"/>
      <c r="X9" s="969" t="s">
        <v>583</v>
      </c>
      <c r="Y9" s="1023" t="s">
        <v>6488</v>
      </c>
      <c r="Z9" s="970" t="s">
        <v>3125</v>
      </c>
      <c r="AA9" s="970" t="s">
        <v>5401</v>
      </c>
      <c r="AB9" s="969" t="s">
        <v>4013</v>
      </c>
      <c r="AC9" s="970" t="s">
        <v>7085</v>
      </c>
      <c r="AD9" s="1024" t="s">
        <v>2341</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3783</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4340</v>
      </c>
      <c r="CE9" s="959"/>
      <c r="CF9" s="995" t="s">
        <v>7102</v>
      </c>
      <c r="CG9" s="1010" t="s">
        <v>2590</v>
      </c>
      <c r="CH9" s="959"/>
      <c r="CI9" s="959"/>
      <c r="CJ9" s="985"/>
      <c r="CK9" s="985"/>
    </row>
    <row r="10">
      <c r="A10" s="1033" t="s">
        <v>909</v>
      </c>
      <c r="B10" s="917" t="s">
        <v>7080</v>
      </c>
      <c r="C10" s="918" t="s">
        <v>1195</v>
      </c>
      <c r="D10" s="919" t="s">
        <v>640</v>
      </c>
      <c r="E10" s="920" t="s">
        <v>538</v>
      </c>
      <c r="F10" s="921" t="s">
        <v>5634</v>
      </c>
      <c r="G10" s="917" t="s">
        <v>2814</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3746</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3820</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2748</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2717</v>
      </c>
      <c r="AD11" s="969" t="s">
        <v>2318</v>
      </c>
      <c r="AE11" s="933" t="s">
        <v>1243</v>
      </c>
      <c r="AF11" s="971"/>
      <c r="AG11" s="1023" t="s">
        <v>7133</v>
      </c>
      <c r="AH11" s="937"/>
      <c r="AI11" s="965"/>
      <c r="AJ11" s="1038"/>
      <c r="AK11" s="943" t="s">
        <v>7134</v>
      </c>
      <c r="AL11" s="939"/>
      <c r="AM11" s="1039"/>
      <c r="AN11" s="1039" t="s">
        <v>7135</v>
      </c>
      <c r="AO11" s="1040" t="s">
        <v>4673</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4594</v>
      </c>
      <c r="BU11" s="953"/>
      <c r="BV11" s="994" t="s">
        <v>7149</v>
      </c>
      <c r="BW11" s="1045" t="s">
        <v>7150</v>
      </c>
      <c r="BX11" s="973"/>
      <c r="BY11" s="1010" t="s">
        <v>4252</v>
      </c>
      <c r="BZ11" s="959"/>
      <c r="CA11" s="1046"/>
      <c r="CB11" s="997" t="s">
        <v>7151</v>
      </c>
      <c r="CC11" s="1047"/>
      <c r="CD11" s="1010" t="s">
        <v>1102</v>
      </c>
      <c r="CE11" s="959"/>
      <c r="CF11" s="1010" t="s">
        <v>7152</v>
      </c>
      <c r="CG11" s="959"/>
      <c r="CH11" s="995" t="s">
        <v>4681</v>
      </c>
      <c r="CI11" s="959"/>
      <c r="CJ11" s="985"/>
      <c r="CK11" s="985"/>
    </row>
    <row r="12">
      <c r="A12" s="916" t="s">
        <v>2295</v>
      </c>
      <c r="B12" s="917" t="s">
        <v>7153</v>
      </c>
      <c r="C12" s="918" t="s">
        <v>432</v>
      </c>
      <c r="D12" s="919" t="s">
        <v>824</v>
      </c>
      <c r="E12" s="920" t="s">
        <v>640</v>
      </c>
      <c r="F12" s="921" t="s">
        <v>5398</v>
      </c>
      <c r="G12" s="917" t="s">
        <v>5398</v>
      </c>
      <c r="H12" s="962" t="s">
        <v>1201</v>
      </c>
      <c r="I12" s="962" t="s">
        <v>7154</v>
      </c>
      <c r="J12" s="1014" t="s">
        <v>3296</v>
      </c>
      <c r="K12" s="962" t="s">
        <v>1885</v>
      </c>
      <c r="L12" s="922"/>
      <c r="M12" s="922"/>
      <c r="N12" s="922"/>
      <c r="O12" s="1014" t="s">
        <v>7155</v>
      </c>
      <c r="P12" s="965"/>
      <c r="Q12" s="931" t="s">
        <v>7156</v>
      </c>
      <c r="R12" s="928"/>
      <c r="S12" s="966" t="s">
        <v>7157</v>
      </c>
      <c r="T12" s="931" t="s">
        <v>5109</v>
      </c>
      <c r="U12" s="931" t="s">
        <v>7158</v>
      </c>
      <c r="V12" s="931" t="s">
        <v>7159</v>
      </c>
      <c r="W12" s="965"/>
      <c r="X12" s="969" t="s">
        <v>2638</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4067</v>
      </c>
      <c r="AN12" s="939"/>
      <c r="AO12" s="939"/>
      <c r="AP12" s="943" t="s">
        <v>3202</v>
      </c>
      <c r="AQ12" s="939"/>
      <c r="AR12" s="940" t="s">
        <v>7165</v>
      </c>
      <c r="AS12" s="943" t="s">
        <v>7166</v>
      </c>
      <c r="AT12" s="974"/>
      <c r="AU12" s="975" t="s">
        <v>7167</v>
      </c>
      <c r="AV12" s="939"/>
      <c r="AW12" s="943" t="s">
        <v>5259</v>
      </c>
      <c r="AX12" s="943" t="s">
        <v>4642</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2623</v>
      </c>
      <c r="BR12" s="955" t="s">
        <v>7175</v>
      </c>
      <c r="BS12" s="953"/>
      <c r="BT12" s="955" t="s">
        <v>1701</v>
      </c>
      <c r="BU12" s="953"/>
      <c r="BV12" s="955" t="s">
        <v>7176</v>
      </c>
      <c r="BW12" s="955" t="s">
        <v>5876</v>
      </c>
      <c r="BX12" s="965"/>
      <c r="BY12" s="984" t="s">
        <v>6970</v>
      </c>
      <c r="BZ12" s="984" t="s">
        <v>2642</v>
      </c>
      <c r="CA12" s="1049" t="s">
        <v>7177</v>
      </c>
      <c r="CB12" s="985"/>
      <c r="CC12" s="985"/>
      <c r="CD12" s="995" t="s">
        <v>4340</v>
      </c>
      <c r="CE12" s="984" t="s">
        <v>7178</v>
      </c>
      <c r="CF12" s="984" t="s">
        <v>5163</v>
      </c>
      <c r="CG12" s="1011" t="s">
        <v>7179</v>
      </c>
      <c r="CH12" s="959"/>
      <c r="CI12" s="995" t="s">
        <v>4636</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3970</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4520</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3097</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3830</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3845</v>
      </c>
      <c r="BH14" s="949" t="s">
        <v>4519</v>
      </c>
      <c r="BI14" s="979" t="s">
        <v>1754</v>
      </c>
      <c r="BJ14" s="1007"/>
      <c r="BK14" s="949" t="s">
        <v>4308</v>
      </c>
      <c r="BL14" s="951"/>
      <c r="BM14" s="949" t="s">
        <v>7222</v>
      </c>
      <c r="BN14" s="965"/>
      <c r="BO14" s="955" t="s">
        <v>3154</v>
      </c>
      <c r="BP14" s="994"/>
      <c r="BQ14" s="953"/>
      <c r="BR14" s="953"/>
      <c r="BS14" s="953"/>
      <c r="BT14" s="955" t="s">
        <v>931</v>
      </c>
      <c r="BU14" s="953"/>
      <c r="BV14" s="954" t="s">
        <v>7223</v>
      </c>
      <c r="BW14" s="954" t="s">
        <v>7224</v>
      </c>
      <c r="BX14" s="965"/>
      <c r="BY14" s="984" t="s">
        <v>4903</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2497</v>
      </c>
      <c r="H15" s="962" t="s">
        <v>2395</v>
      </c>
      <c r="I15" s="1051" t="s">
        <v>7226</v>
      </c>
      <c r="J15" s="923" t="s">
        <v>1367</v>
      </c>
      <c r="K15" s="923" t="s">
        <v>7227</v>
      </c>
      <c r="L15" s="923" t="s">
        <v>2132</v>
      </c>
      <c r="M15" s="922"/>
      <c r="N15" s="923" t="s">
        <v>7228</v>
      </c>
      <c r="O15" s="923" t="s">
        <v>7229</v>
      </c>
      <c r="P15" s="965"/>
      <c r="Q15" s="927" t="s">
        <v>7230</v>
      </c>
      <c r="R15" s="927" t="s">
        <v>2381</v>
      </c>
      <c r="S15" s="927" t="s">
        <v>7231</v>
      </c>
      <c r="T15" s="927" t="s">
        <v>7232</v>
      </c>
      <c r="U15" s="927" t="s">
        <v>7233</v>
      </c>
      <c r="V15" s="927" t="s">
        <v>7234</v>
      </c>
      <c r="W15" s="965"/>
      <c r="X15" s="932" t="s">
        <v>3680</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3148</v>
      </c>
      <c r="AN15" s="943" t="s">
        <v>1557</v>
      </c>
      <c r="AO15" s="938" t="s">
        <v>3953</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3807</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4618</v>
      </c>
      <c r="BR15" s="954" t="s">
        <v>7258</v>
      </c>
      <c r="BS15" s="954"/>
      <c r="BT15" s="1056" t="s">
        <v>7259</v>
      </c>
      <c r="BU15" s="1009" t="s">
        <v>4860</v>
      </c>
      <c r="BV15" s="954" t="s">
        <v>7260</v>
      </c>
      <c r="BW15" s="954" t="s">
        <v>7261</v>
      </c>
      <c r="BX15" s="965"/>
      <c r="BY15" s="958" t="s">
        <v>2472</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3343</v>
      </c>
      <c r="AD16" s="1023" t="s">
        <v>199</v>
      </c>
      <c r="AE16" s="970" t="s">
        <v>4531</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4820</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2325</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3046</v>
      </c>
      <c r="BH17" s="1044" t="s">
        <v>7300</v>
      </c>
      <c r="BI17" s="949"/>
      <c r="BJ17" s="1044"/>
      <c r="BK17" s="951"/>
      <c r="BL17" s="951"/>
      <c r="BM17" s="948" t="s">
        <v>7301</v>
      </c>
      <c r="BN17" s="965"/>
      <c r="BO17" s="1009" t="s">
        <v>7302</v>
      </c>
      <c r="BP17" s="994"/>
      <c r="BQ17" s="953"/>
      <c r="BR17" s="954" t="s">
        <v>7303</v>
      </c>
      <c r="BS17" s="953"/>
      <c r="BT17" s="1009" t="s">
        <v>2278</v>
      </c>
      <c r="BU17" s="953"/>
      <c r="BV17" s="954" t="s">
        <v>249</v>
      </c>
      <c r="BW17" s="954" t="s">
        <v>7304</v>
      </c>
      <c r="BX17" s="965"/>
      <c r="BY17" s="958" t="s">
        <v>4040</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4820</v>
      </c>
      <c r="H18" s="922"/>
      <c r="I18" s="923" t="s">
        <v>2618</v>
      </c>
      <c r="J18" s="923" t="s">
        <v>3286</v>
      </c>
      <c r="K18" s="923" t="s">
        <v>7307</v>
      </c>
      <c r="L18" s="987" t="s">
        <v>7308</v>
      </c>
      <c r="M18" s="922"/>
      <c r="N18" s="987" t="s">
        <v>7309</v>
      </c>
      <c r="O18" s="923" t="s">
        <v>7310</v>
      </c>
      <c r="P18" s="965"/>
      <c r="Q18" s="1001" t="s">
        <v>3408</v>
      </c>
      <c r="R18" s="928"/>
      <c r="S18" s="928"/>
      <c r="T18" s="1001" t="s">
        <v>4880</v>
      </c>
      <c r="U18" s="927"/>
      <c r="V18" s="1001" t="s">
        <v>7311</v>
      </c>
      <c r="W18" s="965"/>
      <c r="X18" s="970" t="s">
        <v>3946</v>
      </c>
      <c r="Y18" s="970" t="s">
        <v>7312</v>
      </c>
      <c r="Z18" s="970" t="s">
        <v>7313</v>
      </c>
      <c r="AA18" s="970" t="s">
        <v>2861</v>
      </c>
      <c r="AB18" s="970" t="s">
        <v>4579</v>
      </c>
      <c r="AC18" s="932" t="s">
        <v>7314</v>
      </c>
      <c r="AD18" s="970" t="s">
        <v>4518</v>
      </c>
      <c r="AE18" s="970" t="s">
        <v>3775</v>
      </c>
      <c r="AF18" s="932"/>
      <c r="AG18" s="932" t="s">
        <v>7315</v>
      </c>
      <c r="AH18" s="1058" t="s">
        <v>7316</v>
      </c>
      <c r="AI18" s="965"/>
      <c r="AJ18" s="939"/>
      <c r="AK18" s="939"/>
      <c r="AL18" s="939"/>
      <c r="AM18" s="938" t="s">
        <v>4830</v>
      </c>
      <c r="AN18" s="939"/>
      <c r="AO18" s="1005" t="s">
        <v>4153</v>
      </c>
      <c r="AP18" s="938" t="s">
        <v>4275</v>
      </c>
      <c r="AQ18" s="1005" t="s">
        <v>7317</v>
      </c>
      <c r="AR18" s="939"/>
      <c r="AS18" s="939"/>
      <c r="AT18" s="974"/>
      <c r="AU18" s="939"/>
      <c r="AV18" s="939"/>
      <c r="AW18" s="1005" t="s">
        <v>1006</v>
      </c>
      <c r="AX18" s="1005" t="s">
        <v>4756</v>
      </c>
      <c r="AY18" s="939"/>
      <c r="AZ18" s="926"/>
      <c r="BA18" s="1028"/>
      <c r="BB18" s="1028"/>
      <c r="BC18" s="1054" t="s">
        <v>3110</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2823</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2222</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3678</v>
      </c>
      <c r="AX19" s="1005" t="s">
        <v>7334</v>
      </c>
      <c r="AY19" s="939"/>
      <c r="AZ19" s="926"/>
      <c r="BA19" s="1028"/>
      <c r="BB19" s="978" t="s">
        <v>7335</v>
      </c>
      <c r="BC19" s="978" t="s">
        <v>3308</v>
      </c>
      <c r="BD19" s="978"/>
      <c r="BE19" s="1054" t="s">
        <v>7336</v>
      </c>
      <c r="BF19" s="926"/>
      <c r="BG19" s="949" t="s">
        <v>709</v>
      </c>
      <c r="BH19" s="1044" t="s">
        <v>4311</v>
      </c>
      <c r="BI19" s="949" t="s">
        <v>1674</v>
      </c>
      <c r="BJ19" s="949" t="s">
        <v>7337</v>
      </c>
      <c r="BK19" s="949" t="s">
        <v>7338</v>
      </c>
      <c r="BL19" s="951"/>
      <c r="BM19" s="949" t="s">
        <v>7339</v>
      </c>
      <c r="BN19" s="965"/>
      <c r="BO19" s="954" t="s">
        <v>4611</v>
      </c>
      <c r="BP19" s="994"/>
      <c r="BQ19" s="953"/>
      <c r="BR19" s="983" t="s">
        <v>7340</v>
      </c>
      <c r="BS19" s="953"/>
      <c r="BT19" s="954" t="s">
        <v>2406</v>
      </c>
      <c r="BU19" s="953"/>
      <c r="BV19" s="954" t="s">
        <v>7341</v>
      </c>
      <c r="BW19" s="954" t="s">
        <v>2058</v>
      </c>
      <c r="BX19" s="965"/>
      <c r="BY19" s="958" t="s">
        <v>4450</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4196</v>
      </c>
      <c r="I20" s="922"/>
      <c r="J20" s="922"/>
      <c r="K20" s="922"/>
      <c r="L20" s="922"/>
      <c r="M20" s="922"/>
      <c r="N20" s="922"/>
      <c r="O20" s="922"/>
      <c r="P20" s="965"/>
      <c r="Q20" s="928"/>
      <c r="R20" s="929" t="s">
        <v>398</v>
      </c>
      <c r="S20" s="928"/>
      <c r="T20" s="1034" t="s">
        <v>4693</v>
      </c>
      <c r="U20" s="1034" t="s">
        <v>1116</v>
      </c>
      <c r="V20" s="928"/>
      <c r="W20" s="965"/>
      <c r="X20" s="1003"/>
      <c r="Y20" s="1003"/>
      <c r="Z20" s="934" t="s">
        <v>4268</v>
      </c>
      <c r="AA20" s="1057"/>
      <c r="AB20" s="1003"/>
      <c r="AC20" s="1003"/>
      <c r="AD20" s="933" t="s">
        <v>1703</v>
      </c>
      <c r="AE20" s="970" t="s">
        <v>4156</v>
      </c>
      <c r="AF20" s="932"/>
      <c r="AG20" s="1003"/>
      <c r="AH20" s="937"/>
      <c r="AI20" s="965"/>
      <c r="AJ20" s="939"/>
      <c r="AK20" s="939"/>
      <c r="AL20" s="939"/>
      <c r="AM20" s="939"/>
      <c r="AN20" s="940" t="s">
        <v>3837</v>
      </c>
      <c r="AO20" s="939"/>
      <c r="AP20" s="939"/>
      <c r="AQ20" s="939"/>
      <c r="AR20" s="939"/>
      <c r="AS20" s="939"/>
      <c r="AT20" s="974"/>
      <c r="AU20" s="939"/>
      <c r="AV20" s="939"/>
      <c r="AW20" s="976" t="s">
        <v>1039</v>
      </c>
      <c r="AX20" s="939"/>
      <c r="AY20" s="939"/>
      <c r="AZ20" s="926"/>
      <c r="BA20" s="1028"/>
      <c r="BB20" s="978"/>
      <c r="BC20" s="990" t="s">
        <v>4408</v>
      </c>
      <c r="BD20" s="944"/>
      <c r="BE20" s="978"/>
      <c r="BF20" s="926"/>
      <c r="BG20" s="951"/>
      <c r="BH20" s="951"/>
      <c r="BI20" s="992" t="s">
        <v>7343</v>
      </c>
      <c r="BJ20" s="1007"/>
      <c r="BK20" s="951"/>
      <c r="BL20" s="951"/>
      <c r="BM20" s="951"/>
      <c r="BN20" s="965"/>
      <c r="BO20" s="954"/>
      <c r="BP20" s="994"/>
      <c r="BQ20" s="956" t="s">
        <v>4881</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2812</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4732</v>
      </c>
      <c r="R21" s="927" t="s">
        <v>3529</v>
      </c>
      <c r="S21" s="927" t="s">
        <v>687</v>
      </c>
      <c r="T21" s="927" t="s">
        <v>248</v>
      </c>
      <c r="U21" s="928"/>
      <c r="V21" s="927" t="s">
        <v>7351</v>
      </c>
      <c r="W21" s="965"/>
      <c r="X21" s="932" t="s">
        <v>2270</v>
      </c>
      <c r="Y21" s="1003"/>
      <c r="Z21" s="932" t="s">
        <v>4827</v>
      </c>
      <c r="AA21" s="932" t="s">
        <v>7352</v>
      </c>
      <c r="AB21" s="932" t="s">
        <v>2832</v>
      </c>
      <c r="AC21" s="932" t="s">
        <v>1586</v>
      </c>
      <c r="AD21" s="932" t="s">
        <v>6341</v>
      </c>
      <c r="AE21" s="932" t="s">
        <v>3033</v>
      </c>
      <c r="AF21" s="932"/>
      <c r="AG21" s="932" t="s">
        <v>7353</v>
      </c>
      <c r="AH21" s="1060" t="s">
        <v>2836</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4014</v>
      </c>
      <c r="BQ21" s="953"/>
      <c r="BR21" s="954" t="s">
        <v>7368</v>
      </c>
      <c r="BS21" s="953"/>
      <c r="BT21" s="954" t="s">
        <v>2855</v>
      </c>
      <c r="BU21" s="954" t="s">
        <v>4926</v>
      </c>
      <c r="BV21" s="954" t="s">
        <v>7369</v>
      </c>
      <c r="BW21" s="954" t="s">
        <v>7370</v>
      </c>
      <c r="BX21" s="965"/>
      <c r="BY21" s="1061" t="s">
        <v>3203</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3968</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2563</v>
      </c>
      <c r="I23" s="962" t="s">
        <v>7386</v>
      </c>
      <c r="J23" s="1051"/>
      <c r="K23" s="962" t="s">
        <v>4279</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4137</v>
      </c>
      <c r="AF23" s="932"/>
      <c r="AG23" s="970" t="s">
        <v>7390</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7391</v>
      </c>
      <c r="BF23" s="926"/>
      <c r="BG23" s="1044" t="s">
        <v>2578</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4853</v>
      </c>
      <c r="AD24" s="932" t="s">
        <v>1400</v>
      </c>
      <c r="AE24" s="932" t="s">
        <v>7403</v>
      </c>
      <c r="AF24" s="932"/>
      <c r="AG24" s="970" t="s">
        <v>7404</v>
      </c>
      <c r="AH24" s="937"/>
      <c r="AI24" s="965"/>
      <c r="AJ24" s="939"/>
      <c r="AK24" s="939"/>
      <c r="AL24" s="939"/>
      <c r="AM24" s="938" t="s">
        <v>4788</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4723</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2756</v>
      </c>
      <c r="H25" s="922"/>
      <c r="I25" s="922"/>
      <c r="J25" s="922"/>
      <c r="K25" s="922"/>
      <c r="L25" s="922"/>
      <c r="M25" s="922"/>
      <c r="N25" s="923" t="s">
        <v>7414</v>
      </c>
      <c r="O25" s="922"/>
      <c r="P25" s="965"/>
      <c r="Q25" s="928"/>
      <c r="R25" s="928"/>
      <c r="S25" s="928"/>
      <c r="T25" s="928"/>
      <c r="U25" s="927" t="s">
        <v>2910</v>
      </c>
      <c r="V25" s="927" t="s">
        <v>7415</v>
      </c>
      <c r="W25" s="965"/>
      <c r="X25" s="932" t="s">
        <v>195</v>
      </c>
      <c r="Y25" s="932" t="s">
        <v>7416</v>
      </c>
      <c r="Z25" s="932" t="s">
        <v>7417</v>
      </c>
      <c r="AA25" s="1069" t="s">
        <v>2745</v>
      </c>
      <c r="AB25" s="932" t="s">
        <v>651</v>
      </c>
      <c r="AC25" s="932" t="s">
        <v>1945</v>
      </c>
      <c r="AD25" s="932" t="s">
        <v>6887</v>
      </c>
      <c r="AE25" s="932" t="s">
        <v>2616</v>
      </c>
      <c r="AF25" s="932"/>
      <c r="AG25" s="1003"/>
      <c r="AH25" s="1070" t="s">
        <v>7418</v>
      </c>
      <c r="AI25" s="965"/>
      <c r="AJ25" s="938"/>
      <c r="AK25" s="938" t="s">
        <v>5636</v>
      </c>
      <c r="AL25" s="939"/>
      <c r="AM25" s="938" t="s">
        <v>2540</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2756</v>
      </c>
      <c r="H27" s="923" t="s">
        <v>3624</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4520</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2612</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3818</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4161</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4172</v>
      </c>
      <c r="Z28" s="932" t="s">
        <v>5142</v>
      </c>
      <c r="AA28" s="1077" t="s">
        <v>1681</v>
      </c>
      <c r="AB28" s="932" t="s">
        <v>6057</v>
      </c>
      <c r="AC28" s="932" t="s">
        <v>5242</v>
      </c>
      <c r="AD28" s="932" t="s">
        <v>2938</v>
      </c>
      <c r="AE28" s="969" t="s">
        <v>242</v>
      </c>
      <c r="AF28" s="971"/>
      <c r="AG28" s="1003"/>
      <c r="AH28" s="1078" t="s">
        <v>4175</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2700</v>
      </c>
      <c r="AX28" s="938" t="s">
        <v>7463</v>
      </c>
      <c r="AY28" s="938" t="s">
        <v>7464</v>
      </c>
      <c r="AZ28" s="926"/>
      <c r="BA28" s="1028"/>
      <c r="BB28" s="1028"/>
      <c r="BC28" s="978" t="s">
        <v>2199</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3614</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4060</v>
      </c>
      <c r="I29" s="923" t="s">
        <v>7472</v>
      </c>
      <c r="J29" s="923"/>
      <c r="K29" s="923"/>
      <c r="L29" s="987" t="s">
        <v>7473</v>
      </c>
      <c r="M29" s="922"/>
      <c r="N29" s="962" t="s">
        <v>7474</v>
      </c>
      <c r="O29" s="922"/>
      <c r="P29" s="965"/>
      <c r="Q29" s="928"/>
      <c r="R29" s="928"/>
      <c r="S29" s="928"/>
      <c r="T29" s="928"/>
      <c r="U29" s="927" t="s">
        <v>410</v>
      </c>
      <c r="V29" s="931" t="s">
        <v>7475</v>
      </c>
      <c r="W29" s="965"/>
      <c r="X29" s="970" t="s">
        <v>4722</v>
      </c>
      <c r="Y29" s="932" t="s">
        <v>7476</v>
      </c>
      <c r="Z29" s="970" t="s">
        <v>5820</v>
      </c>
      <c r="AA29" s="1052" t="s">
        <v>4520</v>
      </c>
      <c r="AB29" s="970" t="s">
        <v>2460</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4815</v>
      </c>
      <c r="CE29" s="959"/>
      <c r="CF29" s="959"/>
      <c r="CG29" s="959"/>
      <c r="CH29" s="959"/>
      <c r="CI29" s="959"/>
      <c r="CJ29" s="985"/>
      <c r="CK29" s="985"/>
    </row>
    <row r="30">
      <c r="A30" s="916" t="s">
        <v>3812</v>
      </c>
      <c r="B30" s="917" t="s">
        <v>7489</v>
      </c>
      <c r="C30" s="918" t="s">
        <v>1414</v>
      </c>
      <c r="D30" s="919" t="s">
        <v>1414</v>
      </c>
      <c r="E30" s="920" t="s">
        <v>1414</v>
      </c>
      <c r="F30" s="921" t="s">
        <v>432</v>
      </c>
      <c r="G30" s="917" t="s">
        <v>2814</v>
      </c>
      <c r="H30" s="923" t="s">
        <v>2260</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4681</v>
      </c>
      <c r="AC30" s="932" t="s">
        <v>194</v>
      </c>
      <c r="AD30" s="1003"/>
      <c r="AE30" s="932" t="s">
        <v>3451</v>
      </c>
      <c r="AF30" s="932"/>
      <c r="AG30" s="969" t="s">
        <v>7495</v>
      </c>
      <c r="AH30" s="1060" t="s">
        <v>7496</v>
      </c>
      <c r="AI30" s="965"/>
      <c r="AJ30" s="938"/>
      <c r="AK30" s="938" t="s">
        <v>7497</v>
      </c>
      <c r="AL30" s="938" t="s">
        <v>7498</v>
      </c>
      <c r="AM30" s="938" t="s">
        <v>4030</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4254</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2754</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4436</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2249</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2429</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3933</v>
      </c>
      <c r="AC33" s="932" t="s">
        <v>7538</v>
      </c>
      <c r="AD33" s="1003"/>
      <c r="AE33" s="932" t="s">
        <v>2555</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4432</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4467</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2823</v>
      </c>
      <c r="BI35" s="951"/>
      <c r="BJ35" s="1007"/>
      <c r="BK35" s="951"/>
      <c r="BL35" s="949" t="s">
        <v>7563</v>
      </c>
      <c r="BM35" s="951"/>
      <c r="BN35" s="965"/>
      <c r="BO35" s="954" t="s">
        <v>1962</v>
      </c>
      <c r="BP35" s="994"/>
      <c r="BQ35" s="953"/>
      <c r="BR35" s="953"/>
      <c r="BS35" s="953"/>
      <c r="BT35" s="954" t="s">
        <v>4155</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3639</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3139</v>
      </c>
      <c r="BV36" s="954" t="s">
        <v>385</v>
      </c>
      <c r="BW36" s="1009" t="s">
        <v>7571</v>
      </c>
      <c r="BX36" s="965"/>
      <c r="BY36" s="959"/>
      <c r="BZ36" s="1061" t="s">
        <v>2691</v>
      </c>
      <c r="CA36" s="985"/>
      <c r="CB36" s="985"/>
      <c r="CC36" s="985"/>
      <c r="CD36" s="959"/>
      <c r="CE36" s="959"/>
      <c r="CF36" s="958" t="s">
        <v>7572</v>
      </c>
      <c r="CG36" s="959"/>
      <c r="CH36" s="959"/>
      <c r="CI36" s="984" t="s">
        <v>4837</v>
      </c>
      <c r="CJ36" s="985"/>
      <c r="CK36" s="985"/>
    </row>
    <row r="37">
      <c r="A37" s="1082" t="s">
        <v>3532</v>
      </c>
      <c r="B37" s="917" t="s">
        <v>4212</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3036</v>
      </c>
      <c r="T37" s="928"/>
      <c r="U37" s="928"/>
      <c r="V37" s="927" t="s">
        <v>7574</v>
      </c>
      <c r="W37" s="965"/>
      <c r="X37" s="1003"/>
      <c r="Y37" s="1003"/>
      <c r="Z37" s="932" t="s">
        <v>7325</v>
      </c>
      <c r="AA37" s="1057"/>
      <c r="AB37" s="1003"/>
      <c r="AC37" s="1003"/>
      <c r="AD37" s="932" t="s">
        <v>4736</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2353</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4419</v>
      </c>
      <c r="AN40" s="976" t="s">
        <v>3861</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4346</v>
      </c>
      <c r="B41" s="917" t="s">
        <v>4740</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4921</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2814</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4079</v>
      </c>
      <c r="C46" s="918" t="s">
        <v>1414</v>
      </c>
      <c r="D46" s="919" t="s">
        <v>1414</v>
      </c>
      <c r="E46" s="920" t="s">
        <v>1414</v>
      </c>
      <c r="F46" s="921" t="s">
        <v>1414</v>
      </c>
      <c r="G46" s="917" t="s">
        <v>1130</v>
      </c>
      <c r="H46" s="922"/>
      <c r="I46" s="922"/>
      <c r="J46" s="922"/>
      <c r="K46" s="922"/>
      <c r="L46" s="923" t="s">
        <v>4657</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3637</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4565</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3887</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3871</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2687</v>
      </c>
      <c r="G3" s="917" t="s">
        <v>3219</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2395</v>
      </c>
      <c r="X3" s="1130" t="s">
        <v>1693</v>
      </c>
      <c r="Y3" s="1086" t="s">
        <v>1870</v>
      </c>
      <c r="Z3" s="1130" t="s">
        <v>7755</v>
      </c>
      <c r="AA3" s="1086" t="s">
        <v>4363</v>
      </c>
      <c r="AB3" s="1130"/>
      <c r="AC3" s="1086" t="s">
        <v>7756</v>
      </c>
      <c r="AD3" s="1086" t="s">
        <v>3651</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3935</v>
      </c>
      <c r="BY3" s="1131"/>
      <c r="BZ3" s="1087"/>
      <c r="CA3" s="1130" t="s">
        <v>6023</v>
      </c>
      <c r="CB3" s="1130" t="s">
        <v>366</v>
      </c>
      <c r="CC3" s="1130" t="s">
        <v>2308</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4570</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3750</v>
      </c>
      <c r="AA4" s="1135"/>
      <c r="AB4" s="1136" t="s">
        <v>7799</v>
      </c>
      <c r="AC4" s="1089" t="s">
        <v>3137</v>
      </c>
      <c r="AD4" s="1089" t="s">
        <v>6125</v>
      </c>
      <c r="AE4" s="1135"/>
      <c r="AF4" s="1125" t="s">
        <v>7548</v>
      </c>
      <c r="AG4" s="1131"/>
      <c r="AH4" s="1128" t="s">
        <v>7800</v>
      </c>
      <c r="AI4" s="1128" t="s">
        <v>4894</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2919</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2885</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2342</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4570</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2492</v>
      </c>
      <c r="Z6" s="1087"/>
      <c r="AA6" s="1087"/>
      <c r="AB6" s="1087"/>
      <c r="AC6" s="1087"/>
      <c r="AD6" s="1086" t="s">
        <v>7848</v>
      </c>
      <c r="AE6" s="1135"/>
      <c r="AF6" s="1089" t="s">
        <v>458</v>
      </c>
      <c r="AG6" s="1135"/>
      <c r="AH6" s="1087"/>
      <c r="AI6" s="1087"/>
      <c r="AJ6" s="1129" t="s">
        <v>2204</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4492</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2497</v>
      </c>
      <c r="CN6" s="1145" t="s">
        <v>4079</v>
      </c>
      <c r="CO6" s="1143"/>
      <c r="CP6" s="1143"/>
      <c r="CQ6" s="1143"/>
      <c r="CR6" s="1143"/>
      <c r="CS6" s="1145" t="s">
        <v>7864</v>
      </c>
      <c r="CT6" s="101"/>
    </row>
    <row r="7">
      <c r="A7" s="1146" t="s">
        <v>7039</v>
      </c>
      <c r="B7" s="917" t="s">
        <v>7865</v>
      </c>
      <c r="C7" s="918" t="s">
        <v>824</v>
      </c>
      <c r="D7" s="919" t="s">
        <v>640</v>
      </c>
      <c r="E7" s="920" t="s">
        <v>640</v>
      </c>
      <c r="F7" s="921" t="s">
        <v>4835</v>
      </c>
      <c r="G7" s="917" t="s">
        <v>2885</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4384</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2422</v>
      </c>
      <c r="BW7" s="1128" t="s">
        <v>2431</v>
      </c>
      <c r="BX7" s="1125" t="s">
        <v>2441</v>
      </c>
      <c r="BY7" s="1129" t="s">
        <v>7888</v>
      </c>
      <c r="BZ7" s="1128" t="s">
        <v>7889</v>
      </c>
      <c r="CA7" s="1129" t="s">
        <v>1346</v>
      </c>
      <c r="CB7" s="1129" t="s">
        <v>7890</v>
      </c>
      <c r="CC7" s="1129" t="s">
        <v>471</v>
      </c>
      <c r="CD7" s="1152" t="s">
        <v>2469</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4891</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2267</v>
      </c>
      <c r="BY8" s="1149" t="s">
        <v>3450</v>
      </c>
      <c r="BZ8" s="1135"/>
      <c r="CA8" s="1128" t="s">
        <v>1895</v>
      </c>
      <c r="CB8" s="1149" t="s">
        <v>3047</v>
      </c>
      <c r="CC8" s="1156" t="s">
        <v>3188</v>
      </c>
      <c r="CD8" s="1157"/>
      <c r="CE8" s="1158"/>
      <c r="CF8" s="1144"/>
      <c r="CG8" s="1158"/>
      <c r="CH8" s="1158"/>
      <c r="CI8" s="1158"/>
      <c r="CJ8" s="1158"/>
      <c r="CK8" s="1158"/>
      <c r="CL8" s="1158"/>
      <c r="CM8" s="1159" t="s">
        <v>3400</v>
      </c>
      <c r="CN8" s="1144"/>
      <c r="CO8" s="1158"/>
      <c r="CP8" s="1158"/>
      <c r="CQ8" s="1160" t="s">
        <v>7883</v>
      </c>
      <c r="CR8" s="1158"/>
      <c r="CS8" s="1158"/>
      <c r="CT8" s="1161"/>
    </row>
    <row r="9">
      <c r="A9" s="1162" t="s">
        <v>2812</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2853</v>
      </c>
      <c r="T9" s="1087"/>
      <c r="U9" s="1086" t="s">
        <v>3704</v>
      </c>
      <c r="V9" s="1131"/>
      <c r="W9" s="1086" t="s">
        <v>4845</v>
      </c>
      <c r="X9" s="1089" t="s">
        <v>3115</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3237</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4492</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3703</v>
      </c>
      <c r="X10" s="1086" t="s">
        <v>4138</v>
      </c>
      <c r="Y10" s="1130" t="s">
        <v>158</v>
      </c>
      <c r="Z10" s="1087"/>
      <c r="AA10" s="1087"/>
      <c r="AB10" s="1131"/>
      <c r="AC10" s="1130" t="s">
        <v>7941</v>
      </c>
      <c r="AD10" s="1130" t="s">
        <v>5321</v>
      </c>
      <c r="AE10" s="1128" t="s">
        <v>2480</v>
      </c>
      <c r="AF10" s="1130" t="s">
        <v>7942</v>
      </c>
      <c r="AG10" s="1086" t="s">
        <v>7943</v>
      </c>
      <c r="AH10" s="1131"/>
      <c r="AI10" s="1131"/>
      <c r="AJ10" s="1131"/>
      <c r="AK10" s="1086" t="s">
        <v>7944</v>
      </c>
      <c r="AL10" s="1086" t="s">
        <v>2745</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2454</v>
      </c>
      <c r="Y11" s="1089" t="s">
        <v>4042</v>
      </c>
      <c r="Z11" s="1087"/>
      <c r="AA11" s="1128" t="s">
        <v>5974</v>
      </c>
      <c r="AB11" s="1131"/>
      <c r="AC11" s="1089" t="s">
        <v>2205</v>
      </c>
      <c r="AD11" s="1089" t="s">
        <v>2248</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4835</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2885</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3871</v>
      </c>
      <c r="B13" s="917" t="s">
        <v>7973</v>
      </c>
      <c r="C13" s="918" t="s">
        <v>1414</v>
      </c>
      <c r="D13" s="919" t="s">
        <v>736</v>
      </c>
      <c r="E13" s="920" t="s">
        <v>1414</v>
      </c>
      <c r="F13" s="921" t="s">
        <v>736</v>
      </c>
      <c r="G13" s="917" t="s">
        <v>2496</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4704</v>
      </c>
      <c r="Y13" s="1086" t="s">
        <v>371</v>
      </c>
      <c r="Z13" s="1130" t="s">
        <v>4752</v>
      </c>
      <c r="AA13" s="1086" t="s">
        <v>7985</v>
      </c>
      <c r="AB13" s="1130"/>
      <c r="AC13" s="1130" t="s">
        <v>2201</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4489</v>
      </c>
      <c r="BY13" s="1086" t="s">
        <v>2898</v>
      </c>
      <c r="BZ13" s="1087"/>
      <c r="CA13" s="1131"/>
      <c r="CB13" s="1086" t="s">
        <v>1581</v>
      </c>
      <c r="CC13" s="1131"/>
      <c r="CD13" s="1131"/>
      <c r="CE13" s="1158"/>
      <c r="CF13" s="1087"/>
      <c r="CG13" s="1131"/>
      <c r="CH13" s="1158"/>
      <c r="CI13" s="1158"/>
      <c r="CJ13" s="1143" t="s">
        <v>8000</v>
      </c>
      <c r="CK13" s="1143"/>
      <c r="CL13" s="1159" t="s">
        <v>4570</v>
      </c>
      <c r="CM13" s="1143" t="s">
        <v>8001</v>
      </c>
      <c r="CN13" s="1143" t="s">
        <v>5634</v>
      </c>
      <c r="CO13" s="1143" t="s">
        <v>4820</v>
      </c>
      <c r="CP13" s="1143" t="s">
        <v>7882</v>
      </c>
      <c r="CQ13" s="1143" t="s">
        <v>7879</v>
      </c>
      <c r="CR13" s="1158"/>
      <c r="CS13" s="1158"/>
      <c r="CT13" s="92"/>
    </row>
    <row r="14">
      <c r="A14" s="1185" t="s">
        <v>4717</v>
      </c>
      <c r="B14" s="917" t="s">
        <v>8002</v>
      </c>
      <c r="C14" s="918" t="s">
        <v>538</v>
      </c>
      <c r="D14" s="919" t="s">
        <v>538</v>
      </c>
      <c r="E14" s="920" t="s">
        <v>1414</v>
      </c>
      <c r="F14" s="921" t="s">
        <v>3399</v>
      </c>
      <c r="G14" s="917" t="s">
        <v>3814</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2672</v>
      </c>
      <c r="Z14" s="1087"/>
      <c r="AA14" s="1087"/>
      <c r="AB14" s="1131"/>
      <c r="AC14" s="1086" t="s">
        <v>8011</v>
      </c>
      <c r="AD14" s="1126" t="s">
        <v>193</v>
      </c>
      <c r="AE14" s="1087"/>
      <c r="AF14" s="1087"/>
      <c r="AG14" s="1131"/>
      <c r="AH14" s="1130" t="s">
        <v>5258</v>
      </c>
      <c r="AI14" s="1131"/>
      <c r="AJ14" s="1131"/>
      <c r="AK14" s="1130" t="s">
        <v>4658</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2754</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2415</v>
      </c>
      <c r="AD17" s="1089" t="s">
        <v>3743</v>
      </c>
      <c r="AE17" s="1135"/>
      <c r="AF17" s="1129" t="s">
        <v>8042</v>
      </c>
      <c r="AG17" s="1131"/>
      <c r="AH17" s="1129" t="s">
        <v>1616</v>
      </c>
      <c r="AI17" s="1129" t="s">
        <v>2970</v>
      </c>
      <c r="AJ17" s="1131"/>
      <c r="AK17" s="1086" t="s">
        <v>4095</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8044</v>
      </c>
      <c r="C18" s="918" t="s">
        <v>736</v>
      </c>
      <c r="D18" s="919" t="s">
        <v>1414</v>
      </c>
      <c r="E18" s="920" t="s">
        <v>736</v>
      </c>
      <c r="F18" s="921" t="s">
        <v>432</v>
      </c>
      <c r="G18" s="917" t="s">
        <v>2885</v>
      </c>
      <c r="H18" s="1163"/>
      <c r="I18" s="1163" t="s">
        <v>8045</v>
      </c>
      <c r="J18" s="1086"/>
      <c r="K18" s="1130" t="s">
        <v>8046</v>
      </c>
      <c r="L18" s="1130"/>
      <c r="M18" s="1130" t="s">
        <v>8047</v>
      </c>
      <c r="N18" s="1087"/>
      <c r="O18" s="1130" t="s">
        <v>8048</v>
      </c>
      <c r="P18" s="1087"/>
      <c r="Q18" s="1131"/>
      <c r="R18" s="1086" t="s">
        <v>8049</v>
      </c>
      <c r="S18" s="1127" t="s">
        <v>3846</v>
      </c>
      <c r="T18" s="1130" t="s">
        <v>8050</v>
      </c>
      <c r="U18" s="1086" t="s">
        <v>8051</v>
      </c>
      <c r="V18" s="1130"/>
      <c r="W18" s="1130" t="s">
        <v>4352</v>
      </c>
      <c r="X18" s="1086" t="s">
        <v>3404</v>
      </c>
      <c r="Y18" s="1130" t="s">
        <v>3024</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4719</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2177</v>
      </c>
      <c r="BZ18" s="1087"/>
      <c r="CA18" s="1131"/>
      <c r="CB18" s="1086" t="s">
        <v>4485</v>
      </c>
      <c r="CC18" s="1130" t="s">
        <v>8061</v>
      </c>
      <c r="CD18" s="1130"/>
      <c r="CE18" s="1131"/>
      <c r="CF18" s="1087"/>
      <c r="CG18" s="1131"/>
      <c r="CH18" s="1131"/>
      <c r="CI18" s="1131"/>
      <c r="CJ18" s="1131"/>
      <c r="CK18" s="1131"/>
      <c r="CL18" s="1131"/>
      <c r="CM18" s="1130" t="s">
        <v>8062</v>
      </c>
      <c r="CN18" s="1130" t="s">
        <v>1803</v>
      </c>
      <c r="CO18" s="1130" t="s">
        <v>4921</v>
      </c>
      <c r="CP18" s="1130" t="s">
        <v>8063</v>
      </c>
      <c r="CQ18" s="1086" t="s">
        <v>8064</v>
      </c>
      <c r="CR18" s="1130" t="s">
        <v>1943</v>
      </c>
      <c r="CS18" s="1086" t="s">
        <v>8065</v>
      </c>
      <c r="CT18" s="92"/>
    </row>
    <row r="19">
      <c r="A19" s="1191" t="s">
        <v>4625</v>
      </c>
      <c r="B19" s="917" t="s">
        <v>8066</v>
      </c>
      <c r="C19" s="918" t="s">
        <v>1414</v>
      </c>
      <c r="D19" s="919" t="s">
        <v>1414</v>
      </c>
      <c r="E19" s="920" t="s">
        <v>1414</v>
      </c>
      <c r="F19" s="921" t="s">
        <v>736</v>
      </c>
      <c r="G19" s="917" t="s">
        <v>4079</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3227</v>
      </c>
      <c r="X19" s="1086" t="s">
        <v>2571</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2497</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4346</v>
      </c>
      <c r="B20" s="917" t="s">
        <v>6302</v>
      </c>
      <c r="C20" s="918" t="s">
        <v>1414</v>
      </c>
      <c r="D20" s="919" t="s">
        <v>1414</v>
      </c>
      <c r="E20" s="920" t="s">
        <v>1414</v>
      </c>
      <c r="F20" s="921" t="s">
        <v>1414</v>
      </c>
      <c r="G20" s="917" t="s">
        <v>4079</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4004</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2257</v>
      </c>
      <c r="X21" s="1086"/>
      <c r="Y21" s="1130" t="s">
        <v>3158</v>
      </c>
      <c r="Z21" s="1086"/>
      <c r="AA21" s="1086"/>
      <c r="AB21" s="1130"/>
      <c r="AC21" s="1130" t="s">
        <v>8099</v>
      </c>
      <c r="AD21" s="1130" t="s">
        <v>4766</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3808</v>
      </c>
      <c r="V22" s="1194"/>
      <c r="W22" s="1130" t="s">
        <v>363</v>
      </c>
      <c r="X22" s="1086"/>
      <c r="Y22" s="1130" t="s">
        <v>4932</v>
      </c>
      <c r="Z22" s="1087"/>
      <c r="AA22" s="1087"/>
      <c r="AB22" s="1131"/>
      <c r="AC22" s="1130" t="s">
        <v>8110</v>
      </c>
      <c r="AD22" s="1130" t="s">
        <v>3942</v>
      </c>
      <c r="AE22" s="1135"/>
      <c r="AF22" s="1089" t="s">
        <v>718</v>
      </c>
      <c r="AG22" s="1148"/>
      <c r="AH22" s="1130" t="s">
        <v>4701</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4796</v>
      </c>
      <c r="BZ24" s="1130" t="s">
        <v>2201</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4763</v>
      </c>
    </row>
    <row r="25">
      <c r="A25" s="1153" t="s">
        <v>6271</v>
      </c>
      <c r="B25" s="917" t="s">
        <v>8150</v>
      </c>
      <c r="C25" s="918" t="s">
        <v>1414</v>
      </c>
      <c r="D25" s="919" t="s">
        <v>736</v>
      </c>
      <c r="E25" s="920" t="s">
        <v>1414</v>
      </c>
      <c r="F25" s="921" t="s">
        <v>824</v>
      </c>
      <c r="G25" s="917" t="s">
        <v>4079</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4330</v>
      </c>
      <c r="X25" s="1086" t="s">
        <v>3232</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3814</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2803</v>
      </c>
      <c r="Y26" s="1129" t="s">
        <v>7970</v>
      </c>
      <c r="Z26" s="1087"/>
      <c r="AA26" s="1087"/>
      <c r="AB26" s="1131"/>
      <c r="AC26" s="1129" t="s">
        <v>4598</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3534</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4212</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3219</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3565</v>
      </c>
      <c r="T29" s="1086"/>
      <c r="U29" s="1130" t="s">
        <v>3467</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4539</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4778</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2297</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4405</v>
      </c>
      <c r="B32" s="917" t="s">
        <v>4740</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4361</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4208</v>
      </c>
      <c r="BY32" s="1130" t="s">
        <v>4255</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2267</v>
      </c>
      <c r="BY34" s="1149" t="s">
        <v>3469</v>
      </c>
      <c r="BZ34" s="1149" t="s">
        <v>8197</v>
      </c>
      <c r="CA34" s="1131"/>
      <c r="CB34" s="1149" t="s">
        <v>1146</v>
      </c>
      <c r="CC34" s="1149" t="s">
        <v>2173</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2756</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4537</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4079</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4330</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3957</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4005</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2883</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4077</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4465</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2413</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4168</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4405</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2527</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2792</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4038</v>
      </c>
      <c r="L2" s="1273" t="s">
        <v>231</v>
      </c>
      <c r="M2" s="1274" t="s">
        <v>8291</v>
      </c>
      <c r="N2" s="1274" t="s">
        <v>8292</v>
      </c>
      <c r="O2" s="1272" t="s">
        <v>8293</v>
      </c>
      <c r="P2" s="1273" t="s">
        <v>1351</v>
      </c>
      <c r="Q2" s="1275" t="s">
        <v>8294</v>
      </c>
      <c r="R2" s="1276" t="s">
        <v>4361</v>
      </c>
      <c r="S2" s="1275" t="s">
        <v>812</v>
      </c>
      <c r="T2" s="1276" t="s">
        <v>8295</v>
      </c>
      <c r="U2" s="1275" t="s">
        <v>8296</v>
      </c>
      <c r="V2" s="1277">
        <v>58.55</v>
      </c>
      <c r="W2" s="1278" t="s">
        <v>8297</v>
      </c>
      <c r="X2" s="1279" t="s">
        <v>8298</v>
      </c>
      <c r="Y2" s="1279">
        <v>46.63</v>
      </c>
      <c r="Z2" s="1280" t="s">
        <v>8299</v>
      </c>
      <c r="AA2" s="1279" t="s">
        <v>3286</v>
      </c>
      <c r="AB2" s="1279" t="s">
        <v>8300</v>
      </c>
      <c r="AC2" s="1280" t="s">
        <v>3853</v>
      </c>
      <c r="AD2" s="1269" t="s">
        <v>760</v>
      </c>
      <c r="AE2" s="1268" t="s">
        <v>3848</v>
      </c>
      <c r="AF2" s="1281" t="s">
        <v>8301</v>
      </c>
      <c r="AG2" s="1281" t="s">
        <v>8302</v>
      </c>
      <c r="AH2" s="1281" t="s">
        <v>3596</v>
      </c>
      <c r="AI2" s="1282" t="s">
        <v>8303</v>
      </c>
      <c r="AJ2" s="1282" t="s">
        <v>8304</v>
      </c>
      <c r="AK2" s="1282" t="s">
        <v>8305</v>
      </c>
      <c r="AL2" s="1283" t="s">
        <v>5965</v>
      </c>
      <c r="AM2" s="1284" t="s">
        <v>3458</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3590</v>
      </c>
      <c r="O3" s="1295" t="s">
        <v>8321</v>
      </c>
      <c r="P3" s="1295" t="s">
        <v>5408</v>
      </c>
      <c r="Q3" s="1296" t="s">
        <v>8322</v>
      </c>
      <c r="R3" s="1296" t="s">
        <v>7043</v>
      </c>
      <c r="S3" s="1296" t="s">
        <v>8292</v>
      </c>
      <c r="T3" s="1296" t="s">
        <v>8323</v>
      </c>
      <c r="U3" s="1297" t="s">
        <v>7605</v>
      </c>
      <c r="V3" s="1296" t="s">
        <v>8324</v>
      </c>
      <c r="W3" s="1298" t="s">
        <v>8325</v>
      </c>
      <c r="X3" s="1299" t="s">
        <v>2559</v>
      </c>
      <c r="Y3" s="1299" t="s">
        <v>3914</v>
      </c>
      <c r="Z3" s="1299" t="s">
        <v>8326</v>
      </c>
      <c r="AA3" s="1299" t="s">
        <v>8327</v>
      </c>
      <c r="AB3" s="1298" t="s">
        <v>2806</v>
      </c>
      <c r="AC3" s="1299" t="s">
        <v>4958</v>
      </c>
      <c r="AD3" s="1293" t="s">
        <v>8328</v>
      </c>
      <c r="AE3" s="1293" t="s">
        <v>8329</v>
      </c>
      <c r="AF3" s="1300" t="s">
        <v>8330</v>
      </c>
      <c r="AG3" s="1301" t="s">
        <v>8331</v>
      </c>
      <c r="AH3" s="1301" t="s">
        <v>2782</v>
      </c>
      <c r="AI3" s="1301" t="s">
        <v>3994</v>
      </c>
      <c r="AJ3" s="1300" t="s">
        <v>8332</v>
      </c>
      <c r="AK3" s="1301" t="s">
        <v>8333</v>
      </c>
      <c r="AL3" s="1301" t="s">
        <v>5908</v>
      </c>
      <c r="AM3" s="1302" t="s">
        <v>2323</v>
      </c>
      <c r="AN3" s="1302" t="s">
        <v>3557</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3527</v>
      </c>
      <c r="M4" s="1311" t="s">
        <v>8347</v>
      </c>
      <c r="N4" s="1311" t="s">
        <v>8348</v>
      </c>
      <c r="O4" s="1311" t="s">
        <v>8349</v>
      </c>
      <c r="P4" s="1311" t="s">
        <v>8350</v>
      </c>
      <c r="Q4" s="1312" t="s">
        <v>8351</v>
      </c>
      <c r="R4" s="1312" t="s">
        <v>8352</v>
      </c>
      <c r="S4" s="1312" t="s">
        <v>2217</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4515</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4415</v>
      </c>
      <c r="J5" s="1324" t="s">
        <v>2525</v>
      </c>
      <c r="K5" s="1326" t="s">
        <v>2075</v>
      </c>
      <c r="L5" s="1327" t="s">
        <v>8377</v>
      </c>
      <c r="M5" s="1328" t="s">
        <v>8291</v>
      </c>
      <c r="N5" s="1328" t="s">
        <v>8292</v>
      </c>
      <c r="O5" s="1329" t="s">
        <v>8378</v>
      </c>
      <c r="P5" s="1326" t="s">
        <v>4021</v>
      </c>
      <c r="Q5" s="1328" t="s">
        <v>8294</v>
      </c>
      <c r="R5" s="1330" t="s">
        <v>7319</v>
      </c>
      <c r="S5" s="1328" t="s">
        <v>812</v>
      </c>
      <c r="T5" s="1324" t="s">
        <v>8379</v>
      </c>
      <c r="U5" s="1328" t="s">
        <v>8296</v>
      </c>
      <c r="V5" s="1326" t="s">
        <v>8380</v>
      </c>
      <c r="W5" s="1324" t="s">
        <v>3880</v>
      </c>
      <c r="X5" s="1324" t="s">
        <v>8381</v>
      </c>
      <c r="Y5" s="1324" t="s">
        <v>7270</v>
      </c>
      <c r="Z5" s="1331" t="s">
        <v>3829</v>
      </c>
      <c r="AA5" s="1324" t="s">
        <v>5256</v>
      </c>
      <c r="AB5" s="1327" t="s">
        <v>515</v>
      </c>
      <c r="AC5" s="1328" t="s">
        <v>3853</v>
      </c>
      <c r="AD5" s="1327" t="s">
        <v>8382</v>
      </c>
      <c r="AE5" s="1332" t="s">
        <v>8383</v>
      </c>
      <c r="AF5" s="1332" t="s">
        <v>8384</v>
      </c>
      <c r="AG5" s="1333" t="s">
        <v>2283</v>
      </c>
      <c r="AH5" s="1324" t="s">
        <v>8385</v>
      </c>
      <c r="AI5" s="1328" t="s">
        <v>8303</v>
      </c>
      <c r="AJ5" s="1327" t="s">
        <v>8386</v>
      </c>
      <c r="AK5" s="1328" t="s">
        <v>8305</v>
      </c>
      <c r="AL5" s="1324" t="s">
        <v>4436</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2557</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4361</v>
      </c>
      <c r="S6" s="1339" t="s">
        <v>8290</v>
      </c>
      <c r="T6" s="1340" t="s">
        <v>8295</v>
      </c>
      <c r="U6" s="1326" t="s">
        <v>8306</v>
      </c>
      <c r="V6" s="1334" t="s">
        <v>8110</v>
      </c>
      <c r="W6" s="1340" t="s">
        <v>8297</v>
      </c>
      <c r="X6" s="1340" t="s">
        <v>8298</v>
      </c>
      <c r="Y6" s="1341">
        <v>46.72</v>
      </c>
      <c r="Z6" s="1341" t="s">
        <v>3273</v>
      </c>
      <c r="AA6" s="1340" t="s">
        <v>3286</v>
      </c>
      <c r="AB6" s="1340" t="s">
        <v>8300</v>
      </c>
      <c r="AC6" s="1339" t="s">
        <v>5389</v>
      </c>
      <c r="AD6" s="1339" t="s">
        <v>7193</v>
      </c>
      <c r="AE6" s="1342" t="s">
        <v>3848</v>
      </c>
      <c r="AF6" s="1341" t="s">
        <v>8401</v>
      </c>
      <c r="AG6" s="1334" t="s">
        <v>8402</v>
      </c>
      <c r="AH6" s="1340" t="s">
        <v>3596</v>
      </c>
      <c r="AI6" s="1339" t="s">
        <v>2517</v>
      </c>
      <c r="AJ6" s="1341" t="s">
        <v>8403</v>
      </c>
      <c r="AK6" s="1341" t="s">
        <v>5649</v>
      </c>
      <c r="AL6" s="1342" t="s">
        <v>5965</v>
      </c>
      <c r="AM6" s="1340" t="s">
        <v>3458</v>
      </c>
      <c r="AN6" s="1334" t="s">
        <v>4071</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2774</v>
      </c>
      <c r="J7" s="1324" t="s">
        <v>8413</v>
      </c>
      <c r="K7" s="1330" t="s">
        <v>3211</v>
      </c>
      <c r="L7" s="1330" t="s">
        <v>4023</v>
      </c>
      <c r="M7" s="1330" t="s">
        <v>6210</v>
      </c>
      <c r="N7" s="1329" t="s">
        <v>8414</v>
      </c>
      <c r="O7" s="1330" t="s">
        <v>8415</v>
      </c>
      <c r="P7" s="1332" t="s">
        <v>6782</v>
      </c>
      <c r="Q7" s="1324" t="s">
        <v>8416</v>
      </c>
      <c r="R7" s="1330" t="s">
        <v>7079</v>
      </c>
      <c r="S7" s="1330" t="s">
        <v>3163</v>
      </c>
      <c r="T7" s="1332" t="s">
        <v>3555</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3920</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4407</v>
      </c>
      <c r="AN7" s="1324" t="s">
        <v>2644</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2447</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4262</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3838</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3838</v>
      </c>
      <c r="AN9" s="1359" t="s">
        <v>5238</v>
      </c>
      <c r="AO9" s="1334" t="s">
        <v>8406</v>
      </c>
      <c r="AP9" s="1334" t="s">
        <v>8470</v>
      </c>
      <c r="AQ9" s="1334" t="s">
        <v>8471</v>
      </c>
      <c r="AR9" s="1334" t="s">
        <v>4493</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2617</v>
      </c>
      <c r="K10" s="1365" t="s">
        <v>7182</v>
      </c>
      <c r="L10" s="1344">
        <v>56.42</v>
      </c>
      <c r="M10" s="1344" t="s">
        <v>5107</v>
      </c>
      <c r="N10" s="1344" t="s">
        <v>8478</v>
      </c>
      <c r="O10" s="1365" t="s">
        <v>8479</v>
      </c>
      <c r="P10" s="1365" t="s">
        <v>131</v>
      </c>
      <c r="Q10" s="1365" t="s">
        <v>8480</v>
      </c>
      <c r="R10" s="1344" t="s">
        <v>8481</v>
      </c>
      <c r="S10" s="1365" t="s">
        <v>8482</v>
      </c>
      <c r="T10" s="1365" t="s">
        <v>4873</v>
      </c>
      <c r="U10" s="1365" t="s">
        <v>8483</v>
      </c>
      <c r="V10" s="1344">
        <v>59.45</v>
      </c>
      <c r="W10" s="1365" t="s">
        <v>8484</v>
      </c>
      <c r="X10" s="1365" t="s">
        <v>8485</v>
      </c>
      <c r="Y10" s="1365" t="s">
        <v>4950</v>
      </c>
      <c r="Z10" s="1344" t="s">
        <v>4017</v>
      </c>
      <c r="AA10" s="1344" t="s">
        <v>8486</v>
      </c>
      <c r="AB10" s="1344" t="s">
        <v>4508</v>
      </c>
      <c r="AC10" s="1365" t="s">
        <v>3775</v>
      </c>
      <c r="AD10" s="1365" t="s">
        <v>8487</v>
      </c>
      <c r="AE10" s="1344">
        <v>47.89</v>
      </c>
      <c r="AF10" s="1344" t="s">
        <v>8488</v>
      </c>
      <c r="AG10" s="1342" t="s">
        <v>8302</v>
      </c>
      <c r="AH10" s="1344">
        <v>57.71</v>
      </c>
      <c r="AI10" s="1365" t="s">
        <v>8489</v>
      </c>
      <c r="AJ10" s="1344" t="s">
        <v>8444</v>
      </c>
      <c r="AK10" s="1365" t="s">
        <v>7015</v>
      </c>
      <c r="AL10" s="1344">
        <v>56.69</v>
      </c>
      <c r="AM10" s="1365" t="s">
        <v>8490</v>
      </c>
      <c r="AN10" s="1365" t="s">
        <v>3973</v>
      </c>
      <c r="AO10" s="1365" t="s">
        <v>2757</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4184</v>
      </c>
      <c r="G11" s="1330" t="s">
        <v>8496</v>
      </c>
      <c r="H11" s="1242" t="s">
        <v>8497</v>
      </c>
      <c r="I11" s="1330" t="s">
        <v>8498</v>
      </c>
      <c r="J11" s="1330" t="s">
        <v>8499</v>
      </c>
      <c r="K11" s="1330" t="s">
        <v>8500</v>
      </c>
      <c r="L11" s="1330" t="s">
        <v>4256</v>
      </c>
      <c r="M11" s="1330" t="s">
        <v>8073</v>
      </c>
      <c r="N11" s="1330" t="s">
        <v>2171</v>
      </c>
      <c r="O11" s="1330" t="s">
        <v>8501</v>
      </c>
      <c r="P11" s="1330" t="s">
        <v>8498</v>
      </c>
      <c r="Q11" s="1330" t="s">
        <v>8502</v>
      </c>
      <c r="R11" s="1330" t="s">
        <v>1222</v>
      </c>
      <c r="S11" s="1368" t="s">
        <v>8503</v>
      </c>
      <c r="T11" s="1330" t="s">
        <v>4827</v>
      </c>
      <c r="U11" s="1330" t="s">
        <v>8504</v>
      </c>
      <c r="V11" s="1330" t="s">
        <v>8380</v>
      </c>
      <c r="W11" s="1330" t="s">
        <v>8505</v>
      </c>
      <c r="X11" s="1330" t="s">
        <v>958</v>
      </c>
      <c r="Y11" s="1330" t="s">
        <v>4153</v>
      </c>
      <c r="Z11" s="1330" t="s">
        <v>8506</v>
      </c>
      <c r="AA11" s="1330" t="s">
        <v>8507</v>
      </c>
      <c r="AB11" s="1330" t="s">
        <v>1970</v>
      </c>
      <c r="AC11" s="1330" t="s">
        <v>756</v>
      </c>
      <c r="AD11" s="1330" t="s">
        <v>8508</v>
      </c>
      <c r="AE11" s="1330" t="s">
        <v>6214</v>
      </c>
      <c r="AF11" s="1324" t="s">
        <v>8509</v>
      </c>
      <c r="AG11" s="1330" t="s">
        <v>8510</v>
      </c>
      <c r="AH11" s="1330" t="s">
        <v>4646</v>
      </c>
      <c r="AI11" s="1330" t="s">
        <v>2843</v>
      </c>
      <c r="AJ11" s="1330" t="s">
        <v>8511</v>
      </c>
      <c r="AK11" s="1330" t="s">
        <v>3535</v>
      </c>
      <c r="AL11" s="1330" t="s">
        <v>8512</v>
      </c>
      <c r="AM11" s="1330" t="s">
        <v>4825</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2634</v>
      </c>
      <c r="B12" s="1322" t="s">
        <v>8283</v>
      </c>
      <c r="C12" s="1370">
        <v>0.04971064814814815</v>
      </c>
      <c r="D12" s="1333" t="s">
        <v>8520</v>
      </c>
      <c r="E12" s="1371" t="s">
        <v>504</v>
      </c>
      <c r="F12" s="1371" t="s">
        <v>8521</v>
      </c>
      <c r="G12" s="1371" t="s">
        <v>8522</v>
      </c>
      <c r="H12" s="1324" t="s">
        <v>8523</v>
      </c>
      <c r="I12" s="1372" t="s">
        <v>5569</v>
      </c>
      <c r="J12" s="1373" t="s">
        <v>8524</v>
      </c>
      <c r="K12" s="1373" t="s">
        <v>4100</v>
      </c>
      <c r="L12" s="1373" t="s">
        <v>4579</v>
      </c>
      <c r="M12" s="1373" t="s">
        <v>8525</v>
      </c>
      <c r="N12" s="1373" t="s">
        <v>2618</v>
      </c>
      <c r="O12" s="1373" t="s">
        <v>8526</v>
      </c>
      <c r="P12" s="1373" t="s">
        <v>8527</v>
      </c>
      <c r="Q12" s="1324" t="s">
        <v>8528</v>
      </c>
      <c r="R12" s="1374" t="s">
        <v>8529</v>
      </c>
      <c r="S12" s="1324" t="s">
        <v>1962</v>
      </c>
      <c r="T12" s="1374" t="s">
        <v>8530</v>
      </c>
      <c r="U12" s="1324" t="s">
        <v>7067</v>
      </c>
      <c r="V12" s="1374" t="s">
        <v>7756</v>
      </c>
      <c r="W12" s="1375" t="s">
        <v>8531</v>
      </c>
      <c r="X12" s="1375" t="s">
        <v>3865</v>
      </c>
      <c r="Y12" s="1375" t="s">
        <v>6792</v>
      </c>
      <c r="Z12" s="1375" t="s">
        <v>8532</v>
      </c>
      <c r="AA12" s="1375" t="s">
        <v>8402</v>
      </c>
      <c r="AB12" s="1375" t="s">
        <v>4243</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4579</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4860</v>
      </c>
      <c r="P13" s="1334" t="s">
        <v>5334</v>
      </c>
      <c r="Q13" s="1334" t="s">
        <v>4868</v>
      </c>
      <c r="R13" s="1334" t="s">
        <v>8553</v>
      </c>
      <c r="S13" s="1324" t="s">
        <v>2720</v>
      </c>
      <c r="T13" s="1334" t="s">
        <v>2451</v>
      </c>
      <c r="U13" s="1334" t="s">
        <v>8425</v>
      </c>
      <c r="V13" s="1334" t="s">
        <v>5267</v>
      </c>
      <c r="W13" s="1334" t="s">
        <v>1988</v>
      </c>
      <c r="X13" s="1334" t="s">
        <v>8554</v>
      </c>
      <c r="Y13" s="1334" t="s">
        <v>8555</v>
      </c>
      <c r="Z13" s="1382" t="s">
        <v>8299</v>
      </c>
      <c r="AA13" s="1334" t="s">
        <v>8485</v>
      </c>
      <c r="AB13" s="1334" t="s">
        <v>7402</v>
      </c>
      <c r="AC13" s="1334" t="s">
        <v>4866</v>
      </c>
      <c r="AD13" s="1334" t="s">
        <v>5640</v>
      </c>
      <c r="AE13" s="1341">
        <v>47.81</v>
      </c>
      <c r="AF13" s="1334" t="s">
        <v>8556</v>
      </c>
      <c r="AG13" s="1334" t="s">
        <v>8557</v>
      </c>
      <c r="AH13" s="1334" t="s">
        <v>745</v>
      </c>
      <c r="AI13" s="1334" t="s">
        <v>2344</v>
      </c>
      <c r="AJ13" s="1334" t="s">
        <v>8558</v>
      </c>
      <c r="AK13" s="1334" t="s">
        <v>970</v>
      </c>
      <c r="AL13" s="1334" t="s">
        <v>8559</v>
      </c>
      <c r="AM13" s="1334" t="s">
        <v>4407</v>
      </c>
      <c r="AN13" s="1334" t="s">
        <v>8560</v>
      </c>
      <c r="AO13" s="1334" t="s">
        <v>8427</v>
      </c>
      <c r="AP13" s="1334" t="s">
        <v>8561</v>
      </c>
      <c r="AQ13" s="1334" t="s">
        <v>8562</v>
      </c>
      <c r="AR13" s="1382" t="s">
        <v>410</v>
      </c>
      <c r="AS13" s="1334" t="s">
        <v>2998</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4670</v>
      </c>
      <c r="F14" s="1333" t="s">
        <v>8566</v>
      </c>
      <c r="G14" s="1333" t="s">
        <v>8567</v>
      </c>
      <c r="H14" s="1333" t="s">
        <v>8568</v>
      </c>
      <c r="I14" s="1333" t="s">
        <v>5583</v>
      </c>
      <c r="J14" s="1333" t="s">
        <v>8569</v>
      </c>
      <c r="K14" s="1242" t="s">
        <v>8570</v>
      </c>
      <c r="L14" s="1333" t="s">
        <v>8571</v>
      </c>
      <c r="M14" s="1333" t="s">
        <v>8572</v>
      </c>
      <c r="N14" s="1333" t="s">
        <v>2017</v>
      </c>
      <c r="O14" s="1333" t="s">
        <v>8573</v>
      </c>
      <c r="P14" s="1242" t="s">
        <v>4388</v>
      </c>
      <c r="Q14" s="1333" t="s">
        <v>8574</v>
      </c>
      <c r="R14" s="1333" t="s">
        <v>1999</v>
      </c>
      <c r="S14" s="1333" t="s">
        <v>3163</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3709</v>
      </c>
      <c r="AF14" s="1333" t="s">
        <v>8578</v>
      </c>
      <c r="AG14" s="1333" t="s">
        <v>1528</v>
      </c>
      <c r="AH14" s="1242" t="s">
        <v>8579</v>
      </c>
      <c r="AI14" s="1333" t="s">
        <v>7949</v>
      </c>
      <c r="AJ14" s="1333" t="s">
        <v>8580</v>
      </c>
      <c r="AK14" s="1333" t="s">
        <v>8581</v>
      </c>
      <c r="AL14" s="1333" t="s">
        <v>4235</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3192</v>
      </c>
      <c r="R15" s="1391" t="s">
        <v>8599</v>
      </c>
      <c r="S15" s="1391" t="s">
        <v>8600</v>
      </c>
      <c r="T15" s="1391" t="s">
        <v>8601</v>
      </c>
      <c r="U15" s="1391" t="s">
        <v>8602</v>
      </c>
      <c r="V15" s="1374" t="s">
        <v>4369</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2982</v>
      </c>
      <c r="AO15" s="1378" t="s">
        <v>8617</v>
      </c>
      <c r="AP15" s="1377" t="s">
        <v>5533</v>
      </c>
      <c r="AQ15" s="1378" t="s">
        <v>8618</v>
      </c>
      <c r="AR15" s="1377" t="s">
        <v>1091</v>
      </c>
      <c r="AS15" s="1377" t="s">
        <v>3921</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4573</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2745</v>
      </c>
      <c r="AJ16" s="1344" t="s">
        <v>8638</v>
      </c>
      <c r="AK16" s="1400" t="s">
        <v>8639</v>
      </c>
      <c r="AL16" s="1397">
        <v>55.92</v>
      </c>
      <c r="AM16" s="1397" t="s">
        <v>2786</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2214</v>
      </c>
      <c r="B17" s="1322" t="s">
        <v>8283</v>
      </c>
      <c r="C17" s="1323">
        <v>0.0499537037037037</v>
      </c>
      <c r="D17" s="1330" t="s">
        <v>8644</v>
      </c>
      <c r="E17" s="1330" t="s">
        <v>2695</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4534</v>
      </c>
      <c r="R17" s="1374" t="s">
        <v>8653</v>
      </c>
      <c r="S17" s="1330" t="s">
        <v>3829</v>
      </c>
      <c r="T17" s="1330" t="s">
        <v>8654</v>
      </c>
      <c r="U17" s="1330" t="s">
        <v>8655</v>
      </c>
      <c r="V17" s="1330" t="s">
        <v>8656</v>
      </c>
      <c r="W17" s="1330" t="s">
        <v>8657</v>
      </c>
      <c r="X17" s="1330" t="s">
        <v>7537</v>
      </c>
      <c r="Y17" s="1330" t="s">
        <v>4107</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2481</v>
      </c>
      <c r="AL17" s="1330" t="s">
        <v>8662</v>
      </c>
      <c r="AM17" s="1330" t="s">
        <v>8663</v>
      </c>
      <c r="AN17" s="1330" t="s">
        <v>549</v>
      </c>
      <c r="AO17" s="1330" t="s">
        <v>8664</v>
      </c>
      <c r="AP17" s="1330" t="s">
        <v>8665</v>
      </c>
      <c r="AQ17" s="1330" t="s">
        <v>4656</v>
      </c>
      <c r="AR17" s="1330" t="s">
        <v>6311</v>
      </c>
      <c r="AS17" s="1330" t="s">
        <v>8666</v>
      </c>
      <c r="AT17" s="1330" t="s">
        <v>2907</v>
      </c>
      <c r="AU17" s="1330" t="s">
        <v>8667</v>
      </c>
      <c r="AV17" s="1332" t="str">
        <f t="shared" si="1"/>
        <v>3:21</v>
      </c>
      <c r="AW17" s="1388" t="s">
        <v>8668</v>
      </c>
    </row>
    <row r="18" ht="15.75" customHeight="1">
      <c r="A18" s="1321" t="s">
        <v>8669</v>
      </c>
      <c r="B18" s="1322" t="s">
        <v>8283</v>
      </c>
      <c r="C18" s="1323">
        <v>0.049965277777777775</v>
      </c>
      <c r="D18" s="1242" t="s">
        <v>8670</v>
      </c>
      <c r="E18" s="1330" t="s">
        <v>4133</v>
      </c>
      <c r="F18" s="1330" t="s">
        <v>8671</v>
      </c>
      <c r="G18" s="1330" t="s">
        <v>8672</v>
      </c>
      <c r="H18" s="1332" t="s">
        <v>2238</v>
      </c>
      <c r="I18" s="1330" t="s">
        <v>1292</v>
      </c>
      <c r="J18" s="1330" t="s">
        <v>376</v>
      </c>
      <c r="K18" s="1330" t="s">
        <v>8673</v>
      </c>
      <c r="L18" s="1330" t="s">
        <v>5276</v>
      </c>
      <c r="M18" s="1330" t="s">
        <v>6210</v>
      </c>
      <c r="N18" s="1330" t="s">
        <v>8674</v>
      </c>
      <c r="O18" s="1330" t="s">
        <v>2562</v>
      </c>
      <c r="P18" s="1332" t="s">
        <v>5334</v>
      </c>
      <c r="Q18" s="1330" t="s">
        <v>8675</v>
      </c>
      <c r="R18" s="1330" t="s">
        <v>4268</v>
      </c>
      <c r="S18" s="1330" t="s">
        <v>7453</v>
      </c>
      <c r="T18" s="1330" t="s">
        <v>8041</v>
      </c>
      <c r="U18" s="1330" t="s">
        <v>8676</v>
      </c>
      <c r="V18" s="1330" t="s">
        <v>4885</v>
      </c>
      <c r="W18" s="1330" t="s">
        <v>8677</v>
      </c>
      <c r="X18" s="1332" t="s">
        <v>6565</v>
      </c>
      <c r="Y18" s="1332" t="s">
        <v>5419</v>
      </c>
      <c r="Z18" s="1330" t="s">
        <v>8678</v>
      </c>
      <c r="AA18" s="1330" t="s">
        <v>2283</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4527</v>
      </c>
      <c r="AM18" s="1330" t="s">
        <v>3286</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3470</v>
      </c>
      <c r="J19" s="1365" t="s">
        <v>8688</v>
      </c>
      <c r="K19" s="1405" t="s">
        <v>4038</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4593</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2591</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3059</v>
      </c>
      <c r="K20" s="1330" t="s">
        <v>8711</v>
      </c>
      <c r="L20" s="1330" t="s">
        <v>4157</v>
      </c>
      <c r="M20" s="1330" t="s">
        <v>8712</v>
      </c>
      <c r="N20" s="1330" t="s">
        <v>8713</v>
      </c>
      <c r="O20" s="1330" t="s">
        <v>8631</v>
      </c>
      <c r="P20" s="1332" t="s">
        <v>3718</v>
      </c>
      <c r="Q20" s="1330" t="s">
        <v>8714</v>
      </c>
      <c r="R20" s="1330" t="s">
        <v>1744</v>
      </c>
      <c r="S20" s="1330" t="s">
        <v>8715</v>
      </c>
      <c r="T20" s="1330" t="s">
        <v>7107</v>
      </c>
      <c r="U20" s="1330" t="s">
        <v>8716</v>
      </c>
      <c r="V20" s="1330" t="s">
        <v>8717</v>
      </c>
      <c r="W20" s="1330" t="s">
        <v>8718</v>
      </c>
      <c r="X20" s="1330" t="s">
        <v>3782</v>
      </c>
      <c r="Y20" s="1330" t="s">
        <v>8719</v>
      </c>
      <c r="Z20" s="1330" t="s">
        <v>8720</v>
      </c>
      <c r="AA20" s="1330" t="s">
        <v>8721</v>
      </c>
      <c r="AB20" s="1330" t="s">
        <v>8722</v>
      </c>
      <c r="AC20" s="1332" t="s">
        <v>4815</v>
      </c>
      <c r="AD20" s="1330" t="s">
        <v>8723</v>
      </c>
      <c r="AE20" s="1332" t="s">
        <v>5408</v>
      </c>
      <c r="AF20" s="1407" t="s">
        <v>8301</v>
      </c>
      <c r="AG20" s="1330" t="s">
        <v>600</v>
      </c>
      <c r="AH20" s="1330" t="s">
        <v>6705</v>
      </c>
      <c r="AI20" s="1330" t="s">
        <v>194</v>
      </c>
      <c r="AJ20" s="1332" t="s">
        <v>8724</v>
      </c>
      <c r="AK20" s="1330" t="s">
        <v>8725</v>
      </c>
      <c r="AL20" s="1332" t="s">
        <v>3440</v>
      </c>
      <c r="AM20" s="1330" t="s">
        <v>1910</v>
      </c>
      <c r="AN20" s="1332" t="s">
        <v>2581</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2229</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2170</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4852</v>
      </c>
      <c r="J22" s="1344" t="s">
        <v>4182</v>
      </c>
      <c r="K22" s="1344" t="s">
        <v>8765</v>
      </c>
      <c r="L22" s="1242" t="s">
        <v>4945</v>
      </c>
      <c r="M22" s="1411" t="s">
        <v>8320</v>
      </c>
      <c r="N22" s="1344" t="s">
        <v>8766</v>
      </c>
      <c r="O22" s="1344" t="s">
        <v>8767</v>
      </c>
      <c r="P22" s="1344" t="s">
        <v>5692</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3848</v>
      </c>
      <c r="AD22" s="1344" t="s">
        <v>8772</v>
      </c>
      <c r="AE22" s="1344" t="s">
        <v>4703</v>
      </c>
      <c r="AF22" s="1344" t="s">
        <v>5584</v>
      </c>
      <c r="AG22" s="1344" t="s">
        <v>8773</v>
      </c>
      <c r="AH22" s="1344" t="s">
        <v>4300</v>
      </c>
      <c r="AI22" s="1410" t="s">
        <v>3994</v>
      </c>
      <c r="AJ22" s="1344" t="s">
        <v>8774</v>
      </c>
      <c r="AK22" s="1344" t="s">
        <v>8775</v>
      </c>
      <c r="AL22" s="1344" t="s">
        <v>2463</v>
      </c>
      <c r="AM22" s="1344" t="s">
        <v>3834</v>
      </c>
      <c r="AN22" s="1344" t="s">
        <v>5801</v>
      </c>
      <c r="AO22" s="1344" t="s">
        <v>8776</v>
      </c>
      <c r="AP22" s="1344" t="s">
        <v>8777</v>
      </c>
      <c r="AQ22" s="1344" t="s">
        <v>3820</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3493</v>
      </c>
      <c r="O23" s="1390" t="s">
        <v>3568</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4386</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3835</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2649</v>
      </c>
      <c r="N24" s="1330" t="s">
        <v>8805</v>
      </c>
      <c r="O24" s="1330" t="s">
        <v>8806</v>
      </c>
      <c r="P24" s="1242" t="s">
        <v>8807</v>
      </c>
      <c r="Q24" s="1330" t="s">
        <v>8808</v>
      </c>
      <c r="R24" s="1242" t="s">
        <v>8809</v>
      </c>
      <c r="S24" s="1330" t="s">
        <v>8810</v>
      </c>
      <c r="T24" s="1242" t="s">
        <v>8811</v>
      </c>
      <c r="U24" s="1330" t="s">
        <v>162</v>
      </c>
      <c r="V24" s="1242" t="s">
        <v>4885</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2588</v>
      </c>
      <c r="AI24" s="1330" t="s">
        <v>8817</v>
      </c>
      <c r="AJ24" s="1242" t="s">
        <v>8818</v>
      </c>
      <c r="AK24" s="1242" t="s">
        <v>8298</v>
      </c>
      <c r="AL24" s="1242" t="s">
        <v>4527</v>
      </c>
      <c r="AM24" s="1242" t="s">
        <v>8819</v>
      </c>
      <c r="AN24" s="1242" t="s">
        <v>4527</v>
      </c>
      <c r="AO24" s="1242" t="s">
        <v>1975</v>
      </c>
      <c r="AP24" s="1330" t="s">
        <v>8820</v>
      </c>
      <c r="AQ24" s="1242" t="s">
        <v>2175</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3196</v>
      </c>
      <c r="M25" s="1373" t="s">
        <v>8829</v>
      </c>
      <c r="N25" s="1373" t="s">
        <v>8830</v>
      </c>
      <c r="O25" s="1373" t="s">
        <v>3978</v>
      </c>
      <c r="P25" s="1373" t="s">
        <v>5058</v>
      </c>
      <c r="Q25" s="1374" t="s">
        <v>8831</v>
      </c>
      <c r="R25" s="1374" t="s">
        <v>8832</v>
      </c>
      <c r="S25" s="1374" t="s">
        <v>541</v>
      </c>
      <c r="T25" s="1374" t="s">
        <v>8833</v>
      </c>
      <c r="U25" s="1374" t="s">
        <v>8834</v>
      </c>
      <c r="V25" s="1374" t="s">
        <v>8835</v>
      </c>
      <c r="W25" s="1375" t="s">
        <v>8836</v>
      </c>
      <c r="X25" s="1375" t="s">
        <v>4386</v>
      </c>
      <c r="Y25" s="1375" t="s">
        <v>1544</v>
      </c>
      <c r="Z25" s="1375" t="s">
        <v>2325</v>
      </c>
      <c r="AA25" s="1375" t="s">
        <v>8837</v>
      </c>
      <c r="AB25" s="1375" t="s">
        <v>3524</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3554</v>
      </c>
      <c r="AP25" s="1378" t="s">
        <v>8844</v>
      </c>
      <c r="AQ25" s="1378" t="s">
        <v>8845</v>
      </c>
      <c r="AR25" s="1378" t="s">
        <v>2841</v>
      </c>
      <c r="AS25" s="1378" t="s">
        <v>298</v>
      </c>
      <c r="AT25" s="1373" t="s">
        <v>8846</v>
      </c>
      <c r="AU25" s="1361" t="s">
        <v>8847</v>
      </c>
      <c r="AV25" s="1332" t="str">
        <f t="shared" si="1"/>
        <v>2:59</v>
      </c>
      <c r="AW25" s="1383" t="s">
        <v>8848</v>
      </c>
    </row>
    <row r="26" ht="15.75" customHeight="1">
      <c r="A26" s="1363" t="s">
        <v>2597</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3590</v>
      </c>
      <c r="O26" s="1242" t="s">
        <v>8854</v>
      </c>
      <c r="P26" s="1411" t="s">
        <v>5408</v>
      </c>
      <c r="Q26" s="1411" t="s">
        <v>8322</v>
      </c>
      <c r="R26" s="1411" t="s">
        <v>7043</v>
      </c>
      <c r="S26" s="1411" t="s">
        <v>8292</v>
      </c>
      <c r="T26" s="1242" t="s">
        <v>4488</v>
      </c>
      <c r="U26" s="1242" t="s">
        <v>8855</v>
      </c>
      <c r="V26" s="1411" t="s">
        <v>8324</v>
      </c>
      <c r="W26" s="1242" t="s">
        <v>6950</v>
      </c>
      <c r="X26" s="1242" t="s">
        <v>1519</v>
      </c>
      <c r="Y26" s="1411" t="s">
        <v>3914</v>
      </c>
      <c r="Z26" s="1242" t="s">
        <v>1060</v>
      </c>
      <c r="AA26" s="1242" t="s">
        <v>8856</v>
      </c>
      <c r="AB26" s="1242" t="s">
        <v>5733</v>
      </c>
      <c r="AC26" s="1242" t="s">
        <v>1963</v>
      </c>
      <c r="AD26" s="1242" t="s">
        <v>8857</v>
      </c>
      <c r="AE26" s="1242" t="s">
        <v>4280</v>
      </c>
      <c r="AF26" s="1242" t="s">
        <v>8858</v>
      </c>
      <c r="AG26" s="1242" t="s">
        <v>5492</v>
      </c>
      <c r="AH26" s="1242" t="s">
        <v>4514</v>
      </c>
      <c r="AI26" s="1242" t="s">
        <v>3147</v>
      </c>
      <c r="AJ26" s="1242" t="s">
        <v>8859</v>
      </c>
      <c r="AK26" s="1242" t="s">
        <v>2920</v>
      </c>
      <c r="AL26" s="1242" t="s">
        <v>8860</v>
      </c>
      <c r="AM26" s="1242" t="s">
        <v>4344</v>
      </c>
      <c r="AN26" s="1242" t="s">
        <v>4226</v>
      </c>
      <c r="AO26" s="1242" t="s">
        <v>7132</v>
      </c>
      <c r="AP26" s="1242" t="s">
        <v>8861</v>
      </c>
      <c r="AQ26" s="1242" t="s">
        <v>8862</v>
      </c>
      <c r="AR26" s="1242" t="s">
        <v>2841</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3085</v>
      </c>
      <c r="J27" s="1373" t="s">
        <v>4692</v>
      </c>
      <c r="K27" s="1373" t="s">
        <v>8765</v>
      </c>
      <c r="L27" s="1373" t="s">
        <v>2428</v>
      </c>
      <c r="M27" s="1373" t="s">
        <v>2045</v>
      </c>
      <c r="N27" s="1373" t="s">
        <v>4024</v>
      </c>
      <c r="O27" s="1373" t="s">
        <v>8868</v>
      </c>
      <c r="P27" s="1390" t="s">
        <v>756</v>
      </c>
      <c r="Q27" s="1374" t="s">
        <v>8869</v>
      </c>
      <c r="R27" s="1374" t="s">
        <v>3163</v>
      </c>
      <c r="S27" s="1374" t="s">
        <v>7375</v>
      </c>
      <c r="T27" s="1391" t="s">
        <v>8486</v>
      </c>
      <c r="U27" s="1374" t="s">
        <v>8438</v>
      </c>
      <c r="V27" s="1391" t="s">
        <v>8870</v>
      </c>
      <c r="W27" s="1392" t="s">
        <v>7168</v>
      </c>
      <c r="X27" s="1422" t="s">
        <v>2559</v>
      </c>
      <c r="Y27" s="1392" t="s">
        <v>8871</v>
      </c>
      <c r="Z27" s="1375" t="s">
        <v>8872</v>
      </c>
      <c r="AA27" s="1392" t="s">
        <v>8873</v>
      </c>
      <c r="AB27" s="1242" t="s">
        <v>7236</v>
      </c>
      <c r="AC27" s="1392" t="s">
        <v>2572</v>
      </c>
      <c r="AD27" s="1423" t="s">
        <v>8328</v>
      </c>
      <c r="AE27" s="1371" t="s">
        <v>4280</v>
      </c>
      <c r="AF27" s="1376" t="s">
        <v>8874</v>
      </c>
      <c r="AG27" s="1393" t="s">
        <v>3698</v>
      </c>
      <c r="AH27" s="1393" t="s">
        <v>8875</v>
      </c>
      <c r="AI27" s="1332" t="s">
        <v>8813</v>
      </c>
      <c r="AJ27" s="1393" t="s">
        <v>8876</v>
      </c>
      <c r="AK27" s="1424" t="s">
        <v>8333</v>
      </c>
      <c r="AL27" s="1393" t="s">
        <v>3266</v>
      </c>
      <c r="AM27" s="1378" t="s">
        <v>8877</v>
      </c>
      <c r="AN27" s="1378" t="s">
        <v>4915</v>
      </c>
      <c r="AO27" s="1378" t="s">
        <v>2079</v>
      </c>
      <c r="AP27" s="1378" t="s">
        <v>8878</v>
      </c>
      <c r="AQ27" s="1377" t="s">
        <v>8879</v>
      </c>
      <c r="AR27" s="1377" t="s">
        <v>3312</v>
      </c>
      <c r="AS27" s="1377" t="s">
        <v>5106</v>
      </c>
      <c r="AT27" s="1373" t="s">
        <v>8880</v>
      </c>
      <c r="AU27" s="1361" t="s">
        <v>8881</v>
      </c>
      <c r="AV27" s="1332" t="str">
        <f t="shared" si="1"/>
        <v>2:55</v>
      </c>
      <c r="AW27" s="1425"/>
    </row>
    <row r="28" ht="15.75" customHeight="1">
      <c r="A28" s="1321" t="s">
        <v>4098</v>
      </c>
      <c r="B28" s="1322" t="s">
        <v>8283</v>
      </c>
      <c r="C28" s="1426">
        <v>0.05043981481481481</v>
      </c>
      <c r="D28" s="1242" t="s">
        <v>8882</v>
      </c>
      <c r="E28" s="1332" t="s">
        <v>7137</v>
      </c>
      <c r="F28" s="1332" t="s">
        <v>7304</v>
      </c>
      <c r="G28" s="1332" t="s">
        <v>8883</v>
      </c>
      <c r="H28" s="1332" t="s">
        <v>8477</v>
      </c>
      <c r="I28" s="1332" t="s">
        <v>4600</v>
      </c>
      <c r="J28" s="1332" t="s">
        <v>4396</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2234</v>
      </c>
      <c r="W28" s="1332" t="s">
        <v>8892</v>
      </c>
      <c r="X28" s="1332" t="s">
        <v>8893</v>
      </c>
      <c r="Y28" s="1332" t="s">
        <v>8719</v>
      </c>
      <c r="Z28" s="1332" t="s">
        <v>1060</v>
      </c>
      <c r="AA28" s="1332" t="s">
        <v>3147</v>
      </c>
      <c r="AB28" s="1332" t="s">
        <v>4692</v>
      </c>
      <c r="AC28" s="1332" t="s">
        <v>7403</v>
      </c>
      <c r="AD28" s="1332" t="s">
        <v>5978</v>
      </c>
      <c r="AE28" s="1332" t="s">
        <v>5458</v>
      </c>
      <c r="AF28" s="1332" t="s">
        <v>8894</v>
      </c>
      <c r="AG28" s="1332" t="s">
        <v>8895</v>
      </c>
      <c r="AH28" s="1332" t="s">
        <v>3860</v>
      </c>
      <c r="AI28" s="1332" t="s">
        <v>5019</v>
      </c>
      <c r="AJ28" s="1332" t="s">
        <v>8896</v>
      </c>
      <c r="AK28" s="1332" t="s">
        <v>8897</v>
      </c>
      <c r="AL28" s="1332" t="s">
        <v>5758</v>
      </c>
      <c r="AM28" s="1332" t="s">
        <v>1227</v>
      </c>
      <c r="AN28" s="1332" t="s">
        <v>4027</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4876</v>
      </c>
      <c r="N29" s="1373" t="s">
        <v>8907</v>
      </c>
      <c r="O29" s="1373" t="s">
        <v>8908</v>
      </c>
      <c r="P29" s="1373" t="s">
        <v>8609</v>
      </c>
      <c r="Q29" s="1374" t="s">
        <v>877</v>
      </c>
      <c r="R29" s="1374" t="s">
        <v>4636</v>
      </c>
      <c r="S29" s="1374" t="s">
        <v>8775</v>
      </c>
      <c r="T29" s="1374" t="s">
        <v>8909</v>
      </c>
      <c r="U29" s="1374" t="s">
        <v>8910</v>
      </c>
      <c r="V29" s="1374" t="s">
        <v>8911</v>
      </c>
      <c r="W29" s="1375" t="s">
        <v>8912</v>
      </c>
      <c r="X29" s="1375" t="s">
        <v>8913</v>
      </c>
      <c r="Y29" s="1375" t="s">
        <v>8914</v>
      </c>
      <c r="Z29" s="1375" t="s">
        <v>8915</v>
      </c>
      <c r="AA29" s="1330" t="s">
        <v>8916</v>
      </c>
      <c r="AB29" s="1375" t="s">
        <v>3128</v>
      </c>
      <c r="AC29" s="1375" t="s">
        <v>1044</v>
      </c>
      <c r="AD29" s="1371" t="s">
        <v>8917</v>
      </c>
      <c r="AE29" s="1371" t="s">
        <v>2170</v>
      </c>
      <c r="AF29" s="1376" t="s">
        <v>8918</v>
      </c>
      <c r="AG29" s="1376" t="s">
        <v>520</v>
      </c>
      <c r="AH29" s="1376" t="s">
        <v>8919</v>
      </c>
      <c r="AI29" s="1376" t="s">
        <v>2628</v>
      </c>
      <c r="AJ29" s="1376" t="s">
        <v>8920</v>
      </c>
      <c r="AK29" s="1376" t="s">
        <v>7211</v>
      </c>
      <c r="AL29" s="1376" t="s">
        <v>2703</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2254</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4278</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2878</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2883</v>
      </c>
      <c r="B31" s="1381" t="s">
        <v>8311</v>
      </c>
      <c r="C31" s="1323">
        <v>0.050520833333333334</v>
      </c>
      <c r="D31" s="1371" t="s">
        <v>8942</v>
      </c>
      <c r="E31" s="1396" t="s">
        <v>4512</v>
      </c>
      <c r="F31" s="1396" t="s">
        <v>8943</v>
      </c>
      <c r="G31" s="1371" t="s">
        <v>8944</v>
      </c>
      <c r="H31" s="1396" t="s">
        <v>8945</v>
      </c>
      <c r="I31" s="1396" t="s">
        <v>2906</v>
      </c>
      <c r="J31" s="1373" t="s">
        <v>8946</v>
      </c>
      <c r="K31" s="1432" t="s">
        <v>8947</v>
      </c>
      <c r="L31" s="1373" t="s">
        <v>8948</v>
      </c>
      <c r="M31" s="1433" t="s">
        <v>5603</v>
      </c>
      <c r="N31" s="1373" t="s">
        <v>970</v>
      </c>
      <c r="O31" s="1373" t="s">
        <v>3568</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3974</v>
      </c>
      <c r="AC31" s="1375" t="s">
        <v>868</v>
      </c>
      <c r="AD31" s="1371" t="s">
        <v>3927</v>
      </c>
      <c r="AE31" s="1371" t="s">
        <v>5692</v>
      </c>
      <c r="AF31" s="1376" t="s">
        <v>8954</v>
      </c>
      <c r="AG31" s="1396" t="s">
        <v>4499</v>
      </c>
      <c r="AH31" s="1376" t="s">
        <v>8955</v>
      </c>
      <c r="AI31" s="1376" t="s">
        <v>6567</v>
      </c>
      <c r="AJ31" s="1376" t="s">
        <v>8956</v>
      </c>
      <c r="AK31" s="1376" t="s">
        <v>8957</v>
      </c>
      <c r="AL31" s="1376" t="s">
        <v>8958</v>
      </c>
      <c r="AM31" s="1378" t="s">
        <v>8486</v>
      </c>
      <c r="AN31" s="1378" t="s">
        <v>8612</v>
      </c>
      <c r="AO31" s="1378" t="s">
        <v>2841</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3546</v>
      </c>
      <c r="N32" s="1373" t="s">
        <v>8973</v>
      </c>
      <c r="O32" s="1373" t="s">
        <v>8868</v>
      </c>
      <c r="P32" s="1373" t="s">
        <v>3775</v>
      </c>
      <c r="Q32" s="1374" t="s">
        <v>8974</v>
      </c>
      <c r="R32" s="1374" t="s">
        <v>2633</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4386</v>
      </c>
      <c r="AL32" s="1376" t="s">
        <v>5546</v>
      </c>
      <c r="AM32" s="1378" t="s">
        <v>2066</v>
      </c>
      <c r="AN32" s="1378" t="s">
        <v>4533</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4081</v>
      </c>
      <c r="M33" s="1242" t="s">
        <v>4005</v>
      </c>
      <c r="N33" s="1242" t="s">
        <v>9000</v>
      </c>
      <c r="O33" s="1242" t="s">
        <v>9001</v>
      </c>
      <c r="P33" s="1242" t="s">
        <v>9002</v>
      </c>
      <c r="Q33" s="1242" t="s">
        <v>9003</v>
      </c>
      <c r="R33" s="1242" t="s">
        <v>9004</v>
      </c>
      <c r="S33" s="1242" t="s">
        <v>6719</v>
      </c>
      <c r="T33" s="1242" t="s">
        <v>8331</v>
      </c>
      <c r="U33" s="1242" t="s">
        <v>9005</v>
      </c>
      <c r="V33" s="1242" t="s">
        <v>9006</v>
      </c>
      <c r="W33" s="1242" t="s">
        <v>4609</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4356</v>
      </c>
      <c r="AI33" s="1242" t="s">
        <v>9013</v>
      </c>
      <c r="AJ33" s="1242" t="s">
        <v>9014</v>
      </c>
      <c r="AK33" s="1242" t="s">
        <v>1676</v>
      </c>
      <c r="AL33" s="1242" t="s">
        <v>1747</v>
      </c>
      <c r="AM33" s="1242" t="s">
        <v>3630</v>
      </c>
      <c r="AN33" s="1242" t="s">
        <v>3841</v>
      </c>
      <c r="AO33" s="1242" t="s">
        <v>6058</v>
      </c>
      <c r="AP33" s="1242" t="s">
        <v>9015</v>
      </c>
      <c r="AQ33" s="1242" t="s">
        <v>9016</v>
      </c>
      <c r="AR33" s="1242" t="s">
        <v>8539</v>
      </c>
      <c r="AS33" s="1242" t="s">
        <v>923</v>
      </c>
      <c r="AT33" s="1242" t="s">
        <v>3118</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4827</v>
      </c>
      <c r="L34" s="1330" t="s">
        <v>2240</v>
      </c>
      <c r="M34" s="1330" t="s">
        <v>2191</v>
      </c>
      <c r="N34" s="1330" t="s">
        <v>8725</v>
      </c>
      <c r="O34" s="1330" t="s">
        <v>9020</v>
      </c>
      <c r="P34" s="1330" t="s">
        <v>3718</v>
      </c>
      <c r="Q34" s="1330" t="s">
        <v>9021</v>
      </c>
      <c r="R34" s="1330" t="s">
        <v>2903</v>
      </c>
      <c r="S34" s="1330" t="s">
        <v>9022</v>
      </c>
      <c r="T34" s="1330" t="s">
        <v>2397</v>
      </c>
      <c r="U34" s="1330" t="s">
        <v>4184</v>
      </c>
      <c r="V34" s="1330" t="s">
        <v>2697</v>
      </c>
      <c r="W34" s="1330" t="s">
        <v>9023</v>
      </c>
      <c r="X34" s="1330" t="s">
        <v>9024</v>
      </c>
      <c r="Y34" s="1330" t="s">
        <v>947</v>
      </c>
      <c r="Z34" s="1330" t="s">
        <v>8743</v>
      </c>
      <c r="AA34" s="1330" t="s">
        <v>7211</v>
      </c>
      <c r="AB34" s="1330" t="s">
        <v>9025</v>
      </c>
      <c r="AC34" s="1332" t="s">
        <v>528</v>
      </c>
      <c r="AD34" s="1330" t="s">
        <v>9026</v>
      </c>
      <c r="AE34" s="1330" t="s">
        <v>4703</v>
      </c>
      <c r="AF34" s="1330" t="s">
        <v>9027</v>
      </c>
      <c r="AG34" s="1410" t="s">
        <v>8331</v>
      </c>
      <c r="AH34" s="1410" t="s">
        <v>2782</v>
      </c>
      <c r="AI34" s="1330" t="s">
        <v>9028</v>
      </c>
      <c r="AJ34" s="1330" t="s">
        <v>9029</v>
      </c>
      <c r="AK34" s="1330" t="s">
        <v>5310</v>
      </c>
      <c r="AL34" s="1330" t="s">
        <v>4027</v>
      </c>
      <c r="AM34" s="1330" t="s">
        <v>8607</v>
      </c>
      <c r="AN34" s="1330" t="s">
        <v>340</v>
      </c>
      <c r="AO34" s="1410" t="s">
        <v>8334</v>
      </c>
      <c r="AP34" s="1330" t="s">
        <v>9030</v>
      </c>
      <c r="AQ34" s="1330" t="s">
        <v>7149</v>
      </c>
      <c r="AR34" s="1330" t="s">
        <v>2618</v>
      </c>
      <c r="AS34" s="1330" t="s">
        <v>3853</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4360</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2617</v>
      </c>
      <c r="AA35" s="1332" t="s">
        <v>9044</v>
      </c>
      <c r="AB35" s="1332" t="s">
        <v>8513</v>
      </c>
      <c r="AC35" s="1332" t="s">
        <v>4388</v>
      </c>
      <c r="AD35" s="1332" t="s">
        <v>2275</v>
      </c>
      <c r="AE35" s="1332" t="s">
        <v>8980</v>
      </c>
      <c r="AF35" s="1332" t="s">
        <v>9045</v>
      </c>
      <c r="AG35" s="1332" t="s">
        <v>3902</v>
      </c>
      <c r="AH35" s="1332" t="s">
        <v>4377</v>
      </c>
      <c r="AI35" s="1332" t="s">
        <v>3521</v>
      </c>
      <c r="AJ35" s="1332" t="s">
        <v>9046</v>
      </c>
      <c r="AK35" s="1332" t="s">
        <v>1091</v>
      </c>
      <c r="AL35" s="1332" t="s">
        <v>8841</v>
      </c>
      <c r="AM35" s="1332" t="s">
        <v>9047</v>
      </c>
      <c r="AN35" s="1330" t="s">
        <v>9048</v>
      </c>
      <c r="AO35" s="1330" t="s">
        <v>9036</v>
      </c>
      <c r="AP35" s="1332" t="s">
        <v>5225</v>
      </c>
      <c r="AQ35" s="1332" t="s">
        <v>249</v>
      </c>
      <c r="AR35" s="1332" t="s">
        <v>4869</v>
      </c>
      <c r="AS35" s="1332" t="s">
        <v>9049</v>
      </c>
      <c r="AT35" s="1332" t="s">
        <v>9050</v>
      </c>
      <c r="AU35" s="1330" t="s">
        <v>9051</v>
      </c>
      <c r="AV35" s="1332" t="str">
        <f t="shared" si="1"/>
        <v>3:07</v>
      </c>
      <c r="AW35" s="1403" t="s">
        <v>9052</v>
      </c>
    </row>
    <row r="36" ht="15.75" customHeight="1">
      <c r="A36" s="1321" t="s">
        <v>4077</v>
      </c>
      <c r="B36" s="1322" t="s">
        <v>8283</v>
      </c>
      <c r="C36" s="1426">
        <v>0.05060185185185185</v>
      </c>
      <c r="D36" s="1242" t="s">
        <v>9053</v>
      </c>
      <c r="E36" s="1389" t="s">
        <v>4267</v>
      </c>
      <c r="F36" s="1389" t="s">
        <v>5839</v>
      </c>
      <c r="G36" s="1389" t="s">
        <v>9054</v>
      </c>
      <c r="H36" s="1372" t="s">
        <v>9055</v>
      </c>
      <c r="I36" s="1372" t="s">
        <v>4855</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4153</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4159</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4531</v>
      </c>
      <c r="AF37" s="1332" t="s">
        <v>9088</v>
      </c>
      <c r="AG37" s="1330" t="s">
        <v>2078</v>
      </c>
      <c r="AH37" s="1330" t="s">
        <v>2878</v>
      </c>
      <c r="AI37" s="1330" t="s">
        <v>9089</v>
      </c>
      <c r="AJ37" s="1332" t="s">
        <v>7841</v>
      </c>
      <c r="AK37" s="1330" t="s">
        <v>9090</v>
      </c>
      <c r="AL37" s="1332" t="s">
        <v>4108</v>
      </c>
      <c r="AM37" s="1332" t="s">
        <v>9091</v>
      </c>
      <c r="AN37" s="1332" t="s">
        <v>2463</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2494</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4646</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4703</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4338</v>
      </c>
      <c r="AO38" s="1242" t="s">
        <v>3312</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4585</v>
      </c>
      <c r="F39" s="1330" t="s">
        <v>9123</v>
      </c>
      <c r="G39" s="1330" t="s">
        <v>8686</v>
      </c>
      <c r="H39" s="1330" t="s">
        <v>1573</v>
      </c>
      <c r="I39" s="1330" t="s">
        <v>1963</v>
      </c>
      <c r="J39" s="1330" t="s">
        <v>9124</v>
      </c>
      <c r="K39" s="1330" t="s">
        <v>3324</v>
      </c>
      <c r="L39" s="1330" t="s">
        <v>9125</v>
      </c>
      <c r="M39" s="1330" t="s">
        <v>9126</v>
      </c>
      <c r="N39" s="1330" t="s">
        <v>9127</v>
      </c>
      <c r="O39" s="1330" t="s">
        <v>9128</v>
      </c>
      <c r="P39" s="1330" t="s">
        <v>8980</v>
      </c>
      <c r="Q39" s="1330" t="s">
        <v>4504</v>
      </c>
      <c r="R39" s="1330" t="s">
        <v>3714</v>
      </c>
      <c r="S39" s="1330" t="s">
        <v>2599</v>
      </c>
      <c r="T39" s="1330" t="s">
        <v>2397</v>
      </c>
      <c r="U39" s="1330" t="s">
        <v>9129</v>
      </c>
      <c r="V39" s="1330" t="s">
        <v>2161</v>
      </c>
      <c r="W39" s="1330" t="s">
        <v>7469</v>
      </c>
      <c r="X39" s="1330" t="s">
        <v>9130</v>
      </c>
      <c r="Y39" s="1330" t="s">
        <v>9131</v>
      </c>
      <c r="Z39" s="1330" t="s">
        <v>9132</v>
      </c>
      <c r="AA39" s="1330" t="s">
        <v>9133</v>
      </c>
      <c r="AB39" s="1330"/>
      <c r="AC39" s="1330" t="s">
        <v>9134</v>
      </c>
      <c r="AD39" s="1330" t="s">
        <v>9135</v>
      </c>
      <c r="AE39" s="1330" t="s">
        <v>3709</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4267</v>
      </c>
      <c r="F40" s="1371" t="s">
        <v>8576</v>
      </c>
      <c r="G40" s="1371" t="s">
        <v>9150</v>
      </c>
      <c r="H40" s="1420" t="s">
        <v>9151</v>
      </c>
      <c r="I40" s="1420" t="s">
        <v>9152</v>
      </c>
      <c r="J40" s="1373" t="s">
        <v>9153</v>
      </c>
      <c r="K40" s="1373" t="s">
        <v>6822</v>
      </c>
      <c r="L40" s="1373" t="s">
        <v>9154</v>
      </c>
      <c r="M40" s="1373" t="s">
        <v>6819</v>
      </c>
      <c r="N40" s="1373" t="s">
        <v>9155</v>
      </c>
      <c r="O40" s="1373" t="s">
        <v>2195</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3698</v>
      </c>
      <c r="AH40" s="1376" t="s">
        <v>5110</v>
      </c>
      <c r="AI40" s="1376" t="s">
        <v>9167</v>
      </c>
      <c r="AJ40" s="1376" t="s">
        <v>9168</v>
      </c>
      <c r="AK40" s="1376" t="s">
        <v>395</v>
      </c>
      <c r="AL40" s="1376" t="s">
        <v>2571</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3233</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2591</v>
      </c>
      <c r="AC41" s="1392" t="s">
        <v>2899</v>
      </c>
      <c r="AD41" s="1389" t="s">
        <v>9186</v>
      </c>
      <c r="AE41" s="1389" t="s">
        <v>4260</v>
      </c>
      <c r="AF41" s="1393" t="s">
        <v>8421</v>
      </c>
      <c r="AG41" s="1393" t="s">
        <v>9187</v>
      </c>
      <c r="AH41" s="1393" t="s">
        <v>2205</v>
      </c>
      <c r="AI41" s="1393" t="s">
        <v>9188</v>
      </c>
      <c r="AJ41" s="1393" t="s">
        <v>9189</v>
      </c>
      <c r="AK41" s="1393" t="s">
        <v>9190</v>
      </c>
      <c r="AL41" s="1393" t="s">
        <v>5265</v>
      </c>
      <c r="AM41" s="1377" t="s">
        <v>9007</v>
      </c>
      <c r="AN41" s="1377" t="s">
        <v>5265</v>
      </c>
      <c r="AO41" s="1377" t="s">
        <v>2254</v>
      </c>
      <c r="AP41" s="1377" t="s">
        <v>9191</v>
      </c>
      <c r="AQ41" s="1377" t="s">
        <v>9192</v>
      </c>
      <c r="AR41" s="1377" t="s">
        <v>9193</v>
      </c>
      <c r="AS41" s="1377" t="s">
        <v>4156</v>
      </c>
      <c r="AT41" s="1390" t="s">
        <v>9194</v>
      </c>
      <c r="AU41" s="1394" t="s">
        <v>9195</v>
      </c>
      <c r="AV41" s="1332" t="str">
        <f t="shared" si="1"/>
        <v>2:54</v>
      </c>
      <c r="AW41" s="1425"/>
    </row>
    <row r="42">
      <c r="A42" s="1363" t="s">
        <v>3014</v>
      </c>
      <c r="B42" s="1364" t="s">
        <v>8283</v>
      </c>
      <c r="C42" s="1323">
        <v>0.050826388888888886</v>
      </c>
      <c r="D42" s="1330" t="s">
        <v>9196</v>
      </c>
      <c r="E42" s="1330" t="s">
        <v>9197</v>
      </c>
      <c r="F42" s="1371" t="s">
        <v>9198</v>
      </c>
      <c r="G42" s="1330" t="s">
        <v>9199</v>
      </c>
      <c r="H42" s="1330" t="s">
        <v>6174</v>
      </c>
      <c r="I42" s="1330" t="s">
        <v>1358</v>
      </c>
      <c r="J42" s="1330" t="s">
        <v>9200</v>
      </c>
      <c r="K42" s="1330" t="s">
        <v>3674</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3709</v>
      </c>
      <c r="AF42" s="1330" t="s">
        <v>9210</v>
      </c>
      <c r="AG42" s="1330" t="s">
        <v>1106</v>
      </c>
      <c r="AH42" s="1330" t="s">
        <v>3666</v>
      </c>
      <c r="AI42" s="1330" t="s">
        <v>9211</v>
      </c>
      <c r="AJ42" s="1330" t="s">
        <v>9212</v>
      </c>
      <c r="AK42" s="1330" t="s">
        <v>9090</v>
      </c>
      <c r="AL42" s="1330" t="s">
        <v>4115</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4562</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4520</v>
      </c>
      <c r="U43" s="1332" t="s">
        <v>9224</v>
      </c>
      <c r="V43" s="1332" t="s">
        <v>8770</v>
      </c>
      <c r="W43" s="1332" t="s">
        <v>9225</v>
      </c>
      <c r="X43" s="1332" t="s">
        <v>8773</v>
      </c>
      <c r="Y43" s="1332" t="s">
        <v>3331</v>
      </c>
      <c r="Z43" s="1332" t="s">
        <v>9226</v>
      </c>
      <c r="AA43" s="1332" t="s">
        <v>9227</v>
      </c>
      <c r="AB43" s="1332" t="s">
        <v>9228</v>
      </c>
      <c r="AC43" s="1332" t="s">
        <v>2840</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3445</v>
      </c>
      <c r="AO43" s="1332" t="s">
        <v>8673</v>
      </c>
      <c r="AP43" s="1332" t="s">
        <v>9235</v>
      </c>
      <c r="AQ43" s="1332" t="s">
        <v>9236</v>
      </c>
      <c r="AR43" s="1332" t="s">
        <v>8570</v>
      </c>
      <c r="AS43" s="1332" t="s">
        <v>3567</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2281</v>
      </c>
      <c r="M44" s="1332" t="s">
        <v>2633</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2256</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3887</v>
      </c>
      <c r="AO44" s="1330" t="s">
        <v>4741</v>
      </c>
      <c r="AP44" s="1371" t="s">
        <v>9249</v>
      </c>
      <c r="AQ44" s="1330" t="s">
        <v>9250</v>
      </c>
      <c r="AR44" s="1371" t="s">
        <v>9251</v>
      </c>
      <c r="AS44" s="1332" t="s">
        <v>900</v>
      </c>
      <c r="AT44" s="1443" t="s">
        <v>8372</v>
      </c>
      <c r="AU44" s="1330" t="s">
        <v>9252</v>
      </c>
      <c r="AV44" s="1332" t="str">
        <f t="shared" si="1"/>
        <v>2:24</v>
      </c>
      <c r="AW44" s="1367"/>
    </row>
    <row r="45">
      <c r="A45" s="1363" t="s">
        <v>2527</v>
      </c>
      <c r="B45" s="1435" t="s">
        <v>8311</v>
      </c>
      <c r="C45" s="1323">
        <v>0.05092592592592592</v>
      </c>
      <c r="D45" s="1242" t="s">
        <v>9253</v>
      </c>
      <c r="E45" s="1371" t="s">
        <v>9254</v>
      </c>
      <c r="F45" s="1371" t="s">
        <v>9255</v>
      </c>
      <c r="G45" s="1371" t="s">
        <v>9256</v>
      </c>
      <c r="H45" s="1420" t="s">
        <v>9257</v>
      </c>
      <c r="I45" s="1420" t="s">
        <v>2780</v>
      </c>
      <c r="J45" s="1373" t="s">
        <v>8437</v>
      </c>
      <c r="K45" s="1373" t="s">
        <v>3654</v>
      </c>
      <c r="L45" s="1373" t="s">
        <v>5595</v>
      </c>
      <c r="M45" s="1373" t="s">
        <v>2916</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2369</v>
      </c>
      <c r="AD45" s="1371" t="s">
        <v>9264</v>
      </c>
      <c r="AE45" s="1371" t="s">
        <v>5116</v>
      </c>
      <c r="AF45" s="1376" t="s">
        <v>9265</v>
      </c>
      <c r="AG45" s="1376" t="s">
        <v>5308</v>
      </c>
      <c r="AH45" s="1376" t="s">
        <v>4377</v>
      </c>
      <c r="AI45" s="1376" t="s">
        <v>9266</v>
      </c>
      <c r="AJ45" s="1445" t="s">
        <v>8332</v>
      </c>
      <c r="AK45" s="1376" t="s">
        <v>9228</v>
      </c>
      <c r="AL45" s="1376" t="s">
        <v>5679</v>
      </c>
      <c r="AM45" s="1378" t="s">
        <v>3835</v>
      </c>
      <c r="AN45" s="1378" t="s">
        <v>3303</v>
      </c>
      <c r="AO45" s="1378" t="s">
        <v>2323</v>
      </c>
      <c r="AP45" s="1378" t="s">
        <v>9267</v>
      </c>
      <c r="AQ45" s="1378" t="s">
        <v>4314</v>
      </c>
      <c r="AR45" s="1378" t="s">
        <v>7434</v>
      </c>
      <c r="AS45" s="1378" t="s">
        <v>6201</v>
      </c>
      <c r="AT45" s="1373" t="s">
        <v>9268</v>
      </c>
      <c r="AU45" s="1446" t="s">
        <v>9269</v>
      </c>
      <c r="AV45" s="1332" t="str">
        <f t="shared" si="1"/>
        <v>4:25</v>
      </c>
      <c r="AW45" s="1362"/>
    </row>
    <row r="46" ht="15.75" customHeight="1">
      <c r="A46" s="1321" t="s">
        <v>4248</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4221</v>
      </c>
      <c r="M46" s="1373" t="s">
        <v>1450</v>
      </c>
      <c r="N46" s="1373" t="s">
        <v>9275</v>
      </c>
      <c r="O46" s="1373" t="s">
        <v>8460</v>
      </c>
      <c r="P46" s="1373" t="s">
        <v>9276</v>
      </c>
      <c r="Q46" s="1374" t="s">
        <v>9277</v>
      </c>
      <c r="R46" s="1374" t="s">
        <v>3163</v>
      </c>
      <c r="S46" s="1374" t="s">
        <v>6814</v>
      </c>
      <c r="T46" s="1374" t="s">
        <v>9278</v>
      </c>
      <c r="U46" s="1374" t="s">
        <v>9279</v>
      </c>
      <c r="V46" s="1391" t="s">
        <v>1269</v>
      </c>
      <c r="W46" s="1375" t="s">
        <v>9280</v>
      </c>
      <c r="X46" s="1375" t="s">
        <v>9028</v>
      </c>
      <c r="Y46" s="1375" t="s">
        <v>3718</v>
      </c>
      <c r="Z46" s="1375" t="s">
        <v>7395</v>
      </c>
      <c r="AA46" s="1375" t="s">
        <v>1022</v>
      </c>
      <c r="AB46" s="1375" t="s">
        <v>3916</v>
      </c>
      <c r="AC46" s="1392" t="s">
        <v>6441</v>
      </c>
      <c r="AD46" s="1371" t="s">
        <v>9281</v>
      </c>
      <c r="AE46" s="1389" t="s">
        <v>4786</v>
      </c>
      <c r="AF46" s="1376" t="s">
        <v>9282</v>
      </c>
      <c r="AG46" s="1376" t="s">
        <v>9283</v>
      </c>
      <c r="AH46" s="1376" t="s">
        <v>9284</v>
      </c>
      <c r="AI46" s="1376" t="s">
        <v>8747</v>
      </c>
      <c r="AJ46" s="1376" t="s">
        <v>9285</v>
      </c>
      <c r="AK46" s="1376" t="s">
        <v>9286</v>
      </c>
      <c r="AL46" s="1376" t="s">
        <v>4178</v>
      </c>
      <c r="AM46" s="1378" t="s">
        <v>9287</v>
      </c>
      <c r="AN46" s="1378" t="s">
        <v>3137</v>
      </c>
      <c r="AO46" s="1378" t="s">
        <v>9288</v>
      </c>
      <c r="AP46" s="1378" t="s">
        <v>9289</v>
      </c>
      <c r="AQ46" s="1378" t="s">
        <v>4314</v>
      </c>
      <c r="AR46" s="1378" t="s">
        <v>9290</v>
      </c>
      <c r="AS46" s="1378" t="s">
        <v>4415</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4543</v>
      </c>
      <c r="F47" s="1371" t="s">
        <v>9295</v>
      </c>
      <c r="G47" s="1371" t="s">
        <v>9296</v>
      </c>
      <c r="H47" s="1242" t="s">
        <v>9297</v>
      </c>
      <c r="I47" s="1420" t="s">
        <v>4852</v>
      </c>
      <c r="J47" s="1373" t="s">
        <v>3838</v>
      </c>
      <c r="K47" s="1373" t="s">
        <v>9298</v>
      </c>
      <c r="L47" s="1447" t="s">
        <v>3347</v>
      </c>
      <c r="M47" s="1373" t="s">
        <v>4361</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3977</v>
      </c>
      <c r="AL47" s="1376" t="s">
        <v>9312</v>
      </c>
      <c r="AM47" s="1378" t="s">
        <v>9313</v>
      </c>
      <c r="AN47" s="1438" t="s">
        <v>3557</v>
      </c>
      <c r="AO47" s="1378" t="s">
        <v>6822</v>
      </c>
      <c r="AP47" s="1378" t="s">
        <v>9314</v>
      </c>
      <c r="AQ47" s="1378" t="s">
        <v>9315</v>
      </c>
      <c r="AR47" s="1378" t="s">
        <v>9316</v>
      </c>
      <c r="AS47" s="1378" t="s">
        <v>8216</v>
      </c>
      <c r="AT47" s="1373" t="s">
        <v>9317</v>
      </c>
      <c r="AU47" s="1361" t="s">
        <v>9318</v>
      </c>
      <c r="AV47" s="1332" t="str">
        <f t="shared" si="1"/>
        <v>4:57</v>
      </c>
      <c r="AW47" s="1425"/>
    </row>
    <row r="48">
      <c r="A48" s="1363" t="s">
        <v>2295</v>
      </c>
      <c r="B48" s="1364" t="s">
        <v>8311</v>
      </c>
      <c r="C48" s="1323">
        <v>0.05112268518518519</v>
      </c>
      <c r="D48" s="1330" t="s">
        <v>9319</v>
      </c>
      <c r="E48" s="1330" t="s">
        <v>4467</v>
      </c>
      <c r="F48" s="1330" t="s">
        <v>9320</v>
      </c>
      <c r="G48" s="1410" t="s">
        <v>8315</v>
      </c>
      <c r="H48" s="1242" t="s">
        <v>9321</v>
      </c>
      <c r="I48" s="1330" t="s">
        <v>762</v>
      </c>
      <c r="J48" s="1330" t="s">
        <v>6312</v>
      </c>
      <c r="K48" s="1330" t="s">
        <v>2451</v>
      </c>
      <c r="L48" s="1330" t="s">
        <v>1269</v>
      </c>
      <c r="M48" s="1330" t="s">
        <v>9322</v>
      </c>
      <c r="N48" s="1330" t="s">
        <v>4344</v>
      </c>
      <c r="O48" s="1330" t="s">
        <v>9323</v>
      </c>
      <c r="P48" s="1330" t="s">
        <v>3331</v>
      </c>
      <c r="Q48" s="1330" t="s">
        <v>9324</v>
      </c>
      <c r="R48" s="1330" t="s">
        <v>2508</v>
      </c>
      <c r="S48" s="1330" t="s">
        <v>3496</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3331</v>
      </c>
      <c r="AF48" s="1330" t="s">
        <v>9328</v>
      </c>
      <c r="AG48" s="1330" t="s">
        <v>9329</v>
      </c>
      <c r="AH48" s="1330" t="s">
        <v>2475</v>
      </c>
      <c r="AI48" s="1330" t="s">
        <v>5850</v>
      </c>
      <c r="AJ48" s="1330" t="s">
        <v>9330</v>
      </c>
      <c r="AK48" s="1330" t="s">
        <v>8776</v>
      </c>
      <c r="AL48" s="1330" t="s">
        <v>9331</v>
      </c>
      <c r="AM48" s="1330" t="s">
        <v>2628</v>
      </c>
      <c r="AN48" s="1330" t="s">
        <v>9332</v>
      </c>
      <c r="AO48" s="1330" t="s">
        <v>8434</v>
      </c>
      <c r="AP48" s="1330" t="s">
        <v>9333</v>
      </c>
      <c r="AQ48" s="1330" t="s">
        <v>9334</v>
      </c>
      <c r="AR48" s="1330" t="s">
        <v>2204</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3979</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4025</v>
      </c>
      <c r="U49" s="1332" t="s">
        <v>9345</v>
      </c>
      <c r="V49" s="1330" t="s">
        <v>1819</v>
      </c>
      <c r="W49" s="1330" t="s">
        <v>9346</v>
      </c>
      <c r="X49" s="1330" t="s">
        <v>9347</v>
      </c>
      <c r="Y49" s="1330" t="s">
        <v>8680</v>
      </c>
      <c r="Z49" s="1330" t="s">
        <v>9348</v>
      </c>
      <c r="AA49" s="1330" t="s">
        <v>9349</v>
      </c>
      <c r="AB49" s="1330" t="s">
        <v>9350</v>
      </c>
      <c r="AC49" s="1330" t="s">
        <v>933</v>
      </c>
      <c r="AD49" s="1330" t="s">
        <v>9281</v>
      </c>
      <c r="AE49" s="1330" t="s">
        <v>3553</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3667</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4036</v>
      </c>
      <c r="Z50" s="1332" t="s">
        <v>7134</v>
      </c>
      <c r="AA50" s="1332" t="s">
        <v>9188</v>
      </c>
      <c r="AB50" s="1332" t="s">
        <v>4262</v>
      </c>
      <c r="AC50" s="1332" t="s">
        <v>2512</v>
      </c>
      <c r="AD50" s="1332" t="s">
        <v>9372</v>
      </c>
      <c r="AE50" s="1453" t="s">
        <v>8362</v>
      </c>
      <c r="AF50" s="1332" t="s">
        <v>2665</v>
      </c>
      <c r="AG50" s="1332" t="s">
        <v>4457</v>
      </c>
      <c r="AH50" s="1332" t="s">
        <v>9373</v>
      </c>
      <c r="AI50" s="1332" t="s">
        <v>9374</v>
      </c>
      <c r="AJ50" s="1332" t="s">
        <v>9375</v>
      </c>
      <c r="AK50" s="1332" t="s">
        <v>5820</v>
      </c>
      <c r="AL50" s="1332" t="s">
        <v>5989</v>
      </c>
      <c r="AM50" s="1453" t="s">
        <v>8367</v>
      </c>
      <c r="AN50" s="1330" t="s">
        <v>2428</v>
      </c>
      <c r="AO50" s="1332" t="s">
        <v>4783</v>
      </c>
      <c r="AP50" s="1332" t="s">
        <v>9376</v>
      </c>
      <c r="AQ50" s="1332" t="s">
        <v>9377</v>
      </c>
      <c r="AR50" s="1332" t="s">
        <v>8784</v>
      </c>
      <c r="AS50" s="1332" t="s">
        <v>4350</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2899</v>
      </c>
      <c r="J51" s="1373" t="s">
        <v>1995</v>
      </c>
      <c r="K51" s="1373" t="s">
        <v>9386</v>
      </c>
      <c r="L51" s="1373" t="s">
        <v>4014</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3824</v>
      </c>
      <c r="AI51" s="1376" t="s">
        <v>9396</v>
      </c>
      <c r="AJ51" s="1376" t="s">
        <v>9397</v>
      </c>
      <c r="AK51" s="1376" t="s">
        <v>9347</v>
      </c>
      <c r="AL51" s="1376" t="s">
        <v>3827</v>
      </c>
      <c r="AM51" s="1378" t="s">
        <v>9398</v>
      </c>
      <c r="AN51" s="1378" t="s">
        <v>3833</v>
      </c>
      <c r="AO51" s="1378" t="s">
        <v>9399</v>
      </c>
      <c r="AP51" s="1378" t="s">
        <v>9400</v>
      </c>
      <c r="AQ51" s="1378" t="s">
        <v>8989</v>
      </c>
      <c r="AR51" s="1378" t="s">
        <v>9401</v>
      </c>
      <c r="AS51" s="1378" t="s">
        <v>9402</v>
      </c>
      <c r="AT51" s="1373" t="s">
        <v>9403</v>
      </c>
      <c r="AU51" s="1361" t="s">
        <v>9404</v>
      </c>
      <c r="AV51" s="1332" t="str">
        <f t="shared" si="1"/>
        <v>1:34</v>
      </c>
      <c r="AW51" s="1425"/>
    </row>
    <row r="52">
      <c r="A52" s="1363" t="s">
        <v>2812</v>
      </c>
      <c r="B52" s="1381" t="s">
        <v>8283</v>
      </c>
      <c r="C52" s="1323">
        <v>0.05134259259259259</v>
      </c>
      <c r="D52" s="1371" t="s">
        <v>9405</v>
      </c>
      <c r="E52" s="1371" t="s">
        <v>6210</v>
      </c>
      <c r="F52" s="1371" t="s">
        <v>9406</v>
      </c>
      <c r="G52" s="1371" t="s">
        <v>9407</v>
      </c>
      <c r="H52" s="1371" t="s">
        <v>9408</v>
      </c>
      <c r="I52" s="1371" t="s">
        <v>1358</v>
      </c>
      <c r="J52" s="1373" t="s">
        <v>4873</v>
      </c>
      <c r="K52" s="1373" t="s">
        <v>7015</v>
      </c>
      <c r="L52" s="1373" t="s">
        <v>4746</v>
      </c>
      <c r="M52" s="1373" t="s">
        <v>3340</v>
      </c>
      <c r="N52" s="1373" t="s">
        <v>1928</v>
      </c>
      <c r="O52" s="1373" t="s">
        <v>9409</v>
      </c>
      <c r="P52" s="1373" t="s">
        <v>4413</v>
      </c>
      <c r="Q52" s="1374" t="s">
        <v>9410</v>
      </c>
      <c r="R52" s="1374" t="s">
        <v>2545</v>
      </c>
      <c r="S52" s="1374" t="s">
        <v>9411</v>
      </c>
      <c r="T52" s="1374" t="s">
        <v>9412</v>
      </c>
      <c r="U52" s="1374" t="s">
        <v>9303</v>
      </c>
      <c r="V52" s="1374" t="s">
        <v>9413</v>
      </c>
      <c r="W52" s="1375" t="s">
        <v>9414</v>
      </c>
      <c r="X52" s="1375" t="s">
        <v>8363</v>
      </c>
      <c r="Y52" s="1375" t="s">
        <v>9002</v>
      </c>
      <c r="Z52" s="1375" t="s">
        <v>2861</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3630</v>
      </c>
      <c r="L53" s="1455" t="s">
        <v>3527</v>
      </c>
      <c r="M53" s="1390" t="s">
        <v>5526</v>
      </c>
      <c r="N53" s="1390" t="s">
        <v>9432</v>
      </c>
      <c r="O53" s="1455" t="s">
        <v>8349</v>
      </c>
      <c r="P53" s="1390" t="s">
        <v>382</v>
      </c>
      <c r="Q53" s="1391" t="s">
        <v>9433</v>
      </c>
      <c r="R53" s="1391" t="s">
        <v>9434</v>
      </c>
      <c r="S53" s="1391" t="s">
        <v>9435</v>
      </c>
      <c r="T53" s="1456" t="s">
        <v>8353</v>
      </c>
      <c r="U53" s="1391" t="s">
        <v>9436</v>
      </c>
      <c r="V53" s="1391" t="s">
        <v>3826</v>
      </c>
      <c r="W53" s="1457" t="s">
        <v>8356</v>
      </c>
      <c r="X53" s="1392" t="s">
        <v>4124</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4204</v>
      </c>
      <c r="AO53" s="1377" t="s">
        <v>9445</v>
      </c>
      <c r="AP53" s="1377" t="s">
        <v>9446</v>
      </c>
      <c r="AQ53" s="1377" t="s">
        <v>9447</v>
      </c>
      <c r="AR53" s="1377" t="s">
        <v>8379</v>
      </c>
      <c r="AS53" s="1377" t="s">
        <v>4531</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4184</v>
      </c>
      <c r="I54" s="1332" t="s">
        <v>5992</v>
      </c>
      <c r="J54" s="1332" t="s">
        <v>9453</v>
      </c>
      <c r="K54" s="1332" t="s">
        <v>3674</v>
      </c>
      <c r="L54" s="1332" t="s">
        <v>9454</v>
      </c>
      <c r="M54" s="1332" t="s">
        <v>9455</v>
      </c>
      <c r="N54" s="1332" t="s">
        <v>2745</v>
      </c>
      <c r="O54" s="1332" t="s">
        <v>9456</v>
      </c>
      <c r="P54" s="1332" t="s">
        <v>1152</v>
      </c>
      <c r="Q54" s="1332" t="s">
        <v>2418</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4282</v>
      </c>
      <c r="AM54" s="1332" t="s">
        <v>3975</v>
      </c>
      <c r="AN54" s="1332" t="s">
        <v>9465</v>
      </c>
      <c r="AO54" s="1332" t="s">
        <v>8500</v>
      </c>
      <c r="AP54" s="1332" t="s">
        <v>9466</v>
      </c>
      <c r="AQ54" s="1332" t="s">
        <v>9467</v>
      </c>
      <c r="AR54" s="1332" t="s">
        <v>9468</v>
      </c>
      <c r="AS54" s="1377" t="s">
        <v>4137</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2551</v>
      </c>
      <c r="AF55" s="1444" t="s">
        <v>3304</v>
      </c>
      <c r="AG55" s="1444" t="s">
        <v>4515</v>
      </c>
      <c r="AH55" s="1444" t="s">
        <v>5094</v>
      </c>
      <c r="AI55" s="1330" t="s">
        <v>9481</v>
      </c>
      <c r="AJ55" s="1330" t="s">
        <v>9482</v>
      </c>
      <c r="AK55" s="1330" t="s">
        <v>7364</v>
      </c>
      <c r="AL55" s="1330" t="s">
        <v>3666</v>
      </c>
      <c r="AM55" s="1330" t="s">
        <v>9483</v>
      </c>
      <c r="AN55" s="1330" t="s">
        <v>3404</v>
      </c>
      <c r="AO55" s="1444" t="s">
        <v>8369</v>
      </c>
      <c r="AP55" s="1460" t="s">
        <v>8370</v>
      </c>
      <c r="AQ55" s="1330" t="s">
        <v>3577</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4467</v>
      </c>
      <c r="F56" s="1371" t="s">
        <v>9488</v>
      </c>
      <c r="G56" s="1371" t="s">
        <v>8724</v>
      </c>
      <c r="H56" s="1420" t="s">
        <v>9489</v>
      </c>
      <c r="I56" s="1420" t="s">
        <v>6781</v>
      </c>
      <c r="J56" s="1373" t="s">
        <v>8973</v>
      </c>
      <c r="K56" s="1373" t="s">
        <v>9490</v>
      </c>
      <c r="L56" s="1373" t="s">
        <v>4514</v>
      </c>
      <c r="M56" s="1373" t="s">
        <v>7338</v>
      </c>
      <c r="N56" s="1462" t="s">
        <v>1090</v>
      </c>
      <c r="O56" s="1373" t="s">
        <v>3724</v>
      </c>
      <c r="P56" s="1373" t="s">
        <v>406</v>
      </c>
      <c r="Q56" s="1374" t="s">
        <v>9491</v>
      </c>
      <c r="R56" s="1374" t="s">
        <v>8931</v>
      </c>
      <c r="S56" s="1374" t="s">
        <v>9492</v>
      </c>
      <c r="T56" s="1374" t="s">
        <v>9208</v>
      </c>
      <c r="U56" s="1374" t="s">
        <v>8988</v>
      </c>
      <c r="V56" s="1374" t="s">
        <v>2156</v>
      </c>
      <c r="W56" s="1375" t="s">
        <v>5484</v>
      </c>
      <c r="X56" s="1375" t="s">
        <v>8747</v>
      </c>
      <c r="Y56" s="1375" t="s">
        <v>3071</v>
      </c>
      <c r="Z56" s="1375" t="s">
        <v>9493</v>
      </c>
      <c r="AA56" s="1375" t="s">
        <v>8747</v>
      </c>
      <c r="AB56" s="1375" t="s">
        <v>9084</v>
      </c>
      <c r="AC56" s="1375" t="s">
        <v>477</v>
      </c>
      <c r="AD56" s="1371" t="s">
        <v>9494</v>
      </c>
      <c r="AE56" s="1371" t="s">
        <v>5043</v>
      </c>
      <c r="AF56" s="1376" t="s">
        <v>9495</v>
      </c>
      <c r="AG56" s="1376" t="s">
        <v>9496</v>
      </c>
      <c r="AH56" s="1376" t="s">
        <v>3901</v>
      </c>
      <c r="AI56" s="1376" t="s">
        <v>9496</v>
      </c>
      <c r="AJ56" s="1376" t="s">
        <v>9497</v>
      </c>
      <c r="AK56" s="1463" t="s">
        <v>4457</v>
      </c>
      <c r="AL56" s="1376" t="s">
        <v>8319</v>
      </c>
      <c r="AM56" s="1378" t="s">
        <v>9498</v>
      </c>
      <c r="AN56" s="1378" t="s">
        <v>562</v>
      </c>
      <c r="AO56" s="1378" t="s">
        <v>3465</v>
      </c>
      <c r="AP56" s="1378" t="s">
        <v>9499</v>
      </c>
      <c r="AQ56" s="1242" t="s">
        <v>4416</v>
      </c>
      <c r="AR56" s="1464" t="s">
        <v>8551</v>
      </c>
      <c r="AS56" s="1378" t="s">
        <v>9500</v>
      </c>
      <c r="AT56" s="1373" t="s">
        <v>9501</v>
      </c>
      <c r="AU56" s="1361" t="s">
        <v>9502</v>
      </c>
      <c r="AV56" s="1332" t="str">
        <f t="shared" si="1"/>
        <v>4:08</v>
      </c>
      <c r="AW56" s="1383" t="s">
        <v>9503</v>
      </c>
    </row>
    <row r="57">
      <c r="A57" s="1465" t="s">
        <v>3786</v>
      </c>
      <c r="B57" s="1381" t="s">
        <v>8283</v>
      </c>
      <c r="C57" s="1466">
        <v>0.05148148148148148</v>
      </c>
      <c r="D57" s="1242" t="s">
        <v>9504</v>
      </c>
      <c r="E57" s="1371" t="s">
        <v>4467</v>
      </c>
      <c r="F57" s="1467" t="s">
        <v>6973</v>
      </c>
      <c r="G57" s="1371" t="s">
        <v>9248</v>
      </c>
      <c r="H57" s="1468" t="s">
        <v>3687</v>
      </c>
      <c r="I57" s="1420" t="s">
        <v>9505</v>
      </c>
      <c r="J57" s="1373" t="s">
        <v>8441</v>
      </c>
      <c r="K57" s="1373" t="s">
        <v>9506</v>
      </c>
      <c r="L57" s="1373" t="s">
        <v>2975</v>
      </c>
      <c r="M57" s="1469" t="s">
        <v>4361</v>
      </c>
      <c r="N57" s="1469" t="s">
        <v>9507</v>
      </c>
      <c r="O57" s="1373" t="s">
        <v>9508</v>
      </c>
      <c r="P57" s="1373" t="s">
        <v>9509</v>
      </c>
      <c r="Q57" s="1470" t="s">
        <v>715</v>
      </c>
      <c r="R57" s="1374" t="s">
        <v>9510</v>
      </c>
      <c r="S57" s="1470" t="s">
        <v>4038</v>
      </c>
      <c r="T57" s="1374" t="s">
        <v>9511</v>
      </c>
      <c r="U57" s="1374" t="s">
        <v>9512</v>
      </c>
      <c r="V57" s="1470" t="s">
        <v>9513</v>
      </c>
      <c r="W57" s="1471" t="s">
        <v>9514</v>
      </c>
      <c r="X57" s="1375" t="s">
        <v>9515</v>
      </c>
      <c r="Y57" s="1471" t="s">
        <v>6792</v>
      </c>
      <c r="Z57" s="1471" t="s">
        <v>2904</v>
      </c>
      <c r="AA57" s="1413" t="s">
        <v>507</v>
      </c>
      <c r="AB57" s="1471" t="s">
        <v>9516</v>
      </c>
      <c r="AC57" s="1471" t="s">
        <v>2840</v>
      </c>
      <c r="AD57" s="1467" t="s">
        <v>9517</v>
      </c>
      <c r="AE57" s="1467" t="s">
        <v>9416</v>
      </c>
      <c r="AF57" s="1472" t="s">
        <v>1357</v>
      </c>
      <c r="AG57" s="1472" t="s">
        <v>286</v>
      </c>
      <c r="AH57" s="1472" t="s">
        <v>1826</v>
      </c>
      <c r="AI57" s="1472" t="s">
        <v>395</v>
      </c>
      <c r="AJ57" s="1472" t="s">
        <v>9518</v>
      </c>
      <c r="AK57" s="1472" t="s">
        <v>9519</v>
      </c>
      <c r="AL57" s="1472" t="s">
        <v>9520</v>
      </c>
      <c r="AM57" s="1473" t="s">
        <v>3698</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3812</v>
      </c>
      <c r="B58" s="1381" t="s">
        <v>8283</v>
      </c>
      <c r="C58" s="1323">
        <v>0.05153935185185185</v>
      </c>
      <c r="D58" s="1402" t="s">
        <v>9525</v>
      </c>
      <c r="E58" s="1402" t="s">
        <v>6493</v>
      </c>
      <c r="F58" s="1402" t="s">
        <v>9526</v>
      </c>
      <c r="G58" s="1402" t="s">
        <v>4791</v>
      </c>
      <c r="H58" s="1242" t="s">
        <v>9527</v>
      </c>
      <c r="I58" s="1402" t="s">
        <v>1358</v>
      </c>
      <c r="J58" s="1402" t="s">
        <v>9528</v>
      </c>
      <c r="K58" s="1402" t="s">
        <v>3373</v>
      </c>
      <c r="L58" s="1402" t="s">
        <v>4051</v>
      </c>
      <c r="M58" s="1402" t="s">
        <v>6943</v>
      </c>
      <c r="N58" s="1402" t="s">
        <v>9529</v>
      </c>
      <c r="O58" s="1402" t="s">
        <v>3519</v>
      </c>
      <c r="P58" s="1402" t="s">
        <v>6788</v>
      </c>
      <c r="Q58" s="1402" t="s">
        <v>9530</v>
      </c>
      <c r="R58" s="1402" t="s">
        <v>3163</v>
      </c>
      <c r="S58" s="1474" t="s">
        <v>9153</v>
      </c>
      <c r="T58" s="1402" t="s">
        <v>8935</v>
      </c>
      <c r="U58" s="1402" t="s">
        <v>9531</v>
      </c>
      <c r="V58" s="1402" t="s">
        <v>1705</v>
      </c>
      <c r="W58" s="1402" t="s">
        <v>9532</v>
      </c>
      <c r="X58" s="1402" t="s">
        <v>156</v>
      </c>
      <c r="Y58" s="1402" t="s">
        <v>2572</v>
      </c>
      <c r="Z58" s="1402" t="s">
        <v>7125</v>
      </c>
      <c r="AA58" s="1402" t="s">
        <v>892</v>
      </c>
      <c r="AB58" s="1402" t="s">
        <v>9533</v>
      </c>
      <c r="AC58" s="1402" t="s">
        <v>4949</v>
      </c>
      <c r="AD58" s="1402" t="s">
        <v>9534</v>
      </c>
      <c r="AE58" s="1402" t="s">
        <v>3709</v>
      </c>
      <c r="AF58" s="1475" t="s">
        <v>9535</v>
      </c>
      <c r="AG58" s="1402" t="s">
        <v>9536</v>
      </c>
      <c r="AH58" s="1402" t="s">
        <v>9537</v>
      </c>
      <c r="AI58" s="1402" t="s">
        <v>9538</v>
      </c>
      <c r="AJ58" s="1402" t="s">
        <v>9539</v>
      </c>
      <c r="AK58" s="1402" t="s">
        <v>4946</v>
      </c>
      <c r="AL58" s="1402" t="s">
        <v>9331</v>
      </c>
      <c r="AM58" s="1402" t="s">
        <v>9481</v>
      </c>
      <c r="AN58" s="1402" t="s">
        <v>2540</v>
      </c>
      <c r="AO58" s="1402" t="s">
        <v>5636</v>
      </c>
      <c r="AP58" s="1474" t="s">
        <v>9267</v>
      </c>
      <c r="AQ58" s="1402" t="s">
        <v>9540</v>
      </c>
      <c r="AR58" s="1402" t="s">
        <v>4873</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3233</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4036</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4137</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4369</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4600</v>
      </c>
      <c r="AD60" s="1371" t="s">
        <v>9581</v>
      </c>
      <c r="AE60" s="1371" t="s">
        <v>8807</v>
      </c>
      <c r="AF60" s="1478" t="s">
        <v>9582</v>
      </c>
      <c r="AG60" s="1376" t="s">
        <v>6470</v>
      </c>
      <c r="AH60" s="1376" t="s">
        <v>9558</v>
      </c>
      <c r="AI60" s="1376" t="s">
        <v>3029</v>
      </c>
      <c r="AJ60" s="1376" t="s">
        <v>9583</v>
      </c>
      <c r="AK60" s="1376" t="s">
        <v>1519</v>
      </c>
      <c r="AL60" s="1376" t="s">
        <v>4357</v>
      </c>
      <c r="AM60" s="1378" t="s">
        <v>5850</v>
      </c>
      <c r="AN60" s="1378" t="s">
        <v>5480</v>
      </c>
      <c r="AO60" s="1378" t="s">
        <v>6311</v>
      </c>
      <c r="AP60" s="1378" t="s">
        <v>9584</v>
      </c>
      <c r="AQ60" s="1378" t="s">
        <v>3241</v>
      </c>
      <c r="AR60" s="1378" t="s">
        <v>9127</v>
      </c>
      <c r="AS60" s="1378" t="s">
        <v>3853</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3234</v>
      </c>
      <c r="K61" s="1476" t="s">
        <v>9593</v>
      </c>
      <c r="L61" s="1476" t="s">
        <v>5307</v>
      </c>
      <c r="M61" s="1476" t="s">
        <v>708</v>
      </c>
      <c r="N61" s="1476" t="s">
        <v>9594</v>
      </c>
      <c r="O61" s="1476" t="s">
        <v>4609</v>
      </c>
      <c r="P61" s="1476" t="s">
        <v>8317</v>
      </c>
      <c r="Q61" s="1476" t="s">
        <v>9595</v>
      </c>
      <c r="R61" s="1476" t="s">
        <v>9596</v>
      </c>
      <c r="S61" s="1476" t="s">
        <v>9359</v>
      </c>
      <c r="T61" s="1476" t="s">
        <v>9398</v>
      </c>
      <c r="U61" s="1476" t="s">
        <v>9597</v>
      </c>
      <c r="V61" s="1476" t="s">
        <v>9598</v>
      </c>
      <c r="W61" s="1476" t="s">
        <v>9599</v>
      </c>
      <c r="X61" s="1476" t="s">
        <v>9481</v>
      </c>
      <c r="Y61" s="1476" t="s">
        <v>4600</v>
      </c>
      <c r="Z61" s="1476" t="s">
        <v>7051</v>
      </c>
      <c r="AA61" s="1476" t="s">
        <v>8895</v>
      </c>
      <c r="AB61" s="1476" t="s">
        <v>9600</v>
      </c>
      <c r="AC61" s="1476" t="s">
        <v>382</v>
      </c>
      <c r="AD61" s="1476" t="s">
        <v>5933</v>
      </c>
      <c r="AE61" s="1476" t="s">
        <v>2899</v>
      </c>
      <c r="AF61" s="1476" t="s">
        <v>9273</v>
      </c>
      <c r="AG61" s="1476" t="s">
        <v>9601</v>
      </c>
      <c r="AH61" s="1476" t="s">
        <v>5267</v>
      </c>
      <c r="AI61" s="1476" t="s">
        <v>4171</v>
      </c>
      <c r="AJ61" s="1476" t="s">
        <v>9602</v>
      </c>
      <c r="AK61" s="1476" t="s">
        <v>9394</v>
      </c>
      <c r="AL61" s="1476" t="s">
        <v>4394</v>
      </c>
      <c r="AM61" s="1476" t="s">
        <v>9603</v>
      </c>
      <c r="AN61" s="1476" t="s">
        <v>8120</v>
      </c>
      <c r="AO61" s="1476" t="s">
        <v>5013</v>
      </c>
      <c r="AP61" s="1476" t="s">
        <v>9604</v>
      </c>
      <c r="AQ61" s="1476" t="s">
        <v>3267</v>
      </c>
      <c r="AR61" s="1476" t="s">
        <v>8916</v>
      </c>
      <c r="AS61" s="1476" t="s">
        <v>4468</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4600</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4692</v>
      </c>
      <c r="AA62" s="1476" t="s">
        <v>9617</v>
      </c>
      <c r="AB62" s="1476" t="s">
        <v>7081</v>
      </c>
      <c r="AC62" s="1476" t="s">
        <v>3767</v>
      </c>
      <c r="AD62" s="1476" t="s">
        <v>9618</v>
      </c>
      <c r="AE62" s="1402" t="s">
        <v>5387</v>
      </c>
      <c r="AF62" s="1476" t="s">
        <v>9619</v>
      </c>
      <c r="AG62" s="1476" t="s">
        <v>9620</v>
      </c>
      <c r="AH62" s="1476" t="s">
        <v>2201</v>
      </c>
      <c r="AI62" s="1476" t="s">
        <v>5095</v>
      </c>
      <c r="AJ62" s="1476" t="s">
        <v>7935</v>
      </c>
      <c r="AK62" s="1476" t="s">
        <v>1622</v>
      </c>
      <c r="AL62" s="1476" t="s">
        <v>5480</v>
      </c>
      <c r="AM62" s="1476" t="s">
        <v>9621</v>
      </c>
      <c r="AN62" s="1476" t="s">
        <v>9520</v>
      </c>
      <c r="AO62" s="1476" t="s">
        <v>8530</v>
      </c>
      <c r="AP62" s="1476" t="s">
        <v>9622</v>
      </c>
      <c r="AQ62" s="1476" t="s">
        <v>9623</v>
      </c>
      <c r="AR62" s="1476" t="s">
        <v>4677</v>
      </c>
      <c r="AS62" s="1476" t="s">
        <v>2865</v>
      </c>
      <c r="AT62" s="1476" t="s">
        <v>9624</v>
      </c>
      <c r="AU62" s="1476" t="s">
        <v>9625</v>
      </c>
      <c r="AV62" s="1476" t="str">
        <f t="shared" si="1"/>
        <v>3:33</v>
      </c>
      <c r="AW62" s="1480"/>
    </row>
    <row r="63" ht="15.75" customHeight="1">
      <c r="A63" s="1321" t="s">
        <v>4055</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5043</v>
      </c>
      <c r="Q63" s="1476" t="s">
        <v>9629</v>
      </c>
      <c r="R63" s="1476" t="s">
        <v>3742</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3793</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2305</v>
      </c>
      <c r="Q64" s="1476" t="s">
        <v>715</v>
      </c>
      <c r="R64" s="1476" t="s">
        <v>9651</v>
      </c>
      <c r="S64" s="1476" t="s">
        <v>9652</v>
      </c>
      <c r="T64" s="1476" t="s">
        <v>9653</v>
      </c>
      <c r="U64" s="1476" t="s">
        <v>9235</v>
      </c>
      <c r="V64" s="1476" t="s">
        <v>482</v>
      </c>
      <c r="W64" s="1476" t="s">
        <v>5662</v>
      </c>
      <c r="X64" s="1476" t="s">
        <v>9654</v>
      </c>
      <c r="Y64" s="1476" t="s">
        <v>868</v>
      </c>
      <c r="Z64" s="1476" t="s">
        <v>3916</v>
      </c>
      <c r="AA64" s="1476" t="s">
        <v>1789</v>
      </c>
      <c r="AB64" s="1476" t="s">
        <v>9655</v>
      </c>
      <c r="AC64" s="1476" t="s">
        <v>9656</v>
      </c>
      <c r="AD64" s="1402" t="s">
        <v>9657</v>
      </c>
      <c r="AE64" s="1476" t="s">
        <v>1991</v>
      </c>
      <c r="AF64" s="1476" t="s">
        <v>9088</v>
      </c>
      <c r="AG64" s="1476" t="s">
        <v>6570</v>
      </c>
      <c r="AH64" s="1476" t="s">
        <v>4369</v>
      </c>
      <c r="AI64" s="1476" t="s">
        <v>6105</v>
      </c>
      <c r="AJ64" s="1476" t="s">
        <v>9658</v>
      </c>
      <c r="AK64" s="1476" t="s">
        <v>3555</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4562</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3856</v>
      </c>
      <c r="M65" s="1476" t="s">
        <v>7319</v>
      </c>
      <c r="N65" s="1476" t="s">
        <v>5888</v>
      </c>
      <c r="O65" s="1476" t="s">
        <v>9343</v>
      </c>
      <c r="P65" s="1476" t="s">
        <v>477</v>
      </c>
      <c r="Q65" s="1476" t="s">
        <v>3020</v>
      </c>
      <c r="R65" s="1476" t="s">
        <v>9669</v>
      </c>
      <c r="S65" s="1476" t="s">
        <v>9562</v>
      </c>
      <c r="T65" s="1476" t="s">
        <v>2745</v>
      </c>
      <c r="U65" s="1476" t="s">
        <v>9670</v>
      </c>
      <c r="V65" s="1476" t="s">
        <v>9671</v>
      </c>
      <c r="W65" s="1476" t="s">
        <v>9599</v>
      </c>
      <c r="X65" s="1476" t="s">
        <v>3302</v>
      </c>
      <c r="Y65" s="1476" t="s">
        <v>2369</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4442</v>
      </c>
      <c r="AQ65" s="1476" t="s">
        <v>9680</v>
      </c>
      <c r="AR65" s="1476" t="s">
        <v>9681</v>
      </c>
      <c r="AS65" s="1476" t="s">
        <v>6201</v>
      </c>
      <c r="AT65" s="1476" t="s">
        <v>9682</v>
      </c>
      <c r="AU65" s="1476" t="s">
        <v>9683</v>
      </c>
      <c r="AV65" s="1476" t="str">
        <f t="shared" si="1"/>
        <v>2:37</v>
      </c>
      <c r="AW65" s="1481" t="s">
        <v>9684</v>
      </c>
    </row>
    <row r="66" ht="15.75" customHeight="1">
      <c r="A66" s="1363" t="s">
        <v>4900</v>
      </c>
      <c r="B66" s="1364" t="s">
        <v>8311</v>
      </c>
      <c r="C66" s="1323">
        <v>0.05171296296296296</v>
      </c>
      <c r="D66" s="1440" t="s">
        <v>9685</v>
      </c>
      <c r="E66" s="1402" t="s">
        <v>9686</v>
      </c>
      <c r="F66" s="1402" t="s">
        <v>1466</v>
      </c>
      <c r="G66" s="1402" t="s">
        <v>9687</v>
      </c>
      <c r="H66" s="1402" t="s">
        <v>9688</v>
      </c>
      <c r="I66" s="1402" t="s">
        <v>9689</v>
      </c>
      <c r="J66" s="1402" t="s">
        <v>970</v>
      </c>
      <c r="K66" s="1402" t="s">
        <v>4827</v>
      </c>
      <c r="L66" s="1402" t="s">
        <v>1809</v>
      </c>
      <c r="M66" s="1482" t="s">
        <v>9690</v>
      </c>
      <c r="N66" s="1402" t="s">
        <v>9691</v>
      </c>
      <c r="O66" s="1402" t="s">
        <v>1698</v>
      </c>
      <c r="P66" s="1402" t="s">
        <v>4994</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3598</v>
      </c>
      <c r="AF66" s="1402" t="s">
        <v>9699</v>
      </c>
      <c r="AG66" s="1402" t="s">
        <v>519</v>
      </c>
      <c r="AH66" s="1402" t="s">
        <v>9700</v>
      </c>
      <c r="AI66" s="1402" t="s">
        <v>5295</v>
      </c>
      <c r="AJ66" s="1402" t="s">
        <v>9701</v>
      </c>
      <c r="AK66" s="1402" t="s">
        <v>9702</v>
      </c>
      <c r="AL66" s="1402" t="s">
        <v>1577</v>
      </c>
      <c r="AM66" s="1402" t="s">
        <v>9529</v>
      </c>
      <c r="AN66" s="1402" t="s">
        <v>9703</v>
      </c>
      <c r="AO66" s="1402" t="s">
        <v>2717</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4707</v>
      </c>
      <c r="AH67" s="1402" t="s">
        <v>9718</v>
      </c>
      <c r="AI67" s="1402" t="s">
        <v>9719</v>
      </c>
      <c r="AJ67" s="1402" t="s">
        <v>9720</v>
      </c>
      <c r="AK67" s="1402" t="s">
        <v>8617</v>
      </c>
      <c r="AL67" s="1402" t="s">
        <v>9721</v>
      </c>
      <c r="AM67" s="1402" t="s">
        <v>2802</v>
      </c>
      <c r="AN67" s="1402" t="s">
        <v>3793</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4327</v>
      </c>
      <c r="W68" s="1341" t="s">
        <v>9740</v>
      </c>
      <c r="X68" s="1341" t="s">
        <v>9741</v>
      </c>
      <c r="Y68" s="1334" t="s">
        <v>9244</v>
      </c>
      <c r="Z68" s="1483" t="s">
        <v>8358</v>
      </c>
      <c r="AA68" s="1341" t="s">
        <v>197</v>
      </c>
      <c r="AB68" s="1334" t="s">
        <v>4100</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4894</v>
      </c>
      <c r="J69" s="1327" t="s">
        <v>9755</v>
      </c>
      <c r="K69" s="1327" t="s">
        <v>8886</v>
      </c>
      <c r="L69" s="1327" t="s">
        <v>9718</v>
      </c>
      <c r="M69" s="1327" t="s">
        <v>1451</v>
      </c>
      <c r="N69" s="1327" t="s">
        <v>9211</v>
      </c>
      <c r="O69" s="1327" t="s">
        <v>7223</v>
      </c>
      <c r="P69" s="1327" t="s">
        <v>8814</v>
      </c>
      <c r="Q69" s="1327" t="s">
        <v>9756</v>
      </c>
      <c r="R69" s="1327" t="s">
        <v>3125</v>
      </c>
      <c r="S69" s="1327" t="s">
        <v>4780</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4614</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2955</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2963</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3085</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4668</v>
      </c>
      <c r="AT70" s="1476" t="s">
        <v>9791</v>
      </c>
      <c r="AU70" s="1476" t="s">
        <v>9792</v>
      </c>
      <c r="AV70" s="1476" t="str">
        <f t="shared" si="1"/>
        <v>2:06</v>
      </c>
      <c r="AW70" s="1477" t="s">
        <v>9793</v>
      </c>
    </row>
    <row r="71" ht="15.75" customHeight="1">
      <c r="A71" s="1321" t="s">
        <v>1056</v>
      </c>
      <c r="B71" s="1322" t="s">
        <v>8283</v>
      </c>
      <c r="C71" s="1426">
        <v>0.051875</v>
      </c>
      <c r="D71" s="1242" t="s">
        <v>9794</v>
      </c>
      <c r="E71" s="1476" t="s">
        <v>3547</v>
      </c>
      <c r="F71" s="1476" t="s">
        <v>9795</v>
      </c>
      <c r="G71" s="1476" t="s">
        <v>9796</v>
      </c>
      <c r="H71" s="1476" t="s">
        <v>9797</v>
      </c>
      <c r="I71" s="1476" t="s">
        <v>9798</v>
      </c>
      <c r="J71" s="1476" t="s">
        <v>2481</v>
      </c>
      <c r="K71" s="1476" t="s">
        <v>9799</v>
      </c>
      <c r="L71" s="1476" t="s">
        <v>8380</v>
      </c>
      <c r="M71" s="1476" t="s">
        <v>7338</v>
      </c>
      <c r="N71" s="1476" t="s">
        <v>9398</v>
      </c>
      <c r="O71" s="1476" t="s">
        <v>4382</v>
      </c>
      <c r="P71" s="1476" t="s">
        <v>1522</v>
      </c>
      <c r="Q71" s="1476" t="s">
        <v>9800</v>
      </c>
      <c r="R71" s="1476" t="s">
        <v>9004</v>
      </c>
      <c r="S71" s="1476" t="s">
        <v>4348</v>
      </c>
      <c r="T71" s="1476" t="s">
        <v>9801</v>
      </c>
      <c r="U71" s="1476" t="s">
        <v>9597</v>
      </c>
      <c r="V71" s="1476" t="s">
        <v>6197</v>
      </c>
      <c r="W71" s="1476" t="s">
        <v>4382</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3977</v>
      </c>
      <c r="K72" s="1242" t="s">
        <v>8999</v>
      </c>
      <c r="L72" s="1242" t="s">
        <v>2696</v>
      </c>
      <c r="M72" s="1242" t="s">
        <v>9819</v>
      </c>
      <c r="N72" s="1242" t="s">
        <v>3835</v>
      </c>
      <c r="O72" s="1242" t="s">
        <v>9820</v>
      </c>
      <c r="P72" s="1242" t="s">
        <v>5045</v>
      </c>
      <c r="Q72" s="1242" t="s">
        <v>9821</v>
      </c>
      <c r="R72" s="1242" t="s">
        <v>2525</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2336</v>
      </c>
      <c r="AH72" s="1242" t="s">
        <v>2696</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4695</v>
      </c>
      <c r="B73" s="1451" t="s">
        <v>8340</v>
      </c>
      <c r="C73" s="1442">
        <v>0.051909722222222225</v>
      </c>
      <c r="D73" s="1489" t="s">
        <v>9836</v>
      </c>
      <c r="E73" s="1396" t="s">
        <v>2191</v>
      </c>
      <c r="F73" s="1396" t="s">
        <v>9837</v>
      </c>
      <c r="G73" s="1396" t="s">
        <v>9838</v>
      </c>
      <c r="H73" s="1396" t="s">
        <v>9839</v>
      </c>
      <c r="I73" s="1489">
        <v>49.97</v>
      </c>
      <c r="J73" s="1396" t="s">
        <v>2174</v>
      </c>
      <c r="K73" s="1396" t="s">
        <v>9840</v>
      </c>
      <c r="L73" s="1396" t="s">
        <v>4979</v>
      </c>
      <c r="M73" s="1396" t="s">
        <v>2903</v>
      </c>
      <c r="N73" s="1396" t="s">
        <v>4616</v>
      </c>
      <c r="O73" s="1396" t="s">
        <v>5655</v>
      </c>
      <c r="P73" s="1489">
        <v>48.99</v>
      </c>
      <c r="Q73" s="1396" t="s">
        <v>9841</v>
      </c>
      <c r="R73" s="1396" t="s">
        <v>9842</v>
      </c>
      <c r="S73" s="1396" t="s">
        <v>4047</v>
      </c>
      <c r="T73" s="1396" t="s">
        <v>9843</v>
      </c>
      <c r="U73" s="1396" t="s">
        <v>9844</v>
      </c>
      <c r="V73" s="1396" t="s">
        <v>2342</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4726</v>
      </c>
      <c r="AP73" s="1396" t="s">
        <v>9850</v>
      </c>
      <c r="AQ73" s="1396" t="s">
        <v>3577</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2305</v>
      </c>
      <c r="J74" s="1402" t="s">
        <v>4076</v>
      </c>
      <c r="K74" s="1402" t="s">
        <v>8937</v>
      </c>
      <c r="L74" s="1402"/>
      <c r="M74" s="1402" t="s">
        <v>6976</v>
      </c>
      <c r="N74" s="1402" t="s">
        <v>9193</v>
      </c>
      <c r="O74" s="1402" t="s">
        <v>8356</v>
      </c>
      <c r="P74" s="1402" t="s">
        <v>9416</v>
      </c>
      <c r="Q74" s="1402" t="s">
        <v>9857</v>
      </c>
      <c r="R74" s="1402" t="s">
        <v>9510</v>
      </c>
      <c r="S74" s="1402" t="s">
        <v>8704</v>
      </c>
      <c r="T74" s="1402" t="s">
        <v>8953</v>
      </c>
      <c r="U74" s="1402" t="s">
        <v>2219</v>
      </c>
      <c r="V74" s="1402" t="s">
        <v>8770</v>
      </c>
      <c r="W74" s="1402" t="s">
        <v>5655</v>
      </c>
      <c r="X74" s="1402" t="s">
        <v>621</v>
      </c>
      <c r="Y74" s="1402" t="s">
        <v>8719</v>
      </c>
      <c r="Z74" s="1402" t="s">
        <v>9184</v>
      </c>
      <c r="AA74" s="1402" t="s">
        <v>7485</v>
      </c>
      <c r="AB74" s="1402" t="s">
        <v>9424</v>
      </c>
      <c r="AC74" s="1402" t="s">
        <v>2840</v>
      </c>
      <c r="AD74" s="1402" t="s">
        <v>9858</v>
      </c>
      <c r="AE74" s="1402" t="s">
        <v>9859</v>
      </c>
      <c r="AF74" s="1402" t="s">
        <v>9860</v>
      </c>
      <c r="AG74" s="1402" t="s">
        <v>9601</v>
      </c>
      <c r="AH74" s="1402" t="s">
        <v>9861</v>
      </c>
      <c r="AI74" s="1402" t="s">
        <v>9862</v>
      </c>
      <c r="AJ74" s="1402" t="s">
        <v>9863</v>
      </c>
      <c r="AK74" s="1402" t="s">
        <v>9864</v>
      </c>
      <c r="AL74" s="1402" t="s">
        <v>3079</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4036</v>
      </c>
      <c r="J75" s="1476" t="s">
        <v>9876</v>
      </c>
      <c r="K75" s="1476" t="s">
        <v>9877</v>
      </c>
      <c r="L75" s="1476" t="s">
        <v>2963</v>
      </c>
      <c r="M75" s="1476" t="s">
        <v>9878</v>
      </c>
      <c r="N75" s="1476" t="s">
        <v>9090</v>
      </c>
      <c r="O75" s="1476" t="s">
        <v>9879</v>
      </c>
      <c r="P75" s="1476" t="s">
        <v>2359</v>
      </c>
      <c r="Q75" s="1476" t="s">
        <v>4904</v>
      </c>
      <c r="R75" s="1476" t="s">
        <v>5169</v>
      </c>
      <c r="S75" s="1476" t="s">
        <v>4698</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4348</v>
      </c>
      <c r="L76" s="1476" t="s">
        <v>3227</v>
      </c>
      <c r="M76" s="1476" t="s">
        <v>9596</v>
      </c>
      <c r="N76" s="1476" t="s">
        <v>4386</v>
      </c>
      <c r="O76" s="1476" t="s">
        <v>9898</v>
      </c>
      <c r="P76" s="1476" t="s">
        <v>9899</v>
      </c>
      <c r="Q76" s="1476" t="s">
        <v>113</v>
      </c>
      <c r="R76" s="1476" t="s">
        <v>1451</v>
      </c>
      <c r="S76" s="1476" t="s">
        <v>9059</v>
      </c>
      <c r="T76" s="1476" t="s">
        <v>520</v>
      </c>
      <c r="U76" s="1476" t="s">
        <v>1844</v>
      </c>
      <c r="V76" s="1476" t="s">
        <v>458</v>
      </c>
      <c r="W76" s="1476" t="s">
        <v>5640</v>
      </c>
      <c r="X76" s="1476" t="s">
        <v>9353</v>
      </c>
      <c r="Y76" s="1476" t="s">
        <v>2369</v>
      </c>
      <c r="Z76" s="1476" t="s">
        <v>5331</v>
      </c>
      <c r="AA76" s="1476" t="s">
        <v>9090</v>
      </c>
      <c r="AB76" s="1476" t="s">
        <v>9900</v>
      </c>
      <c r="AC76" s="1476" t="s">
        <v>2899</v>
      </c>
      <c r="AD76" s="1476" t="s">
        <v>9901</v>
      </c>
      <c r="AE76" s="1476" t="s">
        <v>5045</v>
      </c>
      <c r="AF76" s="1476" t="s">
        <v>9902</v>
      </c>
      <c r="AG76" s="1476" t="s">
        <v>9903</v>
      </c>
      <c r="AH76" s="1476" t="s">
        <v>2201</v>
      </c>
      <c r="AI76" s="1476" t="s">
        <v>8755</v>
      </c>
      <c r="AJ76" s="1476" t="s">
        <v>9904</v>
      </c>
      <c r="AK76" s="1476" t="s">
        <v>4499</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4047</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2299</v>
      </c>
      <c r="AA77" s="1476" t="s">
        <v>5681</v>
      </c>
      <c r="AB77" s="1476" t="s">
        <v>8596</v>
      </c>
      <c r="AC77" s="1476" t="s">
        <v>852</v>
      </c>
      <c r="AD77" s="1476" t="s">
        <v>9926</v>
      </c>
      <c r="AE77" s="1476" t="s">
        <v>1094</v>
      </c>
      <c r="AF77" s="1476" t="s">
        <v>9927</v>
      </c>
      <c r="AG77" s="1476" t="s">
        <v>2802</v>
      </c>
      <c r="AH77" s="1476" t="s">
        <v>5891</v>
      </c>
      <c r="AI77" s="1476" t="s">
        <v>1737</v>
      </c>
      <c r="AJ77" s="1476" t="s">
        <v>9928</v>
      </c>
      <c r="AK77" s="1476" t="s">
        <v>3324</v>
      </c>
      <c r="AL77" s="1476" t="s">
        <v>3667</v>
      </c>
      <c r="AM77" s="1476" t="s">
        <v>925</v>
      </c>
      <c r="AN77" s="1476" t="s">
        <v>9678</v>
      </c>
      <c r="AO77" s="1476" t="s">
        <v>2204</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4824</v>
      </c>
      <c r="J78" s="1476" t="s">
        <v>8877</v>
      </c>
      <c r="K78" s="1476" t="s">
        <v>9562</v>
      </c>
      <c r="L78" s="1476" t="s">
        <v>9938</v>
      </c>
      <c r="M78" s="1476" t="s">
        <v>2681</v>
      </c>
      <c r="N78" s="1476" t="s">
        <v>9939</v>
      </c>
      <c r="O78" s="1476" t="s">
        <v>9940</v>
      </c>
      <c r="P78" s="1476" t="s">
        <v>762</v>
      </c>
      <c r="Q78" s="1476" t="s">
        <v>9941</v>
      </c>
      <c r="R78" s="1476" t="s">
        <v>4782</v>
      </c>
      <c r="S78" s="1476" t="s">
        <v>5845</v>
      </c>
      <c r="T78" s="1476" t="s">
        <v>5714</v>
      </c>
      <c r="U78" s="1476" t="s">
        <v>9942</v>
      </c>
      <c r="V78" s="1476" t="s">
        <v>2342</v>
      </c>
      <c r="W78" s="1476" t="s">
        <v>8361</v>
      </c>
      <c r="X78" s="1476" t="s">
        <v>9943</v>
      </c>
      <c r="Y78" s="1476" t="s">
        <v>1317</v>
      </c>
      <c r="Z78" s="1476" t="s">
        <v>7104</v>
      </c>
      <c r="AA78" s="1476" t="s">
        <v>1482</v>
      </c>
      <c r="AB78" s="1476" t="s">
        <v>4201</v>
      </c>
      <c r="AC78" s="1476" t="s">
        <v>237</v>
      </c>
      <c r="AD78" s="1476" t="s">
        <v>9944</v>
      </c>
      <c r="AE78" s="1476" t="s">
        <v>2512</v>
      </c>
      <c r="AF78" s="1476" t="s">
        <v>9945</v>
      </c>
      <c r="AG78" s="1476" t="s">
        <v>9353</v>
      </c>
      <c r="AH78" s="1476" t="s">
        <v>6870</v>
      </c>
      <c r="AI78" s="1476" t="s">
        <v>9719</v>
      </c>
      <c r="AJ78" s="1476" t="s">
        <v>9946</v>
      </c>
      <c r="AK78" s="1476" t="s">
        <v>9947</v>
      </c>
      <c r="AL78" s="1476" t="s">
        <v>4117</v>
      </c>
      <c r="AM78" s="1476" t="s">
        <v>9442</v>
      </c>
      <c r="AN78" s="1476" t="s">
        <v>3667</v>
      </c>
      <c r="AO78" s="1476" t="s">
        <v>4047</v>
      </c>
      <c r="AP78" s="1476" t="s">
        <v>9204</v>
      </c>
      <c r="AQ78" s="1476" t="s">
        <v>9948</v>
      </c>
      <c r="AR78" s="1476" t="s">
        <v>1481</v>
      </c>
      <c r="AS78" s="1476" t="s">
        <v>5945</v>
      </c>
      <c r="AT78" s="1476" t="s">
        <v>7430</v>
      </c>
      <c r="AU78" s="1476" t="s">
        <v>9949</v>
      </c>
      <c r="AV78" s="1476" t="str">
        <f t="shared" si="1"/>
        <v>3:10</v>
      </c>
      <c r="AW78" s="1481" t="s">
        <v>9950</v>
      </c>
    </row>
    <row r="79">
      <c r="A79" s="1485" t="s">
        <v>3871</v>
      </c>
      <c r="B79" s="1451" t="s">
        <v>8340</v>
      </c>
      <c r="C79" s="1492">
        <v>0.052141203703703703</v>
      </c>
      <c r="D79" s="1242" t="s">
        <v>9951</v>
      </c>
      <c r="E79" s="1371" t="s">
        <v>2830</v>
      </c>
      <c r="F79" s="1371" t="s">
        <v>9952</v>
      </c>
      <c r="G79" s="1396" t="s">
        <v>9953</v>
      </c>
      <c r="H79" s="1396" t="s">
        <v>9954</v>
      </c>
      <c r="I79" s="1396" t="s">
        <v>2354</v>
      </c>
      <c r="J79" s="1396" t="s">
        <v>6715</v>
      </c>
      <c r="K79" s="1493" t="s">
        <v>5999</v>
      </c>
      <c r="L79" s="1494" t="s">
        <v>6867</v>
      </c>
      <c r="M79" s="1396" t="s">
        <v>9955</v>
      </c>
      <c r="N79" s="1396" t="s">
        <v>5714</v>
      </c>
      <c r="O79" s="1396" t="s">
        <v>5463</v>
      </c>
      <c r="P79" s="1396" t="s">
        <v>1979</v>
      </c>
      <c r="Q79" s="1396" t="s">
        <v>9956</v>
      </c>
      <c r="R79" s="1396" t="s">
        <v>2408</v>
      </c>
      <c r="S79" s="1495" t="s">
        <v>2217</v>
      </c>
      <c r="T79" s="1396" t="s">
        <v>8721</v>
      </c>
      <c r="U79" s="1396" t="s">
        <v>3192</v>
      </c>
      <c r="V79" s="1396" t="s">
        <v>9957</v>
      </c>
      <c r="W79" s="1396" t="s">
        <v>9958</v>
      </c>
      <c r="X79" s="1396" t="s">
        <v>4372</v>
      </c>
      <c r="Y79" s="1396" t="s">
        <v>2572</v>
      </c>
      <c r="Z79" s="1396" t="s">
        <v>4018</v>
      </c>
      <c r="AA79" s="1396" t="s">
        <v>395</v>
      </c>
      <c r="AB79" s="1396" t="s">
        <v>618</v>
      </c>
      <c r="AC79" s="1396" t="s">
        <v>2512</v>
      </c>
      <c r="AD79" s="1496" t="s">
        <v>8647</v>
      </c>
      <c r="AE79" s="1396" t="s">
        <v>473</v>
      </c>
      <c r="AF79" s="1396" t="s">
        <v>9959</v>
      </c>
      <c r="AG79" s="1396" t="s">
        <v>9960</v>
      </c>
      <c r="AH79" s="1396" t="s">
        <v>4443</v>
      </c>
      <c r="AI79" s="1396" t="s">
        <v>3759</v>
      </c>
      <c r="AJ79" s="1396" t="s">
        <v>9961</v>
      </c>
      <c r="AK79" s="1396" t="s">
        <v>9962</v>
      </c>
      <c r="AL79" s="1396" t="s">
        <v>4907</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3672</v>
      </c>
      <c r="B80" s="1381" t="s">
        <v>8283</v>
      </c>
      <c r="C80" s="1323">
        <v>0.0522337962962963</v>
      </c>
      <c r="D80" s="1440" t="s">
        <v>9969</v>
      </c>
      <c r="E80" s="1402" t="s">
        <v>9970</v>
      </c>
      <c r="F80" s="1402" t="s">
        <v>9971</v>
      </c>
      <c r="G80" s="1402" t="s">
        <v>9972</v>
      </c>
      <c r="H80" s="1402" t="s">
        <v>9973</v>
      </c>
      <c r="I80" s="1402" t="s">
        <v>141</v>
      </c>
      <c r="J80" s="1402" t="s">
        <v>7949</v>
      </c>
      <c r="K80" s="1402" t="s">
        <v>4348</v>
      </c>
      <c r="L80" s="1402" t="s">
        <v>6011</v>
      </c>
      <c r="M80" s="1402" t="s">
        <v>9974</v>
      </c>
      <c r="N80" s="1402" t="s">
        <v>9975</v>
      </c>
      <c r="O80" s="1402" t="s">
        <v>9976</v>
      </c>
      <c r="P80" s="1402" t="s">
        <v>5045</v>
      </c>
      <c r="Q80" s="1402" t="s">
        <v>4709</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4786</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3019</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3840</v>
      </c>
      <c r="AH81" s="1402" t="s">
        <v>1809</v>
      </c>
      <c r="AI81" s="1402" t="s">
        <v>414</v>
      </c>
      <c r="AJ81" s="1402" t="s">
        <v>10003</v>
      </c>
      <c r="AK81" s="1402" t="s">
        <v>10004</v>
      </c>
      <c r="AL81" s="1402" t="s">
        <v>9721</v>
      </c>
      <c r="AM81" s="1402" t="s">
        <v>2802</v>
      </c>
      <c r="AN81" s="1402" t="s">
        <v>5782</v>
      </c>
      <c r="AO81" s="1402" t="s">
        <v>3296</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4377</v>
      </c>
      <c r="M82" s="1476" t="s">
        <v>4268</v>
      </c>
      <c r="N82" s="1476" t="s">
        <v>4689</v>
      </c>
      <c r="O82" s="1476" t="s">
        <v>10014</v>
      </c>
      <c r="P82" s="1476" t="s">
        <v>10015</v>
      </c>
      <c r="Q82" s="1476" t="s">
        <v>4058</v>
      </c>
      <c r="R82" s="1476" t="s">
        <v>2508</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3089</v>
      </c>
      <c r="AJ82" s="1476" t="s">
        <v>10023</v>
      </c>
      <c r="AK82" s="1476" t="s">
        <v>1788</v>
      </c>
      <c r="AL82" s="1476" t="s">
        <v>4170</v>
      </c>
      <c r="AM82" s="1476" t="s">
        <v>1119</v>
      </c>
      <c r="AN82" s="1476" t="s">
        <v>2831</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3977</v>
      </c>
      <c r="L83" s="1476" t="s">
        <v>4051</v>
      </c>
      <c r="M83" s="1476" t="s">
        <v>9008</v>
      </c>
      <c r="N83" s="1476" t="s">
        <v>10034</v>
      </c>
      <c r="O83" s="1476" t="s">
        <v>8328</v>
      </c>
      <c r="P83" s="1476" t="s">
        <v>477</v>
      </c>
      <c r="Q83" s="1476" t="s">
        <v>10035</v>
      </c>
      <c r="R83" s="1476" t="s">
        <v>2525</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2870</v>
      </c>
      <c r="AE83" s="1476" t="s">
        <v>4855</v>
      </c>
      <c r="AF83" s="1476" t="s">
        <v>10040</v>
      </c>
      <c r="AG83" s="1476" t="s">
        <v>2704</v>
      </c>
      <c r="AH83" s="1476" t="s">
        <v>6459</v>
      </c>
      <c r="AI83" s="1476" t="s">
        <v>10041</v>
      </c>
      <c r="AJ83" s="1476" t="s">
        <v>10042</v>
      </c>
      <c r="AK83" s="1476" t="s">
        <v>9349</v>
      </c>
      <c r="AL83" s="1476" t="s">
        <v>10043</v>
      </c>
      <c r="AM83" s="1476" t="s">
        <v>10044</v>
      </c>
      <c r="AN83" s="1476" t="s">
        <v>3666</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3797</v>
      </c>
      <c r="J84" s="1242" t="s">
        <v>9110</v>
      </c>
      <c r="K84" s="1242" t="s">
        <v>10053</v>
      </c>
      <c r="L84" s="1242" t="s">
        <v>2697</v>
      </c>
      <c r="M84" s="1242" t="s">
        <v>267</v>
      </c>
      <c r="N84" s="1242" t="s">
        <v>8796</v>
      </c>
      <c r="O84" s="1242" t="s">
        <v>10054</v>
      </c>
      <c r="P84" s="1242" t="s">
        <v>2057</v>
      </c>
      <c r="Q84" s="1242" t="s">
        <v>10055</v>
      </c>
      <c r="R84" s="1242" t="s">
        <v>3810</v>
      </c>
      <c r="S84" s="1242" t="s">
        <v>10056</v>
      </c>
      <c r="T84" s="1242" t="s">
        <v>10057</v>
      </c>
      <c r="U84" s="1242" t="s">
        <v>10058</v>
      </c>
      <c r="V84" s="1242" t="s">
        <v>10059</v>
      </c>
      <c r="W84" s="1242" t="s">
        <v>10060</v>
      </c>
      <c r="X84" s="1242" t="s">
        <v>2669</v>
      </c>
      <c r="Y84" s="1242" t="s">
        <v>3033</v>
      </c>
      <c r="Z84" s="1242" t="s">
        <v>6099</v>
      </c>
      <c r="AA84" s="1402" t="s">
        <v>9515</v>
      </c>
      <c r="AB84" s="1242" t="s">
        <v>10061</v>
      </c>
      <c r="AC84" s="1242" t="s">
        <v>6324</v>
      </c>
      <c r="AD84" s="1499" t="s">
        <v>8361</v>
      </c>
      <c r="AE84" s="1242" t="s">
        <v>331</v>
      </c>
      <c r="AF84" s="1242" t="s">
        <v>10062</v>
      </c>
      <c r="AG84" s="1242" t="s">
        <v>7225</v>
      </c>
      <c r="AH84" s="1242" t="s">
        <v>3415</v>
      </c>
      <c r="AI84" s="1242" t="s">
        <v>10063</v>
      </c>
      <c r="AJ84" s="1242" t="s">
        <v>10064</v>
      </c>
      <c r="AK84" s="1242" t="s">
        <v>10065</v>
      </c>
      <c r="AL84" s="1242" t="s">
        <v>4514</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3415</v>
      </c>
      <c r="M85" s="1402" t="s">
        <v>7207</v>
      </c>
      <c r="N85" s="1402" t="s">
        <v>10077</v>
      </c>
      <c r="O85" s="1402" t="s">
        <v>10078</v>
      </c>
      <c r="P85" s="1402" t="s">
        <v>4036</v>
      </c>
      <c r="Q85" s="1402" t="s">
        <v>10079</v>
      </c>
      <c r="R85" s="1402" t="s">
        <v>5510</v>
      </c>
      <c r="S85" s="1402" t="s">
        <v>7243</v>
      </c>
      <c r="T85" s="1402" t="s">
        <v>10080</v>
      </c>
      <c r="U85" s="1402" t="s">
        <v>10081</v>
      </c>
      <c r="V85" s="1402" t="s">
        <v>9061</v>
      </c>
      <c r="W85" s="1402" t="s">
        <v>10082</v>
      </c>
      <c r="X85" s="1402" t="s">
        <v>2336</v>
      </c>
      <c r="Y85" s="1402" t="s">
        <v>8969</v>
      </c>
      <c r="Z85" s="1402" t="s">
        <v>8478</v>
      </c>
      <c r="AA85" s="1402" t="s">
        <v>10083</v>
      </c>
      <c r="AB85" s="1402" t="s">
        <v>9521</v>
      </c>
      <c r="AC85" s="1402" t="s">
        <v>8838</v>
      </c>
      <c r="AD85" s="1402" t="s">
        <v>10084</v>
      </c>
      <c r="AE85" s="1402" t="s">
        <v>2305</v>
      </c>
      <c r="AF85" s="1402" t="s">
        <v>10085</v>
      </c>
      <c r="AG85" s="1402" t="s">
        <v>10086</v>
      </c>
      <c r="AH85" s="1402" t="s">
        <v>4051</v>
      </c>
      <c r="AI85" s="1402" t="s">
        <v>10087</v>
      </c>
      <c r="AJ85" s="1402" t="s">
        <v>10088</v>
      </c>
      <c r="AK85" s="1402" t="s">
        <v>1604</v>
      </c>
      <c r="AL85" s="1402" t="s">
        <v>2555</v>
      </c>
      <c r="AM85" s="1402" t="s">
        <v>1604</v>
      </c>
      <c r="AN85" s="1402" t="s">
        <v>2555</v>
      </c>
      <c r="AO85" s="1402" t="s">
        <v>5883</v>
      </c>
      <c r="AP85" s="1402" t="s">
        <v>10089</v>
      </c>
      <c r="AQ85" s="1402" t="s">
        <v>2153</v>
      </c>
      <c r="AR85" s="1402" t="s">
        <v>9906</v>
      </c>
      <c r="AS85" s="1402" t="s">
        <v>3573</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2233</v>
      </c>
      <c r="J86" s="1476" t="s">
        <v>3994</v>
      </c>
      <c r="K86" s="1476" t="s">
        <v>9778</v>
      </c>
      <c r="L86" s="1476" t="s">
        <v>5145</v>
      </c>
      <c r="M86" s="1476" t="s">
        <v>3976</v>
      </c>
      <c r="N86" s="1476" t="s">
        <v>10095</v>
      </c>
      <c r="O86" s="1476" t="s">
        <v>10096</v>
      </c>
      <c r="P86" s="1476" t="s">
        <v>6062</v>
      </c>
      <c r="Q86" s="1476" t="s">
        <v>10097</v>
      </c>
      <c r="R86" s="1476" t="s">
        <v>10098</v>
      </c>
      <c r="S86" s="1476" t="s">
        <v>8302</v>
      </c>
      <c r="T86" s="1476" t="s">
        <v>2561</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3805</v>
      </c>
      <c r="AH86" s="1476" t="s">
        <v>718</v>
      </c>
      <c r="AI86" s="1476" t="s">
        <v>5176</v>
      </c>
      <c r="AJ86" s="1476" t="s">
        <v>10105</v>
      </c>
      <c r="AK86" s="1476" t="s">
        <v>8702</v>
      </c>
      <c r="AL86" s="1476" t="s">
        <v>5314</v>
      </c>
      <c r="AM86" s="1476" t="s">
        <v>3794</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2906</v>
      </c>
      <c r="J87" s="1476" t="s">
        <v>10115</v>
      </c>
      <c r="K87" s="1476" t="s">
        <v>5297</v>
      </c>
      <c r="L87" s="1476" t="s">
        <v>7548</v>
      </c>
      <c r="M87" s="1476" t="s">
        <v>10116</v>
      </c>
      <c r="N87" s="1476" t="s">
        <v>10117</v>
      </c>
      <c r="O87" s="1476" t="s">
        <v>10118</v>
      </c>
      <c r="P87" s="1476" t="s">
        <v>4949</v>
      </c>
      <c r="Q87" s="1476" t="s">
        <v>10119</v>
      </c>
      <c r="R87" s="1476" t="s">
        <v>9370</v>
      </c>
      <c r="S87" s="1476" t="s">
        <v>4454</v>
      </c>
      <c r="T87" s="1476" t="s">
        <v>8613</v>
      </c>
      <c r="U87" s="1476" t="s">
        <v>5249</v>
      </c>
      <c r="V87" s="1476" t="s">
        <v>1077</v>
      </c>
      <c r="W87" s="1476" t="s">
        <v>1961</v>
      </c>
      <c r="X87" s="1476" t="s">
        <v>3081</v>
      </c>
      <c r="Y87" s="1476" t="s">
        <v>654</v>
      </c>
      <c r="Z87" s="1476" t="s">
        <v>10120</v>
      </c>
      <c r="AA87" s="1402" t="s">
        <v>7480</v>
      </c>
      <c r="AB87" s="1476" t="s">
        <v>3373</v>
      </c>
      <c r="AC87" s="1476" t="s">
        <v>2369</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3808</v>
      </c>
      <c r="AQ87" s="1476" t="s">
        <v>10131</v>
      </c>
      <c r="AR87" s="1476" t="s">
        <v>10036</v>
      </c>
      <c r="AS87" s="1476" t="s">
        <v>4125</v>
      </c>
      <c r="AT87" s="1476" t="s">
        <v>10132</v>
      </c>
      <c r="AU87" s="1476" t="s">
        <v>10133</v>
      </c>
      <c r="AV87" s="1476" t="str">
        <f t="shared" si="2"/>
        <v>2:38</v>
      </c>
      <c r="AW87" s="1481"/>
    </row>
    <row r="88">
      <c r="A88" s="1363" t="s">
        <v>3735</v>
      </c>
      <c r="B88" s="1364" t="s">
        <v>8283</v>
      </c>
      <c r="C88" s="1323">
        <v>0.05318287037037037</v>
      </c>
      <c r="D88" s="1242" t="s">
        <v>10134</v>
      </c>
      <c r="E88" s="1402" t="s">
        <v>10135</v>
      </c>
      <c r="F88" s="1501" t="s">
        <v>10136</v>
      </c>
      <c r="G88" s="1402" t="s">
        <v>10137</v>
      </c>
      <c r="H88" s="1242" t="s">
        <v>10138</v>
      </c>
      <c r="I88" s="1402" t="s">
        <v>2369</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2372</v>
      </c>
      <c r="V88" s="1402" t="s">
        <v>10142</v>
      </c>
      <c r="W88" s="1501" t="s">
        <v>10143</v>
      </c>
      <c r="X88" s="1402" t="s">
        <v>4372</v>
      </c>
      <c r="Y88" s="1501" t="s">
        <v>590</v>
      </c>
      <c r="Z88" s="1402" t="s">
        <v>9533</v>
      </c>
      <c r="AA88" s="1402" t="s">
        <v>10144</v>
      </c>
      <c r="AB88" s="1402" t="s">
        <v>8570</v>
      </c>
      <c r="AC88" s="1402" t="s">
        <v>3694</v>
      </c>
      <c r="AD88" s="1402" t="s">
        <v>10145</v>
      </c>
      <c r="AE88" s="1501" t="s">
        <v>1505</v>
      </c>
      <c r="AF88" s="1501" t="s">
        <v>5990</v>
      </c>
      <c r="AG88" s="1402" t="s">
        <v>4026</v>
      </c>
      <c r="AH88" s="1402" t="s">
        <v>10146</v>
      </c>
      <c r="AI88" s="1402" t="s">
        <v>10147</v>
      </c>
      <c r="AJ88" s="1402" t="s">
        <v>10148</v>
      </c>
      <c r="AK88" s="1402" t="s">
        <v>454</v>
      </c>
      <c r="AL88" s="1402" t="s">
        <v>9548</v>
      </c>
      <c r="AM88" s="1402" t="s">
        <v>3543</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2512</v>
      </c>
      <c r="J89" s="1242" t="s">
        <v>1708</v>
      </c>
      <c r="K89" s="1242" t="s">
        <v>4290</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2719</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4488</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4625</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4383</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3211</v>
      </c>
      <c r="AC90" s="1402" t="s">
        <v>4571</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2388</v>
      </c>
      <c r="J91" s="1476" t="s">
        <v>8811</v>
      </c>
      <c r="K91" s="1476" t="s">
        <v>8353</v>
      </c>
      <c r="L91" s="1476" t="s">
        <v>4687</v>
      </c>
      <c r="M91" s="1476" t="s">
        <v>9106</v>
      </c>
      <c r="N91" s="1476" t="s">
        <v>10207</v>
      </c>
      <c r="O91" s="1476" t="s">
        <v>4331</v>
      </c>
      <c r="P91" s="1476" t="s">
        <v>852</v>
      </c>
      <c r="Q91" s="1402" t="s">
        <v>10208</v>
      </c>
      <c r="R91" s="1476" t="s">
        <v>9738</v>
      </c>
      <c r="S91" s="1476" t="s">
        <v>3902</v>
      </c>
      <c r="T91" s="1476" t="s">
        <v>9943</v>
      </c>
      <c r="U91" s="1476" t="s">
        <v>10209</v>
      </c>
      <c r="V91" s="1476" t="s">
        <v>3566</v>
      </c>
      <c r="W91" s="1476" t="s">
        <v>3779</v>
      </c>
      <c r="X91" s="1476" t="s">
        <v>2967</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2587</v>
      </c>
      <c r="AJ91" s="1476" t="s">
        <v>10213</v>
      </c>
      <c r="AK91" s="1476" t="s">
        <v>8711</v>
      </c>
      <c r="AL91" s="1476" t="s">
        <v>10214</v>
      </c>
      <c r="AM91" s="1476" t="s">
        <v>8307</v>
      </c>
      <c r="AN91" s="1476" t="s">
        <v>6204</v>
      </c>
      <c r="AO91" s="1476" t="s">
        <v>8663</v>
      </c>
      <c r="AP91" s="1476" t="s">
        <v>10215</v>
      </c>
      <c r="AQ91" s="1476" t="s">
        <v>4374</v>
      </c>
      <c r="AR91" s="1476" t="s">
        <v>154</v>
      </c>
      <c r="AS91" s="1476" t="s">
        <v>8498</v>
      </c>
      <c r="AT91" s="1476" t="s">
        <v>4586</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2469</v>
      </c>
      <c r="M92" s="1402" t="s">
        <v>1325</v>
      </c>
      <c r="N92" s="1402" t="s">
        <v>10224</v>
      </c>
      <c r="O92" s="1402" t="s">
        <v>10225</v>
      </c>
      <c r="P92" s="1402" t="s">
        <v>947</v>
      </c>
      <c r="Q92" s="1402" t="s">
        <v>4214</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2369</v>
      </c>
      <c r="AF92" s="1402" t="s">
        <v>7502</v>
      </c>
      <c r="AG92" s="1402" t="s">
        <v>10233</v>
      </c>
      <c r="AH92" s="1402" t="s">
        <v>8870</v>
      </c>
      <c r="AI92" s="1402" t="s">
        <v>7296</v>
      </c>
      <c r="AJ92" s="1402" t="s">
        <v>10234</v>
      </c>
      <c r="AK92" s="1402" t="s">
        <v>4677</v>
      </c>
      <c r="AL92" s="1402" t="s">
        <v>10235</v>
      </c>
      <c r="AM92" s="1402" t="s">
        <v>4690</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4297</v>
      </c>
      <c r="H93" s="1476" t="s">
        <v>10243</v>
      </c>
      <c r="I93" s="1476" t="s">
        <v>10185</v>
      </c>
      <c r="J93" s="1476" t="s">
        <v>10244</v>
      </c>
      <c r="K93" s="1476" t="s">
        <v>10245</v>
      </c>
      <c r="L93" s="1476" t="s">
        <v>1432</v>
      </c>
      <c r="M93" s="1476" t="s">
        <v>4423</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3100</v>
      </c>
      <c r="AL93" s="1476" t="s">
        <v>4483</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2311</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4301</v>
      </c>
      <c r="AN94" s="1402" t="s">
        <v>10285</v>
      </c>
      <c r="AO94" s="1402" t="s">
        <v>1708</v>
      </c>
      <c r="AP94" s="1402" t="s">
        <v>969</v>
      </c>
      <c r="AQ94" s="1402" t="s">
        <v>10286</v>
      </c>
      <c r="AR94" s="1402" t="s">
        <v>10287</v>
      </c>
      <c r="AS94" s="1402" t="s">
        <v>2170</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2200</v>
      </c>
      <c r="N95" s="1344" t="s">
        <v>10297</v>
      </c>
      <c r="O95" s="1344" t="s">
        <v>10298</v>
      </c>
      <c r="P95" s="1344">
        <v>49.15</v>
      </c>
      <c r="Q95" s="1344" t="s">
        <v>10299</v>
      </c>
      <c r="R95" s="1344" t="s">
        <v>3396</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4374</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3233</v>
      </c>
      <c r="AC96" s="1402" t="s">
        <v>4600</v>
      </c>
      <c r="AD96" s="1402" t="s">
        <v>9320</v>
      </c>
      <c r="AE96" s="1402" t="s">
        <v>944</v>
      </c>
      <c r="AF96" s="1402" t="s">
        <v>10325</v>
      </c>
      <c r="AG96" s="1402" t="s">
        <v>3448</v>
      </c>
      <c r="AH96" s="1402" t="s">
        <v>7987</v>
      </c>
      <c r="AI96" s="1402" t="s">
        <v>10326</v>
      </c>
      <c r="AJ96" s="1402" t="s">
        <v>10327</v>
      </c>
      <c r="AK96" s="1402" t="s">
        <v>4417</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4778</v>
      </c>
      <c r="B97" s="1364" t="s">
        <v>8311</v>
      </c>
      <c r="C97" s="1404">
        <v>0.05565972222222222</v>
      </c>
      <c r="D97" s="1402" t="s">
        <v>10336</v>
      </c>
      <c r="E97" s="1402" t="s">
        <v>3546</v>
      </c>
      <c r="F97" s="1402" t="s">
        <v>10337</v>
      </c>
      <c r="G97" s="1402" t="s">
        <v>10338</v>
      </c>
      <c r="H97" s="1242" t="s">
        <v>8777</v>
      </c>
      <c r="I97" s="1402" t="s">
        <v>3230</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2369</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3475</v>
      </c>
      <c r="AM97" s="1402" t="s">
        <v>4690</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3752</v>
      </c>
      <c r="M98" s="1476" t="s">
        <v>6562</v>
      </c>
      <c r="N98" s="1476" t="s">
        <v>10368</v>
      </c>
      <c r="O98" s="1476" t="s">
        <v>10369</v>
      </c>
      <c r="P98" s="1476" t="s">
        <v>2403</v>
      </c>
      <c r="Q98" s="1476" t="s">
        <v>10370</v>
      </c>
      <c r="R98" s="1476" t="s">
        <v>10371</v>
      </c>
      <c r="S98" s="1476" t="s">
        <v>10372</v>
      </c>
      <c r="T98" s="1476" t="s">
        <v>1680</v>
      </c>
      <c r="U98" s="1476" t="s">
        <v>10373</v>
      </c>
      <c r="V98" s="1476" t="s">
        <v>10374</v>
      </c>
      <c r="W98" s="1476" t="s">
        <v>10375</v>
      </c>
      <c r="X98" s="1476" t="s">
        <v>10376</v>
      </c>
      <c r="Y98" s="1476" t="s">
        <v>2799</v>
      </c>
      <c r="Z98" s="1476" t="s">
        <v>10377</v>
      </c>
      <c r="AA98" s="1402" t="s">
        <v>10378</v>
      </c>
      <c r="AB98" s="1476" t="s">
        <v>8811</v>
      </c>
      <c r="AC98" s="1476" t="s">
        <v>4447</v>
      </c>
      <c r="AD98" s="1476" t="s">
        <v>5157</v>
      </c>
      <c r="AE98" s="1476" t="s">
        <v>2563</v>
      </c>
      <c r="AF98" s="1476" t="s">
        <v>10379</v>
      </c>
      <c r="AG98" s="1476" t="s">
        <v>5612</v>
      </c>
      <c r="AH98" s="1476" t="s">
        <v>10380</v>
      </c>
      <c r="AI98" s="1476" t="s">
        <v>4755</v>
      </c>
      <c r="AJ98" s="1476" t="s">
        <v>10381</v>
      </c>
      <c r="AK98" s="1476" t="s">
        <v>10382</v>
      </c>
      <c r="AL98" s="1476" t="s">
        <v>3732</v>
      </c>
      <c r="AM98" s="1476" t="s">
        <v>4763</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3628</v>
      </c>
      <c r="J99" s="1242" t="s">
        <v>10393</v>
      </c>
      <c r="K99" s="1242" t="s">
        <v>3699</v>
      </c>
      <c r="L99" s="1242" t="s">
        <v>7105</v>
      </c>
      <c r="M99" s="1242" t="s">
        <v>862</v>
      </c>
      <c r="N99" s="1242" t="s">
        <v>10394</v>
      </c>
      <c r="O99" s="1242" t="s">
        <v>10395</v>
      </c>
      <c r="P99" s="1242" t="s">
        <v>5067</v>
      </c>
      <c r="Q99" s="1242" t="s">
        <v>10396</v>
      </c>
      <c r="R99" s="1242" t="s">
        <v>4432</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4206</v>
      </c>
      <c r="AI99" s="1242" t="s">
        <v>10407</v>
      </c>
      <c r="AJ99" s="1242" t="s">
        <v>10408</v>
      </c>
      <c r="AK99" s="1242" t="s">
        <v>10409</v>
      </c>
      <c r="AL99" s="1242" t="s">
        <v>10410</v>
      </c>
      <c r="AM99" s="1242" t="s">
        <v>10411</v>
      </c>
      <c r="AN99" s="1242" t="s">
        <v>8890</v>
      </c>
      <c r="AO99" s="1242" t="s">
        <v>2282</v>
      </c>
      <c r="AP99" s="1242" t="s">
        <v>10412</v>
      </c>
      <c r="AQ99" s="1242" t="s">
        <v>129</v>
      </c>
      <c r="AR99" s="1242" t="s">
        <v>10413</v>
      </c>
      <c r="AS99" s="1242" t="s">
        <v>3841</v>
      </c>
      <c r="AT99" s="1242" t="s">
        <v>10414</v>
      </c>
      <c r="AU99" s="1387" t="s">
        <v>10415</v>
      </c>
      <c r="AV99" s="1476" t="str">
        <f t="shared" si="3"/>
        <v>9:53</v>
      </c>
      <c r="AW99" s="1484" t="s">
        <v>10416</v>
      </c>
    </row>
    <row r="100">
      <c r="A100" s="1363" t="s">
        <v>4537</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2806</v>
      </c>
      <c r="AC101" s="1344"/>
      <c r="AD101" s="1344"/>
      <c r="AE101" s="1365"/>
      <c r="AF101" s="1344"/>
      <c r="AG101" s="1344"/>
      <c r="AH101" s="1344"/>
      <c r="AI101" s="1344"/>
      <c r="AJ101" s="1344"/>
      <c r="AK101" s="1344"/>
      <c r="AL101" s="1344"/>
      <c r="AM101" s="1507" t="s">
        <v>2323</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2634</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3014</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2883</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2527</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2812</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2883</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3812</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3786</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4778</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2214</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2907</v>
      </c>
      <c r="M36" s="1556">
        <v>0.05228009259259259</v>
      </c>
      <c r="N36" s="1553" t="str">
        <f t="shared" si="1"/>
        <v>3:21</v>
      </c>
      <c r="O36" s="1335" t="s">
        <v>10687</v>
      </c>
    </row>
    <row r="37" ht="15.75" customHeight="1">
      <c r="A37" s="1465" t="s">
        <v>2494</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2634</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2214</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2812</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2883</v>
      </c>
      <c r="B25" s="1560" t="s">
        <v>8311</v>
      </c>
      <c r="C25" s="1620" t="s">
        <v>10852</v>
      </c>
      <c r="D25" s="1335"/>
      <c r="E25" s="1335" t="s">
        <v>10853</v>
      </c>
      <c r="F25" s="1335" t="s">
        <v>10854</v>
      </c>
      <c r="G25" s="1335"/>
      <c r="H25" s="1335"/>
      <c r="I25" s="1335"/>
      <c r="J25" s="1335"/>
      <c r="K25" s="1335" t="s">
        <v>9379</v>
      </c>
      <c r="L25" s="1335"/>
    </row>
    <row r="26" ht="15.75" customHeight="1">
      <c r="A26" s="1485" t="s">
        <v>2527</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2494</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4778</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4098</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3812</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4098</v>
      </c>
      <c r="D13" s="1641" t="s">
        <v>10912</v>
      </c>
      <c r="E13" s="1640" t="s">
        <v>10896</v>
      </c>
      <c r="F13" s="1642">
        <v>44250.0</v>
      </c>
    </row>
    <row r="14" ht="15.75" customHeight="1">
      <c r="A14" s="1638" t="s">
        <v>10913</v>
      </c>
      <c r="B14" s="1643" t="s">
        <v>10898</v>
      </c>
      <c r="C14" s="1640" t="s">
        <v>4077</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2214</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4098</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2413</v>
      </c>
      <c r="D90" s="1654" t="s">
        <v>10959</v>
      </c>
      <c r="E90" s="1640" t="s">
        <v>10896</v>
      </c>
      <c r="F90" s="1655">
        <v>43925.0</v>
      </c>
    </row>
    <row r="91">
      <c r="A91" s="1650"/>
      <c r="B91" s="1644" t="s">
        <v>10901</v>
      </c>
      <c r="C91" s="1640" t="s">
        <v>4625</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3957</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2413</v>
      </c>
      <c r="D133" s="1668" t="s">
        <v>10977</v>
      </c>
      <c r="E133" s="1640" t="s">
        <v>10896</v>
      </c>
      <c r="F133" s="1642">
        <v>45152.0</v>
      </c>
    </row>
    <row r="134">
      <c r="A134" s="1662"/>
      <c r="B134" s="1643" t="s">
        <v>10898</v>
      </c>
      <c r="C134" s="1640" t="s">
        <v>4077</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