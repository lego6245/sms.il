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<sst xmlns="http://schemas.openxmlformats.org/spreadsheetml/2006/main" count="27631" uniqueCount="11422">
  <si>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</si>
  <si>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</si>
  <si>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</si>
  <si>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</si>
  <si>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</si>
  <si>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</si>
  <si>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</si>
  <si>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</si>
  <si>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</si>
  <si>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</si>
  <si>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</si>
  <si>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</si>
  <si>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</si>
  <si>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</si>
  <si>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</si>
  <si>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</si>
  <si>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</si>
  <si>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</si>
  <si>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</si>
  <si>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</si>
  <si>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</si>
  <si>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</si>
  <si>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</si>
  <si>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</si>
  <si>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</si>
  <si>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</si>
  <si>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</si>
  <si>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</si>
  <si>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</si>
  <si>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</si>
  <si>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</si>
  <si>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</si>
  <si>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</si>
  <si>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</si>
  <si>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</si>
  <si>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</si>
  <si>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</si>
  <si>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</si>
  <si>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</si>
  <si>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</si>
  <si>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</si>
  <si>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</si>
  <si>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</si>
  <si>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</si>
  <si>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</si>
  <si>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</si>
  <si>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</si>
  <si>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</si>
  <si>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</si>
  <si>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</si>
  <si>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</si>
  <si>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</si>
  <si>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</si>
  <si>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</si>
  <si>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</si>
  <si>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</si>
  <si>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</si>
  <si>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</si>
  <si>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</si>
  <si>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</si>
  <si>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</si>
  <si>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</si>
  <si>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</si>
  <si>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</si>
  <si>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</si>
  <si>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</si>
  <si>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</si>
  <si>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</si>
  <si>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</si>
  <si>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</si>
  <si>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</si>
  <si>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</si>
  <si>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</si>
  <si>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</si>
  <si>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</si>
  <si>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</si>
  <si>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</si>
  <si>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</si>
  <si>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</si>
  <si>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</si>
  <si>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</si>
  <si>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</si>
  <si>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</si>
  <si>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</si>
  <si>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</si>
  <si>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</si>
  <si>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</si>
  <si>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</si>
  <si>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</si>
  <si>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</si>
  <si>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</si>
  <si>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</si>
  <si>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</si>
  <si>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</si>
  <si>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</si>
  <si>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</si>
  <si>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</si>
  <si>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</si>
  <si>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</si>
  <si>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</si>
  <si>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</si>
  <si>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</si>
  <si>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</si>
  <si>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</si>
  <si>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</si>
  <si>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</si>
  <si>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</si>
  <si>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</si>
  <si>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</si>
  <si>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</si>
  <si>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</si>
  <si>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</si>
  <si>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</si>
  <si>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</si>
  <si>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</si>
  <si>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</si>
  <si>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</si>
  <si>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</si>
  <si>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</si>
  <si>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</si>
  <si>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</si>
  <si>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</si>
  <si>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</si>
  <si>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</si>
  <si>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</si>
  <si>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</si>
  <si>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</si>
  <si>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</si>
  <si>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</si>
  <si>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</si>
  <si>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</si>
  <si>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</si>
  <si>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</si>
  <si>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</si>
  <si>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</si>
  <si>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</si>
  <si>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</si>
  <si>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</si>
  <si>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</si>
  <si>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</si>
  <si>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</si>
  <si>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</si>
  <si>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</si>
  <si>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</si>
  <si>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</si>
  <si>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</si>
  <si>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</si>
  <si>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</si>
  <si>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</si>
  <si>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</si>
  <si>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</si>
  <si>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</si>
  <si>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</si>
  <si>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</si>
  <si>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</si>
  <si>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</si>
  <si>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</si>
  <si>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</si>
  <si>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</si>
  <si>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</si>
  <si>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</si>
  <si>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</si>
  <si>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</si>
  <si>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</si>
  <si>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</si>
  <si>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</si>
  <si>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</si>
  <si>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</si>
  <si>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</si>
  <si>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</si>
  <si>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</si>
  <si>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</si>
  <si>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</si>
  <si>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</si>
  <si>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</si>
  <si>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</si>
  <si>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</si>
  <si>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</si>
  <si>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</si>
  <si>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</si>
  <si>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</si>
  <si>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</si>
  <si>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</si>
  <si>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</si>
  <si>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</si>
  <si>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</si>
  <si>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</si>
  <si>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</si>
  <si>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</si>
  <si>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</si>
  <si>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</si>
  <si>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</si>
  <si>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</si>
  <si>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</si>
  <si>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</si>
  <si>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</si>
  <si>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</si>
  <si>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</si>
  <si>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</si>
  <si>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</si>
  <si>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</si>
  <si>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</si>
  <si>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</si>
  <si>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</si>
  <si>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</si>
  <si>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</si>
  <si>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</si>
  <si>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</si>
  <si>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</si>
  <si>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</si>
  <si>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</si>
  <si>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</si>
  <si>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</si>
  <si>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</si>
  <si>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</si>
  <si>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</si>
  <si>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</si>
  <si>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</si>
  <si>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</si>
  <si>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</si>
  <si>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</si>
  <si>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</si>
  <si>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</si>
  <si>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</si>
  <si>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</si>
  <si>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</si>
  <si>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</si>
  <si>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</si>
  <si>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</si>
  <si>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</si>
  <si>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</si>
  <si>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</si>
  <si>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</si>
  <si>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</si>
  <si>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</si>
  <si>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</si>
  <si>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</si>
  <si>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</si>
  <si>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</si>
  <si>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</si>
  <si>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</si>
  <si>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</si>
  <si>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</si>
  <si>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</si>
  <si>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</si>
  <si>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</si>
  <si>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</si>
  <si>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</si>
  <si>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</si>
  <si>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</si>
  <si>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</si>
  <si>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</si>
  <si>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</si>
  <si>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</si>
  <si>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</si>
  <si>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</si>
  <si>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</si>
  <si>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</si>
  <si>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</si>
  <si>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</si>
  <si>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</si>
  <si>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</si>
  <si>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</si>
  <si>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</si>
  <si>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</si>
  <si>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</si>
  <si>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</si>
  <si>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</si>
  <si>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</si>
  <si>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</si>
  <si>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</si>
  <si>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</si>
  <si>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</si>
  <si>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</si>
  <si>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</si>
  <si>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</si>
  <si>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</si>
  <si>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</si>
  <si>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</si>
  <si>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</si>
  <si>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</si>
  <si>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</si>
  <si>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</si>
  <si>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</si>
  <si>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</si>
  <si>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</si>
  <si>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</si>
  <si>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</si>
  <si>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</si>
  <si>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</si>
  <si>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</si>
  <si>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</si>
  <si>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</si>
  <si>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</si>
  <si>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</si>
  <si>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</si>
  <si>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</si>
  <si>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</si>
  <si>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</si>
  <si>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</si>
  <si>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</si>
  <si>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</si>
  <si>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</si>
  <si>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</si>
  <si>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</si>
  <si>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</si>
  <si>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</si>
  <si>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</si>
  <si>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</si>
  <si>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</si>
  <si>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</si>
  <si>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</si>
  <si>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</si>
  <si>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</si>
  <si>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</si>
  <si>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</si>
  <si>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</si>
  <si>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</si>
  <si>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</si>
  <si>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</si>
  <si>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</si>
  <si>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</si>
  <si>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</si>
  <si>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</si>
  <si>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</si>
  <si>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</si>
  <si>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</si>
  <si>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</si>
  <si>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</si>
  <si>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</si>
  <si>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</si>
  <si>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</si>
  <si>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</si>
  <si>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</si>
  <si>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</si>
  <si>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</si>
  <si>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</si>
  <si>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</si>
  <si>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</si>
  <si>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</si>
  <si>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</si>
  <si>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</si>
  <si>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</si>
  <si>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</si>
  <si>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</si>
  <si>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</si>
  <si>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</si>
  <si>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</si>
  <si>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</si>
  <si>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</si>
  <si>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</si>
  <si>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</si>
  <si>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</si>
  <si>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</si>
  <si>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</si>
  <si>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</si>
  <si>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</si>
  <si>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</si>
  <si>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</si>
  <si>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</si>
  <si>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</si>
  <si>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</si>
  <si>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</si>
  <si>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</si>
  <si>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</si>
  <si>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</si>
  <si>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</si>
  <si>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</si>
  <si>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</si>
  <si>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</si>
  <si>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</si>
  <si>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</si>
  <si>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</si>
  <si>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</si>
  <si>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</si>
  <si>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</si>
  <si>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</si>
  <si>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</si>
  <si>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</si>
  <si>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</si>
  <si>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</si>
  <si>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</si>
  <si>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</si>
  <si>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</si>
  <si>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</si>
  <si>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</si>
  <si>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</si>
  <si>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</si>
  <si>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</si>
  <si>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</si>
  <si>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</si>
  <si>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</si>
  <si>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</si>
  <si>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</si>
  <si>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</si>
  <si>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</si>
  <si>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</si>
  <si>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</si>
  <si>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</si>
  <si>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</si>
  <si>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</si>
  <si>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</si>
  <si>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</si>
  <si>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</si>
  <si>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</si>
  <si>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</si>
  <si>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</si>
  <si>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</si>
  <si>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</si>
  <si>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</si>
  <si>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</si>
  <si>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</si>
  <si>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</si>
  <si>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</si>
  <si>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</si>
  <si>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</si>
  <si>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</si>
  <si>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</si>
  <si>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</si>
  <si>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</si>
  <si>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</si>
  <si>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</si>
  <si>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</si>
  <si>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</si>
  <si>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</si>
  <si>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</si>
  <si>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</si>
  <si>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</si>
  <si>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</si>
  <si>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</si>
  <si>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</si>
  <si>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</si>
  <si>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</si>
  <si>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</si>
  <si>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</si>
  <si>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</si>
  <si>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</si>
  <si>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</si>
  <si>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</si>
  <si>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</si>
  <si>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</si>
  <si>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</si>
  <si>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</si>
  <si>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</si>
  <si>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</si>
  <si>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</si>
  <si>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</si>
  <si>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</si>
  <si>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</si>
  <si>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</si>
  <si>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</si>
  <si>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</si>
  <si>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</si>
  <si>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</si>
  <si>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</si>
  <si>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</si>
  <si>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</si>
  <si>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</si>
  <si>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</si>
  <si>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</si>
  <si>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</si>
  <si>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</si>
  <si>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</si>
  <si>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</si>
  <si>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</si>
  <si>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</si>
  <si>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</si>
  <si>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</si>
  <si>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</si>
  <si>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</si>
  <si>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</si>
  <si>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</si>
  <si>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</si>
  <si>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</si>
  <si>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</si>
  <si>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</si>
  <si>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</si>
  <si>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</si>
  <si>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</si>
  <si>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</si>
  <si>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</si>
  <si>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</si>
  <si>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</si>
  <si>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</si>
  <si>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</si>
  <si>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</si>
  <si>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</si>
  <si>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</si>
  <si>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</si>
  <si>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</si>
  <si>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</si>
  <si>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</si>
  <si>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</si>
  <si>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</si>
  <si>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</si>
  <si>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</si>
  <si>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</si>
  <si>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</si>
  <si>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</si>
  <si>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</si>
  <si>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</si>
  <si>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</si>
  <si>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</si>
  <si>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</si>
  <si>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</si>
  <si>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</si>
  <si>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</si>
  <si>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</si>
  <si>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</si>
  <si>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</si>
  <si>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</si>
  <si>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</si>
  <si>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</si>
  <si>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</si>
  <si>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</si>
  <si>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</si>
  <si>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</si>
  <si>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</si>
  <si>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</si>
  <si>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</si>
  <si>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</si>
  <si>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</si>
  <si>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</si>
  <si>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</si>
  <si>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</si>
  <si>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</si>
  <si>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</si>
  <si>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</si>
  <si>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</si>
  <si>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</si>
  <si>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</si>
  <si>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</si>
  <si>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</si>
  <si>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</si>
  <si>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</si>
  <si>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</si>
  <si>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</si>
  <si>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</si>
  <si>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</si>
  <si>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</si>
  <si>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</si>
  <si>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</si>
  <si>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</si>
  <si>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</si>
  <si>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</si>
  <si>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</si>
  <si>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</si>
  <si>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</si>
  <si>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</si>
  <si>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</si>
  <si>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</si>
  <si>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</si>
  <si>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</si>
  <si>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</si>
  <si>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</si>
  <si>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</si>
  <si>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</si>
  <si>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</si>
  <si>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</si>
  <si>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</si>
  <si>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</si>
  <si>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</si>
  <si>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</si>
  <si>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</si>
  <si>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</si>
  <si>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</si>
  <si>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</si>
  <si>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</si>
  <si>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</si>
  <si>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</si>
  <si>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</si>
  <si>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</si>
  <si>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</si>
  <si>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</si>
  <si>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</si>
  <si>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</si>
  <si>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</si>
  <si>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</si>
  <si>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</si>
  <si>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</si>
  <si>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</si>
  <si>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</si>
  <si>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</si>
  <si>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</si>
  <si>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</si>
  <si>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</si>
  <si>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</si>
  <si>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</si>
  <si>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</si>
  <si>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</si>
  <si>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</si>
  <si>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</si>
  <si>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</si>
  <si>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</si>
  <si>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</si>
  <si>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</si>
  <si>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</si>
  <si>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</si>
  <si>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</si>
  <si>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</si>
  <si>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</si>
  <si>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</si>
  <si>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</si>
  <si>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</si>
  <si>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</si>
  <si>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</si>
  <si>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</si>
  <si>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</si>
  <si>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</si>
  <si>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</si>
  <si>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</si>
  <si>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</si>
  <si>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</si>
  <si>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</si>
  <si>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</si>
  <si>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</si>
  <si>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</si>
  <si>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</si>
  <si>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</si>
  <si>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</si>
  <si>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</si>
  <si>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</si>
  <si>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</si>
  <si>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</si>
  <si>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</si>
  <si>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</si>
  <si>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</si>
  <si>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</si>
  <si>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</si>
  <si>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</si>
  <si>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</si>
  <si>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</si>
  <si>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</si>
  <si>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</si>
  <si>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</si>
  <si>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</si>
  <si>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</si>
  <si>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</si>
  <si>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</si>
  <si>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</si>
  <si>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</si>
  <si>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</si>
  <si>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</si>
  <si>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</si>
  <si>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</si>
  <si>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</si>
  <si>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</si>
  <si>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</si>
  <si>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</si>
  <si>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</si>
  <si>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</si>
  <si>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</si>
  <si>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</si>
  <si>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</si>
  <si>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</si>
  <si>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</si>
  <si>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</si>
  <si>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</si>
  <si>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</si>
  <si>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</si>
  <si>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</si>
  <si>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</si>
  <si>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</si>
  <si>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</si>
  <si>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</si>
  <si>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</si>
  <si>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</si>
  <si>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</si>
  <si>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</si>
  <si>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</si>
  <si>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</si>
  <si>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</si>
  <si>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</si>
  <si>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</si>
  <si>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</si>
  <si>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</si>
  <si>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</si>
  <si>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</si>
  <si>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</si>
  <si>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</si>
  <si>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</si>
  <si>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</si>
  <si>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</si>
  <si>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</si>
  <si>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</si>
  <si>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</si>
  <si>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</si>
  <si>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</si>
  <si>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</si>
  <si>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</si>
  <si>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</si>
  <si>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</si>
  <si>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</si>
  <si>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</si>
  <si>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</si>
  <si>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</si>
  <si>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</si>
  <si>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</si>
  <si>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</si>
  <si>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</si>
  <si>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</si>
  <si>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</si>
  <si>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</si>
  <si>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</si>
  <si>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</si>
  <si>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</si>
  <si>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</si>
  <si>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</si>
  <si>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</si>
  <si>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</si>
  <si>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</si>
  <si>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</si>
  <si>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</si>
  <si>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</si>
  <si>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</si>
  <si>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</si>
  <si>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</si>
  <si>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</si>
  <si>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</si>
  <si>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</si>
  <si>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</si>
  <si>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</si>
  <si>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</si>
  <si>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</si>
  <si>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</si>
  <si>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</si>
  <si>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</si>
  <si>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</si>
  <si>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</si>
  <si>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</si>
  <si>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</si>
  <si>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</si>
  <si>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</si>
  <si>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</si>
  <si>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</si>
  <si>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</si>
  <si>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</si>
  <si>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</si>
  <si>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</si>
  <si>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</si>
  <si>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</si>
  <si>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</si>
  <si>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</si>
  <si>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</si>
  <si>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</si>
  <si>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</si>
  <si>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</si>
  <si>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</si>
  <si>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</si>
  <si>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</si>
  <si>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</si>
  <si>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</si>
  <si>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</si>
  <si>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</si>
  <si>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</si>
  <si>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</si>
  <si>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</si>
  <si>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</si>
  <si>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</si>
  <si>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</si>
  <si>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</si>
  <si>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</si>
  <si>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</si>
  <si>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</si>
  <si>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</si>
  <si>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</si>
  <si>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</si>
  <si>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</si>
  <si>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</si>
  <si>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</si>
  <si>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</si>
  <si>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</si>
  <si>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</si>
  <si>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</si>
  <si>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</si>
  <si>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</si>
  <si>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</si>
  <si>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</si>
  <si>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</si>
  <si>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</si>
  <si>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</si>
  <si>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</si>
  <si>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</si>
  <si>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</si>
  <si>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</si>
  <si>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</si>
  <si>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</si>
  <si>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</si>
  <si>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</si>
  <si>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</si>
  <si>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</si>
  <si>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</si>
  <si>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</si>
  <si>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</si>
  <si>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</si>
  <si>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</si>
  <si>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</si>
  <si>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</si>
  <si>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</si>
  <si>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</si>
  <si>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</si>
  <si>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</si>
  <si>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</si>
  <si>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</si>
  <si>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</si>
  <si>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</si>
  <si>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</si>
  <si>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</si>
  <si>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</si>
  <si>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</si>
  <si>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</si>
  <si>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</si>
  <si>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</si>
  <si>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</si>
  <si>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</si>
  <si>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</si>
  <si>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</si>
  <si>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</si>
  <si>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</si>
  <si>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</si>
  <si>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</si>
  <si>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</si>
  <si>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</si>
  <si>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</si>
  <si>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</si>
  <si>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</si>
  <si>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</si>
  <si>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</si>
  <si>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</si>
  <si>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</si>
  <si>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</si>
  <si>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</si>
  <si>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</si>
  <si>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</si>
  <si>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</si>
  <si>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</si>
  <si>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</si>
  <si>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</si>
  <si>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</si>
  <si>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</si>
  <si>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</si>
  <si>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</si>
  <si>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</si>
  <si>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</si>
  <si>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</si>
  <si>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</si>
  <si>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</si>
  <si>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</si>
  <si>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</si>
  <si>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</si>
  <si>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</si>
  <si>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</si>
  <si>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</si>
  <si>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</si>
  <si>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</si>
  <si>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</si>
  <si>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</si>
  <si>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</si>
  <si>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</si>
  <si>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</si>
  <si>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</si>
  <si>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</si>
  <si>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</si>
  <si>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</si>
  <si>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</si>
  <si>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</si>
  <si>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</si>
  <si>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</si>
  <si>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</si>
  <si>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</si>
  <si>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</si>
  <si>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</si>
  <si>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</si>
  <si>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</si>
  <si>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</si>
  <si>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</si>
  <si>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</si>
  <si>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</si>
  <si>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</si>
  <si>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</si>
  <si>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</si>
  <si>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</si>
  <si>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</si>
  <si>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</si>
  <si>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</si>
  <si>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</si>
  <si>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</si>
  <si>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</si>
  <si>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</si>
  <si>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</si>
  <si>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</si>
  <si>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</si>
  <si>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</si>
  <si>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</si>
  <si>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</si>
  <si>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</si>
  <si>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</si>
  <si>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</si>
  <si>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</si>
  <si>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</si>
  <si>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</si>
  <si>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</si>
  <si>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</si>
  <si>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</si>
  <si>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</si>
  <si>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</si>
  <si>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</si>
  <si>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</si>
  <si>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</si>
  <si>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</si>
  <si>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</si>
  <si>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</si>
  <si>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</si>
  <si>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</si>
  <si>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</si>
  <si>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</si>
  <si>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</si>
  <si>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</si>
  <si>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</si>
  <si>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</si>
  <si>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</si>
  <si>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</si>
  <si>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</si>
  <si>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</si>
  <si>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</si>
  <si>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</si>
  <si>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</si>
  <si>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</si>
  <si>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</si>
  <si>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</si>
  <si>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</si>
  <si>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</si>
  <si>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</si>
  <si>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</si>
  <si>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</si>
  <si>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</si>
  <si>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</si>
  <si>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</si>
  <si>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</si>
  <si>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</si>
  <si>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</si>
  <si>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</si>
  <si>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</si>
  <si>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</si>
  <si>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</si>
  <si>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</si>
  <si>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</si>
  <si>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</si>
  <si>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</si>
  <si>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</si>
  <si>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</si>
  <si>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</si>
  <si>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</si>
  <si>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</si>
  <si>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</si>
  <si>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</si>
  <si>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</si>
  <si>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</si>
  <si>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</si>
  <si>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</si>
  <si>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</si>
  <si>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</si>
  <si>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</si>
  <si>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</si>
  <si>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</si>
  <si>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</si>
  <si>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</si>
  <si>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</si>
  <si>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</si>
  <si>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</si>
  <si>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</si>
  <si>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</si>
  <si>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</si>
  <si>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</si>
  <si>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</si>
  <si>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</si>
  <si>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</si>
  <si>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</si>
  <si>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</si>
  <si>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</si>
  <si>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</si>
  <si>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</si>
  <si>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</si>
  <si>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</si>
  <si>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</si>
  <si>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</si>
  <si>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</si>
  <si>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</si>
  <si>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</si>
  <si>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</si>
  <si>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</si>
  <si>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</si>
  <si>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</si>
  <si>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</si>
  <si>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</si>
  <si>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</si>
  <si>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</si>
  <si>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</si>
  <si>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</si>
  <si>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</si>
  <si>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</si>
  <si>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</si>
  <si>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</si>
  <si>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</si>
  <si>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</si>
  <si>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</si>
  <si>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</si>
  <si>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</si>
  <si>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</si>
  <si>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</si>
  <si>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</si>
  <si>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</si>
  <si>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</si>
  <si>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</si>
  <si>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</si>
  <si>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</si>
  <si>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</si>
  <si>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</si>
  <si>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</si>
  <si>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</si>
  <si>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</si>
  <si>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</si>
  <si>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</si>
  <si>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</si>
  <si>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</si>
  <si>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</si>
  <si>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</si>
  <si>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</si>
  <si>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</si>
  <si>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</si>
  <si>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</si>
  <si>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</si>
  <si>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</si>
  <si>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</si>
  <si>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</si>
  <si>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</si>
  <si>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</si>
  <si>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</si>
  <si>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</si>
  <si>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</si>
  <si>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</si>
  <si>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</si>
  <si>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</si>
  <si>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</si>
  <si>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</si>
  <si>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</si>
  <si>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</si>
  <si>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</si>
  <si>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</si>
  <si>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</si>
  <si>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</si>
  <si>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</si>
  <si>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</si>
  <si>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</si>
  <si>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</si>
  <si>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</si>
  <si>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</si>
  <si>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</si>
  <si>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</si>
  <si>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</si>
  <si>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</si>
  <si>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</si>
  <si>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</si>
  <si>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</si>
  <si>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</si>
  <si>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</si>
  <si>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</si>
  <si>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</si>
  <si>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</si>
  <si>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</si>
  <si>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</si>
  <si>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</si>
  <si>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</si>
  <si>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</si>
  <si>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</si>
  <si>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</si>
  <si>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</si>
  <si>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</si>
  <si>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</si>
  <si>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</si>
  <si>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</si>
  <si>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</si>
  <si>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</si>
  <si>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</si>
  <si>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</si>
  <si>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</si>
  <si>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</si>
  <si>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</si>
  <si>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</si>
  <si>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</si>
  <si>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</si>
  <si>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</si>
  <si>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</si>
  <si>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</si>
  <si>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</si>
  <si>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</si>
  <si>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</si>
  <si>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</si>
  <si>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</si>
  <si>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</si>
  <si>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</si>
  <si>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</si>
  <si>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</si>
  <si>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</si>
  <si>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</si>
  <si>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</si>
  <si>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</si>
  <si>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</si>
  <si>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</si>
  <si>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</si>
  <si>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</si>
  <si>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</si>
  <si>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</si>
  <si>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</si>
  <si>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</si>
  <si>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</si>
  <si>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</si>
  <si>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</si>
  <si>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</si>
  <si>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</si>
  <si>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</si>
  <si>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</si>
  <si>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</si>
  <si>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</si>
  <si>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</si>
  <si>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</si>
  <si>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</si>
  <si>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</si>
  <si>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</si>
  <si>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</si>
  <si>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</si>
  <si>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</si>
  <si>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</si>
  <si>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</si>
  <si>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</si>
  <si>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</si>
  <si>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</si>
  <si>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</si>
  <si>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</si>
  <si>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</si>
  <si>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</si>
  <si>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</si>
  <si>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</si>
  <si>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</si>
  <si>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</si>
  <si>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</si>
  <si>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</si>
  <si>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</si>
  <si>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</si>
  <si>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</si>
  <si>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</si>
  <si>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</si>
  <si>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</si>
  <si>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</si>
  <si>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</si>
  <si>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</si>
  <si>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</si>
  <si>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</si>
  <si>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</si>
  <si>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</si>
  <si>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</si>
  <si>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</si>
  <si>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</si>
  <si>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</si>
  <si>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</si>
  <si>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</si>
  <si>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</si>
  <si>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</si>
  <si>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</si>
  <si>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</si>
  <si>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</si>
  <si>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</si>
  <si>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</si>
  <si>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</si>
  <si>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</si>
  <si>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</si>
  <si>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</si>
  <si>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</si>
  <si>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</si>
  <si>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</si>
  <si>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</si>
  <si>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</si>
  <si>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</si>
  <si>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</si>
  <si>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</si>
  <si>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</si>
  <si>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</si>
  <si>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</si>
  <si>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</si>
  <si>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</si>
  <si>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</si>
  <si>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</si>
  <si>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</si>
  <si>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</si>
  <si>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</si>
  <si>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</si>
  <si>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</si>
  <si>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</si>
  <si>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</si>
  <si>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</si>
  <si>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</si>
  <si>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</si>
  <si>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</si>
  <si>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</si>
  <si>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</si>
  <si>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</si>
  <si>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</si>
  <si>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</si>
  <si>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</si>
  <si>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</si>
  <si>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</si>
  <si>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</si>
  <si>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</si>
  <si>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</si>
  <si>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</si>
  <si>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</si>
  <si>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</si>
  <si>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</si>
  <si>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</si>
  <si>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</si>
  <si>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</si>
  <si>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</si>
  <si>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</si>
  <si>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</si>
  <si>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</si>
  <si>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</si>
  <si>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</si>
  <si>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</si>
  <si>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</si>
  <si>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</si>
  <si>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</si>
  <si>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</si>
  <si>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</si>
  <si>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</si>
  <si>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</si>
  <si>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</si>
  <si>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</si>
  <si>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</si>
  <si>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</si>
  <si>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</si>
  <si>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</si>
  <si>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</si>
  <si>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</si>
  <si>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</si>
  <si>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</si>
  <si>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</si>
  <si>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</si>
  <si>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</si>
  <si>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</si>
  <si>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</si>
  <si>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</si>
  <si>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</si>
  <si>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</si>
  <si>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</si>
  <si>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</si>
  <si>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</si>
  <si>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</si>
  <si>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</si>
  <si>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</si>
  <si>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</si>
  <si>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</si>
  <si>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</si>
  <si>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</si>
  <si>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</si>
  <si>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</si>
  <si>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</si>
  <si>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</si>
  <si>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</si>
  <si>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</si>
  <si>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</si>
  <si>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</si>
  <si>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</si>
  <si>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</si>
  <si>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</si>
  <si>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</si>
  <si>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</si>
  <si>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</si>
  <si>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</si>
  <si>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</si>
  <si>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</si>
  <si>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</si>
  <si>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</si>
  <si>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</si>
  <si>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</si>
  <si>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</si>
  <si>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</si>
  <si>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</si>
  <si>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</si>
  <si>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</si>
  <si>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</si>
  <si>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</si>
  <si>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</si>
  <si>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</si>
  <si>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</si>
  <si>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</si>
  <si>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</si>
  <si>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</si>
  <si>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</si>
  <si>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</si>
  <si>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</si>
  <si>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</si>
  <si>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</si>
  <si>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</si>
  <si>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</si>
  <si>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</si>
  <si>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</si>
  <si>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</si>
  <si>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</si>
  <si>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</si>
  <si>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</si>
  <si>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</si>
  <si>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</si>
  <si>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</si>
  <si>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</si>
  <si>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</si>
  <si>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</si>
  <si>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</si>
  <si>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</si>
  <si>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</si>
  <si>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</si>
  <si>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</si>
  <si>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</si>
  <si>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</si>
  <si>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</si>
  <si>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</si>
  <si>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</si>
  <si>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</si>
  <si>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</si>
  <si>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</si>
  <si>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</si>
  <si>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</si>
  <si>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</si>
  <si>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</si>
  <si>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</si>
  <si>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</si>
  <si>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</si>
  <si>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</si>
  <si>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</si>
  <si>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</si>
  <si>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</si>
  <si>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</si>
  <si>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</si>
  <si>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</si>
  <si>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</si>
  <si>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</si>
  <si>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</si>
  <si>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</si>
  <si>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</si>
  <si>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</si>
  <si>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</si>
  <si>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</si>
  <si>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</si>
  <si>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</si>
  <si>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</si>
  <si>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</si>
  <si>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</si>
  <si>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</si>
  <si>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</si>
  <si>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</si>
  <si>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</si>
  <si>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</si>
  <si>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</si>
  <si>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</si>
  <si>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</si>
  <si>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</si>
  <si>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</si>
  <si>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</si>
  <si>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</si>
  <si>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</si>
  <si>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</si>
  <si>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</si>
  <si>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</si>
  <si>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</si>
  <si>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</si>
  <si>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</si>
  <si>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</si>
  <si>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</si>
  <si>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</si>
  <si>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</si>
  <si>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</si>
  <si>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</si>
  <si>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</si>
  <si>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</si>
  <si>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</si>
  <si>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</si>
  <si>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</si>
  <si>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</si>
  <si>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</si>
  <si>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</si>
  <si>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</si>
  <si>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</si>
  <si>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</si>
  <si>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</si>
  <si>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</si>
  <si>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</si>
  <si>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</si>
  <si>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</si>
  <si>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</si>
  <si>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</si>
  <si>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</si>
  <si>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</si>
  <si>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</si>
  <si>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</si>
  <si>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</si>
  <si>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</si>
  <si>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</si>
  <si>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</si>
  <si>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</si>
  <si>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</si>
  <si>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</si>
  <si>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</si>
  <si>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</si>
  <si>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</si>
  <si>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</si>
  <si>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</si>
  <si>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</si>
  <si>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</si>
  <si>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</si>
  <si>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</si>
  <si>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</si>
  <si>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</si>
  <si>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</si>
  <si>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</si>
  <si>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</si>
  <si>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</si>
  <si>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</si>
  <si>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</si>
  <si>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</si>
  <si>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</si>
  <si>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</si>
  <si>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</si>
  <si>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</si>
  <si>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</si>
  <si>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</si>
  <si>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</si>
  <si>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</si>
  <si>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</si>
  <si>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</si>
  <si>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</si>
  <si>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</si>
  <si>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</si>
  <si>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</si>
  <si>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</si>
  <si>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</si>
  <si>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</si>
  <si>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</si>
  <si>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</si>
  <si>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</si>
  <si>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</si>
  <si>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</si>
  <si>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</si>
  <si>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</si>
  <si>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</si>
  <si>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</si>
  <si>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</si>
  <si>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</si>
  <si>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</si>
  <si>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</si>
  <si>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</si>
  <si>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</si>
  <si>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</si>
  <si>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</si>
  <si>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</si>
  <si>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</si>
  <si>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</si>
  <si>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</si>
  <si>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</si>
  <si>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</si>
  <si>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</si>
  <si>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</si>
  <si>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</si>
  <si>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</si>
  <si>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</si>
  <si>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</si>
  <si>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</si>
  <si>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</si>
  <si>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</si>
  <si>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</si>
  <si>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</si>
  <si>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</si>
  <si>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</si>
  <si>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</si>
  <si>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</si>
  <si>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</si>
  <si>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</si>
  <si>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</si>
  <si>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</si>
  <si>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</si>
  <si>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</si>
  <si>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</si>
  <si>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</si>
  <si>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</si>
  <si>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</si>
  <si>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</si>
  <si>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</si>
  <si>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</si>
  <si>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</si>
  <si>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</si>
  <si>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</si>
  <si>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</si>
  <si>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</si>
  <si>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</si>
  <si>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</si>
  <si>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</si>
  <si>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</si>
  <si>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</si>
  <si>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</si>
  <si>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</si>
  <si>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</si>
  <si>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</si>
  <si>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</si>
  <si>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</si>
  <si>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</si>
  <si>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</si>
  <si>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</si>
  <si>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</si>
  <si>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</si>
  <si>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</si>
  <si>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</si>
  <si>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</si>
  <si>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</si>
  <si>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</si>
  <si>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</si>
  <si>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</si>
  <si>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</si>
  <si>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</si>
  <si>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</si>
  <si>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</si>
  <si>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</si>
  <si>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</si>
  <si>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</si>
  <si>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</si>
  <si>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</si>
  <si>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</si>
  <si>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</si>
  <si>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</si>
  <si>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</si>
  <si>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</si>
  <si>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</si>
  <si>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</si>
  <si>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</si>
  <si>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</si>
  <si>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</si>
  <si>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</si>
  <si>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</si>
  <si>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</si>
  <si>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</si>
  <si>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</si>
  <si>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</si>
  <si>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</si>
  <si>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</si>
  <si>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</si>
  <si>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</si>
  <si>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</si>
  <si>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</si>
  <si>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</si>
  <si>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</si>
  <si>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</si>
  <si>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</si>
  <si>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</si>
  <si>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</si>
  <si>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</si>
  <si>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</si>
  <si>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</si>
  <si>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</si>
  <si>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</si>
  <si>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</si>
  <si>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</si>
  <si>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</si>
  <si>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</si>
  <si>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</si>
  <si>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</si>
  <si>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</si>
  <si>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</si>
  <si>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</si>
  <si>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</si>
  <si>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</si>
  <si>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</si>
  <si>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</si>
  <si>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</si>
  <si>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</si>
  <si>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</si>
  <si>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</si>
  <si>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</si>
  <si>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</si>
  <si>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</si>
  <si>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</si>
  <si>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</si>
  <si>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</si>
  <si>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</si>
  <si>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</si>
  <si>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</si>
  <si>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</si>
  <si>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</si>
  <si>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</si>
  <si>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</si>
  <si>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</si>
  <si>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</si>
  <si>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</si>
  <si>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</si>
  <si>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</si>
  <si>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</si>
  <si>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</si>
  <si>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</si>
  <si>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</si>
  <si>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</si>
  <si>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</si>
  <si>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</si>
  <si>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</si>
  <si>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</si>
  <si>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</si>
  <si>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</si>
  <si>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</si>
  <si>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</si>
  <si>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</si>
  <si>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</si>
  <si>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</si>
  <si>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</si>
  <si>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</si>
  <si>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</si>
  <si>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</si>
  <si>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</si>
  <si>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</si>
  <si>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</si>
  <si>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</si>
  <si>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</si>
  <si>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</si>
  <si>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</si>
  <si>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</si>
  <si>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</si>
  <si>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</si>
  <si>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</si>
  <si>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</si>
  <si>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</si>
  <si>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</si>
  <si>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</si>
  <si>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</si>
  <si>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</si>
  <si>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</si>
  <si>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</si>
  <si>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</si>
  <si>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</si>
  <si>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</si>
  <si>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</si>
  <si>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</si>
  <si>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</si>
  <si>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</si>
  <si>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</si>
  <si>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</si>
  <si>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</si>
  <si>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</si>
  <si>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</si>
  <si>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</si>
  <si>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</si>
  <si>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</si>
  <si>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</si>
  <si>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</si>
  <si>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</si>
  <si>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</si>
  <si>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</si>
  <si>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</si>
  <si>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</si>
  <si>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</si>
  <si>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</si>
  <si>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</si>
  <si>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</si>
  <si>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</si>
  <si>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</si>
  <si>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</si>
  <si>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</si>
  <si>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</si>
  <si>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</si>
  <si>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</si>
  <si>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</si>
  <si>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</si>
  <si>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</si>
  <si>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</si>
  <si>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</si>
  <si>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</si>
  <si>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</si>
  <si>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</si>
  <si>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</si>
  <si>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</si>
  <si>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</si>
  <si>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</si>
  <si>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</si>
  <si>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</si>
  <si>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</si>
  <si>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</si>
  <si>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</si>
  <si>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</si>
  <si>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</si>
  <si>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</si>
  <si>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</si>
  <si>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</si>
  <si>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</si>
  <si>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</si>
  <si>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</si>
  <si>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</si>
  <si>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</si>
  <si>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</si>
  <si>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</si>
  <si>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</si>
  <si>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</si>
  <si>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</si>
  <si>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</si>
  <si>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</si>
  <si>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</si>
  <si>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</si>
  <si>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</si>
  <si>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</si>
  <si>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</si>
  <si>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</si>
  <si>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</si>
  <si>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</si>
  <si>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</si>
  <si>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</si>
  <si>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</si>
  <si>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</si>
  <si>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</si>
  <si>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</si>
  <si>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</si>
  <si>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</si>
  <si>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</si>
  <si>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</si>
  <si>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</si>
  <si>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</si>
  <si>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</si>
  <si>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</si>
  <si>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</si>
  <si>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</si>
  <si>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</si>
  <si>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</si>
  <si>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</si>
  <si>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</si>
  <si>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</si>
  <si>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</si>
  <si>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</si>
  <si>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</si>
  <si>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</si>
  <si>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</si>
  <si>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</si>
  <si>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</si>
  <si>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</si>
  <si>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</si>
  <si>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</si>
  <si>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</si>
  <si>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</si>
  <si>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</si>
  <si>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</si>
  <si>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</si>
  <si>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</si>
  <si>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</si>
  <si>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</si>
  <si>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</si>
  <si>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</si>
  <si>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</si>
  <si>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</si>
  <si>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</si>
  <si>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</si>
  <si>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</si>
  <si>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</si>
  <si>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</si>
  <si>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</si>
  <si>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</si>
  <si>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</si>
  <si>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</si>
  <si>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</si>
  <si>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</si>
  <si>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</si>
  <si>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</si>
  <si>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</si>
  <si>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</si>
  <si>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</si>
  <si>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</si>
  <si>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</si>
  <si>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</si>
  <si>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</si>
  <si>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</si>
  <si>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</si>
  <si>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</si>
  <si>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</si>
  <si>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</si>
  <si>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</si>
  <si>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</si>
  <si>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</si>
  <si>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</si>
  <si>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</si>
  <si>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</si>
  <si>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</si>
  <si>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</si>
  <si>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</si>
  <si>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</si>
  <si>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</si>
  <si>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</si>
  <si>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</si>
  <si>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</si>
  <si>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</si>
  <si>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</si>
  <si>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</si>
  <si>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</si>
  <si>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</si>
  <si>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</si>
  <si>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</si>
  <si>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</si>
  <si>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</si>
  <si>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</si>
  <si>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</si>
  <si>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</si>
  <si>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</si>
  <si>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</si>
  <si>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</si>
  <si>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</si>
  <si>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</si>
  <si>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</si>
  <si>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</si>
  <si>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</si>
  <si>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</si>
  <si>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</si>
  <si>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</si>
  <si>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</si>
  <si>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</si>
  <si>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</si>
  <si>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</si>
  <si>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</si>
  <si>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</si>
  <si>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</si>
  <si>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</si>
  <si>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</si>
  <si>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</si>
  <si>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</si>
  <si>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</si>
  <si>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</si>
  <si>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</si>
  <si>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</si>
  <si>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</si>
  <si>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</si>
  <si>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</si>
  <si>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</si>
  <si>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</si>
  <si>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</si>
  <si>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</si>
  <si>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</si>
  <si>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</si>
  <si>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</si>
  <si>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</si>
  <si>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</si>
  <si>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</si>
  <si>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</si>
  <si>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</si>
  <si>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</si>
  <si>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</si>
  <si>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</si>
  <si>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</si>
  <si>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</si>
  <si>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</si>
  <si>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</si>
  <si>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</si>
  <si>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</si>
  <si>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</si>
  <si>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</si>
  <si>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</si>
  <si>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</si>
  <si>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</si>
  <si>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</si>
  <si>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</si>
  <si>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</si>
  <si>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</si>
  <si>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</si>
  <si>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</si>
  <si>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</si>
  <si>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</si>
  <si>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</si>
  <si>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</si>
  <si>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</si>
  <si>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</si>
  <si>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</si>
  <si>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</si>
  <si>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</si>
  <si>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</si>
  <si>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</si>
  <si>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</si>
  <si>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</si>
  <si>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</si>
  <si>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</si>
  <si>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</si>
  <si>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</si>
  <si>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</si>
  <si>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</si>
  <si>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</si>
  <si>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</si>
  <si>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</si>
  <si>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</si>
  <si>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</si>
  <si>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</si>
  <si>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</si>
  <si>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</si>
  <si>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</si>
  <si>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</si>
  <si>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</si>
  <si>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</si>
  <si>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</si>
  <si>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</si>
  <si>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</si>
  <si>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</si>
  <si>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</si>
  <si>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</si>
  <si>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</si>
  <si>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</si>
  <si>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</si>
  <si>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</si>
  <si>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</si>
  <si>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</si>
  <si>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</si>
  <si>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</si>
  <si>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</si>
  <si>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</si>
  <si>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</si>
  <si>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</si>
  <si>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</si>
  <si>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</si>
  <si>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</si>
  <si>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</si>
  <si>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</si>
  <si>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</si>
  <si>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</si>
  <si>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</si>
  <si>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</si>
  <si>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</si>
  <si>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</si>
  <si>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</si>
  <si>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</si>
  <si>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</si>
  <si>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</si>
  <si>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</si>
  <si>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</si>
  <si>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</si>
  <si>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</si>
  <si>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</si>
  <si>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</si>
  <si>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</si>
  <si>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</si>
  <si>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</si>
  <si>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</si>
  <si>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</si>
  <si>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</si>
  <si>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</si>
  <si>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</si>
  <si>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</si>
  <si>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</si>
  <si>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</si>
  <si>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</si>
  <si>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</si>
  <si>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</si>
  <si>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</si>
  <si>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</si>
  <si>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</si>
  <si>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</si>
  <si>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</si>
  <si>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</si>
  <si>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</si>
  <si>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</si>
  <si>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</si>
  <si>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</si>
  <si>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</si>
  <si>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</si>
  <si>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</si>
  <si>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</si>
  <si>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</si>
  <si>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</si>
  <si>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</si>
  <si>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</si>
  <si>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</si>
  <si>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</si>
  <si>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</si>
  <si>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</si>
  <si>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</si>
  <si>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</si>
  <si>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</si>
  <si>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</si>
  <si>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</si>
  <si>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</si>
  <si>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</si>
  <si>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</si>
  <si>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</si>
  <si>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</si>
  <si>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</si>
  <si>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</si>
  <si>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</si>
  <si>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</si>
  <si>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</si>
  <si>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</si>
  <si>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</si>
  <si>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</si>
  <si>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</si>
  <si>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</si>
  <si>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</si>
  <si>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</si>
  <si>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</si>
  <si>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</si>
  <si>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</si>
  <si>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</si>
  <si>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</si>
  <si>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</si>
  <si>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</si>
  <si>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</si>
  <si>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</si>
  <si>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</si>
  <si>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</si>
  <si>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</si>
  <si>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</si>
  <si>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</si>
  <si>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</si>
  <si>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</si>
  <si>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</si>
  <si>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</si>
  <si>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</si>
  <si>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</si>
  <si>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</si>
  <si>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</si>
  <si>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</si>
  <si>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</si>
  <si>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</si>
  <si>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</si>
  <si>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</si>
  <si>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</si>
  <si>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</si>
  <si>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</si>
  <si>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</si>
  <si>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</si>
  <si>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</si>
  <si>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</si>
  <si>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</si>
  <si>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</si>
  <si>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</si>
  <si>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</si>
  <si>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</si>
  <si>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</si>
  <si>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</si>
  <si>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</si>
  <si>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</si>
  <si>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</si>
  <si>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</si>
  <si>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</si>
  <si>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</si>
  <si>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</si>
  <si>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</si>
  <si>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</si>
  <si>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</si>
  <si>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</si>
  <si>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</si>
  <si>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</si>
  <si>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</si>
  <si>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</si>
  <si>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</si>
  <si>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</si>
  <si>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</si>
  <si>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</si>
  <si>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</si>
  <si>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</si>
  <si>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</si>
  <si>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</si>
  <si>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</si>
  <si>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</si>
  <si>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</si>
  <si>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</si>
  <si>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</si>
  <si>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</si>
  <si>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</si>
  <si>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</si>
  <si>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</si>
  <si>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</si>
  <si>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</si>
  <si>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</si>
  <si>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</si>
  <si>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</si>
  <si>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</si>
  <si>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</si>
  <si>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</si>
  <si>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</si>
  <si>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</si>
  <si>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</si>
  <si>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</si>
  <si>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</si>
  <si>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</si>
  <si>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</si>
  <si>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</si>
  <si>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</si>
  <si>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</si>
  <si>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</si>
  <si>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</si>
  <si>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</si>
  <si>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</si>
  <si>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</si>
  <si>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</si>
  <si>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</si>
  <si>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</si>
  <si>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</si>
  <si>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</si>
  <si>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</si>
  <si>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</si>
  <si>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</si>
  <si>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</si>
  <si>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</si>
  <si>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</si>
  <si>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</si>
  <si>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</si>
  <si>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</si>
  <si>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</si>
  <si>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</si>
  <si>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</si>
  <si>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</si>
  <si>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</si>
  <si>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</si>
  <si>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</si>
  <si>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</si>
  <si>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</si>
  <si>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</si>
  <si>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</si>
  <si>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</si>
  <si>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</si>
  <si>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</si>
  <si>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</si>
  <si>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</si>
  <si>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</si>
  <si>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</si>
  <si>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</si>
  <si>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</si>
  <si>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</si>
  <si>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</si>
  <si>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</si>
  <si>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</si>
  <si>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</si>
  <si>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</si>
  <si>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</si>
  <si>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</si>
  <si>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</si>
  <si>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</si>
  <si>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</si>
  <si>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</si>
  <si>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</si>
  <si>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</si>
  <si>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</si>
  <si>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</si>
  <si>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</si>
  <si>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</si>
  <si>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</si>
  <si>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</si>
  <si>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</si>
  <si>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</si>
  <si>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</si>
  <si>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</si>
  <si>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</si>
  <si>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</si>
  <si>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</si>
  <si>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</si>
  <si>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</si>
  <si>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</si>
  <si>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</si>
  <si>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</si>
  <si>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</si>
  <si>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</si>
  <si>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</si>
  <si>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</si>
  <si>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</si>
  <si>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</si>
  <si>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</si>
  <si>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</si>
  <si>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</si>
  <si>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</si>
  <si>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</si>
  <si>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</si>
  <si>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</si>
  <si>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</si>
  <si>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</si>
  <si>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</si>
  <si>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</si>
  <si>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</si>
  <si>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</si>
  <si>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</si>
  <si>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</si>
  <si>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</si>
  <si>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</si>
  <si>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</si>
  <si>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</si>
  <si>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</si>
  <si>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</si>
  <si>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</si>
  <si>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</si>
  <si>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</si>
  <si>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</si>
  <si>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</si>
  <si>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</si>
  <si>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</si>
  <si>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</si>
  <si>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</si>
  <si>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</si>
  <si>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</si>
  <si>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</si>
  <si>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</si>
  <si>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</si>
  <si>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</si>
  <si>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</si>
  <si>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</si>
  <si>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</si>
  <si>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</si>
  <si>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</si>
  <si>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</si>
  <si>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</si>
  <si>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</si>
  <si>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</si>
  <si>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</si>
  <si>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</si>
  <si>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</si>
  <si>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</si>
  <si>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</si>
  <si>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</si>
  <si>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</si>
  <si>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</si>
  <si>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</si>
  <si>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</si>
  <si>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</si>
  <si>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</si>
  <si>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</si>
  <si>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</si>
  <si>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</si>
  <si>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</si>
  <si>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</si>
  <si>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</si>
  <si>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</si>
  <si>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</si>
  <si>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</si>
  <si>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</si>
  <si>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</si>
  <si>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</si>
  <si>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</si>
  <si>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</si>
  <si>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</si>
  <si>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</si>
  <si>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</si>
  <si>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</si>
  <si>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</si>
  <si>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</si>
  <si>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</si>
  <si>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</si>
  <si>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</si>
  <si>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</si>
  <si>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</si>
  <si>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</si>
  <si>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</si>
  <si>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</si>
  <si>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</si>
  <si>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</si>
  <si>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</si>
  <si>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</si>
  <si>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</si>
  <si>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</si>
  <si>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</si>
  <si>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</si>
  <si>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</si>
  <si>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</si>
  <si>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</si>
  <si>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</si>
  <si>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</si>
  <si>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</si>
  <si>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</si>
  <si>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</si>
  <si>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</si>
  <si>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</si>
  <si>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</si>
  <si>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</si>
  <si>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</si>
  <si>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</si>
  <si>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</si>
  <si>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</si>
  <si>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</si>
  <si>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</si>
  <si>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</si>
  <si>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</si>
  <si>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</si>
  <si>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</si>
  <si>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</si>
  <si>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</si>
  <si>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</si>
  <si>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</si>
  <si>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</si>
  <si>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</si>
  <si>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</si>
  <si>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</si>
  <si>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</si>
  <si>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</si>
  <si>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</si>
  <si>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</si>
  <si>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</si>
  <si>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</si>
  <si>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</si>
  <si>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</si>
  <si>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</si>
  <si>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</si>
  <si>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</si>
  <si>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</si>
  <si>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</si>
  <si>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</si>
  <si>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</si>
  <si>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</si>
  <si>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</si>
  <si>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</si>
  <si>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</si>
  <si>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</si>
  <si>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</si>
  <si>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</si>
  <si>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</si>
  <si>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</si>
  <si>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</si>
  <si>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</si>
  <si>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</si>
  <si>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</si>
  <si>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</si>
  <si>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</si>
  <si>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</si>
  <si>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</si>
  <si>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</si>
  <si>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</si>
  <si>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</si>
  <si>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</si>
  <si>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</si>
  <si>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</si>
  <si>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</si>
  <si>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</si>
  <si>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</si>
  <si>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</si>
  <si>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</si>
  <si>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</si>
  <si>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</si>
  <si>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</si>
  <si>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</si>
  <si>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</si>
  <si>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</si>
  <si>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</si>
  <si>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</si>
  <si>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</si>
  <si>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</si>
  <si>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</si>
  <si>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</si>
  <si>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</si>
  <si>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</si>
  <si>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</si>
  <si>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</si>
  <si>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</si>
  <si>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</si>
  <si>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</si>
  <si>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</si>
  <si>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</si>
  <si>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</si>
  <si>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</si>
  <si>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</si>
  <si>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</si>
  <si>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</si>
  <si>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</si>
  <si>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</si>
  <si>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</si>
  <si>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</si>
  <si>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</si>
  <si>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</si>
  <si>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</si>
  <si>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</si>
  <si>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</si>
  <si>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</si>
  <si>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</si>
  <si>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</si>
  <si>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</si>
  <si>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</si>
  <si>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</si>
  <si>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</si>
  <si>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</si>
  <si>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</si>
  <si>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</si>
  <si>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</si>
  <si>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</si>
  <si>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</si>
  <si>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</si>
  <si>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</si>
  <si>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</si>
  <si>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</si>
  <si>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</si>
  <si>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</si>
  <si>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</si>
  <si>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</si>
  <si>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</si>
  <si>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</si>
  <si>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</si>
  <si>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</si>
  <si>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</si>
  <si>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</si>
  <si>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</si>
  <si>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</si>
  <si>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</si>
  <si>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</si>
  <si>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</si>
  <si>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</si>
  <si>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</si>
  <si>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</si>
  <si>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</si>
  <si>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</si>
  <si>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</si>
  <si>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</si>
  <si>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</si>
  <si>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</si>
  <si>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</si>
  <si>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</si>
  <si>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</si>
  <si>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</si>
  <si>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</si>
  <si>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</si>
  <si>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</si>
  <si>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</si>
  <si>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</si>
  <si>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</si>
  <si>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</si>
  <si>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</si>
  <si>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</si>
  <si>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</si>
  <si>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</si>
  <si>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</si>
  <si>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</si>
  <si>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</si>
  <si>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</si>
  <si>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</si>
  <si>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</si>
  <si>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</si>
  <si>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</si>
  <si>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</si>
  <si>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</si>
  <si>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</si>
  <si>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</si>
  <si>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</si>
  <si>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</si>
  <si>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</si>
  <si>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</si>
  <si>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</si>
  <si>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</si>
  <si>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</si>
  <si>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</si>
  <si>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</si>
  <si>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</si>
  <si>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</si>
  <si>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</si>
  <si>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</si>
  <si>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</si>
  <si>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</si>
  <si>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</si>
  <si>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</si>
  <si>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</si>
  <si>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</si>
  <si>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</si>
  <si>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</si>
  <si>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</si>
  <si>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</si>
  <si>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</si>
  <si>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</si>
  <si>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</si>
  <si>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</si>
  <si>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</si>
  <si>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</si>
  <si>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</si>
  <si>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</si>
  <si>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</si>
  <si>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</si>
  <si>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</si>
  <si>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</si>
  <si>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</si>
  <si>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</si>
  <si>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</si>
  <si>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</si>
  <si>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</si>
  <si>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</si>
  <si>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</si>
  <si>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</si>
  <si>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</si>
  <si>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</si>
  <si>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</si>
  <si>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</si>
  <si>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</si>
  <si>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</si>
  <si>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</si>
  <si>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</si>
  <si>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</si>
  <si>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</si>
  <si>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</si>
  <si>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</si>
  <si>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</si>
  <si>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</si>
  <si>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</si>
  <si>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</si>
  <si>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</si>
  <si>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</si>
  <si>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</si>
  <si>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</si>
  <si>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</si>
  <si>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</si>
  <si>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</si>
  <si>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</si>
  <si>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</si>
  <si>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</si>
  <si>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</si>
  <si>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</si>
  <si>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</si>
  <si>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</si>
  <si>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</si>
  <si>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</si>
  <si>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</si>
  <si>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</si>
  <si>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</si>
  <si>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</si>
  <si>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</si>
  <si>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</si>
  <si>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</si>
  <si>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</si>
  <si>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</si>
  <si>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</si>
  <si>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</si>
  <si>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</si>
  <si>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</si>
  <si>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</si>
  <si>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</si>
  <si>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</si>
  <si>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</si>
  <si>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</si>
  <si>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</si>
  <si>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</si>
  <si>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</si>
  <si>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</si>
  <si>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</si>
  <si>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</si>
  <si>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</si>
  <si>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</si>
  <si>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</si>
  <si>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</si>
  <si>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</si>
  <si>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</si>
  <si>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</si>
  <si>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</si>
  <si>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</si>
  <si>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</si>
  <si>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</si>
  <si>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</si>
  <si>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</si>
  <si>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</si>
  <si>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</si>
  <si>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</si>
  <si>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</si>
  <si>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</si>
  <si>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</si>
  <si>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</si>
  <si>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</si>
  <si>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</si>
  <si>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</si>
  <si>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</si>
  <si>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</si>
  <si>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</si>
  <si>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</si>
  <si>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</si>
  <si>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</si>
  <si>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</si>
  <si>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</si>
  <si>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</si>
  <si>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</si>
  <si>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</si>
  <si>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</si>
  <si>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</si>
  <si>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</si>
  <si>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</si>
  <si>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</si>
  <si>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</si>
  <si>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</si>
  <si>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</si>
  <si>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</si>
  <si>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</si>
  <si>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</si>
  <si>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</si>
  <si>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</si>
  <si>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</si>
  <si>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</si>
  <si>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</si>
  <si>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</si>
  <si>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</si>
  <si>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</si>
  <si>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</si>
  <si>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</si>
  <si>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</si>
  <si>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</si>
  <si>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</si>
  <si>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</si>
  <si>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</si>
  <si>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</si>
  <si>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</si>
  <si>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</si>
  <si>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</si>
  <si>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</si>
  <si>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</si>
  <si>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</si>
  <si>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</si>
  <si>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</si>
  <si>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</si>
  <si>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</si>
  <si>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</si>
  <si>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</si>
  <si>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</si>
  <si>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</si>
  <si>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</si>
  <si>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</si>
  <si>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</si>
  <si>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</si>
  <si>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</si>
  <si>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</si>
  <si>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</si>
  <si>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</si>
  <si>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</si>
  <si>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</si>
  <si>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</si>
  <si>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</si>
  <si>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</si>
  <si>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</si>
  <si>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</si>
  <si>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</si>
  <si>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</si>
  <si>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</si>
  <si>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</si>
  <si>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</si>
  <si>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</si>
  <si>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</si>
  <si>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</si>
  <si>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</si>
  <si>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</si>
  <si>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</si>
  <si>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</si>
  <si>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</si>
  <si>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</si>
  <si>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</si>
  <si>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</si>
  <si>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</si>
  <si>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</si>
  <si>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</si>
  <si>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</si>
  <si>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</si>
  <si>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</si>
  <si>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</si>
  <si>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</si>
  <si>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</si>
  <si>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</si>
  <si>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</si>
  <si>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</si>
  <si>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</si>
  <si>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</si>
  <si>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</si>
  <si>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</si>
  <si>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</si>
  <si>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</si>
  <si>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</si>
  <si>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</si>
  <si>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</si>
  <si>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</si>
  <si>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</si>
  <si>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</si>
  <si>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</si>
  <si>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</si>
  <si>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</si>
  <si>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</si>
  <si>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</si>
  <si>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</si>
  <si>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</si>
  <si>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</si>
  <si>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</si>
  <si>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</si>
  <si>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</si>
  <si>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</si>
  <si>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</si>
  <si>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</si>
  <si>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</si>
  <si>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</si>
  <si>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</si>
  <si>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</si>
  <si>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</si>
  <si>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</si>
  <si>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</si>
  <si>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</si>
  <si>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</si>
  <si>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</si>
  <si>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</si>
  <si>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</si>
  <si>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</si>
  <si>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</si>
  <si>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</si>
  <si>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</si>
  <si>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</si>
  <si>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</si>
  <si>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5862</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</si>
  <si>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</si>
  <si>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</si>
  <si>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</si>
  <si>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</si>
  <si>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</si>
  <si>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</si>
  <si>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</si>
  <si>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</si>
  <si>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</si>
  <si>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</si>
  <si>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</si>
  <si>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</si>
  <si>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</si>
  <si>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</si>
  <si>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</si>
  <si>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</si>
  <si>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</si>
  <si>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</si>
  <si>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</si>
  <si>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</si>
  <si>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</si>
  <si>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</si>
  <si>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</si>
  <si>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</si>
  <si>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</si>
  <si>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</si>
  <si>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</si>
  <si>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</si>
  <si>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</si>
  <si>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</si>
  <si>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</si>
  <si>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</si>
  <si>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</si>
  <si>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</si>
  <si>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</si>
  <si>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</si>
  <si>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</si>
  <si>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</si>
  <si>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</si>
  <si>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</si>
  <si>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</si>
  <si>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</si>
  <si>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</si>
  <si>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</si>
  <si>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</si>
  <si>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</si>
  <si>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</si>
  <si>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</si>
  <si>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</si>
  <si>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</si>
  <si>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</si>
  <si>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</si>
  <si>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</si>
  <si>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</si>
  <si>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</si>
  <si>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</si>
  <si>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</si>
  <si>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</si>
  <si>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</si>
  <si>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</si>
  <si>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</si>
  <si>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</si>
  <si>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</si>
  <si>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</si>
  <si>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</si>
  <si>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</si>
  <si>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</si>
  <si>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</si>
  <si>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</si>
  <si>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</si>
  <si>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</si>
  <si>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</si>
  <si>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</si>
  <si>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</si>
  <si>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</si>
  <si>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</si>
  <si>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</si>
  <si>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</si>
  <si>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</si>
  <si>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</si>
  <si>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</si>
  <si>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</si>
  <si>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</si>
  <si>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</si>
  <si>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</si>
  <si>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</si>
  <si>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</si>
  <si>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</si>
  <si>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</si>
  <si>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</si>
  <si>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</si>
  <si>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</si>
  <si>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</si>
  <si>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</si>
  <si>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</si>
  <si>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</si>
  <si>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</si>
  <si>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</si>
  <si>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</si>
  <si>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</si>
  <si>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</si>
  <si>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</si>
  <si>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</si>
  <si>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</si>
  <si>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</si>
  <si>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</si>
  <si>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</si>
  <si>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</si>
  <si>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</si>
  <si>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</si>
  <si>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</si>
  <si>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</si>
  <si>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</si>
  <si>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</si>
  <si>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</si>
  <si>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</si>
  <si>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</si>
  <si>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</si>
  <si>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</si>
  <si>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</si>
  <si>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</si>
  <si>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</si>
  <si>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</si>
  <si>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</si>
  <si>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</si>
  <si>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</si>
  <si>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</si>
  <si>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</si>
  <si>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</si>
  <si>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</si>
  <si>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</si>
  <si>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</si>
  <si>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</si>
  <si>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</si>
  <si>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</si>
  <si>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</si>
  <si>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</si>
  <si>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</si>
  <si>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</si>
  <si>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</si>
  <si>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</si>
  <si>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</si>
  <si>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</si>
  <si>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</si>
  <si>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</si>
  <si>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</si>
  <si>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</si>
  <si>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</si>
  <si>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</si>
  <si>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</si>
  <si>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</si>
  <si>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</si>
  <si>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</si>
  <si>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</si>
  <si>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</si>
  <si>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</si>
  <si>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</si>
  <si>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</si>
  <si>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</si>
  <si>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</si>
  <si>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</si>
  <si>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</si>
  <si>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</si>
  <si>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</si>
  <si>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</si>
  <si>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</si>
  <si>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</si>
  <si>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</si>
  <si>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</si>
  <si>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</si>
  <si>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</si>
  <si>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</si>
  <si>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</si>
  <si>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</si>
  <si>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</si>
  <si>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</si>
  <si>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</si>
  <si>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</si>
  <si>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</si>
  <si>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</si>
  <si>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</si>
  <si>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</si>
  <si>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</si>
  <si>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</si>
  <si>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</si>
  <si>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</si>
  <si>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</si>
  <si>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</si>
  <si>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</si>
  <si>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</si>
  <si>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</si>
  <si>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</si>
  <si>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</si>
  <si>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</si>
  <si>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</si>
  <si>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</si>
  <si>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</si>
  <si>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</si>
  <si>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</si>
  <si>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</si>
  <si>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</si>
  <si>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</si>
  <si>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</si>
  <si>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</si>
  <si>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</si>
  <si>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</si>
  <si>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</si>
  <si>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</si>
  <si>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</si>
  <si>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</si>
  <si>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</si>
  <si>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</si>
  <si>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</si>
  <si>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</si>
  <si>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</si>
  <si>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</si>
  <si>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</si>
  <si>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</si>
  <si>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</si>
  <si>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</si>
  <si>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</si>
  <si>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</si>
  <si>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</si>
  <si>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</si>
  <si>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</si>
  <si>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</si>
  <si>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</si>
  <si>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</si>
  <si>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</si>
  <si>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</si>
  <si>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</si>
  <si>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</si>
  <si>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</si>
  <si>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</si>
  <si>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</si>
  <si>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</si>
  <si>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</si>
  <si>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</si>
  <si>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</si>
  <si>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</si>
  <si>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</si>
  <si>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</si>
  <si>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</si>
  <si>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</si>
  <si>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</si>
  <si>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</si>
  <si>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</si>
  <si>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</si>
  <si>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</si>
  <si>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</si>
  <si>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</si>
  <si>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</si>
  <si>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</si>
  <si>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</si>
  <si>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</si>
  <si>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</si>
  <si>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</si>
  <si>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</si>
  <si>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</si>
  <si>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</si>
  <si>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</si>
  <si>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</si>
  <si>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</si>
  <si>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</si>
  <si>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</si>
  <si>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</si>
  <si>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</si>
  <si>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</si>
  <si>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</si>
  <si>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</si>
  <si>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</si>
  <si>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</si>
  <si>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</si>
  <si>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</si>
  <si>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</si>
  <si>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</si>
  <si>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</si>
  <si>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</si>
  <si>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</si>
  <si>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</si>
  <si>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</si>
  <si>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</si>
  <si>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</si>
  <si>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</si>
  <si>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</si>
  <si>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</si>
  <si>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</si>
  <si>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</si>
  <si>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</si>
  <si>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</si>
  <si>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</si>
  <si>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</si>
  <si>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</si>
  <si>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</si>
  <si>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</si>
  <si>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</si>
  <si>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</si>
  <si>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</si>
  <si>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</si>
  <si>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</si>
  <si>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</si>
  <si>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</si>
  <si>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</si>
  <si>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</si>
  <si>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</si>
  <si>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</si>
  <si>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</si>
  <si>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</si>
  <si>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</si>
  <si>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</si>
  <si>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</si>
  <si>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</si>
  <si>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</si>
  <si>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</si>
  <si>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</si>
  <si>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</si>
  <si>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</si>
  <si>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</si>
  <si>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</si>
  <si>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</si>
  <si>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</si>
  <si>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</si>
  <si>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</si>
  <si>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</si>
  <si>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</si>
  <si>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</si>
  <si>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</si>
  <si>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</si>
  <si>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</si>
  <si>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</si>
  <si>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</si>
  <si>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</si>
  <si>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</si>
  <si>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</si>
  <si>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</si>
  <si>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</si>
  <si>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</si>
  <si>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</si>
  <si>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</si>
  <si>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</si>
  <si>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</si>
  <si>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</si>
  <si>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</si>
  <si>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</si>
  <si>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</si>
  <si>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</si>
  <si>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</si>
  <si>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</si>
  <si>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</si>
  <si>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</si>
  <si>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</si>
  <si>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</si>
  <si>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</si>
  <si>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</si>
  <si>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</si>
  <si>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</si>
  <si>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</si>
  <si>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</si>
  <si>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</si>
  <si>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</si>
  <si>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</si>
  <si>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</si>
  <si>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</si>
  <si>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</si>
  <si>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</si>
  <si>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</si>
  <si>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</si>
  <si>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</si>
  <si>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</si>
  <si>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</si>
  <si>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</si>
  <si>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</si>
  <si>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</si>
  <si>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</si>
  <si>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</si>
  <si>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</si>
  <si>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</si>
  <si>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</si>
  <si>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</si>
  <si>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</si>
  <si>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</si>
  <si>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</si>
  <si>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</si>
  <si>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</si>
  <si>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</si>
  <si>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</si>
  <si>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</si>
  <si>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</si>
  <si>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</si>
  <si>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</si>
  <si>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</si>
  <si>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</si>
  <si>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</si>
  <si>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</si>
  <si>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</si>
  <si>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</si>
  <si>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</si>
  <si>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</si>
  <si>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</si>
  <si>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</si>
  <si>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</si>
  <si>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</si>
  <si>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</si>
  <si>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</si>
  <si>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</si>
  <si>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</si>
  <si>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</si>
  <si>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</si>
  <si>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</si>
  <si>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</si>
  <si>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</si>
  <si>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</si>
  <si>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</si>
  <si>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</si>
  <si>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</si>
  <si>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</si>
  <si>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</si>
  <si>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</si>
  <si>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</si>
  <si>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</si>
  <si>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</si>
  <si>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</si>
  <si>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</si>
  <si>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</si>
  <si>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</si>
  <si>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</si>
  <si>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</si>
  <si>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</si>
  <si>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</si>
  <si>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</si>
  <si>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</si>
  <si>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</si>
  <si>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</si>
  <si>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</si>
  <si>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</si>
  <si>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</si>
  <si>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</si>
  <si>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</si>
  <si>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</si>
  <si>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</si>
  <si>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</si>
  <si>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</si>
  <si>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</si>
  <si>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</si>
  <si>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</si>
  <si>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</si>
  <si>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</si>
  <si>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</si>
  <si>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</si>
  <si>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</si>
  <si>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</si>
  <si>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</si>
  <si>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</si>
  <si>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</si>
  <si>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</si>
  <si>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</si>
  <si>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</si>
  <si>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</si>
  <si>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</si>
  <si>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</si>
  <si>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</si>
  <si>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</si>
  <si>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</si>
  <si>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</si>
  <si>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</si>
  <si>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</si>
  <si>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</si>
  <si>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</si>
  <si>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</si>
  <si>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</si>
  <si>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</si>
  <si>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</si>
  <si>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</si>
  <si>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</si>
  <si>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</si>
  <si>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</si>
  <si>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</si>
  <si>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</si>
  <si>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</si>
  <si>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</si>
  <si>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</si>
  <si>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</si>
  <si>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</si>
  <si>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</si>
  <si>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</si>
  <si>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</si>
  <si>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</si>
  <si>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</si>
  <si>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</si>
  <si>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</si>
  <si>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</si>
  <si>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</si>
  <si>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</si>
  <si>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</si>
  <si>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</si>
  <si>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</si>
  <si>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</si>
  <si>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</si>
  <si>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</si>
  <si>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</si>
  <si>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</si>
  <si>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</si>
  <si>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</si>
  <si>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</si>
  <si>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</si>
  <si>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</si>
  <si>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</si>
  <si>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</si>
  <si>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</si>
  <si>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</si>
  <si>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</si>
  <si>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</si>
  <si>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</si>
  <si>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</si>
  <si>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</si>
  <si>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</si>
  <si>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</si>
  <si>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</si>
  <si>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</si>
  <si>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</si>
  <si>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</si>
  <si>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</si>
  <si>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</si>
  <si>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</si>
  <si>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</si>
  <si>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</si>
  <si>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</si>
  <si>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</si>
  <si>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</si>
  <si>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</si>
  <si>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</si>
  <si>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</si>
  <si>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</si>
  <si>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</si>
  <si>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</si>
  <si>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</si>
  <si>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</si>
  <si>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</si>
  <si>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</si>
  <si>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</si>
  <si>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</si>
  <si>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</si>
  <si>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</si>
  <si>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</si>
  <si>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</si>
  <si>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</si>
  <si>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</si>
  <si>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</si>
  <si>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</si>
  <si>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</si>
  <si>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</si>
  <si>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</si>
  <si>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</si>
  <si>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</si>
  <si>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</si>
  <si>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</si>
  <si>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</si>
  <si>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</si>
  <si>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</si>
  <si>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</si>
  <si>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</si>
  <si>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</si>
  <si>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</si>
  <si>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</si>
  <si>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</si>
  <si>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</si>
  <si>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</si>
  <si>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</si>
  <si>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</si>
  <si>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</si>
  <si>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</si>
  <si>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</si>
  <si>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</si>
  <si>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</si>
  <si>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</si>
  <si>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</si>
  <si>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</si>
  <si>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</si>
  <si>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</si>
  <si>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</si>
  <si>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</si>
  <si>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</si>
  <si>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</si>
  <si>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</si>
  <si>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</si>
  <si>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</si>
  <si>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</si>
  <si>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</si>
  <si>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</si>
  <si>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</si>
  <si>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</si>
  <si>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</si>
  <si>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</si>
  <si>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</si>
  <si>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</si>
  <si>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</si>
  <si>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</si>
  <si>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</si>
  <si>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</si>
  <si>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</si>
  <si>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</si>
  <si>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</si>
  <si>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</si>
  <si>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</si>
  <si>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</si>
  <si>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</si>
  <si>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</si>
  <si>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</si>
  <si>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</si>
  <si>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</si>
  <si>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</si>
  <si>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</si>
  <si>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</si>
  <si>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</si>
  <si>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</si>
  <si>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</si>
  <si>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</si>
  <si>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</si>
  <si>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</si>
  <si>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</si>
  <si>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</si>
  <si>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</si>
  <si>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</si>
  <si>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</si>
  <si>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</si>
  <si>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</si>
  <si>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</si>
  <si>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</si>
  <si>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</si>
  <si>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</si>
  <si>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</si>
  <si>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</si>
  <si>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</si>
  <si>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</si>
  <si>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</si>
  <si>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</si>
  <si>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</si>
  <si>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</si>
  <si>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</si>
  <si>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</si>
  <si>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</si>
  <si>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</si>
  <si>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</si>
  <si>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</si>
  <si>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</si>
  <si>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</si>
  <si>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</si>
  <si>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</si>
  <si>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</si>
  <si>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</si>
  <si>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</si>
  <si>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</si>
  <si>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</si>
  <si>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</si>
  <si>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</si>
  <si>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</si>
  <si>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</si>
  <si>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</si>
  <si>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</si>
  <si>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</si>
  <si>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</si>
  <si>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</si>
  <si>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</si>
  <si>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</si>
  <si>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</si>
  <si>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</si>
  <si>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</si>
  <si>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</si>
  <si>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</si>
  <si>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</si>
  <si>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</si>
  <si>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</si>
  <si>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</si>
  <si>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</si>
  <si>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</si>
  <si>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</si>
  <si>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</si>
  <si>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</si>
  <si>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</si>
  <si>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</si>
  <si>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</si>
  <si>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</si>
  <si>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</si>
  <si>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</si>
  <si>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</si>
  <si>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</si>
  <si>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</si>
  <si>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</si>
  <si>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</si>
  <si>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</si>
  <si>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</si>
  <si>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</si>
  <si>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</si>
  <si>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</si>
  <si>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</si>
  <si>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</si>
  <si>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</si>
  <si>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</si>
  <si>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</si>
  <si>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</si>
  <si>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</si>
  <si>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</si>
  <si>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</si>
  <si>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</si>
  <si>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</si>
  <si>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</si>
  <si>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</si>
  <si>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</si>
  <si>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</si>
  <si>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</si>
  <si>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</si>
  <si>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</si>
  <si>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</si>
  <si>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</si>
  <si>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</si>
  <si>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</si>
  <si>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</si>
  <si>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</si>
  <si>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</si>
  <si>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</si>
  <si>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</si>
  <si>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</si>
  <si>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</si>
  <si>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</si>
  <si>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</si>
  <si>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</si>
  <si>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</si>
  <si>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</si>
  <si>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</si>
  <si>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</si>
  <si>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</si>
  <si>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</si>
  <si>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</si>
  <si>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</si>
  <si>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</si>
  <si>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</si>
  <si>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</si>
  <si>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</si>
  <si>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</si>
  <si>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</si>
  <si>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</si>
  <si>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</si>
  <si>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</si>
  <si>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</si>
  <si>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</si>
  <si>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</si>
  <si>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</si>
  <si>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</si>
  <si>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</si>
  <si>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</si>
  <si>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</si>
  <si>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</si>
  <si>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</si>
  <si>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</si>
  <si>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</si>
  <si>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</si>
  <si>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</si>
  <si>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</si>
  <si>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</si>
  <si>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</si>
  <si>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</si>
  <si>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</si>
  <si>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</si>
  <si>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</si>
  <si>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</si>
  <si>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</si>
  <si>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</si>
  <si>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</si>
  <si>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</si>
  <si>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</si>
  <si>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</si>
  <si>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</si>
  <si>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</si>
  <si>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</si>
  <si>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</si>
  <si>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</si>
  <si>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</si>
  <si>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</si>
  <si>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</si>
  <si>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</si>
  <si>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</si>
  <si>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</si>
  <si>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</si>
  <si>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</si>
  <si>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</si>
  <si>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</si>
  <si>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</si>
  <si>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</si>
  <si>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</si>
  <si>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</si>
  <si>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</si>
  <si>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</si>
  <si>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</si>
  <si>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</si>
  <si>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</si>
  <si>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</si>
  <si>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</si>
  <si>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</si>
  <si>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</si>
  <si>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</si>
  <si>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</si>
  <si>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</si>
  <si>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</si>
  <si>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</si>
  <si>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</si>
  <si>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</si>
  <si>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</si>
  <si>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</si>
  <si>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</si>
  <si>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</si>
  <si>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</si>
  <si>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</si>
  <si>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</si>
  <si>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</si>
  <si>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</si>
  <si>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</si>
  <si>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</si>
  <si>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</si>
  <si>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</si>
  <si>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</si>
  <si>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</si>
  <si>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</si>
  <si>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</si>
  <si>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</si>
  <si>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</si>
  <si>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</si>
  <si>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</si>
  <si>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</si>
  <si>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</si>
  <si>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</si>
  <si>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</si>
  <si>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</si>
  <si>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</si>
  <si>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</si>
  <si>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</si>
  <si>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</si>
  <si>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</si>
  <si>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</si>
  <si>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</si>
  <si>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</si>
  <si>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</si>
  <si>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</si>
  <si>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</si>
  <si>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</si>
  <si>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</si>
  <si>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</si>
  <si>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</si>
  <si>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</si>
  <si>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</si>
  <si>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</si>
  <si>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</si>
  <si>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</si>
  <si>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</si>
  <si>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</si>
  <si>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</si>
  <si>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</si>
  <si>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</si>
  <si>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</si>
  <si>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</si>
  <si>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</si>
  <si>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</si>
  <si>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</si>
  <si>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</si>
  <si>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</si>
  <si>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</si>
  <si>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</si>
  <si>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</si>
  <si>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</si>
  <si>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</si>
  <si>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</si>
  <si>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</si>
  <si>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</si>
  <si>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</si>
  <si>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</si>
  <si>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</si>
  <si>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</si>
  <si>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</si>
  <si>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</si>
  <si>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</si>
  <si>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</si>
  <si>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</si>
  <si>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</si>
  <si>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</si>
  <si>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</si>
  <si>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</si>
  <si>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</si>
  <si>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</si>
  <si>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</si>
  <si>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</si>
  <si>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</si>
  <si>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</si>
  <si>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</si>
  <si>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</si>
  <si>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</si>
  <si>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</si>
  <si>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</si>
  <si>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</si>
  <si>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</si>
  <si>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</si>
  <si>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</si>
  <si>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</si>
  <si>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</si>
  <si>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</si>
  <si>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</si>
  <si>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</si>
  <si>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</si>
  <si>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</si>
  <si>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</si>
  <si>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</si>
  <si>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</si>
  <si>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</si>
  <si>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</si>
  <si>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</si>
  <si>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</si>
  <si>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</si>
  <si>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</si>
  <si>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</si>
  <si>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</si>
  <si>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</si>
  <si>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</si>
  <si>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</si>
  <si>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</si>
  <si>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</si>
  <si>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</si>
  <si>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</si>
  <si>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</si>
  <si>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</si>
  <si>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</si>
  <si>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</si>
  <si>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</si>
  <si>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</si>
  <si>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</si>
  <si>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</si>
  <si>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</si>
  <si>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</si>
  <si>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</si>
  <si>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</si>
  <si>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</si>
  <si>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</si>
  <si>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</si>
  <si>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</si>
  <si>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</si>
  <si>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</si>
  <si>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</si>
  <si>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</si>
  <si>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</si>
  <si>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</si>
  <si>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</si>
  <si>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</si>
  <si>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</si>
  <si>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</si>
  <si>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</si>
  <si>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</si>
  <si>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</si>
  <si>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</si>
  <si>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</si>
  <si>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</si>
  <si>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</si>
  <si>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</si>
  <si>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</si>
  <si>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</si>
  <si>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</si>
  <si>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</si>
  <si>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</si>
  <si>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</si>
  <si>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</si>
  <si>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</si>
  <si>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</si>
  <si>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</si>
  <si>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</si>
  <si>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</si>
  <si>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</si>
  <si>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</si>
  <si>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</si>
  <si>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</si>
  <si>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</si>
  <si>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</si>
  <si>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</si>
  <si>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</si>
  <si>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</si>
  <si>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</si>
  <si>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</si>
  <si>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</si>
  <si>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</si>
  <si>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</si>
  <si>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</si>
  <si>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</si>
  <si>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</si>
  <si>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</si>
  <si>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</si>
  <si>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</si>
  <si>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</si>
  <si>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</si>
  <si>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</si>
  <si>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</si>
  <si>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</si>
  <si>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</si>
  <si>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</si>
  <si>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</si>
  <si>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</si>
  <si>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</si>
  <si>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</si>
  <si>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</si>
  <si>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</si>
  <si>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</si>
  <si>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</si>
  <si>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</si>
  <si>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</si>
  <si>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</si>
  <si>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</si>
  <si>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</si>
  <si>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</si>
  <si>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</si>
  <si>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</si>
  <si>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</si>
  <si>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</si>
  <si>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</si>
  <si>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</si>
  <si>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</si>
  <si>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</si>
  <si>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</si>
  <si>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</si>
  <si>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</si>
  <si>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</si>
  <si>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</si>
  <si>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</si>
  <si>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</si>
  <si>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</si>
  <si>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</si>
  <si>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</si>
  <si>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</si>
  <si>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</si>
  <si>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</si>
  <si>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</si>
  <si>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</si>
  <si>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</si>
  <si>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</si>
  <si>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</si>
  <si>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</si>
  <si>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</si>
  <si>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</si>
  <si>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</si>
  <si>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</si>
  <si>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</si>
  <si>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</si>
  <si>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</si>
  <si>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</si>
  <si>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</si>
  <si>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</si>
  <si>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</si>
  <si>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</si>
  <si>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</si>
  <si>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</si>
  <si>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</si>
  <si>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</si>
  <si>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</si>
  <si>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</si>
  <si>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</si>
  <si>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</si>
  <si>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</si>
  <si>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</si>
  <si>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</si>
  <si>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</si>
  <si>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</si>
  <si>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</si>
  <si>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</si>
  <si>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</si>
  <si>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</si>
  <si>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</si>
  <si>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</si>
  <si>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</si>
  <si>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</si>
  <si>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</si>
  <si>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</si>
  <si>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</si>
  <si>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</si>
  <si>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</si>
  <si>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</si>
  <si>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</si>
  <si>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</si>
  <si>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</si>
  <si>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</si>
  <si>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</si>
  <si>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</si>
  <si>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</si>
  <si>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</si>
  <si>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</si>
  <si>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</si>
  <si>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</si>
  <si>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</si>
  <si>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</si>
  <si>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</si>
  <si>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</si>
  <si>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</si>
  <si>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</si>
  <si>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</si>
  <si>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</si>
  <si>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</si>
  <si>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</si>
  <si>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</si>
  <si>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</si>
  <si>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</si>
  <si>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</si>
  <si>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</si>
  <si>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</si>
  <si>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</si>
  <si>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</si>
  <si>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</si>
  <si>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</si>
  <si>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</si>
  <si>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</si>
  <si>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</si>
  <si>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</si>
  <si>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</si>
  <si>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</si>
  <si>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</si>
  <si>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</si>
  <si>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</si>
  <si>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</si>
  <si>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</si>
  <si>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</si>
  <si>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</si>
  <si>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</si>
  <si>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</si>
  <si>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</si>
  <si>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</si>
  <si>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</si>
  <si>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</si>
  <si>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</si>
  <si>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</si>
  <si>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</si>
  <si>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</si>
  <si>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</si>
  <si>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</si>
  <si>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</si>
  <si>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</si>
  <si>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</si>
  <si>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</si>
  <si>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</si>
  <si>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</si>
  <si>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</si>
  <si>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</si>
  <si>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</si>
  <si>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</si>
  <si>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</si>
  <si>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</si>
  <si>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</si>
  <si>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</si>
  <si>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</si>
  <si>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</si>
  <si>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</si>
  <si>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</si>
  <si>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</si>
  <si>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</si>
  <si>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</si>
  <si>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</si>
  <si>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</si>
  <si>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</si>
  <si>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</si>
  <si>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</si>
  <si>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</si>
  <si>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</si>
  <si>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</si>
  <si>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</si>
  <si>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</si>
  <si>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</si>
  <si>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</si>
  <si>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</si>
  <si>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</si>
  <si>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</si>
  <si>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</si>
  <si>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</si>
  <si>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</si>
  <si>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</si>
  <si>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</si>
  <si>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</si>
  <si>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</si>
  <si>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</si>
  <si>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</si>
  <si>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</si>
  <si>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</si>
  <si>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</si>
  <si>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</si>
  <si>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</si>
  <si>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</si>
  <si>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</si>
  <si>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</si>
  <si>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</si>
  <si>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</si>
  <si>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</si>
  <si>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</si>
  <si>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</si>
  <si>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</si>
  <si>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</si>
  <si>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</si>
  <si>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</si>
  <si>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</si>
  <si>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</si>
  <si>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</si>
  <si>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</si>
  <si>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</si>
  <si>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</si>
  <si>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</si>
  <si>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</si>
  <si>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</si>
  <si>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</si>
  <si>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</si>
  <si>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</si>
  <si>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</si>
  <si>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</si>
  <si>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</si>
  <si>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</si>
  <si>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</si>
  <si>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</si>
  <si>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</si>
  <si>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</si>
  <si>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</si>
  <si>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</si>
  <si>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</si>
  <si>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</si>
  <si>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</si>
  <si>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</si>
  <si>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</si>
  <si>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</si>
  <si>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</si>
  <si>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</si>
  <si>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</si>
  <si>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</si>
  <si>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</si>
  <si>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</si>
  <si>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</si>
  <si>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</si>
  <si>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</si>
  <si>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</si>
  <si>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</si>
  <si>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</si>
  <si>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</si>
  <si>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</si>
  <si>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</si>
  <si>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</si>
  <si>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</si>
  <si>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</si>
  <si>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</si>
  <si>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</si>
  <si>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</si>
  <si>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</si>
  <si>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</si>
  <si>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</si>
  <si>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</si>
  <si>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</si>
  <si>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</si>
  <si>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</si>
  <si>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</si>
  <si>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</si>
  <si>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</si>
  <si>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</si>
  <si>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</si>
  <si>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</si>
  <si>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</si>
  <si>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</si>
  <si>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</si>
  <si>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</si>
  <si>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</si>
  <si>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</si>
  <si>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</si>
  <si>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</si>
  <si>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</si>
  <si>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</si>
  <si>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</si>
  <si>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</si>
  <si>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</si>
  <si>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</si>
  <si>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</si>
  <si>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</si>
  <si>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</si>
  <si>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</si>
  <si>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</si>
  <si>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</si>
  <si>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</si>
  <si>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</si>
  <si>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</si>
  <si>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</si>
  <si>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</si>
  <si>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</si>
  <si>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</si>
  <si>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</si>
  <si>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</si>
  <si>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</si>
  <si>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</si>
  <si>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</si>
  <si>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</si>
  <si>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</si>
  <si>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</si>
  <si>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</si>
  <si>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</si>
  <si>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</si>
  <si>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</si>
  <si>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</si>
  <si>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</si>
  <si>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</si>
  <si>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</si>
  <si>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</si>
  <si>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</si>
  <si>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</si>
  <si>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</si>
  <si>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</si>
  <si>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</si>
  <si>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</si>
  <si>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</si>
  <si>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</si>
  <si>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</si>
  <si>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</si>
  <si>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</si>
  <si>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</si>
  <si>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</si>
  <si>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</si>
  <si>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</si>
  <si>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</si>
  <si>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</si>
  <si>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</si>
  <si>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</si>
  <si>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</si>
  <si>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</si>
  <si>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</si>
  <si>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</si>
  <si>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</si>
  <si>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</si>
  <si>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</si>
  <si>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</si>
  <si>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</si>
  <si>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</si>
  <si>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</si>
  <si>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</si>
  <si>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</si>
  <si>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</si>
  <si>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</si>
  <si>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</si>
  <si>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</si>
  <si>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</si>
  <si>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</si>
  <si>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</si>
  <si>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</si>
  <si>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</si>
  <si>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</si>
  <si>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</si>
  <si>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</si>
  <si>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</si>
  <si>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</si>
  <si>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</si>
  <si>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</si>
  <si>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</si>
  <si>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</si>
  <si>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</si>
  <si>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</si>
  <si>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</si>
  <si>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</si>
  <si>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</si>
  <si>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</si>
  <si>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</si>
  <si>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</si>
  <si>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</si>
  <si>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</si>
  <si>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</si>
  <si>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</si>
  <si>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</si>
  <si>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</si>
  <si>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</si>
  <si>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</si>
  <si>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</si>
  <si>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</si>
  <si>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</si>
  <si>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</si>
  <si>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</si>
  <si>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</si>
  <si>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</si>
  <si>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</si>
  <si>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</si>
  <si>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</si>
  <si>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</si>
  <si>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</si>
  <si>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</si>
  <si>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</si>
  <si>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</si>
  <si>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</si>
  <si>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</si>
  <si>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</si>
  <si>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</si>
  <si>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</si>
  <si>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</si>
  <si>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</si>
  <si>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</si>
  <si>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</si>
  <si>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</si>
  <si>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</si>
  <si>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</si>
  <si>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</si>
  <si>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</si>
  <si>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</si>
  <si>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</si>
  <si>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</si>
  <si>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</si>
  <si>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</si>
  <si>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</si>
  <si>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</si>
  <si>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</si>
  <si>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</si>
  <si>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</si>
  <si>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</si>
  <si>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</si>
  <si>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</si>
  <si>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</si>
  <si>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</si>
  <si>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</si>
  <si>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</si>
  <si>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</si>
  <si>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</si>
  <si>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</si>
  <si>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</si>
  <si>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</si>
  <si>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</si>
  <si>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</si>
  <si>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</si>
  <si>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</si>
  <si>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</si>
  <si>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</si>
  <si>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</si>
  <si>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</si>
  <si>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</si>
  <si>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</si>
  <si>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</si>
  <si>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</si>
  <si>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</si>
  <si>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</si>
  <si>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</si>
  <si>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</si>
  <si>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</si>
  <si>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</si>
  <si>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</si>
  <si>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</si>
  <si>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</si>
  <si>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</si>
  <si>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</si>
  <si>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</si>
  <si>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</si>
  <si>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</si>
  <si>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</si>
  <si>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</si>
  <si>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</si>
  <si>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</si>
  <si>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</si>
  <si>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</si>
  <si>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</si>
  <si>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</si>
  <si>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</si>
  <si>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</si>
  <si>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</si>
  <si>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</si>
  <si>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</si>
  <si>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</si>
  <si>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</si>
  <si>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</si>
  <si>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</si>
  <si>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</si>
  <si>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</si>
  <si>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</si>
  <si>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</si>
  <si>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</si>
  <si>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</si>
  <si>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</si>
  <si>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</si>
  <si>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</si>
  <si>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</si>
  <si>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</si>
  <si>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</si>
  <si>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</si>
  <si>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</si>
  <si>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</si>
  <si>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</si>
  <si>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</si>
  <si>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</si>
  <si>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</si>
  <si>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</si>
  <si>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</si>
  <si>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</si>
  <si>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</si>
  <si>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</si>
  <si>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</si>
  <si>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</si>
  <si>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</si>
  <si>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</si>
  <si>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</si>
  <si>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</si>
  <si>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</si>
  <si>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</si>
  <si>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</si>
  <si>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</si>
  <si>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</si>
  <si>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</si>
  <si>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</si>
  <si>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</si>
  <si>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</si>
  <si>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</si>
  <si>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</si>
  <si>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</si>
  <si>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</si>
  <si>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</si>
  <si>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</si>
  <si>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</si>
  <si>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</si>
  <si>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</si>
  <si>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</si>
  <si>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</si>
  <si>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</si>
  <si>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</si>
  <si>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</si>
  <si>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</si>
  <si>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</si>
  <si>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</si>
  <si>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</si>
  <si>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</si>
  <si>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</si>
  <si>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</si>
  <si>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</si>
  <si>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</si>
  <si>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</si>
  <si>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</si>
  <si>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</si>
  <si>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</si>
  <si>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</si>
  <si>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</si>
  <si>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</si>
  <si>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</si>
  <si>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</si>
  <si>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</si>
  <si>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</si>
  <si>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</si>
  <si>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</si>
  <si>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</si>
  <si>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</si>
  <si>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</si>
  <si>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</si>
  <si>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</si>
  <si>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</si>
  <si>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</si>
  <si>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</si>
  <si>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</si>
  <si>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</si>
  <si>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</si>
  <si>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</si>
  <si>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</si>
  <si>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</si>
  <si>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</si>
  <si>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</si>
  <si>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</si>
  <si>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</si>
  <si>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</si>
  <si>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</si>
  <si>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</si>
  <si>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</si>
  <si>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</si>
  <si>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</si>
  <si>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</si>
  <si>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</si>
  <si>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</si>
  <si>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</si>
  <si>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</si>
  <si>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</si>
  <si>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</si>
  <si>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</si>
  <si>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</si>
  <si>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</si>
  <si>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</si>
  <si>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</si>
  <si>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</si>
  <si>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</si>
  <si>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</si>
  <si>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</si>
  <si>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</si>
  <si>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</si>
  <si>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</si>
  <si>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</si>
  <si>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</si>
  <si>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</si>
  <si>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</si>
  <si>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</si>
  <si>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</si>
  <si>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</si>
  <si>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</si>
  <si>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</si>
  <si>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</si>
  <si>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</si>
  <si>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</si>
  <si>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</si>
  <si>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</si>
  <si>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</si>
  <si>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</si>
  <si>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</si>
  <si>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</si>
  <si>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</si>
  <si>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</si>
  <si>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</si>
  <si>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</si>
  <si>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</si>
  <si>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</si>
  <si>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</si>
  <si>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</si>
  <si>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</si>
  <si>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</si>
  <si>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</si>
  <si>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</si>
  <si>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</si>
  <si>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</si>
  <si>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</si>
  <si>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</si>
  <si>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</si>
  <si>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</si>
  <si>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</si>
  <si>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</si>
  <si>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</si>
  <si>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</si>
  <si>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</si>
  <si>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47.17</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</si>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</sst>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5827</v>
      </c>
      <c r="BU139" s="258" t="s">
        <v>5329</v>
      </c>
      <c r="BV139" s="258" t="s">
        <v>328</v>
      </c>
      <c r="BW139" s="93" t="s">
        <v>5828</v>
      </c>
      <c r="BX139" s="102"/>
      <c r="BY139" s="258" t="s">
        <v>5829</v>
      </c>
      <c r="BZ139" s="258" t="s">
        <v>5830</v>
      </c>
      <c r="CA139" s="93" t="s">
        <v>5831</v>
      </c>
      <c r="CB139" s="98"/>
      <c r="CC139" s="98"/>
      <c r="CD139" s="93" t="s">
        <v>5832</v>
      </c>
      <c r="CE139" s="235"/>
      <c r="CF139" s="258" t="s">
        <v>3476</v>
      </c>
      <c r="CG139" s="258" t="s">
        <v>5833</v>
      </c>
      <c r="CH139" s="258" t="s">
        <v>3144</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3314</v>
      </c>
      <c r="CY139" s="258" t="s">
        <v>5840</v>
      </c>
      <c r="CZ139" s="258" t="s">
        <v>3986</v>
      </c>
      <c r="DA139" s="258" t="s">
        <v>5841</v>
      </c>
      <c r="DB139" s="258" t="s">
        <v>5842</v>
      </c>
      <c r="DC139" s="93" t="s">
        <v>5843</v>
      </c>
      <c r="DD139" s="98"/>
      <c r="DE139" s="98"/>
      <c r="DF139" s="93" t="s">
        <v>5844</v>
      </c>
      <c r="DG139" s="235"/>
      <c r="DH139" s="258" t="s">
        <v>570</v>
      </c>
      <c r="DI139" s="98"/>
      <c r="DJ139" s="93" t="s">
        <v>3954</v>
      </c>
      <c r="DK139" s="258" t="s">
        <v>5845</v>
      </c>
      <c r="DL139" s="258" t="s">
        <v>3911</v>
      </c>
      <c r="DM139" s="258" t="s">
        <v>3145</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4059</v>
      </c>
      <c r="P140" s="165" t="s">
        <v>1082</v>
      </c>
      <c r="Q140" s="242"/>
      <c r="R140" s="165" t="s">
        <v>324</v>
      </c>
      <c r="S140" s="165" t="s">
        <v>2179</v>
      </c>
      <c r="T140" s="242"/>
      <c r="U140" s="165" t="s">
        <v>3245</v>
      </c>
      <c r="V140" s="242"/>
      <c r="W140" s="92"/>
      <c r="X140" s="195" t="s">
        <v>5860</v>
      </c>
      <c r="Y140" s="115" t="s">
        <v>2393</v>
      </c>
      <c r="Z140" s="195" t="s">
        <v>4500</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3594</v>
      </c>
      <c r="BE140" s="172" t="s">
        <v>5670</v>
      </c>
      <c r="BF140" s="171"/>
      <c r="BG140" s="171"/>
      <c r="BH140" s="172" t="s">
        <v>3950</v>
      </c>
      <c r="BI140" s="172" t="s">
        <v>5864</v>
      </c>
      <c r="BJ140" s="172"/>
      <c r="BK140" s="172" t="s">
        <v>2587</v>
      </c>
      <c r="BL140" s="171"/>
      <c r="BM140" s="172" t="s">
        <v>4207</v>
      </c>
      <c r="BN140" s="171"/>
      <c r="BO140" s="171"/>
      <c r="BP140" s="247"/>
      <c r="BQ140" s="173" t="s">
        <v>5865</v>
      </c>
      <c r="BR140" s="173" t="s">
        <v>4213</v>
      </c>
      <c r="BS140" s="173" t="s">
        <v>3392</v>
      </c>
      <c r="BT140" s="173" t="s">
        <v>5866</v>
      </c>
      <c r="BU140" s="173" t="s">
        <v>5867</v>
      </c>
      <c r="BV140" s="173" t="s">
        <v>5152</v>
      </c>
      <c r="BW140" s="250"/>
      <c r="BX140" s="173" t="s">
        <v>2729</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2802</v>
      </c>
      <c r="CW140" s="202" t="s">
        <v>3685</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3474</v>
      </c>
      <c r="EA140" s="256"/>
      <c r="EB140" s="256"/>
      <c r="EC140" s="285" t="s">
        <v>5881</v>
      </c>
    </row>
    <row r="141">
      <c r="A141" s="625" t="s">
        <v>5882</v>
      </c>
      <c r="B141" s="82" t="s">
        <v>5883</v>
      </c>
      <c r="C141" s="83" t="s">
        <v>1262</v>
      </c>
      <c r="D141" s="84" t="s">
        <v>1262</v>
      </c>
      <c r="E141" s="85" t="s">
        <v>1262</v>
      </c>
      <c r="F141" s="86" t="s">
        <v>438</v>
      </c>
      <c r="G141" s="82" t="s">
        <v>4760</v>
      </c>
      <c r="H141" s="93"/>
      <c r="I141" s="93" t="s">
        <v>5884</v>
      </c>
      <c r="J141" s="93" t="s">
        <v>2957</v>
      </c>
      <c r="K141" s="88" t="s">
        <v>2279</v>
      </c>
      <c r="L141" s="93" t="s">
        <v>2474</v>
      </c>
      <c r="M141" s="93" t="s">
        <v>5885</v>
      </c>
      <c r="N141" s="93" t="s">
        <v>5886</v>
      </c>
      <c r="O141" s="93" t="s">
        <v>5100</v>
      </c>
      <c r="P141" s="93" t="s">
        <v>564</v>
      </c>
      <c r="Q141" s="98"/>
      <c r="R141" s="98"/>
      <c r="S141" s="98"/>
      <c r="T141" s="98"/>
      <c r="U141" s="98"/>
      <c r="V141" s="98"/>
      <c r="W141" s="92"/>
      <c r="X141" s="93" t="s">
        <v>4598</v>
      </c>
      <c r="Y141" s="93" t="s">
        <v>5696</v>
      </c>
      <c r="Z141" s="93" t="s">
        <v>2204</v>
      </c>
      <c r="AA141" s="93" t="s">
        <v>5887</v>
      </c>
      <c r="AB141" s="93" t="s">
        <v>4930</v>
      </c>
      <c r="AC141" s="93" t="s">
        <v>5888</v>
      </c>
      <c r="AD141" s="98"/>
      <c r="AE141" s="93" t="s">
        <v>5889</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2772</v>
      </c>
      <c r="BG141" s="98"/>
      <c r="BH141" s="93" t="s">
        <v>905</v>
      </c>
      <c r="BI141" s="98"/>
      <c r="BJ141" s="98"/>
      <c r="BK141" s="98"/>
      <c r="BL141" s="98"/>
      <c r="BM141" s="98"/>
      <c r="BN141" s="98"/>
      <c r="BO141" s="98"/>
      <c r="BP141" s="235"/>
      <c r="BQ141" s="93" t="s">
        <v>5891</v>
      </c>
      <c r="BR141" s="93" t="s">
        <v>5892</v>
      </c>
      <c r="BS141" s="93" t="s">
        <v>497</v>
      </c>
      <c r="BT141" s="264" t="s">
        <v>3078</v>
      </c>
      <c r="BU141" s="93" t="s">
        <v>3942</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3601</v>
      </c>
      <c r="CO141" s="98"/>
      <c r="CP141" s="98"/>
      <c r="CQ141" s="98"/>
      <c r="CR141" s="98"/>
      <c r="CS141" s="98"/>
      <c r="CT141" s="92"/>
      <c r="CU141" s="93" t="s">
        <v>2767</v>
      </c>
      <c r="CV141" s="93" t="s">
        <v>3566</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3181</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2780</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3580</v>
      </c>
      <c r="M143" s="258" t="s">
        <v>5922</v>
      </c>
      <c r="N143" s="258" t="s">
        <v>5923</v>
      </c>
      <c r="O143" s="258" t="s">
        <v>1751</v>
      </c>
      <c r="P143" s="258" t="s">
        <v>251</v>
      </c>
      <c r="Q143" s="627"/>
      <c r="R143" s="627"/>
      <c r="S143" s="628">
        <v>37.85</v>
      </c>
      <c r="T143" s="627"/>
      <c r="U143" s="93" t="s">
        <v>1843</v>
      </c>
      <c r="V143" s="628" t="s">
        <v>5924</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3052</v>
      </c>
      <c r="BI143" s="627"/>
      <c r="BJ143" s="102" t="s">
        <v>5925</v>
      </c>
      <c r="BK143" s="258" t="s">
        <v>3709</v>
      </c>
      <c r="BL143" s="627"/>
      <c r="BM143" s="628">
        <v>35.32</v>
      </c>
      <c r="BN143" s="630"/>
      <c r="BO143" s="627"/>
      <c r="BP143" s="633"/>
      <c r="BQ143" s="630"/>
      <c r="BR143" s="630"/>
      <c r="BS143" s="258" t="s">
        <v>2647</v>
      </c>
      <c r="BT143" s="258" t="s">
        <v>5926</v>
      </c>
      <c r="BU143" s="630"/>
      <c r="BV143" s="258" t="s">
        <v>3101</v>
      </c>
      <c r="BW143" s="627"/>
      <c r="BX143" s="630"/>
      <c r="BY143" s="630"/>
      <c r="BZ143" s="102" t="s">
        <v>5460</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3293</v>
      </c>
      <c r="CW143" s="102" t="s">
        <v>2916</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4518</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2837</v>
      </c>
      <c r="H144" s="343" t="s">
        <v>955</v>
      </c>
      <c r="I144" s="343" t="s">
        <v>5934</v>
      </c>
      <c r="J144" s="343" t="s">
        <v>4079</v>
      </c>
      <c r="K144" s="343" t="s">
        <v>4910</v>
      </c>
      <c r="L144" s="343" t="s">
        <v>239</v>
      </c>
      <c r="M144" s="343" t="s">
        <v>5935</v>
      </c>
      <c r="N144" s="343" t="s">
        <v>5936</v>
      </c>
      <c r="O144" s="343" t="s">
        <v>969</v>
      </c>
      <c r="P144" s="343"/>
      <c r="Q144" s="642"/>
      <c r="R144" s="642"/>
      <c r="S144" s="642"/>
      <c r="T144" s="642"/>
      <c r="U144" s="272" t="s">
        <v>678</v>
      </c>
      <c r="V144" s="642"/>
      <c r="W144" s="585"/>
      <c r="X144" s="298" t="s">
        <v>5937</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3052</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2844</v>
      </c>
      <c r="L145" s="93" t="s">
        <v>4096</v>
      </c>
      <c r="M145" s="93" t="s">
        <v>5947</v>
      </c>
      <c r="N145" s="93" t="s">
        <v>5940</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5898</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3584</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2843</v>
      </c>
      <c r="CW155" s="102" t="s">
        <v>1711</v>
      </c>
      <c r="CX155" s="102" t="s">
        <v>4204</v>
      </c>
      <c r="CY155" s="102" t="s">
        <v>6126</v>
      </c>
      <c r="CZ155" s="102" t="s">
        <v>5685</v>
      </c>
      <c r="DA155" s="102" t="s">
        <v>6011</v>
      </c>
      <c r="DB155" s="102" t="s">
        <v>6107</v>
      </c>
      <c r="DC155" s="98"/>
      <c r="DD155" s="98"/>
      <c r="DE155" s="98"/>
      <c r="DF155" s="98"/>
      <c r="DG155" s="235"/>
      <c r="DH155" s="102" t="s">
        <v>2816</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3092</v>
      </c>
      <c r="L157" s="93" t="s">
        <v>146</v>
      </c>
      <c r="M157" s="93" t="s">
        <v>6132</v>
      </c>
      <c r="N157" s="93" t="s">
        <v>6133</v>
      </c>
      <c r="O157" s="93" t="s">
        <v>6134</v>
      </c>
      <c r="P157" s="93" t="s">
        <v>4139</v>
      </c>
      <c r="Q157" s="98"/>
      <c r="R157" s="98"/>
      <c r="S157" s="98"/>
      <c r="T157" s="98"/>
      <c r="U157" s="98"/>
      <c r="V157" s="98"/>
      <c r="W157" s="92"/>
      <c r="X157" s="93" t="s">
        <v>5255</v>
      </c>
      <c r="Y157" s="93" t="s">
        <v>2132</v>
      </c>
      <c r="Z157" s="93" t="s">
        <v>2213</v>
      </c>
      <c r="AA157" s="93" t="s">
        <v>2968</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3296</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2864</v>
      </c>
      <c r="H158" s="165" t="s">
        <v>2666</v>
      </c>
      <c r="I158" s="165" t="s">
        <v>6143</v>
      </c>
      <c r="J158" s="165" t="s">
        <v>4821</v>
      </c>
      <c r="K158" s="165" t="s">
        <v>552</v>
      </c>
      <c r="L158" s="165" t="s">
        <v>6144</v>
      </c>
      <c r="M158" s="242"/>
      <c r="N158" s="242"/>
      <c r="O158" s="165" t="s">
        <v>1841</v>
      </c>
      <c r="P158" s="165" t="s">
        <v>351</v>
      </c>
      <c r="Q158" s="165"/>
      <c r="R158" s="242"/>
      <c r="S158" s="165" t="s">
        <v>6145</v>
      </c>
      <c r="T158" s="242"/>
      <c r="U158" s="165" t="s">
        <v>2884</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3901</v>
      </c>
      <c r="H160" s="165" t="s">
        <v>6161</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4848</v>
      </c>
      <c r="H161" s="670"/>
      <c r="I161" s="258"/>
      <c r="J161" s="258" t="s">
        <v>1186</v>
      </c>
      <c r="K161" s="258" t="s">
        <v>352</v>
      </c>
      <c r="L161" s="258" t="s">
        <v>2816</v>
      </c>
      <c r="M161" s="258"/>
      <c r="N161" s="258"/>
      <c r="O161" s="258" t="s">
        <v>6169</v>
      </c>
      <c r="P161" s="258" t="s">
        <v>4921</v>
      </c>
      <c r="Q161" s="579"/>
      <c r="R161" s="579"/>
      <c r="S161" s="579"/>
      <c r="T161" s="579"/>
      <c r="U161" s="579"/>
      <c r="V161" s="579"/>
      <c r="W161" s="585"/>
      <c r="X161" s="258"/>
      <c r="Y161" s="258" t="s">
        <v>2805</v>
      </c>
      <c r="Z161" s="258" t="s">
        <v>129</v>
      </c>
      <c r="AA161" s="258" t="s">
        <v>6170</v>
      </c>
      <c r="AB161" s="258" t="s">
        <v>3879</v>
      </c>
      <c r="AC161" s="258" t="s">
        <v>6171</v>
      </c>
      <c r="AD161" s="579"/>
      <c r="AE161" s="258" t="s">
        <v>6172</v>
      </c>
      <c r="AF161" s="258" t="s">
        <v>4694</v>
      </c>
      <c r="AG161" s="579"/>
      <c r="AH161" s="579"/>
      <c r="AI161" s="258"/>
      <c r="AJ161" s="305" t="s">
        <v>6173</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6174</v>
      </c>
      <c r="BC161" s="258" t="s">
        <v>3324</v>
      </c>
      <c r="BD161" s="258" t="s">
        <v>142</v>
      </c>
      <c r="BE161" s="258"/>
      <c r="BF161" s="258" t="s">
        <v>6175</v>
      </c>
      <c r="BG161" s="579"/>
      <c r="BH161" s="258" t="s">
        <v>3626</v>
      </c>
      <c r="BI161" s="579"/>
      <c r="BJ161" s="258" t="s">
        <v>6176</v>
      </c>
      <c r="BK161" s="258" t="s">
        <v>4193</v>
      </c>
      <c r="BL161" s="579"/>
      <c r="BM161" s="579"/>
      <c r="BN161" s="258"/>
      <c r="BO161" s="579"/>
      <c r="BP161" s="582"/>
      <c r="BQ161" s="258"/>
      <c r="BR161" s="258" t="s">
        <v>6177</v>
      </c>
      <c r="BS161" s="258" t="s">
        <v>6178</v>
      </c>
      <c r="BT161" s="258" t="s">
        <v>6179</v>
      </c>
      <c r="BU161" s="258" t="s">
        <v>6180</v>
      </c>
      <c r="BV161" s="258" t="s">
        <v>1404</v>
      </c>
      <c r="BW161" s="579"/>
      <c r="BX161" s="258"/>
      <c r="BY161" s="258"/>
      <c r="BZ161" s="258" t="s">
        <v>6181</v>
      </c>
      <c r="CA161" s="305"/>
      <c r="CB161" s="579"/>
      <c r="CC161" s="579"/>
      <c r="CD161" s="579"/>
      <c r="CE161" s="582"/>
      <c r="CF161" s="258" t="s">
        <v>6182</v>
      </c>
      <c r="CG161" s="258" t="s">
        <v>4455</v>
      </c>
      <c r="CH161" s="258"/>
      <c r="CI161" s="258"/>
      <c r="CJ161" s="258"/>
      <c r="CK161" s="258"/>
      <c r="CL161" s="258"/>
      <c r="CM161" s="258" t="s">
        <v>4389</v>
      </c>
      <c r="CN161" s="258" t="s">
        <v>6183</v>
      </c>
      <c r="CO161" s="584"/>
      <c r="CP161" s="579"/>
      <c r="CQ161" s="579"/>
      <c r="CR161" s="579"/>
      <c r="CS161" s="579"/>
      <c r="CT161" s="585"/>
      <c r="CU161" s="258" t="s">
        <v>2012</v>
      </c>
      <c r="CV161" s="258"/>
      <c r="CW161" s="258" t="s">
        <v>3841</v>
      </c>
      <c r="CX161" s="258"/>
      <c r="CY161" s="258"/>
      <c r="CZ161" s="258"/>
      <c r="DA161" s="258" t="s">
        <v>6184</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6185</v>
      </c>
      <c r="B162" s="104" t="s">
        <v>6186</v>
      </c>
      <c r="C162" s="105" t="s">
        <v>1262</v>
      </c>
      <c r="D162" s="106" t="s">
        <v>1262</v>
      </c>
      <c r="E162" s="107" t="s">
        <v>1262</v>
      </c>
      <c r="F162" s="108" t="s">
        <v>438</v>
      </c>
      <c r="G162" s="104" t="s">
        <v>6187</v>
      </c>
      <c r="H162" s="538"/>
      <c r="I162" s="343" t="s">
        <v>157</v>
      </c>
      <c r="J162" s="538"/>
      <c r="K162" s="343" t="s">
        <v>3987</v>
      </c>
      <c r="L162" s="538"/>
      <c r="M162" s="538"/>
      <c r="N162" s="538"/>
      <c r="O162" s="53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6189</v>
      </c>
      <c r="AU162" s="437" t="s">
        <v>5833</v>
      </c>
      <c r="AV162" s="123"/>
      <c r="AW162" s="245"/>
      <c r="AX162" s="245"/>
      <c r="AY162" s="245"/>
      <c r="AZ162" s="166"/>
      <c r="BA162" s="539"/>
      <c r="BB162" s="124" t="s">
        <v>1002</v>
      </c>
      <c r="BC162" s="199"/>
      <c r="BD162" s="199" t="s">
        <v>6190</v>
      </c>
      <c r="BE162" s="539"/>
      <c r="BF162" s="539"/>
      <c r="BG162" s="171"/>
      <c r="BH162" s="199" t="s">
        <v>1552</v>
      </c>
      <c r="BI162" s="171"/>
      <c r="BJ162" s="539"/>
      <c r="BK162" s="199" t="s">
        <v>6191</v>
      </c>
      <c r="BL162" s="171"/>
      <c r="BM162" s="171"/>
      <c r="BN162" s="53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6205</v>
      </c>
      <c r="B165" s="82" t="s">
        <v>6206</v>
      </c>
      <c r="C165" s="83" t="s">
        <v>1262</v>
      </c>
      <c r="D165" s="84" t="s">
        <v>1262</v>
      </c>
      <c r="E165" s="85" t="s">
        <v>1262</v>
      </c>
      <c r="F165" s="86" t="s">
        <v>1262</v>
      </c>
      <c r="G165" s="82" t="s">
        <v>648</v>
      </c>
      <c r="H165" s="101" t="s">
        <v>3440</v>
      </c>
      <c r="I165" s="101" t="s">
        <v>6207</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6208</v>
      </c>
      <c r="B166" s="104" t="s">
        <v>6209</v>
      </c>
      <c r="C166" s="105" t="s">
        <v>1262</v>
      </c>
      <c r="D166" s="106" t="s">
        <v>1262</v>
      </c>
      <c r="E166" s="107" t="s">
        <v>1262</v>
      </c>
      <c r="F166" s="108" t="s">
        <v>1262</v>
      </c>
      <c r="G166" s="104" t="s">
        <v>3366</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3625</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610" t="s">
        <v>6216</v>
      </c>
      <c r="B167" s="82" t="s">
        <v>6217</v>
      </c>
      <c r="C167" s="83" t="s">
        <v>1262</v>
      </c>
      <c r="D167" s="84" t="s">
        <v>1262</v>
      </c>
      <c r="E167" s="85" t="s">
        <v>1262</v>
      </c>
      <c r="F167" s="86" t="s">
        <v>2837</v>
      </c>
      <c r="G167" s="82" t="s">
        <v>5918</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3274</v>
      </c>
      <c r="BD167" s="88" t="s">
        <v>962</v>
      </c>
      <c r="BE167" s="88" t="s">
        <v>6227</v>
      </c>
      <c r="BF167" s="88" t="s">
        <v>3610</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5379</v>
      </c>
      <c r="CI167" s="102"/>
      <c r="CJ167" s="102"/>
      <c r="CK167" s="102"/>
      <c r="CL167" s="88" t="s">
        <v>6233</v>
      </c>
      <c r="CM167" s="88" t="s">
        <v>2301</v>
      </c>
      <c r="CN167" s="88" t="s">
        <v>6234</v>
      </c>
      <c r="CO167" s="220"/>
      <c r="CP167" s="98"/>
      <c r="CQ167" s="98"/>
      <c r="CR167" s="98"/>
      <c r="CS167" s="98"/>
      <c r="CT167" s="92"/>
      <c r="CU167" s="88" t="s">
        <v>5333</v>
      </c>
      <c r="CV167" s="102"/>
      <c r="CW167" s="88" t="s">
        <v>909</v>
      </c>
      <c r="CX167" s="88" t="s">
        <v>5153</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73" t="s">
        <v>6239</v>
      </c>
      <c r="B168" s="104" t="s">
        <v>6240</v>
      </c>
      <c r="C168" s="105" t="s">
        <v>1262</v>
      </c>
      <c r="D168" s="106" t="s">
        <v>1262</v>
      </c>
      <c r="E168" s="107" t="s">
        <v>1262</v>
      </c>
      <c r="F168" s="108" t="s">
        <v>334</v>
      </c>
      <c r="G168" s="104" t="s">
        <v>6187</v>
      </c>
      <c r="H168" s="659" t="s">
        <v>4052</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6243</v>
      </c>
      <c r="CO168" s="253"/>
      <c r="CP168" s="261"/>
      <c r="CQ168" s="253"/>
      <c r="CR168" s="253"/>
      <c r="CS168" s="253"/>
      <c r="CT168" s="92"/>
      <c r="CU168" s="254"/>
      <c r="CV168" s="254"/>
      <c r="CW168" s="254" t="s">
        <v>5145</v>
      </c>
      <c r="CX168" s="254" t="s">
        <v>3436</v>
      </c>
      <c r="CY168" s="254"/>
      <c r="CZ168" s="254"/>
      <c r="DA168" s="677" t="s">
        <v>6244</v>
      </c>
      <c r="DB168" s="231" t="s">
        <v>6107</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7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6155</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6171</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5334</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6253</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6264</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6268</v>
      </c>
      <c r="B174" s="104" t="s">
        <v>6269</v>
      </c>
      <c r="C174" s="105" t="s">
        <v>1262</v>
      </c>
      <c r="D174" s="106" t="s">
        <v>1262</v>
      </c>
      <c r="E174" s="107" t="s">
        <v>1262</v>
      </c>
      <c r="F174" s="108" t="s">
        <v>1262</v>
      </c>
      <c r="G174" s="104" t="s">
        <v>4658</v>
      </c>
      <c r="H174" s="165"/>
      <c r="I174" s="165" t="s">
        <v>6270</v>
      </c>
      <c r="J174" s="165" t="s">
        <v>3005</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6189</v>
      </c>
      <c r="AA174" s="244"/>
      <c r="AB174" s="195" t="s">
        <v>6276</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3568</v>
      </c>
      <c r="BE174" s="172" t="s">
        <v>6278</v>
      </c>
      <c r="BF174" s="171"/>
      <c r="BG174" s="171"/>
      <c r="BH174" s="172" t="s">
        <v>3193</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6282</v>
      </c>
      <c r="CX174" s="202" t="s">
        <v>3094</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6286</v>
      </c>
      <c r="B175" s="82" t="s">
        <v>6287</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6288</v>
      </c>
      <c r="B176" s="104" t="s">
        <v>6287</v>
      </c>
      <c r="C176" s="105" t="s">
        <v>547</v>
      </c>
      <c r="D176" s="106" t="s">
        <v>1262</v>
      </c>
      <c r="E176" s="107" t="s">
        <v>1262</v>
      </c>
      <c r="F176" s="108" t="s">
        <v>547</v>
      </c>
      <c r="G176" s="104" t="s">
        <v>3984</v>
      </c>
      <c r="H176" s="685" t="s">
        <v>2991</v>
      </c>
      <c r="I176" s="685" t="s">
        <v>6289</v>
      </c>
      <c r="J176" s="685" t="s">
        <v>6290</v>
      </c>
      <c r="K176" s="685" t="s">
        <v>755</v>
      </c>
      <c r="L176" s="685" t="s">
        <v>911</v>
      </c>
      <c r="M176" s="686"/>
      <c r="N176" s="685" t="s">
        <v>6291</v>
      </c>
      <c r="O176" s="685" t="s">
        <v>6292</v>
      </c>
      <c r="P176" s="685" t="s">
        <v>5358</v>
      </c>
      <c r="Q176" s="686"/>
      <c r="R176" s="686"/>
      <c r="S176" s="686"/>
      <c r="T176" s="686"/>
      <c r="U176" s="686"/>
      <c r="V176" s="686"/>
      <c r="W176" s="687"/>
      <c r="X176" s="688" t="s">
        <v>6293</v>
      </c>
      <c r="Y176" s="689" t="s">
        <v>380</v>
      </c>
      <c r="Z176" s="689" t="s">
        <v>870</v>
      </c>
      <c r="AA176" s="689" t="s">
        <v>3895</v>
      </c>
      <c r="AB176" s="688" t="s">
        <v>6294</v>
      </c>
      <c r="AC176" s="689" t="s">
        <v>6295</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6296</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6297</v>
      </c>
      <c r="DB176" s="706" t="s">
        <v>5842</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6298</v>
      </c>
      <c r="B177" s="82" t="s">
        <v>6299</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3181</v>
      </c>
      <c r="H179" s="98"/>
      <c r="I179" s="98"/>
      <c r="J179" s="160" t="s">
        <v>6067</v>
      </c>
      <c r="K179" s="98"/>
      <c r="L179" s="93" t="s">
        <v>6306</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4982</v>
      </c>
      <c r="H180" s="165" t="s">
        <v>2593</v>
      </c>
      <c r="I180" s="242"/>
      <c r="J180" s="165" t="s">
        <v>6312</v>
      </c>
      <c r="K180" s="112" t="s">
        <v>4959</v>
      </c>
      <c r="L180" s="271" t="s">
        <v>3484</v>
      </c>
      <c r="M180" s="242"/>
      <c r="N180" s="242"/>
      <c r="O180" s="242"/>
      <c r="P180" s="165" t="s">
        <v>6313</v>
      </c>
      <c r="Q180" s="242"/>
      <c r="R180" s="242"/>
      <c r="S180" s="242"/>
      <c r="T180" s="242"/>
      <c r="U180" s="242"/>
      <c r="V180" s="242"/>
      <c r="W180" s="92"/>
      <c r="X180" s="115" t="s">
        <v>6314</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5095</v>
      </c>
      <c r="CN180" s="134" t="s">
        <v>5802</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6324</v>
      </c>
      <c r="C182" s="105" t="s">
        <v>1262</v>
      </c>
      <c r="D182" s="106" t="s">
        <v>1262</v>
      </c>
      <c r="E182" s="107" t="s">
        <v>1262</v>
      </c>
      <c r="F182" s="108" t="s">
        <v>1262</v>
      </c>
      <c r="G182" s="104" t="s">
        <v>1731</v>
      </c>
      <c r="H182" s="242"/>
      <c r="I182" s="165" t="s">
        <v>6326</v>
      </c>
      <c r="J182" s="165" t="s">
        <v>5080</v>
      </c>
      <c r="K182" s="165" t="s">
        <v>2386</v>
      </c>
      <c r="L182" s="165" t="s">
        <v>4034</v>
      </c>
      <c r="M182" s="165" t="s">
        <v>6327</v>
      </c>
      <c r="N182" s="242"/>
      <c r="O182" s="165" t="s">
        <v>1864</v>
      </c>
      <c r="P182" s="165" t="s">
        <v>6328</v>
      </c>
      <c r="Q182" s="242"/>
      <c r="R182" s="242"/>
      <c r="S182" s="242"/>
      <c r="T182" s="242"/>
      <c r="U182" s="242"/>
      <c r="V182" s="242"/>
      <c r="W182" s="92"/>
      <c r="X182" s="195" t="s">
        <v>4426</v>
      </c>
      <c r="Y182" s="195" t="s">
        <v>5615</v>
      </c>
      <c r="Z182" s="195" t="s">
        <v>4458</v>
      </c>
      <c r="AA182" s="195" t="s">
        <v>6329</v>
      </c>
      <c r="AB182" s="195" t="s">
        <v>6330</v>
      </c>
      <c r="AC182" s="195" t="s">
        <v>4741</v>
      </c>
      <c r="AD182" s="244"/>
      <c r="AE182" s="195" t="s">
        <v>6331</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6332</v>
      </c>
      <c r="BE182" s="172" t="s">
        <v>6333</v>
      </c>
      <c r="BF182" s="171"/>
      <c r="BG182" s="171"/>
      <c r="BH182" s="172" t="s">
        <v>6334</v>
      </c>
      <c r="BI182" s="172" t="s">
        <v>6335</v>
      </c>
      <c r="BJ182" s="172"/>
      <c r="BK182" s="172" t="s">
        <v>538</v>
      </c>
      <c r="BL182" s="171"/>
      <c r="BM182" s="171"/>
      <c r="BN182" s="171"/>
      <c r="BO182" s="171"/>
      <c r="BP182" s="247"/>
      <c r="BQ182" s="173"/>
      <c r="BR182" s="250"/>
      <c r="BS182" s="173" t="s">
        <v>6336</v>
      </c>
      <c r="BT182" s="173" t="s">
        <v>6337</v>
      </c>
      <c r="BU182" s="250"/>
      <c r="BV182" s="173" t="s">
        <v>410</v>
      </c>
      <c r="BW182" s="173" t="s">
        <v>5894</v>
      </c>
      <c r="BX182" s="173" t="s">
        <v>2804</v>
      </c>
      <c r="BY182" s="250"/>
      <c r="BZ182" s="173" t="s">
        <v>2019</v>
      </c>
      <c r="CA182" s="250"/>
      <c r="CB182" s="250"/>
      <c r="CC182" s="250"/>
      <c r="CD182" s="250"/>
      <c r="CE182" s="251"/>
      <c r="CF182" s="175" t="s">
        <v>4919</v>
      </c>
      <c r="CG182" s="175" t="s">
        <v>2520</v>
      </c>
      <c r="CH182" s="175" t="s">
        <v>2585</v>
      </c>
      <c r="CI182" s="175" t="s">
        <v>6338</v>
      </c>
      <c r="CJ182" s="175"/>
      <c r="CK182" s="175" t="s">
        <v>2967</v>
      </c>
      <c r="CL182" s="253"/>
      <c r="CM182" s="175" t="s">
        <v>2962</v>
      </c>
      <c r="CN182" s="175" t="s">
        <v>3313</v>
      </c>
      <c r="CO182" s="253"/>
      <c r="CP182" s="253"/>
      <c r="CQ182" s="253"/>
      <c r="CR182" s="253"/>
      <c r="CS182" s="253"/>
      <c r="CT182" s="92"/>
      <c r="CU182" s="202" t="s">
        <v>5860</v>
      </c>
      <c r="CV182" s="202" t="s">
        <v>6339</v>
      </c>
      <c r="CW182" s="202" t="s">
        <v>102</v>
      </c>
      <c r="CX182" s="254"/>
      <c r="CY182" s="254"/>
      <c r="CZ182" s="254"/>
      <c r="DA182" s="202" t="s">
        <v>6340</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1262</v>
      </c>
      <c r="F183" s="86" t="s">
        <v>1262</v>
      </c>
      <c r="G183" s="82" t="s">
        <v>5918</v>
      </c>
      <c r="H183" s="98"/>
      <c r="I183" s="93" t="s">
        <v>6343</v>
      </c>
      <c r="J183" s="93" t="s">
        <v>302</v>
      </c>
      <c r="K183" s="93" t="s">
        <v>123</v>
      </c>
      <c r="L183" s="93" t="s">
        <v>3955</v>
      </c>
      <c r="M183" s="93" t="s">
        <v>6344</v>
      </c>
      <c r="N183" s="98"/>
      <c r="O183" s="93" t="s">
        <v>4070</v>
      </c>
      <c r="P183" s="93" t="s">
        <v>1626</v>
      </c>
      <c r="Q183" s="98"/>
      <c r="R183" s="98"/>
      <c r="S183" s="98"/>
      <c r="T183" s="98"/>
      <c r="U183" s="98"/>
      <c r="V183" s="98"/>
      <c r="W183" s="92"/>
      <c r="X183" s="93" t="s">
        <v>6345</v>
      </c>
      <c r="Y183" s="93" t="s">
        <v>6346</v>
      </c>
      <c r="Z183" s="93" t="s">
        <v>390</v>
      </c>
      <c r="AA183" s="98"/>
      <c r="AB183" s="93" t="s">
        <v>6347</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6348</v>
      </c>
      <c r="BK183" s="93" t="s">
        <v>993</v>
      </c>
      <c r="BL183" s="98"/>
      <c r="BM183" s="98"/>
      <c r="BN183" s="98"/>
      <c r="BO183" s="98"/>
      <c r="BP183" s="235"/>
      <c r="BQ183" s="98"/>
      <c r="BR183" s="98"/>
      <c r="BS183" s="98"/>
      <c r="BT183" s="93" t="s">
        <v>977</v>
      </c>
      <c r="BU183" s="98"/>
      <c r="BV183" s="98"/>
      <c r="BW183" s="98"/>
      <c r="BX183" s="93" t="s">
        <v>6349</v>
      </c>
      <c r="BY183" s="93" t="s">
        <v>6350</v>
      </c>
      <c r="BZ183" s="93" t="s">
        <v>3793</v>
      </c>
      <c r="CA183" s="98"/>
      <c r="CB183" s="98"/>
      <c r="CC183" s="98"/>
      <c r="CD183" s="98"/>
      <c r="CE183" s="235"/>
      <c r="CF183" s="93" t="s">
        <v>6351</v>
      </c>
      <c r="CG183" s="93" t="s">
        <v>3435</v>
      </c>
      <c r="CH183" s="93" t="s">
        <v>756</v>
      </c>
      <c r="CI183" s="93" t="s">
        <v>6352</v>
      </c>
      <c r="CJ183" s="93"/>
      <c r="CK183" s="93"/>
      <c r="CL183" s="98"/>
      <c r="CM183" s="93" t="s">
        <v>3750</v>
      </c>
      <c r="CN183" s="93" t="s">
        <v>6256</v>
      </c>
      <c r="CO183" s="98"/>
      <c r="CP183" s="98"/>
      <c r="CQ183" s="98"/>
      <c r="CR183" s="98"/>
      <c r="CS183" s="98"/>
      <c r="CT183" s="92"/>
      <c r="CU183" s="93" t="s">
        <v>5082</v>
      </c>
      <c r="CV183" s="93" t="s">
        <v>1868</v>
      </c>
      <c r="CW183" s="93" t="s">
        <v>3061</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1262</v>
      </c>
      <c r="D184" s="106" t="s">
        <v>1262</v>
      </c>
      <c r="E184" s="107" t="s">
        <v>1262</v>
      </c>
      <c r="F184" s="108" t="s">
        <v>1262</v>
      </c>
      <c r="G184" s="104" t="s">
        <v>4848</v>
      </c>
      <c r="H184" s="165" t="s">
        <v>6360</v>
      </c>
      <c r="I184" s="165" t="s">
        <v>6361</v>
      </c>
      <c r="J184" s="165" t="s">
        <v>618</v>
      </c>
      <c r="K184" s="165" t="s">
        <v>2844</v>
      </c>
      <c r="L184" s="165" t="s">
        <v>2875</v>
      </c>
      <c r="M184" s="165" t="s">
        <v>6362</v>
      </c>
      <c r="N184" s="165" t="s">
        <v>6363</v>
      </c>
      <c r="O184" s="165" t="s">
        <v>851</v>
      </c>
      <c r="P184" s="165" t="s">
        <v>496</v>
      </c>
      <c r="Q184" s="165"/>
      <c r="R184" s="165"/>
      <c r="S184" s="165"/>
      <c r="T184" s="165"/>
      <c r="U184" s="165"/>
      <c r="V184" s="165"/>
      <c r="W184" s="92"/>
      <c r="X184" s="195" t="s">
        <v>6364</v>
      </c>
      <c r="Y184" s="195" t="s">
        <v>5179</v>
      </c>
      <c r="Z184" s="195" t="s">
        <v>6365</v>
      </c>
      <c r="AA184" s="195" t="s">
        <v>2622</v>
      </c>
      <c r="AB184" s="195" t="s">
        <v>5921</v>
      </c>
      <c r="AC184" s="195" t="s">
        <v>6366</v>
      </c>
      <c r="AD184" s="195" t="s">
        <v>4109</v>
      </c>
      <c r="AE184" s="195" t="s">
        <v>6367</v>
      </c>
      <c r="AF184" s="195" t="s">
        <v>370</v>
      </c>
      <c r="AG184" s="195"/>
      <c r="AH184" s="195"/>
      <c r="AI184" s="195"/>
      <c r="AJ184" s="195"/>
      <c r="AK184" s="96"/>
      <c r="AL184" s="166"/>
      <c r="AM184" s="166"/>
      <c r="AN184" s="166"/>
      <c r="AO184" s="166"/>
      <c r="AP184" s="166"/>
      <c r="AQ184" s="166"/>
      <c r="AR184" s="166"/>
      <c r="AS184" s="166"/>
      <c r="AT184" s="166" t="s">
        <v>6368</v>
      </c>
      <c r="AU184" s="166" t="s">
        <v>1379</v>
      </c>
      <c r="AV184" s="166"/>
      <c r="AW184" s="166"/>
      <c r="AX184" s="166"/>
      <c r="AY184" s="166"/>
      <c r="AZ184" s="166"/>
      <c r="BA184" s="172" t="s">
        <v>6369</v>
      </c>
      <c r="BB184" s="172" t="s">
        <v>4227</v>
      </c>
      <c r="BC184" s="172" t="s">
        <v>3700</v>
      </c>
      <c r="BD184" s="172" t="s">
        <v>6370</v>
      </c>
      <c r="BE184" s="172" t="s">
        <v>6371</v>
      </c>
      <c r="BF184" s="172" t="s">
        <v>6372</v>
      </c>
      <c r="BG184" s="172" t="s">
        <v>5135</v>
      </c>
      <c r="BH184" s="172" t="s">
        <v>6373</v>
      </c>
      <c r="BI184" s="171"/>
      <c r="BJ184" s="171"/>
      <c r="BK184" s="171"/>
      <c r="BL184" s="172"/>
      <c r="BM184" s="172"/>
      <c r="BN184" s="172"/>
      <c r="BO184" s="172"/>
      <c r="BP184" s="291"/>
      <c r="BQ184" s="173"/>
      <c r="BR184" s="250"/>
      <c r="BS184" s="464" t="s">
        <v>6374</v>
      </c>
      <c r="BT184" s="173" t="s">
        <v>6375</v>
      </c>
      <c r="BU184" s="464"/>
      <c r="BV184" s="173" t="s">
        <v>6376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6134</v>
      </c>
      <c r="CX184" s="254"/>
      <c r="CY184" s="202" t="s">
        <v>6377</v>
      </c>
      <c r="CZ184" s="254"/>
      <c r="DA184" s="254"/>
      <c r="DB184" s="254"/>
      <c r="DC184" s="254"/>
      <c r="DD184" s="254"/>
      <c r="DE184" s="254"/>
      <c r="DF184" s="254"/>
      <c r="DG184" s="255"/>
      <c r="DH184" s="203" t="s">
        <v>3209</v>
      </c>
      <c r="DI184" s="256"/>
      <c r="DJ184" s="256"/>
      <c r="DK184" s="256"/>
      <c r="DL184" s="256"/>
      <c r="DM184" s="256"/>
      <c r="DN184" s="256"/>
      <c r="DO184" s="256"/>
      <c r="DP184" s="256"/>
      <c r="DQ184" s="203" t="s">
        <v>6378</v>
      </c>
      <c r="DR184" s="203"/>
      <c r="DS184" s="340"/>
      <c r="DT184" s="256"/>
      <c r="DU184" s="256"/>
      <c r="DV184" s="256"/>
      <c r="DW184" s="256"/>
      <c r="DX184" s="256"/>
      <c r="DY184" s="256"/>
      <c r="DZ184" s="256"/>
      <c r="EA184" s="256"/>
      <c r="EB184" s="256"/>
      <c r="EC184" s="285"/>
    </row>
    <row r="185">
      <c r="A185" s="81" t="s">
        <v>6379</v>
      </c>
      <c r="B185" s="82" t="s">
        <v>6380</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6381</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6382</v>
      </c>
      <c r="B186" s="104" t="s">
        <v>6383</v>
      </c>
      <c r="C186" s="105" t="s">
        <v>1262</v>
      </c>
      <c r="D186" s="106" t="s">
        <v>1262</v>
      </c>
      <c r="E186" s="107" t="s">
        <v>1262</v>
      </c>
      <c r="F186" s="108" t="s">
        <v>1262</v>
      </c>
      <c r="G186" s="104" t="s">
        <v>220</v>
      </c>
      <c r="H186" s="165" t="s">
        <v>6384</v>
      </c>
      <c r="I186" s="165" t="s">
        <v>6385</v>
      </c>
      <c r="J186" s="165" t="s">
        <v>2028</v>
      </c>
      <c r="K186" s="165" t="s">
        <v>6047</v>
      </c>
      <c r="L186" s="165" t="s">
        <v>6386</v>
      </c>
      <c r="M186" s="242"/>
      <c r="N186" s="242"/>
      <c r="O186" s="242"/>
      <c r="P186" s="165" t="s">
        <v>6387</v>
      </c>
      <c r="Q186" s="242"/>
      <c r="R186" s="242"/>
      <c r="S186" s="242"/>
      <c r="T186" s="242"/>
      <c r="U186" s="242"/>
      <c r="V186" s="242"/>
      <c r="W186" s="92"/>
      <c r="X186" s="244"/>
      <c r="Y186" s="244"/>
      <c r="Z186" s="195" t="s">
        <v>4319</v>
      </c>
      <c r="AA186" s="244"/>
      <c r="AB186" s="244"/>
      <c r="AC186" s="244"/>
      <c r="AD186" s="244"/>
      <c r="AE186" s="244"/>
      <c r="AF186" s="195" t="s">
        <v>6388</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6389</v>
      </c>
      <c r="B187" s="82" t="s">
        <v>6390</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6391</v>
      </c>
      <c r="B188" s="104" t="s">
        <v>6392</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6393</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6394</v>
      </c>
      <c r="B189" s="82" t="s">
        <v>6395</v>
      </c>
      <c r="C189" s="83" t="s">
        <v>1262</v>
      </c>
      <c r="D189" s="84" t="s">
        <v>1262</v>
      </c>
      <c r="E189" s="85" t="s">
        <v>1262</v>
      </c>
      <c r="F189" s="86" t="s">
        <v>438</v>
      </c>
      <c r="G189" s="82" t="s">
        <v>438</v>
      </c>
      <c r="H189" s="98"/>
      <c r="I189" s="88" t="s">
        <v>6396</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6397</v>
      </c>
      <c r="B190" s="104" t="s">
        <v>6398</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6399</v>
      </c>
      <c r="B191" s="82" t="s">
        <v>6400</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6402</v>
      </c>
      <c r="B192" s="104" t="s">
        <v>6403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6404</v>
      </c>
      <c r="CG192" s="175" t="s">
        <v>154</v>
      </c>
      <c r="CH192" s="175" t="s">
        <v>6405</v>
      </c>
      <c r="CI192" s="253"/>
      <c r="CJ192" s="253"/>
      <c r="CK192" s="253" t="s">
        <v>3480</v>
      </c>
      <c r="CL192" s="253"/>
      <c r="CM192" s="175" t="s">
        <v>4794</v>
      </c>
      <c r="CN192" s="253"/>
      <c r="CO192" s="253"/>
      <c r="CP192" s="253"/>
      <c r="CQ192" s="253"/>
      <c r="CR192" s="253"/>
      <c r="CS192" s="253"/>
      <c r="CT192" s="92"/>
      <c r="CU192" s="202" t="s">
        <v>6406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6407</v>
      </c>
      <c r="B193" s="82" t="s">
        <v>6403</v>
      </c>
      <c r="C193" s="83" t="s">
        <v>1262</v>
      </c>
      <c r="D193" s="84" t="s">
        <v>1262</v>
      </c>
      <c r="E193" s="85" t="s">
        <v>1262</v>
      </c>
      <c r="F193" s="86" t="s">
        <v>1262</v>
      </c>
      <c r="G193" s="82" t="s">
        <v>6187</v>
      </c>
      <c r="H193" s="98"/>
      <c r="I193" s="93" t="s">
        <v>6408</v>
      </c>
      <c r="J193" s="93" t="s">
        <v>4216</v>
      </c>
      <c r="K193" s="93" t="s">
        <v>4334</v>
      </c>
      <c r="L193" s="93" t="s">
        <v>6409</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6410</v>
      </c>
      <c r="BC193" s="160" t="s">
        <v>5254</v>
      </c>
      <c r="BD193" s="98"/>
      <c r="BE193" s="98"/>
      <c r="BF193" s="98"/>
      <c r="BG193" s="98"/>
      <c r="BH193" s="98"/>
      <c r="BI193" s="98"/>
      <c r="BJ193" s="93" t="s">
        <v>2449</v>
      </c>
      <c r="BK193" s="98"/>
      <c r="BL193" s="98"/>
      <c r="BM193" s="98"/>
      <c r="BN193" s="98"/>
      <c r="BO193" s="98"/>
      <c r="BP193" s="235"/>
      <c r="BQ193" s="98"/>
      <c r="BR193" s="98"/>
      <c r="BS193" s="98"/>
      <c r="BT193" s="93" t="s">
        <v>6411</v>
      </c>
      <c r="BU193" s="98"/>
      <c r="BV193" s="93" t="s">
        <v>6412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6414</v>
      </c>
      <c r="DS193" s="93" t="s">
        <v>4654</v>
      </c>
      <c r="DT193" s="98"/>
      <c r="DU193" s="98"/>
      <c r="DV193" s="98"/>
      <c r="DW193" s="98"/>
      <c r="DX193" s="98"/>
      <c r="DY193" s="98"/>
      <c r="DZ193" s="98"/>
      <c r="EA193" s="98"/>
      <c r="EB193" s="98"/>
      <c r="EC193" s="258" t="s">
        <v>6415</v>
      </c>
    </row>
    <row r="194">
      <c r="A194" s="714" t="s">
        <v>6416</v>
      </c>
      <c r="B194" s="104" t="s">
        <v>6417</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6418</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6419</v>
      </c>
      <c r="AS194" s="245"/>
      <c r="AT194" s="123"/>
      <c r="AU194" s="123" t="s">
        <v>234</v>
      </c>
      <c r="AV194" s="123"/>
      <c r="AW194" s="245"/>
      <c r="AX194" s="245"/>
      <c r="AY194" s="245"/>
      <c r="AZ194" s="245"/>
      <c r="BA194" s="539"/>
      <c r="BB194" s="539"/>
      <c r="BC194" s="539" t="s">
        <v>6420</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6422</v>
      </c>
      <c r="B195" s="82" t="s">
        <v>6423</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6424</v>
      </c>
      <c r="B196" s="104" t="s">
        <v>6425</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6427</v>
      </c>
      <c r="DQ196" s="256"/>
      <c r="DR196" s="256"/>
      <c r="DS196" s="256"/>
      <c r="DT196" s="256"/>
      <c r="DU196" s="256"/>
      <c r="DV196" s="203" t="s">
        <v>328</v>
      </c>
      <c r="DW196" s="256"/>
      <c r="DX196" s="256"/>
      <c r="DY196" s="256"/>
      <c r="DZ196" s="256"/>
      <c r="EA196" s="256"/>
      <c r="EB196" s="256"/>
      <c r="EC196" s="285"/>
    </row>
    <row r="197">
      <c r="A197" s="286" t="s">
        <v>6428</v>
      </c>
      <c r="B197" s="82" t="s">
        <v>6429</v>
      </c>
      <c r="C197" s="83" t="s">
        <v>1262</v>
      </c>
      <c r="D197" s="84" t="s">
        <v>1262</v>
      </c>
      <c r="E197" s="85" t="s">
        <v>1262</v>
      </c>
      <c r="F197" s="86" t="s">
        <v>1262</v>
      </c>
      <c r="G197" s="82" t="s">
        <v>4578</v>
      </c>
      <c r="H197" s="93" t="s">
        <v>6430</v>
      </c>
      <c r="I197" s="93" t="s">
        <v>2477</v>
      </c>
      <c r="J197" s="93" t="s">
        <v>1212</v>
      </c>
      <c r="K197" s="93" t="s">
        <v>6431</v>
      </c>
      <c r="L197" s="93" t="s">
        <v>6432</v>
      </c>
      <c r="M197" s="93" t="s">
        <v>6433</v>
      </c>
      <c r="N197" s="93" t="s">
        <v>6434</v>
      </c>
      <c r="O197" s="93" t="s">
        <v>6435</v>
      </c>
      <c r="P197" s="93" t="s">
        <v>4127</v>
      </c>
      <c r="Q197" s="98"/>
      <c r="R197" s="98"/>
      <c r="S197" s="98"/>
      <c r="T197" s="98"/>
      <c r="U197" s="98"/>
      <c r="V197" s="98"/>
      <c r="W197" s="92"/>
      <c r="X197" s="93" t="s">
        <v>6436</v>
      </c>
      <c r="Y197" s="93" t="s">
        <v>6437</v>
      </c>
      <c r="Z197" s="93" t="s">
        <v>6438</v>
      </c>
      <c r="AA197" s="98" t="s">
        <v>6439</v>
      </c>
      <c r="AB197" s="93" t="s">
        <v>5921</v>
      </c>
      <c r="AC197" s="98" t="s">
        <v>6440</v>
      </c>
      <c r="AD197" s="98"/>
      <c r="AE197" s="98" t="s">
        <v>6441</v>
      </c>
      <c r="AF197" s="93" t="s">
        <v>5500</v>
      </c>
      <c r="AG197" s="98"/>
      <c r="AH197" s="98"/>
      <c r="AI197" s="98"/>
      <c r="AJ197" s="98"/>
      <c r="AK197" s="96"/>
      <c r="AL197" s="98"/>
      <c r="AM197" s="98"/>
      <c r="AN197" s="98"/>
      <c r="AO197" s="98"/>
      <c r="AP197" s="98"/>
      <c r="AQ197" s="98"/>
      <c r="AR197" s="98"/>
      <c r="AS197" s="98"/>
      <c r="AT197" s="93" t="s">
        <v>213</v>
      </c>
      <c r="AU197" s="98" t="s">
        <v>4438</v>
      </c>
      <c r="AV197" s="93" t="s">
        <v>6442</v>
      </c>
      <c r="AW197" s="98"/>
      <c r="AX197" s="98"/>
      <c r="AY197" s="98"/>
      <c r="AZ197" s="98"/>
      <c r="BA197" s="93"/>
      <c r="BB197" s="98" t="s">
        <v>2139</v>
      </c>
      <c r="BC197" s="93" t="s">
        <v>1798</v>
      </c>
      <c r="BD197" s="98" t="s">
        <v>6443</v>
      </c>
      <c r="BE197" s="98" t="s">
        <v>6444</v>
      </c>
      <c r="BF197" s="98" t="s">
        <v>6445</v>
      </c>
      <c r="BG197" s="98" t="s">
        <v>6446</v>
      </c>
      <c r="BH197" s="93" t="s">
        <v>6447</v>
      </c>
      <c r="BI197" s="98"/>
      <c r="BJ197" s="98"/>
      <c r="BK197" s="93" t="s">
        <v>6448</v>
      </c>
      <c r="BL197" s="98"/>
      <c r="BM197" s="98"/>
      <c r="BN197" s="98"/>
      <c r="BO197" s="98"/>
      <c r="BP197" s="235"/>
      <c r="BQ197" s="98" t="s">
        <v>6449</v>
      </c>
      <c r="BR197" s="98" t="s">
        <v>2249</v>
      </c>
      <c r="BS197" s="98" t="s">
        <v>6450</v>
      </c>
      <c r="BT197" s="93" t="s">
        <v>6093</v>
      </c>
      <c r="BU197" s="98" t="s">
        <v>6451</v>
      </c>
      <c r="BV197" s="98" t="s">
        <v>6452</v>
      </c>
      <c r="BW197" s="93" t="s">
        <v>6453</v>
      </c>
      <c r="BX197" s="93" t="s">
        <v>6454</v>
      </c>
      <c r="BY197" s="98"/>
      <c r="BZ197" s="93" t="s">
        <v>4743</v>
      </c>
      <c r="CA197" s="98"/>
      <c r="CB197" s="98"/>
      <c r="CC197" s="98"/>
      <c r="CD197" s="98"/>
      <c r="CE197" s="235"/>
      <c r="CF197" s="93" t="s">
        <v>5562</v>
      </c>
      <c r="CG197" s="93" t="s">
        <v>1570</v>
      </c>
      <c r="CH197" s="93" t="s">
        <v>2476</v>
      </c>
      <c r="CI197" s="93" t="s">
        <v>3532</v>
      </c>
      <c r="CJ197" s="93"/>
      <c r="CK197" s="93" t="s">
        <v>371</v>
      </c>
      <c r="CL197" s="93" t="s">
        <v>6455</v>
      </c>
      <c r="CM197" s="93" t="s">
        <v>6456</v>
      </c>
      <c r="CN197" s="93" t="s">
        <v>3884</v>
      </c>
      <c r="CO197" s="98"/>
      <c r="CP197" s="98"/>
      <c r="CQ197" s="98"/>
      <c r="CR197" s="98"/>
      <c r="CS197" s="98"/>
      <c r="CT197" s="92"/>
      <c r="CU197" s="98" t="s">
        <v>6457</v>
      </c>
      <c r="CV197" s="98" t="s">
        <v>2262</v>
      </c>
      <c r="CW197" s="98" t="s">
        <v>1105</v>
      </c>
      <c r="CX197" s="98" t="s">
        <v>6458</v>
      </c>
      <c r="CY197" s="98" t="s">
        <v>6459</v>
      </c>
      <c r="CZ197" s="98" t="s">
        <v>4498</v>
      </c>
      <c r="DA197" s="98" t="s">
        <v>6460</v>
      </c>
      <c r="DB197" s="93" t="s">
        <v>3324</v>
      </c>
      <c r="DC197" s="98"/>
      <c r="DD197" s="98"/>
      <c r="DE197" s="98"/>
      <c r="DF197" s="98"/>
      <c r="DG197" s="235"/>
      <c r="DH197" s="98"/>
      <c r="DI197" s="98"/>
      <c r="DJ197" s="98"/>
      <c r="DK197" s="98"/>
      <c r="DL197" s="98" t="s">
        <v>5471</v>
      </c>
      <c r="DM197" s="93"/>
      <c r="DN197" s="93" t="s">
        <v>6461</v>
      </c>
      <c r="DO197" s="93" t="s">
        <v>3876</v>
      </c>
      <c r="DP197" s="93" t="s">
        <v>2996</v>
      </c>
      <c r="DQ197" s="98"/>
      <c r="DR197" s="98"/>
      <c r="DS197" s="98"/>
      <c r="DT197" s="98"/>
      <c r="DU197" s="98"/>
      <c r="DV197" s="98"/>
      <c r="DW197" s="98"/>
      <c r="DX197" s="98"/>
      <c r="DY197" s="98"/>
      <c r="DZ197" s="98"/>
      <c r="EA197" s="98"/>
      <c r="EB197" s="98"/>
      <c r="EC197" s="258"/>
    </row>
    <row r="198">
      <c r="A198" s="536" t="s">
        <v>6462</v>
      </c>
      <c r="B198" s="104" t="s">
        <v>6463</v>
      </c>
      <c r="C198" s="105" t="s">
        <v>1262</v>
      </c>
      <c r="D198" s="106" t="s">
        <v>1262</v>
      </c>
      <c r="E198" s="107" t="s">
        <v>1262</v>
      </c>
      <c r="F198" s="108" t="s">
        <v>1262</v>
      </c>
      <c r="G198" s="104" t="s">
        <v>438</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4194</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6464</v>
      </c>
      <c r="B199" s="82" t="s">
        <v>6465</v>
      </c>
      <c r="C199" s="83" t="s">
        <v>1262</v>
      </c>
      <c r="D199" s="84" t="s">
        <v>1262</v>
      </c>
      <c r="E199" s="85" t="s">
        <v>1262</v>
      </c>
      <c r="F199" s="86" t="s">
        <v>1262</v>
      </c>
      <c r="G199" s="82" t="s">
        <v>1204</v>
      </c>
      <c r="H199" s="98"/>
      <c r="I199" s="93" t="s">
        <v>6466</v>
      </c>
      <c r="J199" s="93" t="s">
        <v>6467</v>
      </c>
      <c r="K199" s="93" t="s">
        <v>1976</v>
      </c>
      <c r="L199" s="93" t="s">
        <v>6468</v>
      </c>
      <c r="M199" s="93" t="s">
        <v>6469</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6470</v>
      </c>
      <c r="CL199" s="98"/>
      <c r="CM199" s="98"/>
      <c r="CN199" s="98"/>
      <c r="CO199" s="98"/>
      <c r="CP199" s="98"/>
      <c r="CQ199" s="98"/>
      <c r="CR199" s="98"/>
      <c r="CS199" s="98"/>
      <c r="CT199" s="92"/>
      <c r="CU199" s="98"/>
      <c r="CV199" s="98"/>
      <c r="CW199" s="98"/>
      <c r="CX199" s="98"/>
      <c r="CY199" s="98"/>
      <c r="CZ199" s="98"/>
      <c r="DA199" s="98"/>
      <c r="DB199" s="93" t="s">
        <v>6471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6472</v>
      </c>
      <c r="B200" s="104" t="s">
        <v>6473</v>
      </c>
      <c r="C200" s="105" t="s">
        <v>1262</v>
      </c>
      <c r="D200" s="106" t="s">
        <v>1262</v>
      </c>
      <c r="E200" s="107" t="s">
        <v>1262</v>
      </c>
      <c r="F200" s="108" t="s">
        <v>1262</v>
      </c>
      <c r="G200" s="104" t="s">
        <v>3646</v>
      </c>
      <c r="H200" s="242"/>
      <c r="I200" s="165" t="s">
        <v>6474</v>
      </c>
      <c r="J200" s="165" t="s">
        <v>1300</v>
      </c>
      <c r="K200" s="165" t="s">
        <v>1060</v>
      </c>
      <c r="L200" s="165" t="s">
        <v>6475</v>
      </c>
      <c r="M200" s="165" t="s">
        <v>6476</v>
      </c>
      <c r="N200" s="165" t="s">
        <v>6477</v>
      </c>
      <c r="O200" s="165" t="s">
        <v>6478</v>
      </c>
      <c r="P200" s="165" t="s">
        <v>4593</v>
      </c>
      <c r="Q200" s="242"/>
      <c r="R200" s="242"/>
      <c r="S200" s="242"/>
      <c r="T200" s="242"/>
      <c r="U200" s="242"/>
      <c r="V200" s="242"/>
      <c r="W200" s="92"/>
      <c r="X200" s="195" t="s">
        <v>336</v>
      </c>
      <c r="Y200" s="195" t="s">
        <v>2173</v>
      </c>
      <c r="Z200" s="195" t="s">
        <v>3266</v>
      </c>
      <c r="AA200" s="195" t="s">
        <v>6479</v>
      </c>
      <c r="AB200" s="195" t="s">
        <v>6480</v>
      </c>
      <c r="AC200" s="195" t="s">
        <v>3228</v>
      </c>
      <c r="AD200" s="244"/>
      <c r="AE200" s="195" t="s">
        <v>6481</v>
      </c>
      <c r="AF200" s="195" t="s">
        <v>1360</v>
      </c>
      <c r="AG200" s="244"/>
      <c r="AH200" s="244"/>
      <c r="AI200" s="244"/>
      <c r="AJ200" s="244"/>
      <c r="AK200" s="96"/>
      <c r="AL200" s="166" t="s">
        <v>5088</v>
      </c>
      <c r="AM200" s="166" t="s">
        <v>1376</v>
      </c>
      <c r="AN200" s="166" t="s">
        <v>6482</v>
      </c>
      <c r="AO200" s="166" t="s">
        <v>6483</v>
      </c>
      <c r="AP200" s="166" t="s">
        <v>6484</v>
      </c>
      <c r="AQ200" s="166"/>
      <c r="AR200" s="166" t="s">
        <v>4711</v>
      </c>
      <c r="AS200" s="166" t="s">
        <v>6485</v>
      </c>
      <c r="AT200" s="166" t="s">
        <v>3784</v>
      </c>
      <c r="AU200" s="166" t="s">
        <v>694</v>
      </c>
      <c r="AV200" s="245"/>
      <c r="AW200" s="245"/>
      <c r="AX200" s="245"/>
      <c r="AY200" s="245"/>
      <c r="AZ200" s="245"/>
      <c r="BA200" s="172" t="s">
        <v>629</v>
      </c>
      <c r="BB200" s="172" t="s">
        <v>6486</v>
      </c>
      <c r="BC200" s="172" t="s">
        <v>6487</v>
      </c>
      <c r="BD200" s="172" t="s">
        <v>6488</v>
      </c>
      <c r="BE200" s="172" t="s">
        <v>6489</v>
      </c>
      <c r="BF200" s="172" t="s">
        <v>6447</v>
      </c>
      <c r="BG200" s="172" t="s">
        <v>6490</v>
      </c>
      <c r="BH200" s="172" t="s">
        <v>6203</v>
      </c>
      <c r="BI200" s="172"/>
      <c r="BJ200" s="172"/>
      <c r="BK200" s="172" t="s">
        <v>926</v>
      </c>
      <c r="BL200" s="171"/>
      <c r="BM200" s="171"/>
      <c r="BN200" s="171"/>
      <c r="BO200" s="171"/>
      <c r="BP200" s="247"/>
      <c r="BQ200" s="173"/>
      <c r="BR200" s="173" t="s">
        <v>6491</v>
      </c>
      <c r="BS200" s="173" t="s">
        <v>6492</v>
      </c>
      <c r="BT200" s="173" t="s">
        <v>140</v>
      </c>
      <c r="BU200" s="173" t="s">
        <v>6493</v>
      </c>
      <c r="BV200" s="173" t="s">
        <v>6494</v>
      </c>
      <c r="BW200" s="173" t="s">
        <v>6495</v>
      </c>
      <c r="BX200" s="173" t="s">
        <v>6496</v>
      </c>
      <c r="BY200" s="250"/>
      <c r="BZ200" s="173" t="s">
        <v>6497</v>
      </c>
      <c r="CA200" s="250"/>
      <c r="CB200" s="250"/>
      <c r="CC200" s="250"/>
      <c r="CD200" s="250"/>
      <c r="CE200" s="251"/>
      <c r="CF200" s="175" t="s">
        <v>6498</v>
      </c>
      <c r="CG200" s="175" t="s">
        <v>6499</v>
      </c>
      <c r="CH200" s="175" t="s">
        <v>2865</v>
      </c>
      <c r="CI200" s="175" t="s">
        <v>6500</v>
      </c>
      <c r="CJ200" s="175"/>
      <c r="CK200" s="175" t="s">
        <v>4215</v>
      </c>
      <c r="CL200" s="175" t="s">
        <v>6501</v>
      </c>
      <c r="CM200" s="175" t="s">
        <v>971</v>
      </c>
      <c r="CN200" s="175" t="s">
        <v>1436</v>
      </c>
      <c r="CO200" s="253"/>
      <c r="CP200" s="253"/>
      <c r="CQ200" s="253"/>
      <c r="CR200" s="253"/>
      <c r="CS200" s="253"/>
      <c r="CT200" s="92"/>
      <c r="CU200" s="202" t="s">
        <v>6502</v>
      </c>
      <c r="CV200" s="202" t="s">
        <v>2033</v>
      </c>
      <c r="CW200" s="202" t="s">
        <v>1743</v>
      </c>
      <c r="CX200" s="202" t="s">
        <v>6503</v>
      </c>
      <c r="CY200" s="202" t="s">
        <v>6504</v>
      </c>
      <c r="CZ200" s="202" t="s">
        <v>6505</v>
      </c>
      <c r="DA200" s="202" t="s">
        <v>1518</v>
      </c>
      <c r="DB200" s="202" t="s">
        <v>6506</v>
      </c>
      <c r="DC200" s="254"/>
      <c r="DD200" s="254"/>
      <c r="DE200" s="254"/>
      <c r="DF200" s="254"/>
      <c r="DG200" s="255"/>
      <c r="DH200" s="256"/>
      <c r="DI200" s="256"/>
      <c r="DJ200" s="256"/>
      <c r="DK200" s="256"/>
      <c r="DL200" s="256"/>
      <c r="DM200" s="256"/>
      <c r="DN200" s="256"/>
      <c r="DO200" s="256"/>
      <c r="DP200" s="256"/>
      <c r="DQ200" s="203" t="s">
        <v>6507</v>
      </c>
      <c r="DR200" s="203"/>
      <c r="DS200" s="256"/>
      <c r="DT200" s="256"/>
      <c r="DU200" s="256"/>
      <c r="DV200" s="256"/>
      <c r="DW200" s="256"/>
      <c r="DX200" s="256"/>
      <c r="DY200" s="256"/>
      <c r="DZ200" s="256"/>
      <c r="EA200" s="256"/>
      <c r="EB200" s="256"/>
      <c r="EC200" s="285"/>
    </row>
    <row r="201">
      <c r="A201" s="717" t="s">
        <v>6508</v>
      </c>
      <c r="B201" s="82" t="s">
        <v>6509</v>
      </c>
      <c r="C201" s="83" t="s">
        <v>1262</v>
      </c>
      <c r="D201" s="84" t="s">
        <v>1262</v>
      </c>
      <c r="E201" s="85" t="s">
        <v>1262</v>
      </c>
      <c r="F201" s="86" t="s">
        <v>1262</v>
      </c>
      <c r="G201" s="82" t="s">
        <v>3984</v>
      </c>
      <c r="H201" s="93" t="s">
        <v>6510</v>
      </c>
      <c r="I201" s="93" t="s">
        <v>6511</v>
      </c>
      <c r="J201" s="93" t="s">
        <v>6512</v>
      </c>
      <c r="K201" s="93" t="s">
        <v>1626</v>
      </c>
      <c r="L201" s="93" t="s">
        <v>4002</v>
      </c>
      <c r="M201" s="93" t="s">
        <v>6513</v>
      </c>
      <c r="N201" s="93" t="s">
        <v>6514</v>
      </c>
      <c r="O201" s="93" t="s">
        <v>4412</v>
      </c>
      <c r="P201" s="93" t="s">
        <v>4653</v>
      </c>
      <c r="Q201" s="98"/>
      <c r="R201" s="98"/>
      <c r="S201" s="98"/>
      <c r="T201" s="98"/>
      <c r="U201" s="98"/>
      <c r="V201" s="98"/>
      <c r="W201" s="92"/>
      <c r="X201" s="93" t="s">
        <v>6515</v>
      </c>
      <c r="Y201" s="93" t="s">
        <v>1011</v>
      </c>
      <c r="Z201" s="98"/>
      <c r="AA201" s="98"/>
      <c r="AB201" s="93" t="s">
        <v>6516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6517</v>
      </c>
      <c r="CG201" s="93" t="s">
        <v>5937</v>
      </c>
      <c r="CH201" s="93" t="s">
        <v>787</v>
      </c>
      <c r="CI201" s="93" t="s">
        <v>6518</v>
      </c>
      <c r="CJ201" s="93"/>
      <c r="CK201" s="93" t="s">
        <v>166</v>
      </c>
      <c r="CL201" s="93" t="s">
        <v>6519</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6520</v>
      </c>
      <c r="B202" s="104" t="s">
        <v>6521</v>
      </c>
      <c r="C202" s="105" t="s">
        <v>1262</v>
      </c>
      <c r="D202" s="106" t="s">
        <v>1262</v>
      </c>
      <c r="E202" s="107" t="s">
        <v>1262</v>
      </c>
      <c r="F202" s="108" t="s">
        <v>1262</v>
      </c>
      <c r="G202" s="104" t="s">
        <v>2722</v>
      </c>
      <c r="H202" s="538"/>
      <c r="I202" s="537"/>
      <c r="J202" s="538"/>
      <c r="K202" s="538"/>
      <c r="L202" s="538"/>
      <c r="M202" s="538"/>
      <c r="N202" s="538"/>
      <c r="O202" s="343" t="s">
        <v>5902</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6522</v>
      </c>
      <c r="AK202" s="96"/>
      <c r="AL202" s="123"/>
      <c r="AM202" s="123"/>
      <c r="AN202" s="245"/>
      <c r="AO202" s="245"/>
      <c r="AP202" s="166"/>
      <c r="AQ202" s="166"/>
      <c r="AR202" s="245"/>
      <c r="AS202" s="245"/>
      <c r="AT202" s="437" t="s">
        <v>6523</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6524</v>
      </c>
      <c r="BR202" s="372" t="s">
        <v>6525</v>
      </c>
      <c r="BS202" s="130"/>
      <c r="BT202" s="372" t="s">
        <v>2544</v>
      </c>
      <c r="BU202" s="372" t="s">
        <v>6526</v>
      </c>
      <c r="BV202" s="372" t="s">
        <v>1098</v>
      </c>
      <c r="BW202" s="250"/>
      <c r="BX202" s="130"/>
      <c r="BY202" s="372" t="s">
        <v>6527</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6528</v>
      </c>
      <c r="DC202" s="254"/>
      <c r="DD202" s="254"/>
      <c r="DE202" s="254"/>
      <c r="DF202" s="254"/>
      <c r="DG202" s="255"/>
      <c r="DH202" s="204"/>
      <c r="DI202" s="256"/>
      <c r="DJ202" s="256"/>
      <c r="DK202" s="204"/>
      <c r="DL202" s="285" t="s">
        <v>6529</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6530</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6532</v>
      </c>
      <c r="BV203" s="102" t="s">
        <v>936</v>
      </c>
      <c r="BW203" s="98"/>
      <c r="BX203" s="102"/>
      <c r="BY203" s="102"/>
      <c r="BZ203" s="102"/>
      <c r="CA203" s="98"/>
      <c r="CB203" s="98"/>
      <c r="CC203" s="98"/>
      <c r="CD203" s="98"/>
      <c r="CE203" s="235"/>
      <c r="CF203" s="102"/>
      <c r="CG203" s="102"/>
      <c r="CH203" s="102"/>
      <c r="CI203" s="102" t="s">
        <v>6533</v>
      </c>
      <c r="CJ203" s="102" t="s">
        <v>6534</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6535</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6536</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6537</v>
      </c>
      <c r="B206" s="104" t="s">
        <v>5026</v>
      </c>
      <c r="C206" s="105" t="s">
        <v>1262</v>
      </c>
      <c r="D206" s="106" t="s">
        <v>1262</v>
      </c>
      <c r="E206" s="107" t="s">
        <v>1262</v>
      </c>
      <c r="F206" s="108" t="s">
        <v>1262</v>
      </c>
      <c r="G206" s="104" t="s">
        <v>2722</v>
      </c>
      <c r="H206" s="165"/>
      <c r="I206" s="165" t="s">
        <v>6538</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6539</v>
      </c>
      <c r="BE206" s="171"/>
      <c r="BF206" s="171"/>
      <c r="BG206" s="171"/>
      <c r="BH206" s="172" t="s">
        <v>4423</v>
      </c>
      <c r="BI206" s="171"/>
      <c r="BJ206" s="171"/>
      <c r="BK206" s="171"/>
      <c r="BL206" s="171"/>
      <c r="BM206" s="171"/>
      <c r="BN206" s="171"/>
      <c r="BO206" s="171"/>
      <c r="BP206" s="247"/>
      <c r="BQ206" s="250"/>
      <c r="BR206" s="173" t="s">
        <v>4884</v>
      </c>
      <c r="BS206" s="173" t="s">
        <v>6540</v>
      </c>
      <c r="BT206" s="173" t="s">
        <v>5407</v>
      </c>
      <c r="BU206" s="250"/>
      <c r="BV206" s="250"/>
      <c r="BW206" s="250"/>
      <c r="BX206" s="250"/>
      <c r="BY206" s="250"/>
      <c r="BZ206" s="250"/>
      <c r="CA206" s="250"/>
      <c r="CB206" s="250"/>
      <c r="CC206" s="250"/>
      <c r="CD206" s="250"/>
      <c r="CE206" s="251"/>
      <c r="CF206" s="175" t="s">
        <v>6541</v>
      </c>
      <c r="CG206" s="175" t="s">
        <v>1732</v>
      </c>
      <c r="CH206" s="253"/>
      <c r="CI206" s="253"/>
      <c r="CJ206" s="253"/>
      <c r="CK206" s="253"/>
      <c r="CL206" s="253"/>
      <c r="CM206" s="253"/>
      <c r="CN206" s="253"/>
      <c r="CO206" s="253"/>
      <c r="CP206" s="253"/>
      <c r="CQ206" s="253"/>
      <c r="CR206" s="253"/>
      <c r="CS206" s="253"/>
      <c r="CT206" s="92"/>
      <c r="CU206" s="254"/>
      <c r="CV206" s="254"/>
      <c r="CW206" s="202" t="s">
        <v>6542</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6543</v>
      </c>
      <c r="DS206" s="256"/>
      <c r="DT206" s="256"/>
      <c r="DU206" s="256"/>
      <c r="DV206" s="256"/>
      <c r="DW206" s="256"/>
      <c r="DX206" s="256"/>
      <c r="DY206" s="256"/>
      <c r="DZ206" s="256"/>
      <c r="EA206" s="256"/>
      <c r="EB206" s="256"/>
      <c r="EC206" s="506"/>
    </row>
    <row r="207">
      <c r="A207" s="368" t="s">
        <v>6544</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6545</v>
      </c>
      <c r="B208" s="104" t="s">
        <v>6546</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6547</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6549</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6550</v>
      </c>
      <c r="B211" s="82" t="s">
        <v>2230</v>
      </c>
      <c r="C211" s="83" t="s">
        <v>1262</v>
      </c>
      <c r="D211" s="84" t="s">
        <v>1262</v>
      </c>
      <c r="E211" s="85" t="s">
        <v>1262</v>
      </c>
      <c r="F211" s="86" t="s">
        <v>220</v>
      </c>
      <c r="G211" s="82" t="s">
        <v>220</v>
      </c>
      <c r="H211" s="435" t="s">
        <v>6551</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6552</v>
      </c>
      <c r="AP211" s="98"/>
      <c r="AQ211" s="98"/>
      <c r="AR211" s="98"/>
      <c r="AS211" s="98"/>
      <c r="AT211" s="98"/>
      <c r="AU211" s="98"/>
      <c r="AV211" s="98"/>
      <c r="AW211" s="98"/>
      <c r="AX211" s="435" t="s">
        <v>522</v>
      </c>
      <c r="AY211" s="98"/>
      <c r="AZ211" s="98"/>
      <c r="BA211" s="435" t="s">
        <v>6553</v>
      </c>
      <c r="BB211" s="98"/>
      <c r="BC211" s="435" t="s">
        <v>4724</v>
      </c>
      <c r="BD211" s="98"/>
      <c r="BE211" s="98"/>
      <c r="BF211" s="98"/>
      <c r="BG211" s="98"/>
      <c r="BH211" s="98"/>
      <c r="BI211" s="98"/>
      <c r="BJ211" s="98"/>
      <c r="BK211" s="98"/>
      <c r="BL211" s="98"/>
      <c r="BM211" s="435" t="s">
        <v>6554</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6555</v>
      </c>
      <c r="DQ211" s="98"/>
      <c r="DR211" s="98"/>
      <c r="DS211" s="98"/>
      <c r="DT211" s="98"/>
      <c r="DU211" s="98"/>
      <c r="DV211" s="98"/>
      <c r="DW211" s="98"/>
      <c r="DX211" s="98"/>
      <c r="DY211" s="98"/>
      <c r="DZ211" s="98"/>
      <c r="EA211" s="98"/>
      <c r="EB211" s="98"/>
      <c r="EC211" s="682" t="s">
        <v>1846</v>
      </c>
    </row>
    <row r="212">
      <c r="A212" s="103" t="s">
        <v>6556</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6557</v>
      </c>
      <c r="B213" s="82" t="s">
        <v>4759</v>
      </c>
      <c r="C213" s="83" t="s">
        <v>1262</v>
      </c>
      <c r="D213" s="84" t="s">
        <v>1262</v>
      </c>
      <c r="E213" s="85" t="s">
        <v>1262</v>
      </c>
      <c r="F213" s="86" t="s">
        <v>1262</v>
      </c>
      <c r="G213" s="82" t="s">
        <v>332</v>
      </c>
      <c r="H213" s="98"/>
      <c r="I213" s="93" t="s">
        <v>6558</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6559</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6560</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6561</v>
      </c>
      <c r="B215" s="82" t="s">
        <v>4848</v>
      </c>
      <c r="C215" s="83" t="s">
        <v>1262</v>
      </c>
      <c r="D215" s="84" t="s">
        <v>1262</v>
      </c>
      <c r="E215" s="85" t="s">
        <v>1262</v>
      </c>
      <c r="F215" s="86" t="s">
        <v>1262</v>
      </c>
      <c r="G215" s="82" t="s">
        <v>332</v>
      </c>
      <c r="H215" s="98"/>
      <c r="I215" s="93"/>
      <c r="J215" s="98"/>
      <c r="K215" s="93" t="s">
        <v>4959</v>
      </c>
      <c r="L215" s="93" t="s">
        <v>6562</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6563</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6564</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6565</v>
      </c>
      <c r="CG217" s="93" t="s">
        <v>4087</v>
      </c>
      <c r="CH217" s="93" t="s">
        <v>1688</v>
      </c>
      <c r="CI217" s="98"/>
      <c r="CJ217" s="98"/>
      <c r="CK217" s="98" t="s">
        <v>6566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6567</v>
      </c>
      <c r="DM217" s="93"/>
      <c r="DN217" s="98"/>
      <c r="DO217" s="98"/>
      <c r="DP217" s="98"/>
      <c r="DQ217" s="98"/>
      <c r="DR217" s="98"/>
      <c r="DS217" s="98"/>
      <c r="DT217" s="98"/>
      <c r="DU217" s="98"/>
      <c r="DV217" s="98"/>
      <c r="DW217" s="98"/>
      <c r="DX217" s="98"/>
      <c r="DY217" s="98"/>
      <c r="DZ217" s="98"/>
      <c r="EA217" s="98"/>
      <c r="EB217" s="98"/>
      <c r="EC217" s="367"/>
    </row>
    <row r="218">
      <c r="A218" s="164" t="s">
        <v>6568</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6569</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6570</v>
      </c>
      <c r="B220" s="104" t="s">
        <v>3181</v>
      </c>
      <c r="C220" s="105" t="s">
        <v>1262</v>
      </c>
      <c r="D220" s="106" t="s">
        <v>1262</v>
      </c>
      <c r="E220" s="107" t="s">
        <v>1262</v>
      </c>
      <c r="F220" s="108" t="s">
        <v>438</v>
      </c>
      <c r="G220" s="104" t="s">
        <v>438</v>
      </c>
      <c r="H220" s="112" t="s">
        <v>6571</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6572</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6573</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6574</v>
      </c>
      <c r="B222" s="104" t="s">
        <v>988</v>
      </c>
      <c r="C222" s="105" t="s">
        <v>1262</v>
      </c>
      <c r="D222" s="106" t="s">
        <v>1262</v>
      </c>
      <c r="E222" s="107" t="s">
        <v>1262</v>
      </c>
      <c r="F222" s="108" t="s">
        <v>1262</v>
      </c>
      <c r="G222" s="104" t="s">
        <v>547</v>
      </c>
      <c r="H222" s="242"/>
      <c r="I222" s="242"/>
      <c r="J222" s="242"/>
      <c r="K222" s="242" t="s">
        <v>6431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6575</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6576</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6577</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6578</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6579</v>
      </c>
      <c r="D1" s="732" t="s">
        <v>1560</v>
      </c>
      <c r="E1" s="733" t="s">
        <v>6580</v>
      </c>
      <c r="F1" s="734" t="s">
        <v>2695</v>
      </c>
      <c r="G1" s="732" t="s">
        <v>6581</v>
      </c>
      <c r="H1" s="732" t="s">
        <v>1061</v>
      </c>
      <c r="I1" s="733" t="s">
        <v>6582</v>
      </c>
      <c r="J1" s="732" t="s">
        <v>6583</v>
      </c>
      <c r="K1" s="732" t="s">
        <v>6584</v>
      </c>
      <c r="L1" s="733" t="s">
        <v>6585</v>
      </c>
      <c r="M1" s="732" t="s">
        <v>741</v>
      </c>
      <c r="N1" s="732" t="s">
        <v>6586</v>
      </c>
      <c r="O1" s="732" t="s">
        <v>986</v>
      </c>
      <c r="P1" s="735" t="s">
        <v>6587</v>
      </c>
      <c r="Q1" s="732" t="s">
        <v>1814</v>
      </c>
      <c r="R1" s="732" t="s">
        <v>6588</v>
      </c>
      <c r="S1" s="732" t="s">
        <v>6589</v>
      </c>
      <c r="T1" s="733" t="s">
        <v>6590</v>
      </c>
      <c r="U1" s="732" t="s">
        <v>2919</v>
      </c>
      <c r="V1" s="732" t="s">
        <v>6591</v>
      </c>
      <c r="W1" s="732" t="s">
        <v>6592</v>
      </c>
      <c r="X1" s="732" t="s">
        <v>3982</v>
      </c>
      <c r="Y1" s="732" t="s">
        <v>6593</v>
      </c>
      <c r="Z1" s="732" t="s">
        <v>6594</v>
      </c>
      <c r="AA1" s="732" t="s">
        <v>4043</v>
      </c>
      <c r="AB1" s="732" t="s">
        <v>6595</v>
      </c>
      <c r="AC1" s="732" t="s">
        <v>6596</v>
      </c>
      <c r="AD1" s="732" t="s">
        <v>6597</v>
      </c>
      <c r="AE1" s="732" t="s">
        <v>1202</v>
      </c>
      <c r="AF1" s="732" t="s">
        <v>217</v>
      </c>
      <c r="AG1" s="732" t="s">
        <v>1729</v>
      </c>
      <c r="AH1" s="732" t="s">
        <v>2085</v>
      </c>
      <c r="AI1" s="732" t="s">
        <v>6598</v>
      </c>
      <c r="AJ1" s="732" t="s">
        <v>6599</v>
      </c>
      <c r="AK1" s="732" t="s">
        <v>6600</v>
      </c>
      <c r="AL1" s="732" t="s">
        <v>1962</v>
      </c>
      <c r="AM1" s="732" t="s">
        <v>6601</v>
      </c>
      <c r="AN1" s="732" t="s">
        <v>6602</v>
      </c>
      <c r="AO1" s="732" t="s">
        <v>5970</v>
      </c>
      <c r="AP1" s="732" t="s">
        <v>6603</v>
      </c>
      <c r="AQ1" s="732" t="s">
        <v>6604</v>
      </c>
      <c r="AR1" s="732" t="s">
        <v>6605</v>
      </c>
      <c r="AS1" s="732" t="s">
        <v>6606</v>
      </c>
      <c r="AT1" s="732" t="s">
        <v>3213</v>
      </c>
      <c r="AU1" s="732" t="s">
        <v>3799</v>
      </c>
      <c r="AV1" s="732" t="s">
        <v>5762</v>
      </c>
      <c r="AW1" s="732" t="s">
        <v>6607</v>
      </c>
      <c r="AX1" s="732" t="s">
        <v>5395</v>
      </c>
      <c r="AY1" s="736" t="s">
        <v>4656</v>
      </c>
      <c r="AZ1" s="732" t="s">
        <v>646</v>
      </c>
      <c r="BA1" s="732" t="s">
        <v>6608</v>
      </c>
      <c r="BB1" s="733" t="s">
        <v>6609</v>
      </c>
      <c r="BC1" s="732" t="s">
        <v>6610</v>
      </c>
      <c r="BD1" s="732" t="s">
        <v>6611</v>
      </c>
      <c r="BE1" s="732" t="s">
        <v>1641</v>
      </c>
      <c r="BF1" s="736" t="s">
        <v>6576</v>
      </c>
      <c r="BG1" s="732" t="s">
        <v>828</v>
      </c>
      <c r="BH1" s="736" t="s">
        <v>6536</v>
      </c>
      <c r="BI1" s="736" t="s">
        <v>6612</v>
      </c>
      <c r="BJ1" s="736" t="s">
        <v>2023</v>
      </c>
      <c r="BK1" s="737"/>
      <c r="BL1" s="737"/>
      <c r="BM1" s="737"/>
      <c r="BN1" s="737"/>
      <c r="BO1" s="737"/>
    </row>
    <row r="2" ht="15.75" customHeight="1">
      <c r="A2" s="738" t="s">
        <v>6613</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6614</v>
      </c>
      <c r="B4" s="748" t="s">
        <v>6615</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6616</v>
      </c>
      <c r="B5" s="748" t="s">
        <v>6617</v>
      </c>
      <c r="C5" s="749" t="s">
        <v>6618</v>
      </c>
      <c r="D5" s="758" t="s">
        <v>6619</v>
      </c>
      <c r="E5" s="758" t="s">
        <v>6620</v>
      </c>
      <c r="F5" s="759"/>
      <c r="G5" s="753" t="s">
        <v>6621</v>
      </c>
      <c r="H5" s="758"/>
      <c r="I5" s="758" t="s">
        <v>6622</v>
      </c>
      <c r="J5" s="758"/>
      <c r="K5" s="758" t="s">
        <v>3548</v>
      </c>
      <c r="L5" s="758"/>
      <c r="M5" s="758"/>
      <c r="N5" s="758" t="s">
        <v>6623</v>
      </c>
      <c r="O5" s="758" t="str">
        <f>HYPERLINK("https://youtu.be/y9FQ4EcrohI", "1:21.52")</f>
        <v>1:21.52</v>
      </c>
      <c r="P5" s="756" t="s">
        <v>6624</v>
      </c>
      <c r="Q5" s="758"/>
      <c r="R5" s="758" t="s">
        <v>6618</v>
      </c>
      <c r="S5" s="758" t="s">
        <v>2543</v>
      </c>
      <c r="T5" s="758"/>
      <c r="U5" s="758"/>
      <c r="V5" s="758"/>
      <c r="W5" s="758"/>
      <c r="X5" s="758"/>
      <c r="Y5" s="758"/>
      <c r="Z5" s="758"/>
      <c r="AA5" s="758" t="s">
        <v>6625</v>
      </c>
      <c r="AB5" s="758"/>
      <c r="AC5" s="758"/>
      <c r="AD5" s="758" t="s">
        <v>6626</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6627</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6628</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6629</v>
      </c>
      <c r="Q7" s="755" t="s">
        <v>101</v>
      </c>
      <c r="R7" s="755"/>
      <c r="S7" s="755"/>
      <c r="T7" s="755"/>
      <c r="U7" s="754" t="s">
        <v>6630</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6631</v>
      </c>
      <c r="B8" s="772" t="s">
        <v>6615</v>
      </c>
      <c r="C8" s="749" t="s">
        <v>6632</v>
      </c>
      <c r="D8" s="758" t="s">
        <v>2846</v>
      </c>
      <c r="E8" s="758" t="s">
        <v>6632</v>
      </c>
      <c r="F8" s="773" t="s">
        <v>1158</v>
      </c>
      <c r="G8" s="766"/>
      <c r="H8" s="758"/>
      <c r="I8" s="758" t="s">
        <v>1378</v>
      </c>
      <c r="J8" s="758"/>
      <c r="K8" s="758"/>
      <c r="L8" s="758" t="s">
        <v>1143</v>
      </c>
      <c r="M8" s="758" t="s">
        <v>1143</v>
      </c>
      <c r="N8" s="758" t="s">
        <v>6633</v>
      </c>
      <c r="O8" s="758"/>
      <c r="P8" s="756"/>
      <c r="Q8" s="758" t="s">
        <v>5707</v>
      </c>
      <c r="R8" s="758" t="s">
        <v>3783</v>
      </c>
      <c r="S8" s="758" t="s">
        <v>6634</v>
      </c>
      <c r="T8" s="758" t="s">
        <v>6635</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6636</v>
      </c>
      <c r="B9" s="772" t="s">
        <v>6637</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6638</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6639</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6640</v>
      </c>
      <c r="C11" s="749" t="s">
        <v>6641</v>
      </c>
      <c r="D11" s="755"/>
      <c r="E11" s="754" t="s">
        <v>1246</v>
      </c>
      <c r="F11" s="778" t="s">
        <v>265</v>
      </c>
      <c r="G11" s="753" t="s">
        <v>2239</v>
      </c>
      <c r="H11" s="755"/>
      <c r="I11" s="755"/>
      <c r="J11" s="755"/>
      <c r="K11" s="755"/>
      <c r="L11" s="755"/>
      <c r="M11" s="755"/>
      <c r="N11" s="755"/>
      <c r="O11" s="754" t="s">
        <v>6641</v>
      </c>
      <c r="P11" s="756"/>
      <c r="Q11" s="755"/>
      <c r="R11" s="755"/>
      <c r="S11" s="755"/>
      <c r="T11" s="755"/>
      <c r="U11" s="755"/>
      <c r="V11" s="755"/>
      <c r="W11" s="755"/>
      <c r="X11" s="755"/>
      <c r="Y11" s="754" t="s">
        <v>6642</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6643</v>
      </c>
      <c r="B12" s="748" t="s">
        <v>6644</v>
      </c>
      <c r="C12" s="779" t="s">
        <v>6645</v>
      </c>
      <c r="D12" s="758" t="s">
        <v>1711</v>
      </c>
      <c r="E12" s="758" t="s">
        <v>2793</v>
      </c>
      <c r="F12" s="780" t="s">
        <v>6645</v>
      </c>
      <c r="G12" s="753" t="s">
        <v>6646</v>
      </c>
      <c r="H12" s="758"/>
      <c r="I12" s="758" t="s">
        <v>6647</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6648</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6649</v>
      </c>
      <c r="C13" s="749" t="s">
        <v>4241</v>
      </c>
      <c r="D13" s="769" t="s">
        <v>1566</v>
      </c>
      <c r="E13" s="754" t="s">
        <v>337</v>
      </c>
      <c r="F13" s="770" t="s">
        <v>2698</v>
      </c>
      <c r="G13" s="753" t="s">
        <v>1265</v>
      </c>
      <c r="H13" s="754" t="s">
        <v>4241</v>
      </c>
      <c r="I13" s="755" t="s">
        <v>6650</v>
      </c>
      <c r="J13" s="754" t="s">
        <v>725</v>
      </c>
      <c r="K13" s="755"/>
      <c r="L13" s="755" t="s">
        <v>2346</v>
      </c>
      <c r="M13" s="754" t="s">
        <v>2108</v>
      </c>
      <c r="N13" s="755" t="s">
        <v>6651</v>
      </c>
      <c r="O13" s="754" t="s">
        <v>6652</v>
      </c>
      <c r="P13" s="756" t="s">
        <v>2793</v>
      </c>
      <c r="Q13" s="755" t="s">
        <v>3870</v>
      </c>
      <c r="R13" s="755"/>
      <c r="S13" s="754" t="s">
        <v>6653</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6631</v>
      </c>
      <c r="B14" s="782" t="s">
        <v>6644</v>
      </c>
      <c r="C14" s="749" t="s">
        <v>6248</v>
      </c>
      <c r="D14" s="758" t="s">
        <v>117</v>
      </c>
      <c r="E14" s="758" t="s">
        <v>6248</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6654</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6649</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6636</v>
      </c>
      <c r="B16" s="784" t="s">
        <v>6655</v>
      </c>
      <c r="C16" s="749" t="s">
        <v>6656</v>
      </c>
      <c r="D16" s="758" t="s">
        <v>5435</v>
      </c>
      <c r="E16" s="758"/>
      <c r="F16" s="780" t="s">
        <v>2146</v>
      </c>
      <c r="G16" s="766"/>
      <c r="H16" s="758"/>
      <c r="I16" s="758"/>
      <c r="J16" s="758"/>
      <c r="K16" s="758"/>
      <c r="L16" s="758"/>
      <c r="M16" s="758" t="s">
        <v>6656</v>
      </c>
      <c r="N16" s="758"/>
      <c r="O16" s="758"/>
      <c r="P16" s="756"/>
      <c r="Q16" s="758"/>
      <c r="R16" s="758"/>
      <c r="S16" s="758" t="s">
        <v>6657</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6658</v>
      </c>
      <c r="C17" s="749" t="s">
        <v>6659</v>
      </c>
      <c r="D17" s="755" t="s">
        <v>6660</v>
      </c>
      <c r="E17" s="754" t="s">
        <v>1099</v>
      </c>
      <c r="F17" s="778" t="s">
        <v>702</v>
      </c>
      <c r="G17" s="753" t="s">
        <v>2220</v>
      </c>
      <c r="H17" s="755" t="s">
        <v>6661</v>
      </c>
      <c r="I17" s="755"/>
      <c r="J17" s="754" t="s">
        <v>6662</v>
      </c>
      <c r="K17" s="755"/>
      <c r="L17" s="755" t="s">
        <v>6662</v>
      </c>
      <c r="M17" s="755"/>
      <c r="N17" s="755"/>
      <c r="O17" s="754" t="s">
        <v>1926</v>
      </c>
      <c r="P17" s="756" t="s">
        <v>6663</v>
      </c>
      <c r="Q17" s="755" t="s">
        <v>6664</v>
      </c>
      <c r="R17" s="755"/>
      <c r="S17" s="755"/>
      <c r="T17" s="755" t="s">
        <v>6656</v>
      </c>
      <c r="U17" s="755"/>
      <c r="V17" s="755"/>
      <c r="W17" s="755" t="s">
        <v>6662</v>
      </c>
      <c r="X17" s="755"/>
      <c r="Y17" s="754" t="s">
        <v>1926</v>
      </c>
      <c r="Z17" s="755"/>
      <c r="AA17" s="755"/>
      <c r="AB17" s="755"/>
      <c r="AC17" s="755"/>
      <c r="AD17" s="755"/>
      <c r="AE17" s="755"/>
      <c r="AF17" s="754" t="s">
        <v>6659</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6665</v>
      </c>
      <c r="B18" s="748" t="s">
        <v>6666</v>
      </c>
      <c r="C18" s="749" t="s">
        <v>1791</v>
      </c>
      <c r="D18" s="758" t="s">
        <v>4640</v>
      </c>
      <c r="E18" s="758" t="s">
        <v>1177</v>
      </c>
      <c r="F18" s="759"/>
      <c r="G18" s="753" t="s">
        <v>4423</v>
      </c>
      <c r="H18" s="758"/>
      <c r="I18" s="758" t="s">
        <v>4192</v>
      </c>
      <c r="J18" s="758"/>
      <c r="K18" s="758" t="s">
        <v>6667</v>
      </c>
      <c r="L18" s="758"/>
      <c r="M18" s="758" t="s">
        <v>6668</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6669</v>
      </c>
      <c r="C19" s="749" t="s">
        <v>2828</v>
      </c>
      <c r="D19" s="758"/>
      <c r="E19" s="758" t="s">
        <v>884</v>
      </c>
      <c r="F19" s="752"/>
      <c r="G19" s="766"/>
      <c r="H19" s="758"/>
      <c r="I19" s="758"/>
      <c r="J19" s="758"/>
      <c r="K19" s="758" t="s">
        <v>6670</v>
      </c>
      <c r="L19" s="758"/>
      <c r="M19" s="758"/>
      <c r="N19" s="758"/>
      <c r="O19" s="758"/>
      <c r="P19" s="756"/>
      <c r="Q19" s="758" t="s">
        <v>6671</v>
      </c>
      <c r="R19" s="758" t="s">
        <v>6672</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6673</v>
      </c>
      <c r="C20" s="749" t="s">
        <v>6674</v>
      </c>
      <c r="D20" s="758" t="s">
        <v>1568</v>
      </c>
      <c r="E20" s="758" t="s">
        <v>6674</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6675</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6676</v>
      </c>
      <c r="B21" s="748" t="s">
        <v>6677</v>
      </c>
      <c r="C21" s="786" t="s">
        <v>6678</v>
      </c>
      <c r="D21" s="787"/>
      <c r="E21" s="787"/>
      <c r="F21" s="752"/>
      <c r="G21" s="766"/>
      <c r="H21" s="787"/>
      <c r="I21" s="787"/>
      <c r="J21" s="787"/>
      <c r="K21" s="787"/>
      <c r="L21" s="787"/>
      <c r="M21" s="787"/>
      <c r="N21" s="787"/>
      <c r="O21" s="787"/>
      <c r="P21" s="788"/>
      <c r="Q21" s="787"/>
      <c r="R21" s="787"/>
      <c r="S21" s="787"/>
      <c r="T21" s="787"/>
      <c r="U21" s="789" t="s">
        <v>6678</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6679</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6680</v>
      </c>
      <c r="C23" s="749" t="s">
        <v>6656</v>
      </c>
      <c r="D23" s="787"/>
      <c r="E23" s="787" t="s">
        <v>729</v>
      </c>
      <c r="F23" s="752"/>
      <c r="G23" s="766" t="s">
        <v>4145</v>
      </c>
      <c r="H23" s="787"/>
      <c r="I23" s="787"/>
      <c r="J23" s="787"/>
      <c r="K23" s="787"/>
      <c r="L23" s="787"/>
      <c r="M23" s="787"/>
      <c r="N23" s="787"/>
      <c r="O23" s="787"/>
      <c r="P23" s="788"/>
      <c r="Q23" s="787" t="s">
        <v>6681</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6682</v>
      </c>
      <c r="C24" s="749" t="s">
        <v>6683</v>
      </c>
      <c r="D24" s="758"/>
      <c r="E24" s="758" t="s">
        <v>3884</v>
      </c>
      <c r="F24" s="778" t="s">
        <v>4223</v>
      </c>
      <c r="G24" s="766"/>
      <c r="H24" s="758" t="s">
        <v>6684</v>
      </c>
      <c r="I24" s="758"/>
      <c r="J24" s="758"/>
      <c r="K24" s="758"/>
      <c r="L24" s="758" t="s">
        <v>786</v>
      </c>
      <c r="M24" s="758"/>
      <c r="N24" s="758"/>
      <c r="O24" s="758"/>
      <c r="P24" s="756"/>
      <c r="Q24" s="758" t="s">
        <v>6685</v>
      </c>
      <c r="R24" s="758"/>
      <c r="S24" s="758"/>
      <c r="T24" s="758"/>
      <c r="U24" s="758"/>
      <c r="V24" s="758"/>
      <c r="W24" s="758"/>
      <c r="X24" s="758"/>
      <c r="Y24" s="758" t="s">
        <v>6686</v>
      </c>
      <c r="Z24" s="758"/>
      <c r="AA24" s="758"/>
      <c r="AB24" s="758"/>
      <c r="AC24" s="758"/>
      <c r="AD24" s="758"/>
      <c r="AE24" s="758"/>
      <c r="AF24" s="758" t="s">
        <v>6683</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6687</v>
      </c>
      <c r="B25" s="748" t="s">
        <v>6688</v>
      </c>
      <c r="C25" s="749" t="s">
        <v>253</v>
      </c>
      <c r="D25" s="758"/>
      <c r="E25" s="758" t="s">
        <v>253</v>
      </c>
      <c r="F25" s="752"/>
      <c r="G25" s="766"/>
      <c r="H25" s="758"/>
      <c r="I25" s="758"/>
      <c r="J25" s="758"/>
      <c r="K25" s="758"/>
      <c r="L25" s="758"/>
      <c r="M25" s="758"/>
      <c r="N25" s="758" t="s">
        <v>6689</v>
      </c>
      <c r="O25" s="758"/>
      <c r="P25" s="756"/>
      <c r="Q25" s="758" t="s">
        <v>6690</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6691</v>
      </c>
      <c r="C26" s="749" t="s">
        <v>6692</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6693</v>
      </c>
      <c r="C27" s="749" t="s">
        <v>2796</v>
      </c>
      <c r="D27" s="754" t="s">
        <v>1570</v>
      </c>
      <c r="E27" s="758" t="s">
        <v>6694</v>
      </c>
      <c r="F27" s="794" t="s">
        <v>6695</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6696</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6697</v>
      </c>
      <c r="C28" s="749" t="s">
        <v>6698</v>
      </c>
      <c r="D28" s="758"/>
      <c r="E28" s="758" t="s">
        <v>6698</v>
      </c>
      <c r="F28" s="780" t="s">
        <v>2699</v>
      </c>
      <c r="G28" s="753" t="s">
        <v>1269</v>
      </c>
      <c r="H28" s="758"/>
      <c r="I28" s="758"/>
      <c r="J28" s="758" t="s">
        <v>6699</v>
      </c>
      <c r="K28" s="758" t="s">
        <v>6700</v>
      </c>
      <c r="L28" s="758"/>
      <c r="M28" s="758"/>
      <c r="N28" s="758"/>
      <c r="O28" s="758" t="s">
        <v>6701</v>
      </c>
      <c r="P28" s="756" t="s">
        <v>6702</v>
      </c>
      <c r="Q28" s="758" t="s">
        <v>6703</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6631</v>
      </c>
      <c r="B29" s="772" t="s">
        <v>6704</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6705</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6706</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6707</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6708</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6709</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6710</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6711</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6712</v>
      </c>
      <c r="C35" s="749" t="s">
        <v>3641</v>
      </c>
      <c r="D35" s="758"/>
      <c r="E35" s="758" t="s">
        <v>3477</v>
      </c>
      <c r="F35" s="752"/>
      <c r="G35" s="766"/>
      <c r="H35" s="758"/>
      <c r="I35" s="758"/>
      <c r="J35" s="758" t="s">
        <v>3641</v>
      </c>
      <c r="K35" s="758" t="s">
        <v>3873</v>
      </c>
      <c r="L35" s="758"/>
      <c r="M35" s="758" t="s">
        <v>5275</v>
      </c>
      <c r="N35" s="758"/>
      <c r="O35" s="758"/>
      <c r="P35" s="756"/>
      <c r="Q35" s="758" t="s">
        <v>6713</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6714</v>
      </c>
      <c r="C36" s="749" t="s">
        <v>2957</v>
      </c>
      <c r="D36" s="758"/>
      <c r="E36" s="758" t="s">
        <v>3777</v>
      </c>
      <c r="F36" s="759"/>
      <c r="G36" s="766"/>
      <c r="H36" s="758"/>
      <c r="I36" s="758"/>
      <c r="J36" s="758" t="s">
        <v>2957</v>
      </c>
      <c r="K36" s="758" t="s">
        <v>6715</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6716</v>
      </c>
      <c r="C37" s="749" t="s">
        <v>2316</v>
      </c>
      <c r="D37" s="758" t="s">
        <v>1571</v>
      </c>
      <c r="E37" s="758" t="s">
        <v>3641</v>
      </c>
      <c r="F37" s="780" t="s">
        <v>3142</v>
      </c>
      <c r="G37" s="766"/>
      <c r="H37" s="758"/>
      <c r="I37" s="758" t="s">
        <v>6717</v>
      </c>
      <c r="J37" s="758" t="s">
        <v>2316</v>
      </c>
      <c r="K37" s="758" t="s">
        <v>2272</v>
      </c>
      <c r="L37" s="758"/>
      <c r="M37" s="758" t="s">
        <v>6715</v>
      </c>
      <c r="N37" s="758"/>
      <c r="O37" s="758"/>
      <c r="P37" s="756"/>
      <c r="Q37" s="758" t="s">
        <v>1751</v>
      </c>
      <c r="R37" s="758"/>
      <c r="S37" s="758"/>
      <c r="T37" s="758"/>
      <c r="U37" s="754" t="s">
        <v>3641</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6718</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6636</v>
      </c>
      <c r="B39" s="772" t="s">
        <v>6719</v>
      </c>
      <c r="C39" s="749" t="s">
        <v>4379</v>
      </c>
      <c r="D39" s="758" t="s">
        <v>6720</v>
      </c>
      <c r="E39" s="758" t="s">
        <v>4379</v>
      </c>
      <c r="F39" s="780" t="s">
        <v>6721</v>
      </c>
      <c r="G39" s="753" t="s">
        <v>3111</v>
      </c>
      <c r="H39" s="758"/>
      <c r="I39" s="758"/>
      <c r="J39" s="758"/>
      <c r="K39" s="758" t="s">
        <v>354</v>
      </c>
      <c r="L39" s="758"/>
      <c r="M39" s="758"/>
      <c r="N39" s="758"/>
      <c r="O39" s="758"/>
      <c r="P39" s="756"/>
      <c r="Q39" s="758" t="s">
        <v>3165</v>
      </c>
      <c r="R39" s="758"/>
      <c r="S39" s="758"/>
      <c r="T39" s="758"/>
      <c r="U39" s="758"/>
      <c r="V39" s="758"/>
      <c r="W39" s="758"/>
      <c r="X39" s="758" t="s">
        <v>6722</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6723</v>
      </c>
      <c r="C40" s="749" t="s">
        <v>2536</v>
      </c>
      <c r="D40" s="758" t="s">
        <v>2959</v>
      </c>
      <c r="E40" s="758" t="s">
        <v>3561</v>
      </c>
      <c r="F40" s="778" t="s">
        <v>5010</v>
      </c>
      <c r="G40" s="753" t="s">
        <v>712</v>
      </c>
      <c r="H40" s="758" t="s">
        <v>6724</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6725</v>
      </c>
      <c r="B41" s="748" t="s">
        <v>6726</v>
      </c>
      <c r="C41" s="749" t="s">
        <v>1000</v>
      </c>
      <c r="D41" s="758" t="s">
        <v>5206</v>
      </c>
      <c r="E41" s="758" t="s">
        <v>6727</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6728</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6729</v>
      </c>
      <c r="B43" s="748" t="s">
        <v>6730</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6731</v>
      </c>
      <c r="B44" s="748" t="s">
        <v>6732</v>
      </c>
      <c r="C44" s="749" t="s">
        <v>2403</v>
      </c>
      <c r="D44" s="803" t="s">
        <v>1360</v>
      </c>
      <c r="E44" s="758" t="s">
        <v>2403</v>
      </c>
      <c r="F44" s="752"/>
      <c r="G44" s="766"/>
      <c r="H44" s="758"/>
      <c r="I44" s="758" t="str">
        <f>HYPERLINK("https://youtu.be/t-1yqXLdZMA","38.05")</f>
        <v>38.05</v>
      </c>
      <c r="J44" s="758" t="s">
        <v>6733</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6734</v>
      </c>
      <c r="B45" s="772" t="s">
        <v>6732</v>
      </c>
      <c r="C45" s="804" t="s">
        <v>6735</v>
      </c>
      <c r="D45" s="805" t="s">
        <v>6735</v>
      </c>
      <c r="E45" s="758"/>
      <c r="F45" s="752"/>
      <c r="G45" s="766"/>
      <c r="H45" s="755" t="s">
        <v>6736</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6737</v>
      </c>
      <c r="B46" s="748" t="s">
        <v>6732</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6738</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6739</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6740</v>
      </c>
      <c r="C49" s="749" t="s">
        <v>5338</v>
      </c>
      <c r="D49" s="805" t="s">
        <v>6171</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6741</v>
      </c>
      <c r="C50" s="749" t="s">
        <v>6742</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6742</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6734</v>
      </c>
      <c r="B51" s="772" t="s">
        <v>6732</v>
      </c>
      <c r="C51" s="749" t="s">
        <v>6743</v>
      </c>
      <c r="D51" s="764"/>
      <c r="E51" s="758"/>
      <c r="F51" s="752"/>
      <c r="G51" s="766"/>
      <c r="H51" s="758"/>
      <c r="I51" s="758"/>
      <c r="J51" s="758"/>
      <c r="K51" s="758"/>
      <c r="L51" s="758"/>
      <c r="M51" s="758"/>
      <c r="N51" s="758"/>
      <c r="O51" s="758"/>
      <c r="P51" s="756"/>
      <c r="Q51" s="758"/>
      <c r="R51" s="758"/>
      <c r="S51" s="791" t="s">
        <v>6743</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6744</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6745</v>
      </c>
      <c r="C52" s="806" t="s">
        <v>6746</v>
      </c>
      <c r="D52" s="805" t="s">
        <v>6747</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6746</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6615</v>
      </c>
      <c r="C53" s="749" t="s">
        <v>349</v>
      </c>
      <c r="D53" s="769" t="s">
        <v>6748</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6749</v>
      </c>
      <c r="B55" s="818" t="s">
        <v>6750</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6751</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6752</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6753</v>
      </c>
      <c r="C57" s="804">
        <v>52.89</v>
      </c>
      <c r="D57" s="799" t="s">
        <v>4584</v>
      </c>
      <c r="E57" s="826"/>
      <c r="F57" s="752"/>
      <c r="G57" s="766"/>
      <c r="H57" s="826"/>
      <c r="I57" s="826"/>
      <c r="J57" s="826"/>
      <c r="K57" s="826"/>
      <c r="L57" s="826"/>
      <c r="M57" s="826"/>
      <c r="N57" s="827" t="s">
        <v>6754</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6755</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6756</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6636</v>
      </c>
      <c r="B60" s="831" t="s">
        <v>6750</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6752</v>
      </c>
      <c r="C61" s="804" t="s">
        <v>469</v>
      </c>
      <c r="D61" s="799"/>
      <c r="E61" s="799" t="s">
        <v>6757</v>
      </c>
      <c r="F61" s="832"/>
      <c r="G61" s="766"/>
      <c r="H61" s="799" t="s">
        <v>469</v>
      </c>
      <c r="I61" s="799"/>
      <c r="J61" s="799"/>
      <c r="K61" s="799"/>
      <c r="L61" s="799"/>
      <c r="M61" s="799"/>
      <c r="N61" s="799"/>
      <c r="O61" s="799"/>
      <c r="P61" s="756" t="s">
        <v>6758</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6753</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6755</v>
      </c>
      <c r="C63" s="804" t="s">
        <v>415</v>
      </c>
      <c r="D63" s="799"/>
      <c r="E63" s="799" t="s">
        <v>136</v>
      </c>
      <c r="F63" s="833" t="s">
        <v>6759</v>
      </c>
      <c r="G63" s="753" t="s">
        <v>6760</v>
      </c>
      <c r="H63" s="753" t="s">
        <v>622</v>
      </c>
      <c r="I63" s="799"/>
      <c r="J63" s="799"/>
      <c r="K63" s="799"/>
      <c r="L63" s="799"/>
      <c r="M63" s="799"/>
      <c r="N63" s="799"/>
      <c r="O63" s="753" t="s">
        <v>3911</v>
      </c>
      <c r="P63" s="756" t="s">
        <v>6759</v>
      </c>
      <c r="Q63" s="799" t="s">
        <v>6671</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6631</v>
      </c>
      <c r="B64" s="835" t="s">
        <v>6615</v>
      </c>
      <c r="C64" s="804" t="s">
        <v>4122</v>
      </c>
      <c r="D64" s="760"/>
      <c r="E64" s="760"/>
      <c r="F64" s="780" t="s">
        <v>6761</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6762</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6616</v>
      </c>
      <c r="B66" s="818" t="s">
        <v>6615</v>
      </c>
      <c r="C66" s="837" t="s">
        <v>2618</v>
      </c>
      <c r="D66" s="801" t="s">
        <v>6763</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6631</v>
      </c>
      <c r="B67" s="831" t="s">
        <v>6764</v>
      </c>
      <c r="C67" s="804" t="s">
        <v>3638</v>
      </c>
      <c r="D67" s="801"/>
      <c r="E67" s="801"/>
      <c r="F67" s="752"/>
      <c r="G67" s="766"/>
      <c r="H67" s="753">
        <v>35.06</v>
      </c>
      <c r="I67" s="801"/>
      <c r="J67" s="801"/>
      <c r="K67" s="801"/>
      <c r="L67" s="801"/>
      <c r="M67" s="801"/>
      <c r="N67" s="801"/>
      <c r="O67" s="801"/>
      <c r="P67" s="802"/>
      <c r="Q67" s="801"/>
      <c r="R67" s="801"/>
      <c r="S67" s="801"/>
      <c r="T67" s="801"/>
      <c r="U67" s="801" t="s">
        <v>6765</v>
      </c>
      <c r="V67" s="801"/>
      <c r="W67" s="801"/>
      <c r="X67" s="801"/>
      <c r="Y67" s="801"/>
      <c r="Z67" s="801"/>
      <c r="AA67" s="801"/>
      <c r="AB67" s="801"/>
      <c r="AC67" s="801"/>
      <c r="AD67" s="801"/>
      <c r="AE67" s="801"/>
      <c r="AF67" s="801"/>
      <c r="AG67" s="801"/>
      <c r="AH67" s="801"/>
      <c r="AI67" s="801"/>
      <c r="AJ67" s="819"/>
      <c r="AK67" s="801"/>
      <c r="AL67" s="801"/>
      <c r="AM67" s="801"/>
      <c r="AN67" s="801"/>
      <c r="AO67" s="801"/>
      <c r="AP67" s="751" t="s">
        <v>6766</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6767</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6768</v>
      </c>
      <c r="C69" s="779" t="s">
        <v>2941</v>
      </c>
      <c r="D69" s="756" t="s">
        <v>6671</v>
      </c>
      <c r="E69" s="756"/>
      <c r="F69" s="780" t="s">
        <v>2941</v>
      </c>
      <c r="G69" s="766"/>
      <c r="H69" s="808" t="s">
        <v>1257</v>
      </c>
      <c r="I69" s="756"/>
      <c r="J69" s="756"/>
      <c r="K69" s="756"/>
      <c r="L69" s="756"/>
      <c r="M69" s="756"/>
      <c r="N69" s="756"/>
      <c r="O69" s="756"/>
      <c r="P69" s="756"/>
      <c r="Q69" s="756"/>
      <c r="R69" s="754" t="s">
        <v>6761</v>
      </c>
      <c r="S69" s="756"/>
      <c r="T69" s="756"/>
      <c r="U69" s="754" t="s">
        <v>6769</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6636</v>
      </c>
      <c r="B70" s="831" t="s">
        <v>6764</v>
      </c>
      <c r="C70" s="806" t="s">
        <v>1032</v>
      </c>
      <c r="D70" s="756" t="s">
        <v>4201</v>
      </c>
      <c r="E70" s="756"/>
      <c r="F70" s="752"/>
      <c r="G70" s="766"/>
      <c r="H70" s="756"/>
      <c r="I70" s="756"/>
      <c r="J70" s="808" t="s">
        <v>6328</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6770</v>
      </c>
      <c r="C71" s="804" t="s">
        <v>2327</v>
      </c>
      <c r="D71" s="758" t="s">
        <v>2353</v>
      </c>
      <c r="E71" s="758" t="s">
        <v>3510</v>
      </c>
      <c r="F71" s="833" t="s">
        <v>6771</v>
      </c>
      <c r="G71" s="766"/>
      <c r="H71" s="758" t="s">
        <v>574</v>
      </c>
      <c r="I71" s="758"/>
      <c r="J71" s="758" t="s">
        <v>6771</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6772</v>
      </c>
      <c r="B72" s="818" t="s">
        <v>6773</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6774</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6775</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6776</v>
      </c>
      <c r="C74" s="804" t="s">
        <v>662</v>
      </c>
      <c r="D74" s="758" t="s">
        <v>1277</v>
      </c>
      <c r="E74" s="801" t="s">
        <v>914</v>
      </c>
      <c r="F74" s="833" t="s">
        <v>2034</v>
      </c>
      <c r="G74" s="753" t="s">
        <v>1277</v>
      </c>
      <c r="H74" s="801" t="s">
        <v>1214</v>
      </c>
      <c r="I74" s="801" t="s">
        <v>1435</v>
      </c>
      <c r="J74" s="801" t="s">
        <v>4334</v>
      </c>
      <c r="K74" s="801" t="s">
        <v>3091</v>
      </c>
      <c r="L74" s="801" t="s">
        <v>6777</v>
      </c>
      <c r="M74" s="801" t="s">
        <v>5857</v>
      </c>
      <c r="N74" s="801" t="s">
        <v>358</v>
      </c>
      <c r="O74" s="801" t="s">
        <v>6105</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6778</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6779</v>
      </c>
      <c r="B75" s="818" t="s">
        <v>6780</v>
      </c>
      <c r="C75" s="804" t="s">
        <v>2162</v>
      </c>
      <c r="D75" s="758"/>
      <c r="E75" s="758" t="s">
        <v>2162</v>
      </c>
      <c r="F75" s="823"/>
      <c r="G75" s="753" t="s">
        <v>6542</v>
      </c>
      <c r="H75" s="758"/>
      <c r="I75" s="758" t="s">
        <v>6781</v>
      </c>
      <c r="J75" s="758"/>
      <c r="K75" s="758" t="s">
        <v>6178</v>
      </c>
      <c r="L75" s="758"/>
      <c r="M75" s="758"/>
      <c r="N75" s="758" t="s">
        <v>6782</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6783</v>
      </c>
      <c r="C76" s="804" t="s">
        <v>353</v>
      </c>
      <c r="D76" s="758" t="s">
        <v>1485</v>
      </c>
      <c r="E76" s="758" t="s">
        <v>353</v>
      </c>
      <c r="F76" s="770" t="s">
        <v>1485</v>
      </c>
      <c r="G76" s="753" t="s">
        <v>1278</v>
      </c>
      <c r="H76" s="758" t="s">
        <v>1546</v>
      </c>
      <c r="I76" s="758" t="s">
        <v>1436</v>
      </c>
      <c r="J76" s="758" t="s">
        <v>4960</v>
      </c>
      <c r="K76" s="758" t="s">
        <v>6784</v>
      </c>
      <c r="L76" s="758" t="s">
        <v>915</v>
      </c>
      <c r="M76" s="758" t="s">
        <v>756</v>
      </c>
      <c r="N76" s="758" t="s">
        <v>1364</v>
      </c>
      <c r="O76" s="758" t="s">
        <v>2324</v>
      </c>
      <c r="P76" s="756" t="s">
        <v>3877</v>
      </c>
      <c r="Q76" s="758" t="s">
        <v>6785</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6631</v>
      </c>
      <c r="B77" s="831" t="s">
        <v>6786</v>
      </c>
      <c r="C77" s="806" t="s">
        <v>6787</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6787</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6788</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6789</v>
      </c>
      <c r="C79" s="804" t="s">
        <v>6150</v>
      </c>
      <c r="D79" s="758" t="s">
        <v>1577</v>
      </c>
      <c r="E79" s="758" t="s">
        <v>757</v>
      </c>
      <c r="F79" s="770" t="s">
        <v>2702</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6790</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6636</v>
      </c>
      <c r="B80" s="831" t="s">
        <v>6780</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6791</v>
      </c>
      <c r="C81" s="804" t="s">
        <v>2753</v>
      </c>
      <c r="D81" s="758" t="s">
        <v>2532</v>
      </c>
      <c r="E81" s="758" t="s">
        <v>2401</v>
      </c>
      <c r="F81" s="794" t="s">
        <v>4064</v>
      </c>
      <c r="G81" s="753" t="s">
        <v>6792</v>
      </c>
      <c r="H81" s="758"/>
      <c r="I81" s="758"/>
      <c r="J81" s="758"/>
      <c r="K81" s="758"/>
      <c r="L81" s="758"/>
      <c r="M81" s="758" t="s">
        <v>6793</v>
      </c>
      <c r="N81" s="758"/>
      <c r="O81" s="758"/>
      <c r="P81" s="756" t="s">
        <v>6794</v>
      </c>
      <c r="Q81" s="758"/>
      <c r="R81" s="758"/>
      <c r="S81" s="758" t="s">
        <v>3977</v>
      </c>
      <c r="T81" s="758"/>
      <c r="U81" s="758"/>
      <c r="V81" s="758"/>
      <c r="W81" s="758" t="s">
        <v>6794</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6795</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6676</v>
      </c>
      <c r="B83" s="818" t="s">
        <v>6796</v>
      </c>
      <c r="C83" s="804" t="s">
        <v>2219</v>
      </c>
      <c r="D83" s="758"/>
      <c r="E83" s="758" t="s">
        <v>2219</v>
      </c>
      <c r="F83" s="823"/>
      <c r="G83" s="753" t="s">
        <v>6797</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6798</v>
      </c>
      <c r="C84" s="804" t="s">
        <v>2619</v>
      </c>
      <c r="D84" s="758" t="s">
        <v>3546</v>
      </c>
      <c r="E84" s="758" t="s">
        <v>2619</v>
      </c>
      <c r="F84" s="752"/>
      <c r="G84" s="766"/>
      <c r="H84" s="758"/>
      <c r="I84" s="758"/>
      <c r="J84" s="758"/>
      <c r="K84" s="758" t="s">
        <v>6799</v>
      </c>
      <c r="L84" s="758" t="s">
        <v>5153</v>
      </c>
      <c r="M84" s="758"/>
      <c r="N84" s="758" t="str">
        <f>HYPERLINK("https://youtu.be/HUwmtKe7cOY","56.54")</f>
        <v>56.54</v>
      </c>
      <c r="O84" s="758"/>
      <c r="P84" s="756" t="s">
        <v>3753</v>
      </c>
      <c r="Q84" s="758"/>
      <c r="R84" s="758"/>
      <c r="S84" s="758"/>
      <c r="T84" s="758"/>
      <c r="U84" s="758" t="s">
        <v>6800</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6801</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6802</v>
      </c>
      <c r="B86" s="818" t="s">
        <v>6803</v>
      </c>
      <c r="C86" s="804" t="s">
        <v>3445</v>
      </c>
      <c r="D86" s="758"/>
      <c r="E86" s="758" t="s">
        <v>6804</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6805</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6806</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6807</v>
      </c>
      <c r="C88" s="846" t="s">
        <v>6505</v>
      </c>
      <c r="D88" s="847" t="s">
        <v>6808</v>
      </c>
      <c r="E88" s="848" t="s">
        <v>2389</v>
      </c>
      <c r="F88" s="848" t="s">
        <v>760</v>
      </c>
      <c r="G88" s="848" t="s">
        <v>666</v>
      </c>
      <c r="H88" s="847" t="s">
        <v>760</v>
      </c>
      <c r="I88" s="848" t="s">
        <v>2439</v>
      </c>
      <c r="J88" s="848" t="s">
        <v>1281</v>
      </c>
      <c r="K88" s="847" t="s">
        <v>3095</v>
      </c>
      <c r="L88" s="847" t="s">
        <v>6809</v>
      </c>
      <c r="M88" s="849"/>
      <c r="N88" s="849"/>
      <c r="O88" s="848" t="s">
        <v>6505</v>
      </c>
      <c r="P88" s="848" t="s">
        <v>6810</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6811</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6812</v>
      </c>
      <c r="B89" s="835" t="s">
        <v>6615</v>
      </c>
      <c r="C89" s="837" t="s">
        <v>6813</v>
      </c>
      <c r="D89" s="754" t="s">
        <v>6814</v>
      </c>
      <c r="E89" s="799"/>
      <c r="F89" s="833" t="s">
        <v>6815</v>
      </c>
      <c r="G89" s="766"/>
      <c r="H89" s="754" t="s">
        <v>6813</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6816</v>
      </c>
      <c r="B90" s="835" t="s">
        <v>6615</v>
      </c>
      <c r="C90" s="779" t="s">
        <v>6817</v>
      </c>
      <c r="D90" s="754" t="s">
        <v>6818</v>
      </c>
      <c r="E90" s="799"/>
      <c r="F90" s="794" t="s">
        <v>6819</v>
      </c>
      <c r="G90" s="766"/>
      <c r="H90" s="754" t="s">
        <v>6817</v>
      </c>
      <c r="I90" s="799"/>
      <c r="J90" s="799"/>
      <c r="K90" s="799"/>
      <c r="L90" s="799"/>
      <c r="M90" s="799"/>
      <c r="N90" s="799"/>
      <c r="O90" s="799"/>
      <c r="P90" s="756"/>
      <c r="Q90" s="799"/>
      <c r="R90" s="799"/>
      <c r="S90" s="799"/>
      <c r="T90" s="799"/>
      <c r="U90" s="754" t="s">
        <v>6820</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6725</v>
      </c>
      <c r="B91" s="818" t="s">
        <v>6726</v>
      </c>
      <c r="C91" s="804" t="s">
        <v>5257</v>
      </c>
      <c r="D91" s="758" t="s">
        <v>6821</v>
      </c>
      <c r="E91" s="758" t="s">
        <v>5257</v>
      </c>
      <c r="F91" s="823"/>
      <c r="G91" s="766"/>
      <c r="H91" s="758" t="s">
        <v>5257</v>
      </c>
      <c r="I91" s="758" t="s">
        <v>5136</v>
      </c>
      <c r="J91" s="758"/>
      <c r="K91" s="758" t="s">
        <v>4694</v>
      </c>
      <c r="L91" s="758"/>
      <c r="M91" s="758" t="s">
        <v>3270</v>
      </c>
      <c r="N91" s="758" t="str">
        <f>HYPERLINK("https://youtu.be/HjDDp_Mj_yI","16.74")</f>
        <v>16.74</v>
      </c>
      <c r="O91" s="758"/>
      <c r="P91" s="756" t="s">
        <v>6388</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6822</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6823</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6824</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6825</v>
      </c>
      <c r="C94" s="804" t="s">
        <v>1079</v>
      </c>
      <c r="D94" s="758" t="s">
        <v>1580</v>
      </c>
      <c r="E94" s="754" t="s">
        <v>358</v>
      </c>
      <c r="F94" s="752"/>
      <c r="G94" s="753" t="s">
        <v>1282</v>
      </c>
      <c r="H94" s="754" t="s">
        <v>1079</v>
      </c>
      <c r="I94" s="755"/>
      <c r="J94" s="754" t="s">
        <v>6826</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6827</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6729</v>
      </c>
      <c r="B96" s="818" t="s">
        <v>6828</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6829</v>
      </c>
      <c r="B97" s="818" t="s">
        <v>6732</v>
      </c>
      <c r="C97" s="804" t="s">
        <v>6830</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6831</v>
      </c>
      <c r="B98" s="835" t="s">
        <v>6732</v>
      </c>
      <c r="C98" s="804" t="s">
        <v>6832</v>
      </c>
      <c r="D98" s="805" t="s">
        <v>6832</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6615</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6833</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6614</v>
      </c>
      <c r="B101" s="858"/>
      <c r="C101" s="859" t="s">
        <v>4188</v>
      </c>
      <c r="D101" s="769" t="s">
        <v>1584</v>
      </c>
      <c r="E101" s="860" t="s">
        <v>2440</v>
      </c>
      <c r="F101" s="752"/>
      <c r="G101" s="753" t="s">
        <v>6001</v>
      </c>
      <c r="H101" s="860"/>
      <c r="I101" s="860" t="str">
        <f>HYPERLINK("https://youtu.be/ycBfir2aflI","41.70")</f>
        <v>41.70</v>
      </c>
      <c r="J101" s="860" t="s">
        <v>6650</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6631</v>
      </c>
      <c r="B102" s="865"/>
      <c r="C102" s="859" t="s">
        <v>1626</v>
      </c>
      <c r="D102" s="769" t="s">
        <v>1585</v>
      </c>
      <c r="E102" s="866"/>
      <c r="F102" s="867"/>
      <c r="G102" s="753" t="s">
        <v>6757</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6636</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6834</v>
      </c>
      <c r="B104" s="871" t="s">
        <v>6835</v>
      </c>
      <c r="C104" s="859" t="s">
        <v>1522</v>
      </c>
      <c r="D104" s="803" t="s">
        <v>6836</v>
      </c>
      <c r="E104" s="866"/>
      <c r="F104" s="752"/>
      <c r="G104" s="753" t="s">
        <v>1287</v>
      </c>
      <c r="H104" s="866"/>
      <c r="I104" s="866" t="s">
        <v>6837</v>
      </c>
      <c r="J104" s="860" t="s">
        <v>6838</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6839</v>
      </c>
      <c r="C105" s="859" t="s">
        <v>6840</v>
      </c>
      <c r="D105" s="769" t="s">
        <v>1586</v>
      </c>
      <c r="E105" s="866"/>
      <c r="F105" s="867"/>
      <c r="G105" s="766"/>
      <c r="H105" s="866"/>
      <c r="I105" s="866"/>
      <c r="J105" s="860" t="s">
        <v>6840</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6772</v>
      </c>
      <c r="B106" s="871" t="s">
        <v>6841</v>
      </c>
      <c r="C106" s="859" t="s">
        <v>5575</v>
      </c>
      <c r="D106" s="803" t="s">
        <v>6842</v>
      </c>
      <c r="E106" s="866"/>
      <c r="F106" s="752"/>
      <c r="G106" s="753" t="s">
        <v>612</v>
      </c>
      <c r="H106" s="866"/>
      <c r="I106" s="866"/>
      <c r="J106" s="860" t="s">
        <v>6843</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6844</v>
      </c>
      <c r="BD106" s="866"/>
      <c r="BE106" s="866"/>
      <c r="BF106" s="863"/>
      <c r="BG106" s="866"/>
      <c r="BH106" s="863"/>
      <c r="BI106" s="863"/>
      <c r="BJ106" s="863"/>
      <c r="BK106" s="863"/>
      <c r="BL106" s="863"/>
      <c r="BM106" s="863"/>
      <c r="BN106" s="863"/>
      <c r="BO106" s="863"/>
    </row>
    <row r="107" ht="15.75" customHeight="1">
      <c r="A107" s="857" t="s">
        <v>6779</v>
      </c>
      <c r="B107" s="871" t="s">
        <v>6845</v>
      </c>
      <c r="C107" s="859" t="s">
        <v>6846</v>
      </c>
      <c r="D107" s="803" t="s">
        <v>3616</v>
      </c>
      <c r="E107" s="866"/>
      <c r="F107" s="867"/>
      <c r="G107" s="753" t="s">
        <v>132</v>
      </c>
      <c r="H107" s="866"/>
      <c r="I107" s="866" t="s">
        <v>6847</v>
      </c>
      <c r="J107" s="860" t="s">
        <v>6848</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6631</v>
      </c>
      <c r="B108" s="865" t="s">
        <v>6845</v>
      </c>
      <c r="C108" s="749" t="s">
        <v>6849</v>
      </c>
      <c r="D108" s="805" t="s">
        <v>6761</v>
      </c>
      <c r="E108" s="860" t="s">
        <v>367</v>
      </c>
      <c r="F108" s="752"/>
      <c r="G108" s="753" t="s">
        <v>6850</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6849</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6636</v>
      </c>
      <c r="B109" s="874" t="s">
        <v>6835</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6851</v>
      </c>
      <c r="B110" s="875" t="s">
        <v>6615</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6802</v>
      </c>
      <c r="B111" s="871" t="s">
        <v>6732</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6852</v>
      </c>
      <c r="C112" s="859" t="s">
        <v>1263</v>
      </c>
      <c r="D112" s="769" t="s">
        <v>1589</v>
      </c>
      <c r="E112" s="866"/>
      <c r="F112" s="752"/>
      <c r="G112" s="753" t="s">
        <v>1290</v>
      </c>
      <c r="H112" s="866"/>
      <c r="I112" s="866" t="s">
        <v>6853</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6725</v>
      </c>
      <c r="B113" s="871" t="s">
        <v>6854</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6855</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6728</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6729</v>
      </c>
      <c r="B116" s="871" t="s">
        <v>6856</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6373</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6857</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6858</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6859</v>
      </c>
      <c r="C118" s="859" t="s">
        <v>6860</v>
      </c>
      <c r="D118" s="758" t="s">
        <v>1590</v>
      </c>
      <c r="E118" s="860" t="s">
        <v>6860</v>
      </c>
      <c r="F118" s="780" t="s">
        <v>1990</v>
      </c>
      <c r="G118" s="766"/>
      <c r="H118" s="860"/>
      <c r="I118" s="860" t="s">
        <v>259</v>
      </c>
      <c r="J118" s="860" t="s">
        <v>4778</v>
      </c>
      <c r="K118" s="860" t="s">
        <v>849</v>
      </c>
      <c r="L118" s="860"/>
      <c r="M118" s="860" t="s">
        <v>771</v>
      </c>
      <c r="N118" s="860"/>
      <c r="O118" s="860" t="s">
        <v>4323</v>
      </c>
      <c r="P118" s="861" t="s">
        <v>6095</v>
      </c>
      <c r="Q118" s="860" t="s">
        <v>6861</v>
      </c>
      <c r="R118" s="860" t="s">
        <v>3357</v>
      </c>
      <c r="S118" s="860"/>
      <c r="T118" s="860" t="s">
        <v>6862</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6863</v>
      </c>
      <c r="C119" s="859" t="s">
        <v>6864</v>
      </c>
      <c r="D119" s="866"/>
      <c r="E119" s="866"/>
      <c r="F119" s="752"/>
      <c r="G119" s="766"/>
      <c r="H119" s="866"/>
      <c r="I119" s="866"/>
      <c r="J119" s="866"/>
      <c r="K119" s="866"/>
      <c r="L119" s="866"/>
      <c r="M119" s="866"/>
      <c r="N119" s="866"/>
      <c r="O119" s="866"/>
      <c r="P119" s="868"/>
      <c r="Q119" s="866"/>
      <c r="R119" s="866"/>
      <c r="S119" s="866" t="s">
        <v>6865</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6866</v>
      </c>
      <c r="B120" s="875" t="s">
        <v>6732</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6831</v>
      </c>
      <c r="B121" s="865" t="s">
        <v>6732</v>
      </c>
      <c r="C121" s="804" t="s">
        <v>6867</v>
      </c>
      <c r="D121" s="805" t="s">
        <v>6867</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6868</v>
      </c>
      <c r="B122" s="875" t="s">
        <v>6615</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6835</v>
      </c>
      <c r="C123" s="859" t="s">
        <v>2886</v>
      </c>
      <c r="D123" s="769" t="s">
        <v>6869</v>
      </c>
      <c r="E123" s="866"/>
      <c r="F123" s="752"/>
      <c r="G123" s="766"/>
      <c r="H123" s="866"/>
      <c r="I123" s="860" t="s">
        <v>6870</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6871</v>
      </c>
      <c r="B125" s="889"/>
      <c r="C125" s="859" t="s">
        <v>4042</v>
      </c>
      <c r="D125" s="860" t="s">
        <v>6872</v>
      </c>
      <c r="E125" s="860" t="s">
        <v>6873</v>
      </c>
      <c r="F125" s="780" t="s">
        <v>6874</v>
      </c>
      <c r="G125" s="766"/>
      <c r="H125" s="860" t="s">
        <v>4042</v>
      </c>
      <c r="I125" s="860"/>
      <c r="J125" s="860"/>
      <c r="K125" s="860"/>
      <c r="L125" s="860" t="s">
        <v>6873</v>
      </c>
      <c r="M125" s="860"/>
      <c r="N125" s="860"/>
      <c r="O125" s="860"/>
      <c r="P125" s="861" t="s">
        <v>6875</v>
      </c>
      <c r="Q125" s="860"/>
      <c r="R125" s="860"/>
      <c r="S125" s="860" t="s">
        <v>6876</v>
      </c>
      <c r="T125" s="860"/>
      <c r="U125" s="860"/>
      <c r="V125" s="860"/>
      <c r="W125" s="860" t="s">
        <v>6875</v>
      </c>
      <c r="X125" s="860"/>
      <c r="Y125" s="860"/>
      <c r="Z125" s="860" t="s">
        <v>6874</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6614</v>
      </c>
      <c r="B126" s="891" t="s">
        <v>6877</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6878</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6879</v>
      </c>
      <c r="C128" s="779" t="s">
        <v>1187</v>
      </c>
      <c r="D128" s="758" t="s">
        <v>660</v>
      </c>
      <c r="E128" s="866"/>
      <c r="F128" s="780" t="s">
        <v>1187</v>
      </c>
      <c r="G128" s="753" t="s">
        <v>115</v>
      </c>
      <c r="H128" s="866"/>
      <c r="I128" s="866"/>
      <c r="J128" s="866" t="s">
        <v>2656</v>
      </c>
      <c r="K128" s="866" t="s">
        <v>6880</v>
      </c>
      <c r="L128" s="866"/>
      <c r="M128" s="866"/>
      <c r="N128" s="866"/>
      <c r="O128" s="866"/>
      <c r="P128" s="868" t="s">
        <v>6881</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6882</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6631</v>
      </c>
      <c r="B130" s="898" t="s">
        <v>6615</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6636</v>
      </c>
      <c r="B131" s="902" t="s">
        <v>6615</v>
      </c>
      <c r="C131" s="859" t="s">
        <v>6883</v>
      </c>
      <c r="D131" s="866"/>
      <c r="E131" s="866"/>
      <c r="F131" s="780" t="s">
        <v>2084</v>
      </c>
      <c r="G131" s="753" t="s">
        <v>6884</v>
      </c>
      <c r="H131" s="753" t="s">
        <v>6883</v>
      </c>
      <c r="I131" s="866"/>
      <c r="J131" s="866"/>
      <c r="K131" s="866"/>
      <c r="L131" s="866"/>
      <c r="M131" s="866"/>
      <c r="N131" s="866"/>
      <c r="O131" s="866"/>
      <c r="P131" s="868"/>
      <c r="Q131" s="866"/>
      <c r="R131" s="866"/>
      <c r="S131" s="866" t="s">
        <v>6883</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6616</v>
      </c>
      <c r="B132" s="889"/>
      <c r="C132" s="859" t="s">
        <v>776</v>
      </c>
      <c r="D132" s="758" t="s">
        <v>939</v>
      </c>
      <c r="E132" s="866"/>
      <c r="F132" s="797" t="s">
        <v>1913</v>
      </c>
      <c r="G132" s="753" t="s">
        <v>1296</v>
      </c>
      <c r="H132" s="866"/>
      <c r="I132" s="791" t="str">
        <f>HYPERLINK("https://youtu.be/6f5dBhAmU1g","42.10")</f>
        <v>42.10</v>
      </c>
      <c r="J132" s="866" t="s">
        <v>6885</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6631</v>
      </c>
      <c r="B133" s="902" t="s">
        <v>6615</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6636</v>
      </c>
      <c r="B134" s="902" t="s">
        <v>6615</v>
      </c>
      <c r="C134" s="859" t="s">
        <v>6886</v>
      </c>
      <c r="D134" s="860"/>
      <c r="E134" s="860" t="s">
        <v>6886</v>
      </c>
      <c r="F134" s="899" t="s">
        <v>1555</v>
      </c>
      <c r="G134" s="753" t="s">
        <v>6887</v>
      </c>
      <c r="H134" s="860"/>
      <c r="I134" s="860"/>
      <c r="J134" s="860"/>
      <c r="K134" s="860"/>
      <c r="L134" s="860" t="s">
        <v>3003</v>
      </c>
      <c r="M134" s="860" t="s">
        <v>6887</v>
      </c>
      <c r="N134" s="860"/>
      <c r="O134" s="860"/>
      <c r="P134" s="861" t="s">
        <v>6886</v>
      </c>
      <c r="Q134" s="860" t="s">
        <v>488</v>
      </c>
      <c r="R134" s="860"/>
      <c r="S134" s="860"/>
      <c r="T134" s="860"/>
      <c r="U134" s="860"/>
      <c r="V134" s="860"/>
      <c r="W134" s="860"/>
      <c r="X134" s="860"/>
      <c r="Y134" s="860" t="s">
        <v>6888</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6772</v>
      </c>
      <c r="B135" s="891" t="s">
        <v>6889</v>
      </c>
      <c r="C135" s="859" t="s">
        <v>6890</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6891</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6318</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6892</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6413</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6893</v>
      </c>
      <c r="C138" s="859" t="s">
        <v>377</v>
      </c>
      <c r="D138" s="758" t="s">
        <v>777</v>
      </c>
      <c r="E138" s="753" t="s">
        <v>377</v>
      </c>
      <c r="F138" s="770" t="s">
        <v>3907</v>
      </c>
      <c r="G138" s="753" t="s">
        <v>1297</v>
      </c>
      <c r="H138" s="903" t="s">
        <v>5746</v>
      </c>
      <c r="I138" s="753" t="s">
        <v>5382</v>
      </c>
      <c r="J138" s="766"/>
      <c r="K138" s="766"/>
      <c r="L138" s="753" t="s">
        <v>932</v>
      </c>
      <c r="M138" s="753" t="s">
        <v>6412</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6894</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6665</v>
      </c>
      <c r="B139" s="891" t="s">
        <v>6895</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6896</v>
      </c>
      <c r="P139" s="868"/>
      <c r="Q139" s="866"/>
      <c r="R139" s="866"/>
      <c r="S139" s="866" t="s">
        <v>567</v>
      </c>
      <c r="T139" s="866"/>
      <c r="U139" s="866"/>
      <c r="V139" s="866"/>
      <c r="W139" s="866"/>
      <c r="X139" s="866"/>
      <c r="Y139" s="866"/>
      <c r="Z139" s="866"/>
      <c r="AA139" s="866"/>
      <c r="AB139" s="866"/>
      <c r="AC139" s="866"/>
      <c r="AD139" s="866" t="s">
        <v>6897</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6898</v>
      </c>
      <c r="C140" s="859" t="s">
        <v>4536</v>
      </c>
      <c r="D140" s="904"/>
      <c r="E140" s="904"/>
      <c r="F140" s="892"/>
      <c r="G140" s="766"/>
      <c r="H140" s="904"/>
      <c r="I140" s="904"/>
      <c r="J140" s="753" t="s">
        <v>6899</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6900</v>
      </c>
      <c r="C141" s="859" t="s">
        <v>6901</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6676</v>
      </c>
      <c r="B142" s="891" t="s">
        <v>6902</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6903</v>
      </c>
      <c r="C143" s="859" t="s">
        <v>6904</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6905</v>
      </c>
      <c r="C144" s="749" t="s">
        <v>6906</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6906</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6687</v>
      </c>
      <c r="B145" s="891" t="s">
        <v>6907</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6908</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6631</v>
      </c>
      <c r="B147" s="898" t="s">
        <v>6907</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6909</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6908</v>
      </c>
      <c r="C148" s="859" t="s">
        <v>1449</v>
      </c>
      <c r="D148" s="769" t="s">
        <v>1596</v>
      </c>
      <c r="E148" s="860" t="s">
        <v>5386</v>
      </c>
      <c r="F148" s="770" t="s">
        <v>1625</v>
      </c>
      <c r="G148" s="753" t="s">
        <v>3357</v>
      </c>
      <c r="H148" s="870" t="s">
        <v>1375</v>
      </c>
      <c r="I148" s="860" t="str">
        <f>HYPERLINK("https://youtu.be/NPrbRwZDn1I","27.54")</f>
        <v>27.54</v>
      </c>
      <c r="J148" s="860" t="s">
        <v>506</v>
      </c>
      <c r="K148" s="860" t="s">
        <v>6861</v>
      </c>
      <c r="L148" s="860"/>
      <c r="M148" s="860" t="s">
        <v>5386</v>
      </c>
      <c r="N148" s="860" t="str">
        <f>HYPERLINK("https://youtu.be/gwRV1gD1ndo","27.79")</f>
        <v>27.79</v>
      </c>
      <c r="O148" s="860" t="s">
        <v>149</v>
      </c>
      <c r="P148" s="861" t="s">
        <v>432</v>
      </c>
      <c r="Q148" s="860" t="s">
        <v>410</v>
      </c>
      <c r="R148" s="860"/>
      <c r="S148" s="753" t="s">
        <v>399</v>
      </c>
      <c r="T148" s="860"/>
      <c r="U148" s="860"/>
      <c r="V148" s="860" t="s">
        <v>6910</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6636</v>
      </c>
      <c r="B149" s="898" t="s">
        <v>6615</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6910</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6911</v>
      </c>
      <c r="B150" s="902" t="s">
        <v>6912</v>
      </c>
      <c r="C150" s="859" t="s">
        <v>6913</v>
      </c>
      <c r="D150" s="860" t="s">
        <v>6914</v>
      </c>
      <c r="E150" s="860" t="s">
        <v>6913</v>
      </c>
      <c r="F150" s="752"/>
      <c r="G150" s="766"/>
      <c r="H150" s="860"/>
      <c r="I150" s="860" t="s">
        <v>6915</v>
      </c>
      <c r="J150" s="860" t="s">
        <v>6916</v>
      </c>
      <c r="K150" s="860"/>
      <c r="L150" s="860" t="s">
        <v>937</v>
      </c>
      <c r="M150" s="860"/>
      <c r="N150" s="860" t="s">
        <v>6917</v>
      </c>
      <c r="O150" s="860"/>
      <c r="P150" s="861"/>
      <c r="Q150" s="860"/>
      <c r="R150" s="860"/>
      <c r="S150" s="860"/>
      <c r="T150" s="860" t="s">
        <v>6918</v>
      </c>
      <c r="U150" s="860"/>
      <c r="V150" s="860" t="s">
        <v>5084</v>
      </c>
      <c r="W150" s="860"/>
      <c r="X150" s="860"/>
      <c r="Y150" s="860"/>
      <c r="Z150" s="860"/>
      <c r="AA150" s="860"/>
      <c r="AB150" s="860"/>
      <c r="AC150" s="860"/>
      <c r="AD150" s="860"/>
      <c r="AE150" s="860"/>
      <c r="AF150" s="860"/>
      <c r="AG150" s="860"/>
      <c r="AH150" s="860"/>
      <c r="AI150" s="860" t="s">
        <v>6919</v>
      </c>
      <c r="AJ150" s="862"/>
      <c r="AK150" s="860"/>
      <c r="AL150" s="860"/>
      <c r="AM150" s="860"/>
      <c r="AN150" s="860"/>
      <c r="AO150" s="860"/>
      <c r="AP150" s="862"/>
      <c r="AQ150" s="862"/>
      <c r="AR150" s="860"/>
      <c r="AS150" s="860"/>
      <c r="AT150" s="860"/>
      <c r="AU150" s="860"/>
      <c r="AV150" s="860"/>
      <c r="AW150" s="860"/>
      <c r="AX150" s="860"/>
      <c r="AY150" s="890"/>
      <c r="AZ150" s="860"/>
      <c r="BA150" s="860"/>
      <c r="BB150" s="860" t="s">
        <v>6920</v>
      </c>
      <c r="BC150" s="860"/>
      <c r="BD150" s="860"/>
      <c r="BE150" s="860"/>
      <c r="BF150" s="890"/>
      <c r="BG150" s="860"/>
      <c r="BH150" s="890"/>
      <c r="BI150" s="890"/>
      <c r="BJ150" s="890"/>
      <c r="BK150" s="890"/>
      <c r="BL150" s="890"/>
      <c r="BM150" s="890"/>
      <c r="BN150" s="890"/>
      <c r="BO150" s="890"/>
    </row>
    <row r="151" ht="15.75" customHeight="1">
      <c r="A151" s="893"/>
      <c r="B151" s="894" t="s">
        <v>6921</v>
      </c>
      <c r="C151" s="859" t="s">
        <v>6922</v>
      </c>
      <c r="D151" s="866"/>
      <c r="E151" s="866"/>
      <c r="F151" s="892"/>
      <c r="G151" s="766"/>
      <c r="H151" s="866"/>
      <c r="I151" s="866"/>
      <c r="J151" s="866"/>
      <c r="K151" s="866" t="s">
        <v>6923</v>
      </c>
      <c r="L151" s="866"/>
      <c r="M151" s="866"/>
      <c r="N151" s="866"/>
      <c r="O151" s="866" t="s">
        <v>6922</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6924</v>
      </c>
      <c r="C152" s="749" t="s">
        <v>6925</v>
      </c>
      <c r="D152" s="799" t="s">
        <v>1598</v>
      </c>
      <c r="E152" s="753" t="s">
        <v>382</v>
      </c>
      <c r="F152" s="770" t="s">
        <v>2705</v>
      </c>
      <c r="G152" s="766"/>
      <c r="H152" s="753" t="s">
        <v>6925</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6926</v>
      </c>
      <c r="BH152" s="890"/>
      <c r="BI152" s="890"/>
      <c r="BJ152" s="890"/>
      <c r="BK152" s="890"/>
      <c r="BL152" s="890"/>
      <c r="BM152" s="890"/>
      <c r="BN152" s="890"/>
      <c r="BO152" s="890"/>
    </row>
    <row r="153" ht="15.75" customHeight="1">
      <c r="A153" s="893"/>
      <c r="B153" s="894" t="s">
        <v>6927</v>
      </c>
      <c r="C153" s="749" t="s">
        <v>3649</v>
      </c>
      <c r="D153" s="769" t="s">
        <v>1597</v>
      </c>
      <c r="E153" s="866"/>
      <c r="F153" s="892"/>
      <c r="G153" s="753" t="s">
        <v>1301</v>
      </c>
      <c r="H153" s="866"/>
      <c r="I153" s="866"/>
      <c r="J153" s="866"/>
      <c r="K153" s="866"/>
      <c r="L153" s="866"/>
      <c r="M153" s="866" t="s">
        <v>6928</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6929</v>
      </c>
      <c r="B154" s="902" t="s">
        <v>6912</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6921</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6930</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6931</v>
      </c>
      <c r="C157" s="749" t="s">
        <v>2592</v>
      </c>
      <c r="D157" s="907" t="s">
        <v>6932</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6933</v>
      </c>
      <c r="C158" s="749" t="s">
        <v>1436</v>
      </c>
      <c r="D158" s="907"/>
      <c r="E158" s="907"/>
      <c r="F158" s="892"/>
      <c r="G158" s="753" t="s">
        <v>6934</v>
      </c>
      <c r="H158" s="907" t="s">
        <v>6935</v>
      </c>
      <c r="I158" s="907" t="s">
        <v>286</v>
      </c>
      <c r="J158" s="907"/>
      <c r="K158" s="907"/>
      <c r="L158" s="907"/>
      <c r="M158" s="860" t="s">
        <v>4775</v>
      </c>
      <c r="N158" s="907"/>
      <c r="O158" s="907"/>
      <c r="P158" s="861"/>
      <c r="Q158" s="907"/>
      <c r="R158" s="907"/>
      <c r="S158" s="753" t="s">
        <v>6467</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6936</v>
      </c>
      <c r="B159" s="902" t="s">
        <v>6937</v>
      </c>
      <c r="C159" s="859" t="s">
        <v>6938</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6939</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6940</v>
      </c>
      <c r="B161" s="902" t="s">
        <v>6941</v>
      </c>
      <c r="C161" s="749" t="s">
        <v>6942</v>
      </c>
      <c r="D161" s="907"/>
      <c r="E161" s="907"/>
      <c r="F161" s="780" t="s">
        <v>6943</v>
      </c>
      <c r="G161" s="753" t="s">
        <v>6944</v>
      </c>
      <c r="H161" s="860" t="s">
        <v>6945</v>
      </c>
      <c r="I161" s="907" t="s">
        <v>6946</v>
      </c>
      <c r="J161" s="907"/>
      <c r="K161" s="907"/>
      <c r="L161" s="907"/>
      <c r="M161" s="860" t="s">
        <v>1328</v>
      </c>
      <c r="N161" s="907"/>
      <c r="O161" s="907"/>
      <c r="P161" s="861"/>
      <c r="Q161" s="907"/>
      <c r="R161" s="907"/>
      <c r="S161" s="753" t="s">
        <v>6942</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6947</v>
      </c>
      <c r="C162" s="859" t="s">
        <v>6948</v>
      </c>
      <c r="D162" s="907"/>
      <c r="E162" s="907"/>
      <c r="F162" s="899" t="s">
        <v>6949</v>
      </c>
      <c r="G162" s="766"/>
      <c r="H162" s="860" t="s">
        <v>6950</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6951</v>
      </c>
      <c r="C163" s="859" t="s">
        <v>6952</v>
      </c>
      <c r="D163" s="907"/>
      <c r="E163" s="907"/>
      <c r="F163" s="780" t="s">
        <v>6953</v>
      </c>
      <c r="G163" s="766"/>
      <c r="H163" s="860" t="s">
        <v>6952</v>
      </c>
      <c r="I163" s="907" t="s">
        <v>6954</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6955</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6725</v>
      </c>
      <c r="B165" s="908" t="s">
        <v>6956</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6957</v>
      </c>
      <c r="C166" s="859" t="s">
        <v>2443</v>
      </c>
      <c r="D166" s="758" t="s">
        <v>1599</v>
      </c>
      <c r="E166" s="860" t="s">
        <v>6958</v>
      </c>
      <c r="F166" s="780" t="s">
        <v>6959</v>
      </c>
      <c r="G166" s="766"/>
      <c r="H166" s="860" t="s">
        <v>6960</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6729</v>
      </c>
      <c r="B167" s="908" t="s">
        <v>6961</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6636</v>
      </c>
      <c r="B168" s="902" t="s">
        <v>6615</v>
      </c>
      <c r="C168" s="859" t="s">
        <v>6962</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6963</v>
      </c>
      <c r="B169" s="908" t="s">
        <v>6964</v>
      </c>
      <c r="C169" s="859" t="s">
        <v>6965</v>
      </c>
      <c r="D169" s="866" t="s">
        <v>6042</v>
      </c>
      <c r="E169" s="866"/>
      <c r="F169" s="752"/>
      <c r="G169" s="766"/>
      <c r="H169" s="866"/>
      <c r="I169" s="866"/>
      <c r="J169" s="866"/>
      <c r="K169" s="866" t="s">
        <v>6294</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6966</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6734</v>
      </c>
      <c r="B171" s="902" t="s">
        <v>6964</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6966</v>
      </c>
      <c r="C172" s="909" t="s">
        <v>6967</v>
      </c>
      <c r="D172" s="909" t="s">
        <v>6967</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6737</v>
      </c>
      <c r="B173" s="908" t="s">
        <v>6615</v>
      </c>
      <c r="C173" s="859" t="s">
        <v>1530</v>
      </c>
      <c r="D173" s="803" t="s">
        <v>1600</v>
      </c>
      <c r="E173" s="860" t="s">
        <v>6968</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6734</v>
      </c>
      <c r="B174" s="898" t="s">
        <v>6615</v>
      </c>
      <c r="C174" s="804" t="s">
        <v>6969</v>
      </c>
      <c r="D174" s="805" t="s">
        <v>6969</v>
      </c>
      <c r="E174" s="860"/>
      <c r="F174" s="752"/>
      <c r="G174" s="766"/>
      <c r="H174" s="860"/>
      <c r="I174" s="860"/>
      <c r="J174" s="860"/>
      <c r="K174" s="860"/>
      <c r="L174" s="860"/>
      <c r="M174" s="860"/>
      <c r="N174" s="860"/>
      <c r="O174" s="860"/>
      <c r="P174" s="861"/>
      <c r="Q174" s="860"/>
      <c r="R174" s="860"/>
      <c r="S174" s="860"/>
      <c r="T174" s="860"/>
      <c r="U174" s="753" t="s">
        <v>6970</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6615</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6971</v>
      </c>
      <c r="B177" s="917" t="s">
        <v>6972</v>
      </c>
      <c r="C177" s="859" t="s">
        <v>6973</v>
      </c>
      <c r="D177" s="755" t="s">
        <v>6943</v>
      </c>
      <c r="E177" s="758" t="s">
        <v>6974</v>
      </c>
      <c r="F177" s="780" t="s">
        <v>6975</v>
      </c>
      <c r="G177" s="753" t="s">
        <v>6976</v>
      </c>
      <c r="H177" s="755" t="s">
        <v>6974</v>
      </c>
      <c r="I177" s="758"/>
      <c r="J177" s="758" t="s">
        <v>6977</v>
      </c>
      <c r="K177" s="758" t="s">
        <v>6978</v>
      </c>
      <c r="L177" s="758" t="s">
        <v>6975</v>
      </c>
      <c r="M177" s="758" t="s">
        <v>6975</v>
      </c>
      <c r="N177" s="758"/>
      <c r="O177" s="758"/>
      <c r="P177" s="756" t="s">
        <v>6974</v>
      </c>
      <c r="Q177" s="758"/>
      <c r="R177" s="758" t="s">
        <v>2244</v>
      </c>
      <c r="S177" s="758" t="s">
        <v>6979</v>
      </c>
      <c r="T177" s="758"/>
      <c r="U177" s="758"/>
      <c r="V177" s="758"/>
      <c r="W177" s="758"/>
      <c r="X177" s="758"/>
      <c r="Y177" s="758"/>
      <c r="Z177" s="758"/>
      <c r="AA177" s="758"/>
      <c r="AB177" s="758" t="s">
        <v>6945</v>
      </c>
      <c r="AC177" s="758" t="s">
        <v>6976</v>
      </c>
      <c r="AD177" s="758"/>
      <c r="AE177" s="758"/>
      <c r="AF177" s="758" t="s">
        <v>6973</v>
      </c>
      <c r="AG177" s="758"/>
      <c r="AH177" s="758"/>
      <c r="AI177" s="758"/>
      <c r="AJ177" s="819"/>
      <c r="AK177" s="758"/>
      <c r="AL177" s="758" t="s">
        <v>6978</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6980</v>
      </c>
      <c r="C178" s="859" t="s">
        <v>6981</v>
      </c>
      <c r="D178" s="758"/>
      <c r="E178" s="758" t="s">
        <v>6977</v>
      </c>
      <c r="F178" s="921"/>
      <c r="G178" s="766"/>
      <c r="H178" s="758" t="s">
        <v>6981</v>
      </c>
      <c r="I178" s="758"/>
      <c r="J178" s="758"/>
      <c r="K178" s="758"/>
      <c r="L178" s="758"/>
      <c r="M178" s="758"/>
      <c r="N178" s="758"/>
      <c r="O178" s="758"/>
      <c r="P178" s="756" t="s">
        <v>6982</v>
      </c>
      <c r="Q178" s="758"/>
      <c r="R178" s="758"/>
      <c r="S178" s="758"/>
      <c r="T178" s="758" t="s">
        <v>6977</v>
      </c>
      <c r="U178" s="758"/>
      <c r="V178" s="758"/>
      <c r="W178" s="758"/>
      <c r="X178" s="758"/>
      <c r="Y178" s="758"/>
      <c r="Z178" s="758" t="s">
        <v>6974</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6983</v>
      </c>
      <c r="B179" s="917" t="s">
        <v>6615</v>
      </c>
      <c r="C179" s="859" t="s">
        <v>1860</v>
      </c>
      <c r="D179" s="755" t="s">
        <v>5358</v>
      </c>
      <c r="E179" s="758" t="s">
        <v>6193</v>
      </c>
      <c r="F179" s="780" t="s">
        <v>2986</v>
      </c>
      <c r="G179" s="753" t="s">
        <v>6984</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6631</v>
      </c>
      <c r="B180" s="923" t="s">
        <v>6615</v>
      </c>
      <c r="C180" s="859" t="s">
        <v>6985</v>
      </c>
      <c r="D180" s="842"/>
      <c r="E180" s="842" t="s">
        <v>6986</v>
      </c>
      <c r="F180" s="924" t="s">
        <v>6987</v>
      </c>
      <c r="G180" s="766"/>
      <c r="H180" s="758" t="s">
        <v>6985</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6616</v>
      </c>
      <c r="B181" s="925" t="s">
        <v>6988</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6989</v>
      </c>
      <c r="C182" s="859" t="s">
        <v>6990</v>
      </c>
      <c r="D182" s="758" t="s">
        <v>6991</v>
      </c>
      <c r="E182" s="758" t="s">
        <v>6990</v>
      </c>
      <c r="F182" s="770" t="s">
        <v>1263</v>
      </c>
      <c r="G182" s="753" t="s">
        <v>1307</v>
      </c>
      <c r="H182" s="758" t="s">
        <v>5621</v>
      </c>
      <c r="I182" s="758"/>
      <c r="J182" s="758" t="s">
        <v>610</v>
      </c>
      <c r="K182" s="758" t="s">
        <v>355</v>
      </c>
      <c r="L182" s="758"/>
      <c r="M182" s="758"/>
      <c r="N182" s="758" t="s">
        <v>2500</v>
      </c>
      <c r="O182" s="758" t="s">
        <v>6992</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6631</v>
      </c>
      <c r="B183" s="927" t="s">
        <v>6993</v>
      </c>
      <c r="C183" s="859" t="s">
        <v>6994</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6995</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6996</v>
      </c>
      <c r="C184" s="859" t="s">
        <v>6997</v>
      </c>
      <c r="D184" s="758" t="s">
        <v>1602</v>
      </c>
      <c r="E184" s="758" t="s">
        <v>6997</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6998</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6999</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7000</v>
      </c>
      <c r="B186" s="927" t="s">
        <v>6773</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7001</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7002</v>
      </c>
      <c r="B188" s="927" t="s">
        <v>6773</v>
      </c>
      <c r="C188" s="859" t="s">
        <v>7003</v>
      </c>
      <c r="D188" s="926"/>
      <c r="E188" s="926"/>
      <c r="F188" s="924" t="s">
        <v>7004</v>
      </c>
      <c r="G188" s="766"/>
      <c r="H188" s="926" t="s">
        <v>7003</v>
      </c>
      <c r="I188" s="926"/>
      <c r="J188" s="926" t="s">
        <v>7005</v>
      </c>
      <c r="K188" s="926"/>
      <c r="L188" s="926"/>
      <c r="M188" s="926"/>
      <c r="N188" s="926"/>
      <c r="O188" s="926"/>
      <c r="P188" s="783"/>
      <c r="Q188" s="926"/>
      <c r="R188" s="926"/>
      <c r="S188" s="926"/>
      <c r="T188" s="926"/>
      <c r="U188" s="926"/>
      <c r="V188" s="926"/>
      <c r="W188" s="926"/>
      <c r="X188" s="926" t="s">
        <v>6987</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7001</v>
      </c>
      <c r="C189" s="859" t="s">
        <v>7006</v>
      </c>
      <c r="D189" s="755" t="s">
        <v>7007</v>
      </c>
      <c r="E189" s="754" t="s">
        <v>7006</v>
      </c>
      <c r="F189" s="752"/>
      <c r="G189" s="766"/>
      <c r="H189" s="755" t="s">
        <v>7006</v>
      </c>
      <c r="I189" s="755"/>
      <c r="J189" s="755"/>
      <c r="K189" s="755"/>
      <c r="L189" s="755"/>
      <c r="M189" s="755"/>
      <c r="N189" s="755"/>
      <c r="O189" s="755"/>
      <c r="P189" s="756"/>
      <c r="Q189" s="755"/>
      <c r="R189" s="755"/>
      <c r="S189" s="755"/>
      <c r="T189" s="755"/>
      <c r="U189" s="755"/>
      <c r="V189" s="755"/>
      <c r="W189" s="755"/>
      <c r="X189" s="755"/>
      <c r="Y189" s="754" t="s">
        <v>7006</v>
      </c>
      <c r="Z189" s="755"/>
      <c r="AA189" s="755"/>
      <c r="AB189" s="755"/>
      <c r="AC189" s="755"/>
      <c r="AD189" s="755"/>
      <c r="AE189" s="755"/>
      <c r="AF189" s="755"/>
      <c r="AG189" s="755" t="s">
        <v>7008</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6643</v>
      </c>
      <c r="B190" s="925" t="s">
        <v>7009</v>
      </c>
      <c r="C190" s="859" t="s">
        <v>2578</v>
      </c>
      <c r="D190" s="926"/>
      <c r="E190" s="926"/>
      <c r="F190" s="921"/>
      <c r="G190" s="753" t="s">
        <v>7010</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7011</v>
      </c>
      <c r="C191" s="859" t="s">
        <v>822</v>
      </c>
      <c r="D191" s="926" t="s">
        <v>3499</v>
      </c>
      <c r="E191" s="926"/>
      <c r="F191" s="780" t="s">
        <v>2192</v>
      </c>
      <c r="G191" s="766"/>
      <c r="H191" s="926"/>
      <c r="I191" s="926" t="s">
        <v>5814</v>
      </c>
      <c r="J191" s="926"/>
      <c r="K191" s="926" t="s">
        <v>3351</v>
      </c>
      <c r="L191" s="926"/>
      <c r="M191" s="926"/>
      <c r="N191" s="926" t="s">
        <v>7012</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7013</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6387</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6631</v>
      </c>
      <c r="B193" s="927" t="s">
        <v>7014</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7015</v>
      </c>
      <c r="C194" s="859" t="s">
        <v>6953</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7016</v>
      </c>
      <c r="C195" s="859" t="s">
        <v>7017</v>
      </c>
      <c r="D195" s="926" t="s">
        <v>1555</v>
      </c>
      <c r="E195" s="926"/>
      <c r="F195" s="794" t="s">
        <v>7018</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7019</v>
      </c>
      <c r="C196" s="859" t="s">
        <v>2244</v>
      </c>
      <c r="D196" s="801" t="s">
        <v>7020</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6779</v>
      </c>
      <c r="B197" s="937" t="s">
        <v>7021</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7022</v>
      </c>
      <c r="C198" s="859" t="s">
        <v>5292</v>
      </c>
      <c r="D198" s="926" t="s">
        <v>3420</v>
      </c>
      <c r="E198" s="926"/>
      <c r="F198" s="924" t="s">
        <v>659</v>
      </c>
      <c r="G198" s="753" t="s">
        <v>6559</v>
      </c>
      <c r="H198" s="926"/>
      <c r="I198" s="926"/>
      <c r="J198" s="926"/>
      <c r="K198" s="926" t="s">
        <v>5582</v>
      </c>
      <c r="L198" s="926" t="s">
        <v>177</v>
      </c>
      <c r="M198" s="926"/>
      <c r="N198" s="926" t="s">
        <v>4643</v>
      </c>
      <c r="O198" s="926"/>
      <c r="P198" s="783"/>
      <c r="Q198" s="926"/>
      <c r="R198" s="926"/>
      <c r="S198" s="926"/>
      <c r="T198" s="926" t="s">
        <v>3440</v>
      </c>
      <c r="U198" s="926"/>
      <c r="V198" s="926" t="s">
        <v>7023</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7024</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7025</v>
      </c>
      <c r="C200" s="859" t="s">
        <v>366</v>
      </c>
      <c r="D200" s="755" t="s">
        <v>5725</v>
      </c>
      <c r="E200" s="754" t="s">
        <v>366</v>
      </c>
      <c r="F200" s="930" t="s">
        <v>7026</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7027</v>
      </c>
      <c r="C201" s="859" t="s">
        <v>946</v>
      </c>
      <c r="D201" s="758" t="s">
        <v>1603</v>
      </c>
      <c r="E201" s="801"/>
      <c r="F201" s="794" t="s">
        <v>2707</v>
      </c>
      <c r="G201" s="753" t="s">
        <v>1309</v>
      </c>
      <c r="H201" s="860" t="s">
        <v>7028</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6631</v>
      </c>
      <c r="B202" s="927" t="s">
        <v>7021</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7029</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7030</v>
      </c>
      <c r="BE202" s="801"/>
      <c r="BF202" s="918"/>
      <c r="BG202" s="801"/>
      <c r="BH202" s="918"/>
      <c r="BI202" s="918"/>
      <c r="BJ202" s="918"/>
      <c r="BK202" s="918"/>
      <c r="BL202" s="918"/>
      <c r="BM202" s="918"/>
      <c r="BN202" s="918"/>
      <c r="BO202" s="918"/>
    </row>
    <row r="203" ht="15.75" customHeight="1">
      <c r="A203" s="919"/>
      <c r="B203" s="920" t="s">
        <v>7022</v>
      </c>
      <c r="C203" s="859" t="s">
        <v>7031</v>
      </c>
      <c r="D203" s="801" t="s">
        <v>328</v>
      </c>
      <c r="E203" s="801" t="s">
        <v>3761</v>
      </c>
      <c r="F203" s="924" t="s">
        <v>4944</v>
      </c>
      <c r="G203" s="753" t="s">
        <v>6528</v>
      </c>
      <c r="H203" s="801"/>
      <c r="I203" s="801" t="s">
        <v>7032</v>
      </c>
      <c r="J203" s="801"/>
      <c r="K203" s="801"/>
      <c r="L203" s="801" t="s">
        <v>3761</v>
      </c>
      <c r="M203" s="801"/>
      <c r="N203" s="801" t="s">
        <v>7033</v>
      </c>
      <c r="O203" s="801"/>
      <c r="P203" s="802" t="s">
        <v>3787</v>
      </c>
      <c r="Q203" s="801"/>
      <c r="R203" s="799" t="s">
        <v>7034</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7024</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7025</v>
      </c>
      <c r="C205" s="859" t="s">
        <v>2784</v>
      </c>
      <c r="D205" s="758" t="s">
        <v>544</v>
      </c>
      <c r="E205" s="758" t="s">
        <v>2784</v>
      </c>
      <c r="F205" s="780" t="s">
        <v>7035</v>
      </c>
      <c r="G205" s="766"/>
      <c r="H205" s="758"/>
      <c r="I205" s="758" t="s">
        <v>1467</v>
      </c>
      <c r="J205" s="758" t="s">
        <v>7035</v>
      </c>
      <c r="K205" s="758" t="s">
        <v>4222</v>
      </c>
      <c r="L205" s="758"/>
      <c r="M205" s="758" t="s">
        <v>7036</v>
      </c>
      <c r="N205" s="758" t="s">
        <v>4478</v>
      </c>
      <c r="O205" s="758" t="s">
        <v>4816</v>
      </c>
      <c r="P205" s="754" t="s">
        <v>6183</v>
      </c>
      <c r="Q205" s="758"/>
      <c r="R205" s="754" t="s">
        <v>5772</v>
      </c>
      <c r="S205" s="758"/>
      <c r="T205" s="758"/>
      <c r="U205" s="758"/>
      <c r="V205" s="758"/>
      <c r="W205" s="758" t="s">
        <v>2528</v>
      </c>
      <c r="X205" s="758" t="s">
        <v>7037</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7027</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6636</v>
      </c>
      <c r="B207" s="927" t="s">
        <v>6615</v>
      </c>
      <c r="C207" s="859" t="s">
        <v>897</v>
      </c>
      <c r="D207" s="755" t="s">
        <v>5967</v>
      </c>
      <c r="E207" s="754" t="s">
        <v>380</v>
      </c>
      <c r="F207" s="780" t="s">
        <v>1015</v>
      </c>
      <c r="G207" s="753" t="s">
        <v>7038</v>
      </c>
      <c r="H207" s="755" t="s">
        <v>2242</v>
      </c>
      <c r="I207" s="755"/>
      <c r="J207" s="755"/>
      <c r="K207" s="755"/>
      <c r="L207" s="755" t="s">
        <v>7039</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7040</v>
      </c>
      <c r="B208" s="927" t="s">
        <v>6615</v>
      </c>
      <c r="C208" s="859" t="s">
        <v>7041</v>
      </c>
      <c r="D208" s="755"/>
      <c r="E208" s="754" t="s">
        <v>7041</v>
      </c>
      <c r="F208" s="930" t="s">
        <v>7042</v>
      </c>
      <c r="G208" s="766"/>
      <c r="H208" s="755" t="s">
        <v>7043</v>
      </c>
      <c r="I208" s="755"/>
      <c r="J208" s="755" t="s">
        <v>7044</v>
      </c>
      <c r="K208" s="755"/>
      <c r="L208" s="755"/>
      <c r="M208" s="755"/>
      <c r="N208" s="755"/>
      <c r="O208" s="754" t="s">
        <v>7041</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6851</v>
      </c>
      <c r="B209" s="925" t="s">
        <v>7045</v>
      </c>
      <c r="C209" s="859" t="s">
        <v>7046</v>
      </c>
      <c r="D209" s="758" t="s">
        <v>1605</v>
      </c>
      <c r="E209" s="758" t="s">
        <v>7046</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6636</v>
      </c>
      <c r="B210" s="927" t="s">
        <v>6615</v>
      </c>
      <c r="C210" s="779" t="s">
        <v>7047</v>
      </c>
      <c r="D210" s="758" t="s">
        <v>3382</v>
      </c>
      <c r="E210" s="758" t="s">
        <v>4432</v>
      </c>
      <c r="F210" s="780" t="s">
        <v>7047</v>
      </c>
      <c r="G210" s="753" t="s">
        <v>972</v>
      </c>
      <c r="H210" s="758" t="s">
        <v>1054</v>
      </c>
      <c r="I210" s="758"/>
      <c r="J210" s="758"/>
      <c r="K210" s="758"/>
      <c r="L210" s="758" t="s">
        <v>313</v>
      </c>
      <c r="M210" s="758"/>
      <c r="N210" s="758"/>
      <c r="O210" s="758"/>
      <c r="P210" s="756"/>
      <c r="Q210" s="758"/>
      <c r="R210" s="758"/>
      <c r="S210" s="758" t="s">
        <v>7048</v>
      </c>
      <c r="T210" s="758"/>
      <c r="U210" s="758"/>
      <c r="V210" s="758"/>
      <c r="W210" s="758" t="s">
        <v>7049</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6687</v>
      </c>
      <c r="B211" s="925" t="s">
        <v>7050</v>
      </c>
      <c r="C211" s="941" t="s">
        <v>5758</v>
      </c>
      <c r="D211" s="926"/>
      <c r="E211" s="926"/>
      <c r="F211" s="930" t="s">
        <v>6405</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6885</v>
      </c>
      <c r="D212" s="926"/>
      <c r="E212" s="926"/>
      <c r="F212" s="752"/>
      <c r="G212" s="766"/>
      <c r="H212" s="926" t="s">
        <v>6885</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6725</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6729</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6963</v>
      </c>
      <c r="B216" s="925" t="s">
        <v>6615</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6734</v>
      </c>
      <c r="B217" s="927" t="s">
        <v>6615</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6829</v>
      </c>
      <c r="B220" s="925" t="s">
        <v>6615</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6734</v>
      </c>
      <c r="B221" s="927" t="s">
        <v>6615</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6614</v>
      </c>
      <c r="B224" s="951" t="s">
        <v>6615</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6834</v>
      </c>
      <c r="B225" s="951" t="s">
        <v>7073</v>
      </c>
      <c r="C225" s="859" t="s">
        <v>1625</v>
      </c>
      <c r="D225" s="758" t="s">
        <v>1611</v>
      </c>
      <c r="E225" s="860" t="s">
        <v>1625</v>
      </c>
      <c r="F225" s="797" t="s">
        <v>796</v>
      </c>
      <c r="G225" s="753" t="s">
        <v>2975</v>
      </c>
      <c r="H225" s="860" t="s">
        <v>2178</v>
      </c>
      <c r="I225" s="860" t="s">
        <v>1611</v>
      </c>
      <c r="J225" s="860" t="s">
        <v>6910</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6643</v>
      </c>
      <c r="B226" s="951" t="s">
        <v>6615</v>
      </c>
      <c r="C226" s="859" t="str">
        <f>HYPERLINK("https://www.youtube.com/watch?v=aWzlUqH0LaM","41.87")</f>
        <v>41.87</v>
      </c>
      <c r="D226" s="870"/>
      <c r="E226" s="866"/>
      <c r="F226" s="752"/>
      <c r="G226" s="753" t="s">
        <v>7074</v>
      </c>
      <c r="H226" s="860" t="s">
        <v>310</v>
      </c>
      <c r="I226" s="860" t="s">
        <v>1647</v>
      </c>
      <c r="J226" s="866"/>
      <c r="K226" s="860" t="s">
        <v>6516</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6779</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6283</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6631</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6636</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6944</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6944</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6851</v>
      </c>
      <c r="B237" s="951" t="s">
        <v>6615</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6615</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6687</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6125</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6751</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6631</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6636</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6725</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6822</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6615</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6737</v>
      </c>
      <c r="B256" s="951" t="s">
        <v>6732</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6734</v>
      </c>
      <c r="B257" s="979" t="s">
        <v>6732</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6615</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6614</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6414</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6616</v>
      </c>
      <c r="B270" s="987" t="s">
        <v>6615</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6772</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6665</v>
      </c>
      <c r="B275" s="987" t="s">
        <v>7158</v>
      </c>
      <c r="C275" s="859" t="s">
        <v>7159</v>
      </c>
      <c r="D275" s="860" t="s">
        <v>6785</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6846</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6851</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6631</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6636</v>
      </c>
      <c r="B280" s="1004" t="s">
        <v>6615</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6189</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6802</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6812</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6725</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6365</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6729</v>
      </c>
      <c r="B286" s="987" t="s">
        <v>6615</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6615</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6734</v>
      </c>
      <c r="B288" s="1004" t="s">
        <v>6615</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6868</v>
      </c>
      <c r="B289" s="987" t="s">
        <v>6835</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6839</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6615</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6261</v>
      </c>
      <c r="D301" s="860"/>
      <c r="E301" s="860" t="s">
        <v>6261</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7017</v>
      </c>
      <c r="D302" s="860"/>
      <c r="E302" s="860" t="s">
        <v>1413</v>
      </c>
      <c r="F302" s="823"/>
      <c r="G302" s="766"/>
      <c r="H302" s="860"/>
      <c r="I302" s="860" t="s">
        <v>7017</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6631</v>
      </c>
      <c r="B307" s="1021" t="s">
        <v>6732</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6671</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6523</v>
      </c>
      <c r="D317" s="866"/>
      <c r="E317" s="866"/>
      <c r="F317" s="752"/>
      <c r="G317" s="766"/>
      <c r="H317" s="866"/>
      <c r="I317" s="753" t="s">
        <v>6523</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6726</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6728</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6615</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6615</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6387</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6615</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6179</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6868</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6345</v>
      </c>
      <c r="BV4" s="1100"/>
      <c r="BW4" s="1096" t="s">
        <v>7354</v>
      </c>
      <c r="BX4" s="1071"/>
      <c r="BY4" s="1075" t="s">
        <v>3376</v>
      </c>
      <c r="BZ4" s="1101" t="s">
        <v>6114</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6594</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6823</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6435</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5878</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6708</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6105</v>
      </c>
      <c r="BD6" s="1155"/>
      <c r="BE6" s="1156" t="s">
        <v>7390</v>
      </c>
      <c r="BF6" s="1086"/>
      <c r="BG6" s="1157" t="s">
        <v>3254</v>
      </c>
      <c r="BH6" s="1128" t="s">
        <v>1308</v>
      </c>
      <c r="BI6" s="1158" t="s">
        <v>5827</v>
      </c>
      <c r="BJ6" s="1159"/>
      <c r="BK6" s="1128" t="s">
        <v>7391</v>
      </c>
      <c r="BL6" s="1131"/>
      <c r="BM6" s="1129" t="s">
        <v>7392</v>
      </c>
      <c r="BN6" s="1071"/>
      <c r="BO6" s="1135" t="s">
        <v>4076</v>
      </c>
      <c r="BP6" s="1134"/>
      <c r="BQ6" s="1160" t="s">
        <v>1774</v>
      </c>
      <c r="BR6" s="1134" t="s">
        <v>7393</v>
      </c>
      <c r="BS6" s="1133"/>
      <c r="BT6" s="1160" t="s">
        <v>2043</v>
      </c>
      <c r="BU6" s="1133"/>
      <c r="BV6" s="1134" t="s">
        <v>5886</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5861</v>
      </c>
      <c r="T7" s="1165" t="s">
        <v>5327</v>
      </c>
      <c r="U7" s="1165" t="s">
        <v>7399</v>
      </c>
      <c r="V7" s="1146" t="s">
        <v>7400</v>
      </c>
      <c r="W7" s="1071"/>
      <c r="X7" s="1149" t="s">
        <v>915</v>
      </c>
      <c r="Y7" s="1149" t="s">
        <v>7401</v>
      </c>
      <c r="Z7" s="1079" t="s">
        <v>6842</v>
      </c>
      <c r="AA7" s="1166" t="s">
        <v>7402</v>
      </c>
      <c r="AB7" s="1116" t="s">
        <v>4924</v>
      </c>
      <c r="AC7" s="1116" t="s">
        <v>5098</v>
      </c>
      <c r="AD7" s="1149" t="s">
        <v>4929</v>
      </c>
      <c r="AE7" s="1116" t="s">
        <v>6670</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6862</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6318</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6187</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6654</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6919</v>
      </c>
      <c r="R10" s="1112"/>
      <c r="S10" s="1112"/>
      <c r="T10" s="1196" t="s">
        <v>5771</v>
      </c>
      <c r="U10" s="1111"/>
      <c r="V10" s="1165" t="s">
        <v>7491</v>
      </c>
      <c r="W10" s="1071"/>
      <c r="X10" s="1079" t="s">
        <v>591</v>
      </c>
      <c r="Y10" s="1197" t="s">
        <v>6837</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6360</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6156</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6254</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505</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6144</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6583</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6618</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6934</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6162</v>
      </c>
      <c r="AX18" s="1118" t="s">
        <v>7684</v>
      </c>
      <c r="AY18" s="1118" t="s">
        <v>6289</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6695</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5859</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6821</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6592</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5861</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6410</v>
      </c>
      <c r="Y21" s="1167"/>
      <c r="Z21" s="1116" t="s">
        <v>4854</v>
      </c>
      <c r="AA21" s="1116" t="s">
        <v>7732</v>
      </c>
      <c r="AB21" s="1116" t="s">
        <v>2995</v>
      </c>
      <c r="AC21" s="1116" t="s">
        <v>1676</v>
      </c>
      <c r="AD21" s="1116" t="s">
        <v>6656</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6144</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6392</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6485</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6365</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6595</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6403</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6630</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6533</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6609</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6332</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6589</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6127</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6536</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6350</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6436</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6274</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6254</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6647</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6304</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6917</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5953</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6610</v>
      </c>
      <c r="B47" s="1065" t="s">
        <v>6187</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6187</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6254</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6611</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6389</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6208</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6520</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6833</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6254</v>
      </c>
      <c r="C3" s="1281" t="s">
        <v>547</v>
      </c>
      <c r="D3" s="1282" t="s">
        <v>547</v>
      </c>
      <c r="E3" s="1283" t="s">
        <v>438</v>
      </c>
      <c r="F3" s="1284" t="s">
        <v>440</v>
      </c>
      <c r="G3" s="1280" t="s">
        <v>440</v>
      </c>
      <c r="H3" s="1285"/>
      <c r="I3" s="1286"/>
      <c r="J3" s="1287"/>
      <c r="K3" s="1288"/>
      <c r="L3" s="1254"/>
      <c r="M3" s="1254"/>
      <c r="N3" s="1254"/>
      <c r="O3" s="1254"/>
      <c r="P3" s="1289"/>
      <c r="Q3" s="1290" t="s">
        <v>6248</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6356</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6954</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6986</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6727</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6545</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6583</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6379</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6607</v>
      </c>
      <c r="B3" s="1065" t="s">
        <v>8171</v>
      </c>
      <c r="C3" s="1061" t="s">
        <v>830</v>
      </c>
      <c r="D3" s="1062" t="s">
        <v>438</v>
      </c>
      <c r="E3" s="1063" t="s">
        <v>332</v>
      </c>
      <c r="F3" s="1064" t="s">
        <v>2722</v>
      </c>
      <c r="G3" s="1065" t="s">
        <v>3646</v>
      </c>
      <c r="H3" s="803" t="s">
        <v>8172</v>
      </c>
      <c r="I3" s="1295" t="s">
        <v>8173</v>
      </c>
      <c r="J3" s="803" t="s">
        <v>6533</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6583</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6592</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6633</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6897</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6606</v>
      </c>
      <c r="B6" s="1065" t="s">
        <v>8265</v>
      </c>
      <c r="C6" s="1061" t="s">
        <v>3278</v>
      </c>
      <c r="D6" s="1062" t="s">
        <v>830</v>
      </c>
      <c r="E6" s="1063" t="s">
        <v>440</v>
      </c>
      <c r="F6" s="1064" t="s">
        <v>7866</v>
      </c>
      <c r="G6" s="1065" t="s">
        <v>5918</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6210</v>
      </c>
      <c r="Y6" s="1296" t="s">
        <v>2538</v>
      </c>
      <c r="Z6" s="1254"/>
      <c r="AA6" s="1254"/>
      <c r="AB6" s="1254"/>
      <c r="AC6" s="1254"/>
      <c r="AD6" s="803" t="s">
        <v>8275</v>
      </c>
      <c r="AE6" s="1285"/>
      <c r="AF6" s="769" t="s">
        <v>466</v>
      </c>
      <c r="AG6" s="1285"/>
      <c r="AH6" s="1254"/>
      <c r="AI6" s="1254"/>
      <c r="AJ6" s="1290" t="s">
        <v>2218</v>
      </c>
      <c r="AK6" s="1296" t="s">
        <v>6166</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5893</v>
      </c>
      <c r="AL7" s="1298" t="s">
        <v>6371</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6359</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6187</v>
      </c>
      <c r="CO11" s="1346" t="s">
        <v>5722</v>
      </c>
      <c r="CP11" s="1346" t="s">
        <v>8308</v>
      </c>
      <c r="CQ11" s="1346" t="s">
        <v>8305</v>
      </c>
      <c r="CR11" s="1358"/>
      <c r="CS11" s="1358"/>
      <c r="CT11" s="1289"/>
      <c r="CU11" s="1254"/>
    </row>
    <row r="12">
      <c r="A12" s="1368" t="s">
        <v>6610</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5937</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6395</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6171</v>
      </c>
      <c r="AB13" s="1289"/>
      <c r="AC13" s="769" t="s">
        <v>2219</v>
      </c>
      <c r="AD13" s="769" t="s">
        <v>2299</v>
      </c>
      <c r="AE13" s="769" t="s">
        <v>6134</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6187</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6429</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6556</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6598</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5850</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6800</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5949</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6671</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6671</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6603</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6595</v>
      </c>
      <c r="B40" s="1065" t="s">
        <v>6187</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6208</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6447</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6593</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6550</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6520</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6259</v>
      </c>
      <c r="I2" s="1439" t="s">
        <v>8688</v>
      </c>
      <c r="J2" s="1440" t="s">
        <v>8689</v>
      </c>
      <c r="K2" s="1441" t="s">
        <v>8690</v>
      </c>
      <c r="L2" s="1441" t="s">
        <v>233</v>
      </c>
      <c r="M2" s="1441" t="s">
        <v>6232</v>
      </c>
      <c r="N2" s="1441" t="s">
        <v>4001</v>
      </c>
      <c r="O2" s="1441" t="s">
        <v>8691</v>
      </c>
      <c r="P2" s="1441" t="s">
        <v>1288</v>
      </c>
      <c r="Q2" s="1442" t="s">
        <v>8692</v>
      </c>
      <c r="R2" s="1443" t="s">
        <v>8693</v>
      </c>
      <c r="S2" s="1442" t="s">
        <v>6842</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6483</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5843</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6815</v>
      </c>
      <c r="AF3" s="1467" t="s">
        <v>8723</v>
      </c>
      <c r="AG3" s="1468" t="s">
        <v>3928</v>
      </c>
      <c r="AH3" s="1468" t="s">
        <v>8724</v>
      </c>
      <c r="AI3" s="1468" t="s">
        <v>8725</v>
      </c>
      <c r="AJ3" s="1467" t="s">
        <v>8726</v>
      </c>
      <c r="AK3" s="1468" t="s">
        <v>8727</v>
      </c>
      <c r="AL3" s="1468" t="s">
        <v>6201</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6280</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6621</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6259</v>
      </c>
      <c r="I5" s="1492" t="s">
        <v>8688</v>
      </c>
      <c r="J5" s="1495" t="s">
        <v>2077</v>
      </c>
      <c r="K5" s="1496" t="s">
        <v>4328</v>
      </c>
      <c r="L5" s="1493" t="s">
        <v>2309</v>
      </c>
      <c r="M5" s="1496" t="s">
        <v>6329</v>
      </c>
      <c r="N5" s="1497" t="s">
        <v>4001</v>
      </c>
      <c r="O5" s="1498" t="s">
        <v>8765</v>
      </c>
      <c r="P5" s="1499" t="s">
        <v>4172</v>
      </c>
      <c r="Q5" s="1497" t="s">
        <v>8692</v>
      </c>
      <c r="R5" s="1494" t="s">
        <v>8693</v>
      </c>
      <c r="S5" s="1497" t="s">
        <v>6842</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494" t="s">
        <v>8705</v>
      </c>
      <c r="AQ5" s="1494" t="s">
        <v>8706</v>
      </c>
      <c r="AR5" s="1285" t="s">
        <v>8770</v>
      </c>
      <c r="AS5" s="1498" t="s">
        <v>104</v>
      </c>
      <c r="AT5" s="1493" t="s">
        <v>8771</v>
      </c>
      <c r="AU5" s="1501" t="s">
        <v>8708</v>
      </c>
      <c r="AV5" s="1409" t="str">
        <f t="shared" si="1"/>
        <v>2:05</v>
      </c>
      <c r="AW5" s="1502" t="s">
        <v>8772</v>
      </c>
    </row>
    <row r="6" ht="15.75" customHeight="1">
      <c r="A6" s="1503" t="s">
        <v>436</v>
      </c>
      <c r="B6" s="1490" t="s">
        <v>8683</v>
      </c>
      <c r="C6" s="1504">
        <v>0.0493287037037037</v>
      </c>
      <c r="D6" s="1505" t="s">
        <v>8773</v>
      </c>
      <c r="E6" s="1506" t="s">
        <v>8774</v>
      </c>
      <c r="F6" s="1506" t="s">
        <v>8775</v>
      </c>
      <c r="G6" s="1506" t="s">
        <v>8776</v>
      </c>
      <c r="H6" s="1506" t="s">
        <v>8777</v>
      </c>
      <c r="I6" s="1507" t="s">
        <v>8778</v>
      </c>
      <c r="J6" s="1508" t="s">
        <v>8689</v>
      </c>
      <c r="K6" s="1506" t="s">
        <v>783</v>
      </c>
      <c r="L6" s="1506" t="s">
        <v>8779</v>
      </c>
      <c r="M6" s="1506" t="s">
        <v>8780</v>
      </c>
      <c r="N6" s="1506" t="s">
        <v>8781</v>
      </c>
      <c r="O6" s="1506" t="s">
        <v>8782</v>
      </c>
      <c r="P6" s="1508" t="s">
        <v>1288</v>
      </c>
      <c r="Q6" s="1499" t="s">
        <v>1575</v>
      </c>
      <c r="R6" s="1506" t="s">
        <v>4434</v>
      </c>
      <c r="S6" s="1506" t="s">
        <v>8689</v>
      </c>
      <c r="T6" s="1506" t="s">
        <v>5289</v>
      </c>
      <c r="U6" s="1499" t="s">
        <v>8783</v>
      </c>
      <c r="V6" s="1509" t="s">
        <v>8534</v>
      </c>
      <c r="W6" s="1506" t="s">
        <v>8784</v>
      </c>
      <c r="X6" s="1508" t="s">
        <v>8695</v>
      </c>
      <c r="Y6" s="1510">
        <v>46.72</v>
      </c>
      <c r="Z6" s="1510" t="s">
        <v>3597</v>
      </c>
      <c r="AA6" s="1506" t="s">
        <v>3609</v>
      </c>
      <c r="AB6" s="1508" t="s">
        <v>8697</v>
      </c>
      <c r="AC6" s="1506" t="s">
        <v>5456</v>
      </c>
      <c r="AD6" s="1506" t="s">
        <v>7587</v>
      </c>
      <c r="AE6" s="1511" t="s">
        <v>4782</v>
      </c>
      <c r="AF6" s="1510" t="s">
        <v>8785</v>
      </c>
      <c r="AG6" s="1509" t="s">
        <v>6122</v>
      </c>
      <c r="AH6" s="1508" t="s">
        <v>3780</v>
      </c>
      <c r="AI6" s="1506" t="s">
        <v>6021</v>
      </c>
      <c r="AJ6" s="1510" t="s">
        <v>8786</v>
      </c>
      <c r="AK6" s="1510" t="s">
        <v>5920</v>
      </c>
      <c r="AL6" s="1509" t="s">
        <v>6245</v>
      </c>
      <c r="AM6" s="1506" t="s">
        <v>8787</v>
      </c>
      <c r="AN6" s="1509" t="s">
        <v>3226</v>
      </c>
      <c r="AO6" s="1509" t="s">
        <v>2812</v>
      </c>
      <c r="AP6" s="1509" t="s">
        <v>8788</v>
      </c>
      <c r="AQ6" s="1409" t="s">
        <v>8789</v>
      </c>
      <c r="AR6" s="1509" t="s">
        <v>8790</v>
      </c>
      <c r="AS6" s="1509" t="s">
        <v>8791</v>
      </c>
      <c r="AT6" s="1509" t="s">
        <v>8792</v>
      </c>
      <c r="AU6" s="1512" t="s">
        <v>8793</v>
      </c>
      <c r="AV6" s="1409" t="str">
        <f t="shared" si="1"/>
        <v>2:15</v>
      </c>
      <c r="AW6" s="1502"/>
    </row>
    <row r="7" ht="15.75" customHeight="1">
      <c r="A7" s="1489" t="s">
        <v>6594</v>
      </c>
      <c r="B7" s="1490" t="s">
        <v>8683</v>
      </c>
      <c r="C7" s="1504">
        <v>0.049444444444444444</v>
      </c>
      <c r="D7" s="1498" t="s">
        <v>8794</v>
      </c>
      <c r="E7" s="1498" t="s">
        <v>8795</v>
      </c>
      <c r="F7" s="1507" t="s">
        <v>8796</v>
      </c>
      <c r="G7" s="1496" t="s">
        <v>8797</v>
      </c>
      <c r="H7" s="1507" t="s">
        <v>8798</v>
      </c>
      <c r="I7" s="1507" t="s">
        <v>2881</v>
      </c>
      <c r="J7" s="1498" t="s">
        <v>8799</v>
      </c>
      <c r="K7" s="1507" t="s">
        <v>3467</v>
      </c>
      <c r="L7" s="1507" t="s">
        <v>4174</v>
      </c>
      <c r="M7" s="1507" t="s">
        <v>6539</v>
      </c>
      <c r="N7" s="1498" t="s">
        <v>8800</v>
      </c>
      <c r="O7" s="1507" t="s">
        <v>8801</v>
      </c>
      <c r="P7" s="1409" t="s">
        <v>7163</v>
      </c>
      <c r="Q7" s="1498" t="s">
        <v>8802</v>
      </c>
      <c r="R7" s="1507" t="s">
        <v>7464</v>
      </c>
      <c r="S7" s="1507" t="s">
        <v>3424</v>
      </c>
      <c r="T7" s="1409" t="s">
        <v>8803</v>
      </c>
      <c r="U7" s="1507" t="s">
        <v>8804</v>
      </c>
      <c r="V7" s="1507" t="s">
        <v>5180</v>
      </c>
      <c r="W7" s="1513" t="s">
        <v>8805</v>
      </c>
      <c r="X7" s="1409" t="s">
        <v>2712</v>
      </c>
      <c r="Y7" s="1514" t="s">
        <v>8806</v>
      </c>
      <c r="Z7" s="1507" t="s">
        <v>7815</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8807</v>
      </c>
      <c r="AF7" s="1409" t="s">
        <v>8808</v>
      </c>
      <c r="AG7" s="1515" t="str">
        <f>HYPERLINK("https://www.twitch.tv/videos/566334947","1:28.73")</f>
        <v>1:28.73</v>
      </c>
      <c r="AH7" s="1507" t="s">
        <v>8809</v>
      </c>
      <c r="AI7" s="1516" t="str">
        <f>HYPERLINK("https://www.twitch.tv/videos/584107631","1:27.68")</f>
        <v>1:27.68</v>
      </c>
      <c r="AJ7" s="1409" t="s">
        <v>8810</v>
      </c>
      <c r="AK7" s="1507" t="s">
        <v>7395</v>
      </c>
      <c r="AL7" s="1507" t="s">
        <v>8811</v>
      </c>
      <c r="AM7" s="1498" t="s">
        <v>4524</v>
      </c>
      <c r="AN7" s="1498" t="s">
        <v>2655</v>
      </c>
      <c r="AO7" s="1498" t="s">
        <v>5940</v>
      </c>
      <c r="AP7" s="1507" t="s">
        <v>8812</v>
      </c>
      <c r="AQ7" s="1409" t="s">
        <v>8813</v>
      </c>
      <c r="AR7" s="1498" t="s">
        <v>8814</v>
      </c>
      <c r="AS7" s="787" t="str">
        <f>HYPERLINK("https://www.twitch.tv/videos/571767101","42.91")</f>
        <v>42.91</v>
      </c>
      <c r="AT7" s="1493" t="s">
        <v>8815</v>
      </c>
      <c r="AU7" s="1512" t="s">
        <v>8816</v>
      </c>
      <c r="AV7" s="1409" t="str">
        <f t="shared" si="1"/>
        <v>2:32</v>
      </c>
      <c r="AW7" s="1517" t="s">
        <v>8817</v>
      </c>
    </row>
    <row r="8" ht="15.75" customHeight="1">
      <c r="A8" s="1489" t="s">
        <v>1814</v>
      </c>
      <c r="B8" s="1490" t="s">
        <v>8683</v>
      </c>
      <c r="C8" s="1504">
        <v>0.04949074074074074</v>
      </c>
      <c r="D8" s="1518" t="s">
        <v>8818</v>
      </c>
      <c r="E8" s="1514" t="s">
        <v>8819</v>
      </c>
      <c r="F8" s="1514" t="s">
        <v>2133</v>
      </c>
      <c r="G8" s="1514" t="s">
        <v>8820</v>
      </c>
      <c r="H8" s="1498" t="s">
        <v>8821</v>
      </c>
      <c r="I8" s="1506">
        <v>47.34</v>
      </c>
      <c r="J8" s="1514" t="s">
        <v>1733</v>
      </c>
      <c r="K8" s="1514" t="s">
        <v>8822</v>
      </c>
      <c r="L8" s="1514">
        <v>55.97</v>
      </c>
      <c r="M8" s="1514" t="s">
        <v>1985</v>
      </c>
      <c r="N8" s="1514" t="s">
        <v>8823</v>
      </c>
      <c r="O8" s="1519" t="s">
        <v>8691</v>
      </c>
      <c r="P8" s="1514">
        <v>47.49</v>
      </c>
      <c r="Q8" s="1514" t="s">
        <v>8824</v>
      </c>
      <c r="R8" s="1514" t="s">
        <v>1231</v>
      </c>
      <c r="S8" s="1520" t="s">
        <v>1836</v>
      </c>
      <c r="T8" s="1514" t="s">
        <v>8825</v>
      </c>
      <c r="U8" s="1498" t="s">
        <v>8826</v>
      </c>
      <c r="V8" s="1514">
        <v>59.32</v>
      </c>
      <c r="W8" s="1518" t="s">
        <v>8827</v>
      </c>
      <c r="X8" s="1521" t="s">
        <v>8828</v>
      </c>
      <c r="Y8" s="1514">
        <v>46.65</v>
      </c>
      <c r="Z8" s="1514" t="s">
        <v>8829</v>
      </c>
      <c r="AA8" s="1514" t="s">
        <v>2493</v>
      </c>
      <c r="AB8" s="1514" t="s">
        <v>8830</v>
      </c>
      <c r="AC8" s="1514">
        <v>47.89</v>
      </c>
      <c r="AD8" s="1514" t="s">
        <v>1835</v>
      </c>
      <c r="AE8" s="1514">
        <v>47.98</v>
      </c>
      <c r="AF8" s="1521" t="s">
        <v>8831</v>
      </c>
      <c r="AG8" s="1514" t="s">
        <v>8832</v>
      </c>
      <c r="AH8" s="1514">
        <v>57.45</v>
      </c>
      <c r="AI8" s="1510" t="s">
        <v>7363</v>
      </c>
      <c r="AJ8" s="1522" t="s">
        <v>8769</v>
      </c>
      <c r="AK8" s="1514" t="s">
        <v>5424</v>
      </c>
      <c r="AL8" s="1514">
        <v>56.23</v>
      </c>
      <c r="AM8" s="1518" t="s">
        <v>3954</v>
      </c>
      <c r="AN8" s="1518" t="s">
        <v>8833</v>
      </c>
      <c r="AO8" s="1514" t="s">
        <v>8834</v>
      </c>
      <c r="AP8" s="1514" t="s">
        <v>8835</v>
      </c>
      <c r="AQ8" s="1514" t="s">
        <v>8836</v>
      </c>
      <c r="AR8" s="1514" t="s">
        <v>4492</v>
      </c>
      <c r="AS8" s="1514">
        <v>46.19</v>
      </c>
      <c r="AT8" s="1523" t="s">
        <v>8707</v>
      </c>
      <c r="AU8" s="1524" t="s">
        <v>8837</v>
      </c>
      <c r="AV8" s="1409" t="str">
        <f t="shared" si="1"/>
        <v>1:33</v>
      </c>
      <c r="AW8" s="1517" t="s">
        <v>8838</v>
      </c>
    </row>
    <row r="9" ht="15.75" customHeight="1">
      <c r="A9" s="1503" t="s">
        <v>330</v>
      </c>
      <c r="B9" s="1490" t="s">
        <v>8683</v>
      </c>
      <c r="C9" s="1504">
        <v>0.04957175925925926</v>
      </c>
      <c r="D9" s="1525" t="s">
        <v>8839</v>
      </c>
      <c r="E9" s="1506" t="s">
        <v>8840</v>
      </c>
      <c r="F9" s="1526" t="s">
        <v>8686</v>
      </c>
      <c r="G9" s="1509" t="s">
        <v>8841</v>
      </c>
      <c r="H9" s="1527" t="s">
        <v>5365</v>
      </c>
      <c r="I9" s="1509" t="s">
        <v>1392</v>
      </c>
      <c r="J9" s="842" t="s">
        <v>8842</v>
      </c>
      <c r="K9" s="1509" t="s">
        <v>6920</v>
      </c>
      <c r="L9" s="1508" t="s">
        <v>233</v>
      </c>
      <c r="M9" s="842" t="s">
        <v>8843</v>
      </c>
      <c r="N9" s="1506" t="s">
        <v>8844</v>
      </c>
      <c r="O9" s="842" t="s">
        <v>8845</v>
      </c>
      <c r="P9" s="1509" t="s">
        <v>6516</v>
      </c>
      <c r="Q9" s="1509" t="s">
        <v>8824</v>
      </c>
      <c r="R9" s="1509" t="s">
        <v>5570</v>
      </c>
      <c r="S9" s="1509" t="s">
        <v>8846</v>
      </c>
      <c r="T9" s="1509" t="s">
        <v>4010</v>
      </c>
      <c r="U9" s="1509" t="s">
        <v>6229</v>
      </c>
      <c r="V9" s="803" t="s">
        <v>8847</v>
      </c>
      <c r="W9" s="1528" t="s">
        <v>8848</v>
      </c>
      <c r="X9" s="1509" t="s">
        <v>8849</v>
      </c>
      <c r="Y9" s="1506">
        <v>46.63</v>
      </c>
      <c r="Z9" s="799" t="s">
        <v>306</v>
      </c>
      <c r="AA9" s="1506" t="s">
        <v>8850</v>
      </c>
      <c r="AB9" s="1508" t="s">
        <v>8697</v>
      </c>
      <c r="AC9" s="1509" t="s">
        <v>5454</v>
      </c>
      <c r="AD9" s="1509" t="s">
        <v>8851</v>
      </c>
      <c r="AE9" s="1510" t="s">
        <v>8852</v>
      </c>
      <c r="AF9" s="1506" t="s">
        <v>8853</v>
      </c>
      <c r="AG9" s="1514" t="s">
        <v>8854</v>
      </c>
      <c r="AH9" s="1509" t="s">
        <v>8855</v>
      </c>
      <c r="AI9" s="803" t="s">
        <v>8856</v>
      </c>
      <c r="AJ9" s="1510" t="s">
        <v>8857</v>
      </c>
      <c r="AK9" s="1509" t="s">
        <v>1301</v>
      </c>
      <c r="AL9" s="1509" t="s">
        <v>5153</v>
      </c>
      <c r="AM9" s="1509" t="s">
        <v>4010</v>
      </c>
      <c r="AN9" s="842" t="s">
        <v>8858</v>
      </c>
      <c r="AO9" s="1509" t="s">
        <v>8790</v>
      </c>
      <c r="AP9" s="1509" t="s">
        <v>8859</v>
      </c>
      <c r="AQ9" s="1509" t="s">
        <v>8860</v>
      </c>
      <c r="AR9" s="1509" t="s">
        <v>4612</v>
      </c>
      <c r="AS9" s="1509" t="s">
        <v>8861</v>
      </c>
      <c r="AT9" s="1495" t="s">
        <v>8862</v>
      </c>
      <c r="AU9" s="1529" t="s">
        <v>8863</v>
      </c>
      <c r="AV9" s="1409" t="str">
        <f t="shared" si="1"/>
        <v>2:59</v>
      </c>
      <c r="AW9" s="1530"/>
    </row>
    <row r="10">
      <c r="A10" s="1503" t="s">
        <v>6535</v>
      </c>
      <c r="B10" s="1531" t="s">
        <v>8683</v>
      </c>
      <c r="C10" s="1504">
        <v>0.04958333333333333</v>
      </c>
      <c r="D10" s="803" t="s">
        <v>8864</v>
      </c>
      <c r="E10" s="1514" t="s">
        <v>6480</v>
      </c>
      <c r="F10" s="1514" t="s">
        <v>8865</v>
      </c>
      <c r="G10" s="1514" t="s">
        <v>8866</v>
      </c>
      <c r="H10" s="1518" t="s">
        <v>8867</v>
      </c>
      <c r="I10" s="1518" t="s">
        <v>5678</v>
      </c>
      <c r="J10" s="1518" t="s">
        <v>150</v>
      </c>
      <c r="K10" s="1518" t="s">
        <v>7578</v>
      </c>
      <c r="L10" s="1514">
        <v>56.42</v>
      </c>
      <c r="M10" s="1514" t="s">
        <v>5187</v>
      </c>
      <c r="N10" s="1514" t="s">
        <v>8868</v>
      </c>
      <c r="O10" s="1518" t="s">
        <v>8869</v>
      </c>
      <c r="P10" s="1518" t="s">
        <v>280</v>
      </c>
      <c r="Q10" s="1518" t="s">
        <v>8870</v>
      </c>
      <c r="R10" s="1514" t="s">
        <v>8871</v>
      </c>
      <c r="S10" s="1518" t="s">
        <v>8872</v>
      </c>
      <c r="T10" s="1518" t="s">
        <v>4997</v>
      </c>
      <c r="U10" s="1518" t="s">
        <v>8873</v>
      </c>
      <c r="V10" s="1514">
        <v>59.45</v>
      </c>
      <c r="W10" s="1518" t="s">
        <v>8874</v>
      </c>
      <c r="X10" s="1518" t="s">
        <v>8875</v>
      </c>
      <c r="Y10" s="1518" t="s">
        <v>5105</v>
      </c>
      <c r="Z10" s="1514" t="s">
        <v>4168</v>
      </c>
      <c r="AA10" s="1514" t="s">
        <v>8876</v>
      </c>
      <c r="AB10" s="1514" t="s">
        <v>4579</v>
      </c>
      <c r="AC10" s="1518" t="s">
        <v>4887</v>
      </c>
      <c r="AD10" s="1518" t="s">
        <v>8877</v>
      </c>
      <c r="AE10" s="1514">
        <v>47.89</v>
      </c>
      <c r="AF10" s="1514" t="s">
        <v>8878</v>
      </c>
      <c r="AG10" s="1511" t="s">
        <v>8700</v>
      </c>
      <c r="AH10" s="1514">
        <v>57.71</v>
      </c>
      <c r="AI10" s="1518" t="s">
        <v>2190</v>
      </c>
      <c r="AJ10" s="1514" t="s">
        <v>8879</v>
      </c>
      <c r="AK10" s="1518" t="s">
        <v>7404</v>
      </c>
      <c r="AL10" s="1514">
        <v>56.69</v>
      </c>
      <c r="AM10" s="1518" t="s">
        <v>8880</v>
      </c>
      <c r="AN10" s="1518" t="s">
        <v>4129</v>
      </c>
      <c r="AO10" s="1518" t="s">
        <v>2865</v>
      </c>
      <c r="AP10" s="1514" t="s">
        <v>8881</v>
      </c>
      <c r="AQ10" s="1518" t="s">
        <v>8882</v>
      </c>
      <c r="AR10" s="1518" t="s">
        <v>8883</v>
      </c>
      <c r="AS10" s="1514">
        <v>43.65</v>
      </c>
      <c r="AT10" s="1518" t="s">
        <v>8884</v>
      </c>
      <c r="AU10" s="1512" t="s">
        <v>8885</v>
      </c>
      <c r="AV10" s="1409" t="str">
        <f t="shared" si="1"/>
        <v>1:34</v>
      </c>
      <c r="AW10" s="1532" t="s">
        <v>8886</v>
      </c>
    </row>
    <row r="11">
      <c r="A11" s="1533" t="s">
        <v>828</v>
      </c>
      <c r="B11" s="1534" t="s">
        <v>8683</v>
      </c>
      <c r="C11" s="1504">
        <v>0.049652777777777775</v>
      </c>
      <c r="D11" s="1509" t="s">
        <v>8887</v>
      </c>
      <c r="E11" s="1509" t="s">
        <v>8888</v>
      </c>
      <c r="F11" s="1509" t="s">
        <v>8889</v>
      </c>
      <c r="G11" s="1510" t="s">
        <v>8890</v>
      </c>
      <c r="H11" s="1509" t="s">
        <v>7773</v>
      </c>
      <c r="I11" s="1509" t="s">
        <v>8640</v>
      </c>
      <c r="J11" s="1506" t="s">
        <v>8891</v>
      </c>
      <c r="K11" s="1509" t="s">
        <v>8892</v>
      </c>
      <c r="L11" s="1509" t="s">
        <v>3373</v>
      </c>
      <c r="M11" s="1511" t="s">
        <v>6232</v>
      </c>
      <c r="N11" s="1509" t="s">
        <v>8893</v>
      </c>
      <c r="O11" s="1509" t="s">
        <v>8894</v>
      </c>
      <c r="P11" s="1509" t="s">
        <v>6134</v>
      </c>
      <c r="Q11" s="1509" t="s">
        <v>4776</v>
      </c>
      <c r="R11" s="1509" t="s">
        <v>8895</v>
      </c>
      <c r="S11" s="1498" t="s">
        <v>2755</v>
      </c>
      <c r="T11" s="1509" t="s">
        <v>8896</v>
      </c>
      <c r="U11" s="1509" t="s">
        <v>8897</v>
      </c>
      <c r="V11" s="1509" t="s">
        <v>5363</v>
      </c>
      <c r="W11" s="1509" t="s">
        <v>7411</v>
      </c>
      <c r="X11" s="1498" t="s">
        <v>8898</v>
      </c>
      <c r="Y11" s="1509" t="s">
        <v>8899</v>
      </c>
      <c r="Z11" s="1519" t="s">
        <v>8696</v>
      </c>
      <c r="AA11" s="1498" t="s">
        <v>8725</v>
      </c>
      <c r="AB11" s="1509" t="s">
        <v>8900</v>
      </c>
      <c r="AC11" s="1509" t="s">
        <v>4774</v>
      </c>
      <c r="AD11" s="1509" t="s">
        <v>5682</v>
      </c>
      <c r="AE11" s="1510">
        <v>47.81</v>
      </c>
      <c r="AF11" s="1509" t="s">
        <v>8901</v>
      </c>
      <c r="AG11" s="1509" t="s">
        <v>8902</v>
      </c>
      <c r="AH11" s="1509" t="s">
        <v>751</v>
      </c>
      <c r="AI11" s="1509" t="s">
        <v>940</v>
      </c>
      <c r="AJ11" s="1509" t="s">
        <v>8903</v>
      </c>
      <c r="AK11" s="1509" t="s">
        <v>8904</v>
      </c>
      <c r="AL11" s="1509" t="s">
        <v>8905</v>
      </c>
      <c r="AM11" s="1509" t="s">
        <v>4524</v>
      </c>
      <c r="AN11" s="1519" t="s">
        <v>8704</v>
      </c>
      <c r="AO11" s="1519" t="s">
        <v>6483</v>
      </c>
      <c r="AP11" s="1509" t="s">
        <v>8906</v>
      </c>
      <c r="AQ11" s="1509" t="s">
        <v>8907</v>
      </c>
      <c r="AR11" s="1519" t="s">
        <v>416</v>
      </c>
      <c r="AS11" s="1509" t="s">
        <v>3307</v>
      </c>
      <c r="AT11" s="1509" t="s">
        <v>3571</v>
      </c>
      <c r="AU11" s="1529" t="s">
        <v>8908</v>
      </c>
      <c r="AV11" s="1409" t="str">
        <f t="shared" si="1"/>
        <v>2:27</v>
      </c>
      <c r="AW11" s="1535" t="s">
        <v>8909</v>
      </c>
    </row>
    <row r="12" ht="15.75" customHeight="1">
      <c r="A12" s="1536" t="s">
        <v>6592</v>
      </c>
      <c r="B12" s="1490" t="s">
        <v>8683</v>
      </c>
      <c r="C12" s="1504">
        <v>0.04967592592592593</v>
      </c>
      <c r="D12" s="803" t="s">
        <v>8910</v>
      </c>
      <c r="E12" s="1507" t="s">
        <v>960</v>
      </c>
      <c r="F12" s="1507" t="s">
        <v>8911</v>
      </c>
      <c r="G12" s="1507" t="s">
        <v>8912</v>
      </c>
      <c r="H12" s="803" t="s">
        <v>8913</v>
      </c>
      <c r="I12" s="1507" t="s">
        <v>8914</v>
      </c>
      <c r="J12" s="1507" t="s">
        <v>8915</v>
      </c>
      <c r="K12" s="1507" t="s">
        <v>6454</v>
      </c>
      <c r="L12" s="1507" t="s">
        <v>4487</v>
      </c>
      <c r="M12" s="1507" t="s">
        <v>8496</v>
      </c>
      <c r="N12" s="1507" t="s">
        <v>2186</v>
      </c>
      <c r="O12" s="1507" t="s">
        <v>3321</v>
      </c>
      <c r="P12" s="1507" t="s">
        <v>8914</v>
      </c>
      <c r="Q12" s="1507" t="s">
        <v>8916</v>
      </c>
      <c r="R12" s="1507" t="s">
        <v>1231</v>
      </c>
      <c r="S12" s="1537" t="s">
        <v>8917</v>
      </c>
      <c r="T12" s="1507" t="s">
        <v>4854</v>
      </c>
      <c r="U12" s="1507" t="s">
        <v>8918</v>
      </c>
      <c r="V12" s="1507" t="s">
        <v>8919</v>
      </c>
      <c r="W12" s="1507" t="s">
        <v>8920</v>
      </c>
      <c r="X12" s="1507" t="s">
        <v>1053</v>
      </c>
      <c r="Y12" s="1507" t="s">
        <v>4349</v>
      </c>
      <c r="Z12" s="1507" t="s">
        <v>8921</v>
      </c>
      <c r="AA12" s="1507" t="s">
        <v>8922</v>
      </c>
      <c r="AB12" s="1507" t="s">
        <v>1844</v>
      </c>
      <c r="AC12" s="1507" t="s">
        <v>761</v>
      </c>
      <c r="AD12" s="1507" t="s">
        <v>8923</v>
      </c>
      <c r="AE12" s="1507" t="s">
        <v>6543</v>
      </c>
      <c r="AF12" s="1498" t="s">
        <v>8924</v>
      </c>
      <c r="AG12" s="1507" t="s">
        <v>8925</v>
      </c>
      <c r="AH12" s="1507" t="s">
        <v>4800</v>
      </c>
      <c r="AI12" s="1507" t="s">
        <v>3004</v>
      </c>
      <c r="AJ12" s="1507" t="s">
        <v>8926</v>
      </c>
      <c r="AK12" s="1507" t="s">
        <v>4176</v>
      </c>
      <c r="AL12" s="1507" t="s">
        <v>8927</v>
      </c>
      <c r="AM12" s="1507" t="s">
        <v>8928</v>
      </c>
      <c r="AN12" s="803" t="s">
        <v>8779</v>
      </c>
      <c r="AO12" s="1507" t="s">
        <v>8929</v>
      </c>
      <c r="AP12" s="1507" t="s">
        <v>8930</v>
      </c>
      <c r="AQ12" s="1498" t="s">
        <v>8931</v>
      </c>
      <c r="AR12" s="1507" t="s">
        <v>1848</v>
      </c>
      <c r="AS12" s="1507" t="s">
        <v>1581</v>
      </c>
      <c r="AT12" s="1507" t="s">
        <v>8932</v>
      </c>
      <c r="AU12" s="1507" t="s">
        <v>8933</v>
      </c>
      <c r="AV12" s="1409" t="str">
        <f t="shared" si="1"/>
        <v>2:47</v>
      </c>
      <c r="AW12" s="1502" t="s">
        <v>8934</v>
      </c>
    </row>
    <row r="13" ht="15.75" customHeight="1">
      <c r="A13" s="1538" t="s">
        <v>2643</v>
      </c>
      <c r="B13" s="1490" t="s">
        <v>8683</v>
      </c>
      <c r="C13" s="1539">
        <v>0.04971064814814815</v>
      </c>
      <c r="D13" s="1336" t="s">
        <v>8935</v>
      </c>
      <c r="E13" s="1540" t="s">
        <v>513</v>
      </c>
      <c r="F13" s="1540" t="s">
        <v>8936</v>
      </c>
      <c r="G13" s="1540" t="s">
        <v>8937</v>
      </c>
      <c r="H13" s="1498" t="s">
        <v>8938</v>
      </c>
      <c r="I13" s="1167" t="s">
        <v>5691</v>
      </c>
      <c r="J13" s="1541" t="s">
        <v>8939</v>
      </c>
      <c r="K13" s="1541" t="s">
        <v>4359</v>
      </c>
      <c r="L13" s="1541" t="s">
        <v>4682</v>
      </c>
      <c r="M13" s="1542" t="s">
        <v>6232</v>
      </c>
      <c r="N13" s="1541" t="s">
        <v>2627</v>
      </c>
      <c r="O13" s="1541" t="s">
        <v>8940</v>
      </c>
      <c r="P13" s="1541" t="s">
        <v>8941</v>
      </c>
      <c r="Q13" s="1498" t="s">
        <v>8942</v>
      </c>
      <c r="R13" s="1543" t="s">
        <v>8943</v>
      </c>
      <c r="S13" s="1498" t="s">
        <v>1836</v>
      </c>
      <c r="T13" s="1543" t="s">
        <v>8944</v>
      </c>
      <c r="U13" s="1498" t="s">
        <v>8945</v>
      </c>
      <c r="V13" s="1543" t="s">
        <v>3485</v>
      </c>
      <c r="W13" s="1544" t="s">
        <v>8946</v>
      </c>
      <c r="X13" s="1544" t="s">
        <v>4038</v>
      </c>
      <c r="Y13" s="1544" t="s">
        <v>7174</v>
      </c>
      <c r="Z13" s="1544" t="s">
        <v>8947</v>
      </c>
      <c r="AA13" s="1544" t="s">
        <v>6122</v>
      </c>
      <c r="AB13" s="1544" t="s">
        <v>4415</v>
      </c>
      <c r="AC13" s="1544" t="s">
        <v>1150</v>
      </c>
      <c r="AD13" s="1540" t="s">
        <v>8948</v>
      </c>
      <c r="AE13" s="1540" t="s">
        <v>5323</v>
      </c>
      <c r="AF13" s="1545" t="s">
        <v>8949</v>
      </c>
      <c r="AG13" s="1545" t="s">
        <v>7969</v>
      </c>
      <c r="AH13" s="1545" t="s">
        <v>5333</v>
      </c>
      <c r="AI13" s="1545" t="s">
        <v>8950</v>
      </c>
      <c r="AJ13" s="1545" t="s">
        <v>8951</v>
      </c>
      <c r="AK13" s="1545" t="s">
        <v>8952</v>
      </c>
      <c r="AL13" s="1545" t="s">
        <v>4052</v>
      </c>
      <c r="AM13" s="1546" t="s">
        <v>8953</v>
      </c>
      <c r="AN13" s="1547" t="s">
        <v>4682</v>
      </c>
      <c r="AO13" s="1547" t="s">
        <v>8954</v>
      </c>
      <c r="AP13" s="1546" t="s">
        <v>8955</v>
      </c>
      <c r="AQ13" s="1546" t="s">
        <v>8956</v>
      </c>
      <c r="AR13" s="1547" t="s">
        <v>8957</v>
      </c>
      <c r="AS13" s="1546" t="s">
        <v>273</v>
      </c>
      <c r="AT13" s="1512" t="s">
        <v>8958</v>
      </c>
      <c r="AU13" s="1529" t="s">
        <v>8959</v>
      </c>
      <c r="AV13" s="1409" t="str">
        <f t="shared" si="1"/>
        <v>2:35</v>
      </c>
      <c r="AW13" s="1548" t="s">
        <v>8960</v>
      </c>
    </row>
    <row r="14">
      <c r="A14" s="1549" t="s">
        <v>2695</v>
      </c>
      <c r="B14" s="1550" t="s">
        <v>8683</v>
      </c>
      <c r="C14" s="1551">
        <v>0.04974537037037037</v>
      </c>
      <c r="D14" s="1552" t="s">
        <v>8961</v>
      </c>
      <c r="E14" s="1552" t="s">
        <v>2730</v>
      </c>
      <c r="F14" s="1553" t="s">
        <v>7500</v>
      </c>
      <c r="G14" s="1553" t="s">
        <v>8962</v>
      </c>
      <c r="H14" s="1554" t="s">
        <v>8963</v>
      </c>
      <c r="I14" s="1554" t="s">
        <v>5745</v>
      </c>
      <c r="J14" s="1555" t="s">
        <v>8964</v>
      </c>
      <c r="K14" s="1556" t="s">
        <v>8965</v>
      </c>
      <c r="L14" s="1556" t="s">
        <v>8966</v>
      </c>
      <c r="M14" s="1556" t="s">
        <v>4541</v>
      </c>
      <c r="N14" s="1555" t="s">
        <v>2946</v>
      </c>
      <c r="O14" s="1556" t="s">
        <v>8967</v>
      </c>
      <c r="P14" s="1555" t="s">
        <v>6543</v>
      </c>
      <c r="Q14" s="1557" t="s">
        <v>8968</v>
      </c>
      <c r="R14" s="1557" t="s">
        <v>5585</v>
      </c>
      <c r="S14" s="1558" t="s">
        <v>8969</v>
      </c>
      <c r="T14" s="1557" t="s">
        <v>6481</v>
      </c>
      <c r="U14" s="1559" t="s">
        <v>8970</v>
      </c>
      <c r="V14" s="1560" t="s">
        <v>3818</v>
      </c>
      <c r="W14" s="1561" t="s">
        <v>8694</v>
      </c>
      <c r="X14" s="1562" t="s">
        <v>5352</v>
      </c>
      <c r="Y14" s="1562" t="s">
        <v>7174</v>
      </c>
      <c r="Z14" s="1562" t="s">
        <v>833</v>
      </c>
      <c r="AA14" s="1562" t="s">
        <v>4147</v>
      </c>
      <c r="AB14" s="1562" t="s">
        <v>487</v>
      </c>
      <c r="AC14" s="1563" t="s">
        <v>7163</v>
      </c>
      <c r="AD14" s="1552" t="s">
        <v>7961</v>
      </c>
      <c r="AE14" s="1553" t="s">
        <v>6813</v>
      </c>
      <c r="AF14" s="1564" t="s">
        <v>8971</v>
      </c>
      <c r="AG14" s="1564" t="s">
        <v>8068</v>
      </c>
      <c r="AH14" s="1564" t="s">
        <v>2554</v>
      </c>
      <c r="AI14" s="1564" t="s">
        <v>8754</v>
      </c>
      <c r="AJ14" s="1565" t="s">
        <v>8972</v>
      </c>
      <c r="AK14" s="1564" t="s">
        <v>8973</v>
      </c>
      <c r="AL14" s="1564" t="s">
        <v>2509</v>
      </c>
      <c r="AM14" s="1566" t="s">
        <v>8974</v>
      </c>
      <c r="AN14" s="1566" t="s">
        <v>8975</v>
      </c>
      <c r="AO14" s="1566" t="s">
        <v>8976</v>
      </c>
      <c r="AP14" s="1567" t="s">
        <v>4837</v>
      </c>
      <c r="AQ14" s="1566" t="s">
        <v>4723</v>
      </c>
      <c r="AR14" s="1566" t="s">
        <v>8834</v>
      </c>
      <c r="AS14" s="1568" t="s">
        <v>884</v>
      </c>
      <c r="AT14" s="1555" t="s">
        <v>3571</v>
      </c>
      <c r="AU14" s="1569" t="s">
        <v>8977</v>
      </c>
      <c r="AV14" s="1569" t="str">
        <f t="shared" si="1"/>
        <v>2:13</v>
      </c>
      <c r="AW14" s="1570"/>
    </row>
    <row r="15">
      <c r="A15" s="1536" t="s">
        <v>2023</v>
      </c>
      <c r="B15" s="1531" t="s">
        <v>8683</v>
      </c>
      <c r="C15" s="1571">
        <v>0.04976851851851852</v>
      </c>
      <c r="D15" s="1518" t="s">
        <v>8978</v>
      </c>
      <c r="E15" s="1518" t="s">
        <v>8979</v>
      </c>
      <c r="F15" s="1518" t="s">
        <v>8980</v>
      </c>
      <c r="G15" s="1521" t="s">
        <v>8981</v>
      </c>
      <c r="H15" s="1518" t="s">
        <v>8982</v>
      </c>
      <c r="I15" s="1518" t="s">
        <v>3686</v>
      </c>
      <c r="J15" s="1518" t="s">
        <v>5836</v>
      </c>
      <c r="K15" s="1523" t="s">
        <v>8690</v>
      </c>
      <c r="L15" s="1518" t="s">
        <v>8983</v>
      </c>
      <c r="M15" s="1518" t="s">
        <v>8984</v>
      </c>
      <c r="N15" s="1518" t="s">
        <v>689</v>
      </c>
      <c r="O15" s="1518" t="s">
        <v>8985</v>
      </c>
      <c r="P15" s="1518" t="s">
        <v>6516</v>
      </c>
      <c r="Q15" s="1518" t="s">
        <v>8986</v>
      </c>
      <c r="R15" s="1518" t="s">
        <v>7530</v>
      </c>
      <c r="S15" s="1518" t="s">
        <v>8987</v>
      </c>
      <c r="T15" s="1518" t="s">
        <v>5767</v>
      </c>
      <c r="U15" s="1518" t="s">
        <v>8988</v>
      </c>
      <c r="V15" s="1518" t="s">
        <v>8989</v>
      </c>
      <c r="W15" s="1518" t="s">
        <v>8990</v>
      </c>
      <c r="X15" s="1518" t="s">
        <v>8991</v>
      </c>
      <c r="Y15" s="1518" t="s">
        <v>8806</v>
      </c>
      <c r="Z15" s="1518" t="s">
        <v>8992</v>
      </c>
      <c r="AA15" s="1518" t="s">
        <v>8993</v>
      </c>
      <c r="AB15" s="1518" t="s">
        <v>8994</v>
      </c>
      <c r="AC15" s="1518" t="s">
        <v>597</v>
      </c>
      <c r="AD15" s="1518" t="s">
        <v>8995</v>
      </c>
      <c r="AE15" s="1518" t="s">
        <v>5504</v>
      </c>
      <c r="AF15" s="1518" t="s">
        <v>8996</v>
      </c>
      <c r="AG15" s="1518" t="s">
        <v>309</v>
      </c>
      <c r="AH15" s="1518" t="s">
        <v>8997</v>
      </c>
      <c r="AI15" s="1518" t="s">
        <v>8876</v>
      </c>
      <c r="AJ15" s="1518" t="s">
        <v>8998</v>
      </c>
      <c r="AK15" s="1518" t="s">
        <v>8999</v>
      </c>
      <c r="AL15" s="1518" t="s">
        <v>344</v>
      </c>
      <c r="AM15" s="1518" t="s">
        <v>2188</v>
      </c>
      <c r="AN15" s="1518" t="s">
        <v>233</v>
      </c>
      <c r="AO15" s="1518" t="s">
        <v>9000</v>
      </c>
      <c r="AP15" s="1518" t="s">
        <v>9001</v>
      </c>
      <c r="AQ15" s="1572" t="s">
        <v>9002</v>
      </c>
      <c r="AR15" s="1518" t="s">
        <v>5622</v>
      </c>
      <c r="AS15" s="1518" t="s">
        <v>841</v>
      </c>
      <c r="AT15" s="1518" t="s">
        <v>2409</v>
      </c>
      <c r="AU15" s="1507" t="s">
        <v>9003</v>
      </c>
      <c r="AV15" s="1409" t="str">
        <f t="shared" si="1"/>
        <v>2:14</v>
      </c>
      <c r="AW15" s="1573"/>
    </row>
    <row r="16" ht="15.75" customHeight="1">
      <c r="A16" s="1536"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6503</v>
      </c>
      <c r="N16" s="1541" t="s">
        <v>3976</v>
      </c>
      <c r="O16" s="803" t="s">
        <v>9007</v>
      </c>
      <c r="P16" s="1541" t="s">
        <v>5454</v>
      </c>
      <c r="Q16" s="803" t="s">
        <v>9008</v>
      </c>
      <c r="R16" s="1578" t="s">
        <v>8719</v>
      </c>
      <c r="S16" s="1285" t="s">
        <v>2402</v>
      </c>
      <c r="T16" s="1579" t="s">
        <v>8904</v>
      </c>
      <c r="U16" s="1543" t="s">
        <v>9009</v>
      </c>
      <c r="V16" s="803" t="s">
        <v>9010</v>
      </c>
      <c r="W16" s="1580" t="s">
        <v>4134</v>
      </c>
      <c r="X16" s="1580" t="s">
        <v>7621</v>
      </c>
      <c r="Y16" s="1578" t="s">
        <v>4318</v>
      </c>
      <c r="Z16" s="1578" t="s">
        <v>444</v>
      </c>
      <c r="AA16" s="1581" t="s">
        <v>5961</v>
      </c>
      <c r="AB16" s="803" t="s">
        <v>9011</v>
      </c>
      <c r="AC16" s="1582" t="s">
        <v>8721</v>
      </c>
      <c r="AD16" s="803" t="s">
        <v>6099</v>
      </c>
      <c r="AE16" s="1583" t="s">
        <v>6815</v>
      </c>
      <c r="AF16" s="1285" t="s">
        <v>9012</v>
      </c>
      <c r="AG16" s="1584" t="s">
        <v>4592</v>
      </c>
      <c r="AH16" s="1585" t="s">
        <v>8724</v>
      </c>
      <c r="AI16" s="1585" t="s">
        <v>8725</v>
      </c>
      <c r="AJ16" s="803" t="s">
        <v>9013</v>
      </c>
      <c r="AK16" s="803" t="s">
        <v>8921</v>
      </c>
      <c r="AL16" s="1580" t="s">
        <v>6201</v>
      </c>
      <c r="AM16" s="1578" t="s">
        <v>8728</v>
      </c>
      <c r="AN16" s="1547" t="s">
        <v>8966</v>
      </c>
      <c r="AO16" s="1578" t="s">
        <v>7890</v>
      </c>
      <c r="AP16" s="1586" t="s">
        <v>8729</v>
      </c>
      <c r="AQ16" s="1587" t="s">
        <v>8730</v>
      </c>
      <c r="AR16" s="1587" t="s">
        <v>4008</v>
      </c>
      <c r="AS16" s="1588" t="s">
        <v>5202</v>
      </c>
      <c r="AT16" s="1578" t="s">
        <v>8731</v>
      </c>
      <c r="AU16" s="1529" t="s">
        <v>9014</v>
      </c>
      <c r="AV16" s="1409" t="str">
        <f t="shared" si="1"/>
        <v>4:22</v>
      </c>
      <c r="AW16" s="1535" t="s">
        <v>9015</v>
      </c>
    </row>
    <row r="17" ht="15.75" customHeight="1">
      <c r="A17" s="1489" t="s">
        <v>6379</v>
      </c>
      <c r="B17" s="1589" t="s">
        <v>8683</v>
      </c>
      <c r="C17" s="1504">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6799</v>
      </c>
      <c r="W17" s="1336" t="s">
        <v>5442</v>
      </c>
      <c r="X17" s="1336" t="s">
        <v>8700</v>
      </c>
      <c r="Y17" s="1336" t="s">
        <v>8778</v>
      </c>
      <c r="Z17" s="1336" t="s">
        <v>6928</v>
      </c>
      <c r="AA17" s="1590" t="s">
        <v>9028</v>
      </c>
      <c r="AB17" s="1336" t="s">
        <v>5859</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2"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4">
        <v>0.049895833333333334</v>
      </c>
      <c r="D18" s="803" t="s">
        <v>9040</v>
      </c>
      <c r="E18" s="1592" t="s">
        <v>960</v>
      </c>
      <c r="F18" s="1540" t="s">
        <v>9041</v>
      </c>
      <c r="G18" s="1592" t="s">
        <v>9042</v>
      </c>
      <c r="H18" s="1080" t="s">
        <v>9043</v>
      </c>
      <c r="I18" s="1167" t="s">
        <v>5506</v>
      </c>
      <c r="J18" s="1541" t="s">
        <v>9044</v>
      </c>
      <c r="K18" s="1593" t="s">
        <v>9045</v>
      </c>
      <c r="L18" s="1541" t="s">
        <v>8966</v>
      </c>
      <c r="M18" s="1541" t="s">
        <v>5032</v>
      </c>
      <c r="N18" s="1541" t="s">
        <v>9046</v>
      </c>
      <c r="O18" s="1593" t="s">
        <v>9047</v>
      </c>
      <c r="P18" s="803" t="s">
        <v>1074</v>
      </c>
      <c r="Q18" s="1543" t="s">
        <v>3450</v>
      </c>
      <c r="R18" s="1594" t="s">
        <v>6925</v>
      </c>
      <c r="S18" s="1594" t="s">
        <v>9048</v>
      </c>
      <c r="T18" s="1594" t="s">
        <v>9049</v>
      </c>
      <c r="U18" s="1594" t="s">
        <v>1833</v>
      </c>
      <c r="V18" s="1543" t="s">
        <v>4442</v>
      </c>
      <c r="W18" s="1544" t="s">
        <v>9050</v>
      </c>
      <c r="X18" s="1595" t="s">
        <v>9051</v>
      </c>
      <c r="Y18" s="1544" t="s">
        <v>9052</v>
      </c>
      <c r="Z18" s="1544" t="s">
        <v>9053</v>
      </c>
      <c r="AA18" s="1544" t="s">
        <v>3308</v>
      </c>
      <c r="AB18" s="1595" t="s">
        <v>7940</v>
      </c>
      <c r="AC18" s="1595" t="s">
        <v>1224</v>
      </c>
      <c r="AD18" s="1592" t="s">
        <v>9054</v>
      </c>
      <c r="AE18" s="1592" t="s">
        <v>9055</v>
      </c>
      <c r="AF18" s="1596" t="s">
        <v>9056</v>
      </c>
      <c r="AG18" s="1545" t="s">
        <v>9057</v>
      </c>
      <c r="AH18" s="1545" t="s">
        <v>9058</v>
      </c>
      <c r="AI18" s="1545" t="s">
        <v>8902</v>
      </c>
      <c r="AJ18" s="1596" t="s">
        <v>9059</v>
      </c>
      <c r="AK18" s="1596" t="s">
        <v>966</v>
      </c>
      <c r="AL18" s="1545" t="s">
        <v>9060</v>
      </c>
      <c r="AM18" s="1547" t="s">
        <v>9061</v>
      </c>
      <c r="AN18" s="1546" t="s">
        <v>3147</v>
      </c>
      <c r="AO18" s="1547" t="s">
        <v>7565</v>
      </c>
      <c r="AP18" s="1546" t="s">
        <v>5577</v>
      </c>
      <c r="AQ18" s="1547" t="s">
        <v>9062</v>
      </c>
      <c r="AR18" s="1546" t="s">
        <v>1166</v>
      </c>
      <c r="AS18" s="1546" t="s">
        <v>3849</v>
      </c>
      <c r="AT18" s="1593" t="s">
        <v>6501</v>
      </c>
      <c r="AU18" s="1597" t="s">
        <v>9063</v>
      </c>
      <c r="AV18" s="1409" t="str">
        <f t="shared" si="1"/>
        <v>2:22</v>
      </c>
      <c r="AW18" s="1530" t="s">
        <v>9064</v>
      </c>
    </row>
    <row r="19">
      <c r="A19" s="1536" t="s">
        <v>1560</v>
      </c>
      <c r="B19" s="1534" t="s">
        <v>8683</v>
      </c>
      <c r="C19" s="1504">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6620</v>
      </c>
      <c r="AS19" s="1599">
        <v>46.83</v>
      </c>
      <c r="AT19" s="1600" t="s">
        <v>9084</v>
      </c>
      <c r="AU19" s="1518" t="s">
        <v>9085</v>
      </c>
      <c r="AV19" s="1409" t="str">
        <f t="shared" si="1"/>
        <v>1:53</v>
      </c>
      <c r="AW19" s="1535" t="s">
        <v>9086</v>
      </c>
    </row>
    <row r="20">
      <c r="A20" s="1536" t="s">
        <v>2103</v>
      </c>
      <c r="B20" s="1534" t="s">
        <v>8683</v>
      </c>
      <c r="C20" s="1601">
        <v>0.049930555555555554</v>
      </c>
      <c r="D20" s="1602" t="s">
        <v>9087</v>
      </c>
      <c r="E20" s="1518" t="s">
        <v>9088</v>
      </c>
      <c r="F20" s="1518" t="s">
        <v>4321</v>
      </c>
      <c r="G20" s="1518" t="s">
        <v>9089</v>
      </c>
      <c r="H20" s="1518" t="s">
        <v>9090</v>
      </c>
      <c r="I20" s="1518" t="s">
        <v>5678</v>
      </c>
      <c r="J20" s="1518" t="s">
        <v>6345</v>
      </c>
      <c r="K20" s="1518" t="s">
        <v>9091</v>
      </c>
      <c r="L20" s="1518" t="s">
        <v>4052</v>
      </c>
      <c r="M20" s="1518" t="s">
        <v>1093</v>
      </c>
      <c r="N20" s="1518" t="s">
        <v>9092</v>
      </c>
      <c r="O20" s="1518" t="s">
        <v>800</v>
      </c>
      <c r="P20" s="1514">
        <v>47.54</v>
      </c>
      <c r="Q20" s="1603" t="s">
        <v>5686</v>
      </c>
      <c r="R20" s="1514" t="s">
        <v>9093</v>
      </c>
      <c r="S20" s="1603" t="s">
        <v>8917</v>
      </c>
      <c r="T20" s="1514" t="s">
        <v>9094</v>
      </c>
      <c r="U20" s="1603" t="s">
        <v>9095</v>
      </c>
      <c r="V20" s="1514">
        <v>58.55</v>
      </c>
      <c r="W20" s="1603" t="s">
        <v>9096</v>
      </c>
      <c r="X20" s="1603" t="s">
        <v>9097</v>
      </c>
      <c r="Y20" s="1498" t="s">
        <v>8806</v>
      </c>
      <c r="Z20" s="1603" t="s">
        <v>9098</v>
      </c>
      <c r="AA20" s="1518" t="s">
        <v>9099</v>
      </c>
      <c r="AB20" s="1603" t="s">
        <v>8994</v>
      </c>
      <c r="AC20" s="1409">
        <v>47.2</v>
      </c>
      <c r="AD20" s="1603" t="s">
        <v>9100</v>
      </c>
      <c r="AE20" s="1514">
        <v>47.88</v>
      </c>
      <c r="AF20" s="1603" t="s">
        <v>9101</v>
      </c>
      <c r="AG20" s="1603" t="s">
        <v>9102</v>
      </c>
      <c r="AH20" s="1603">
        <v>57.68</v>
      </c>
      <c r="AI20" s="1603" t="s">
        <v>2779</v>
      </c>
      <c r="AJ20" s="1514" t="s">
        <v>9103</v>
      </c>
      <c r="AK20" s="1498" t="s">
        <v>9104</v>
      </c>
      <c r="AL20" s="1603">
        <v>55.92</v>
      </c>
      <c r="AM20" s="1603" t="s">
        <v>2893</v>
      </c>
      <c r="AN20" s="1498" t="s">
        <v>5695</v>
      </c>
      <c r="AO20" s="1603" t="s">
        <v>6913</v>
      </c>
      <c r="AP20" s="1603" t="s">
        <v>9105</v>
      </c>
      <c r="AQ20" s="1603" t="s">
        <v>7586</v>
      </c>
      <c r="AR20" s="1603" t="s">
        <v>6457</v>
      </c>
      <c r="AS20" s="1604">
        <v>42.83</v>
      </c>
      <c r="AT20" s="1514" t="s">
        <v>8183</v>
      </c>
      <c r="AU20" s="1529" t="s">
        <v>9106</v>
      </c>
      <c r="AV20" s="1409" t="str">
        <f t="shared" si="1"/>
        <v>4:29</v>
      </c>
      <c r="AW20" s="1535" t="s">
        <v>9107</v>
      </c>
    </row>
    <row r="21" ht="15.75" customHeight="1">
      <c r="A21" s="1536" t="s">
        <v>2265</v>
      </c>
      <c r="B21" s="1490" t="s">
        <v>8683</v>
      </c>
      <c r="C21" s="1504">
        <v>0.0499537037037037</v>
      </c>
      <c r="D21" s="1507" t="s">
        <v>9108</v>
      </c>
      <c r="E21" s="1507" t="s">
        <v>2730</v>
      </c>
      <c r="F21" s="1507" t="s">
        <v>9109</v>
      </c>
      <c r="G21" s="1498" t="s">
        <v>9110</v>
      </c>
      <c r="H21" s="1507" t="s">
        <v>9111</v>
      </c>
      <c r="I21" s="1605" t="s">
        <v>9055</v>
      </c>
      <c r="J21" s="1507" t="s">
        <v>1424</v>
      </c>
      <c r="K21" s="1507" t="s">
        <v>5170</v>
      </c>
      <c r="L21" s="1507" t="s">
        <v>9112</v>
      </c>
      <c r="M21" s="1507" t="s">
        <v>9113</v>
      </c>
      <c r="N21" s="1507" t="s">
        <v>9114</v>
      </c>
      <c r="O21" s="1507" t="s">
        <v>9115</v>
      </c>
      <c r="P21" s="1507" t="s">
        <v>6813</v>
      </c>
      <c r="Q21" s="1507" t="s">
        <v>4606</v>
      </c>
      <c r="R21" s="1543" t="s">
        <v>9116</v>
      </c>
      <c r="S21" s="1507" t="s">
        <v>4001</v>
      </c>
      <c r="T21" s="1507" t="s">
        <v>8898</v>
      </c>
      <c r="U21" s="1507" t="s">
        <v>9117</v>
      </c>
      <c r="V21" s="1507" t="s">
        <v>9118</v>
      </c>
      <c r="W21" s="1507" t="s">
        <v>9119</v>
      </c>
      <c r="X21" s="1507" t="s">
        <v>7941</v>
      </c>
      <c r="Y21" s="1507" t="s">
        <v>4365</v>
      </c>
      <c r="Z21" s="1507" t="s">
        <v>9120</v>
      </c>
      <c r="AA21" s="1507" t="s">
        <v>7941</v>
      </c>
      <c r="AB21" s="1507" t="s">
        <v>8893</v>
      </c>
      <c r="AC21" s="1507" t="s">
        <v>5589</v>
      </c>
      <c r="AD21" s="1507" t="s">
        <v>7981</v>
      </c>
      <c r="AE21" s="1507" t="s">
        <v>5899</v>
      </c>
      <c r="AF21" s="1507" t="s">
        <v>9121</v>
      </c>
      <c r="AG21" s="1507" t="s">
        <v>5037</v>
      </c>
      <c r="AH21" s="1507" t="s">
        <v>5189</v>
      </c>
      <c r="AI21" s="1507" t="s">
        <v>9122</v>
      </c>
      <c r="AJ21" s="1497" t="s">
        <v>8701</v>
      </c>
      <c r="AK21" s="1507" t="s">
        <v>2526</v>
      </c>
      <c r="AL21" s="1507" t="s">
        <v>9123</v>
      </c>
      <c r="AM21" s="1507" t="s">
        <v>8828</v>
      </c>
      <c r="AN21" s="1507" t="s">
        <v>558</v>
      </c>
      <c r="AO21" s="1507" t="s">
        <v>9124</v>
      </c>
      <c r="AP21" s="1507" t="s">
        <v>9125</v>
      </c>
      <c r="AQ21" s="1507" t="s">
        <v>4810</v>
      </c>
      <c r="AR21" s="1507" t="s">
        <v>6621</v>
      </c>
      <c r="AS21" s="1507" t="s">
        <v>9126</v>
      </c>
      <c r="AT21" s="1507" t="s">
        <v>3106</v>
      </c>
      <c r="AU21" s="1507" t="s">
        <v>9127</v>
      </c>
      <c r="AV21" s="1409" t="str">
        <f t="shared" si="1"/>
        <v>3:21</v>
      </c>
      <c r="AW21" s="1591" t="s">
        <v>9128</v>
      </c>
    </row>
    <row r="22" ht="15.75" customHeight="1">
      <c r="A22" s="1489" t="s">
        <v>9129</v>
      </c>
      <c r="B22" s="1490" t="s">
        <v>8683</v>
      </c>
      <c r="C22" s="1504">
        <v>0.049965277777777775</v>
      </c>
      <c r="D22" s="803" t="s">
        <v>9130</v>
      </c>
      <c r="E22" s="1507" t="s">
        <v>4331</v>
      </c>
      <c r="F22" s="1507" t="s">
        <v>9131</v>
      </c>
      <c r="G22" s="1507" t="s">
        <v>9132</v>
      </c>
      <c r="H22" s="1409" t="s">
        <v>2289</v>
      </c>
      <c r="I22" s="1507" t="s">
        <v>1392</v>
      </c>
      <c r="J22" s="1507" t="s">
        <v>382</v>
      </c>
      <c r="K22" s="1507" t="s">
        <v>9133</v>
      </c>
      <c r="L22" s="1507" t="s">
        <v>5371</v>
      </c>
      <c r="M22" s="1507" t="s">
        <v>6539</v>
      </c>
      <c r="N22" s="1507" t="s">
        <v>9134</v>
      </c>
      <c r="O22" s="1507" t="s">
        <v>2575</v>
      </c>
      <c r="P22" s="1409" t="s">
        <v>5400</v>
      </c>
      <c r="Q22" s="1507" t="s">
        <v>9135</v>
      </c>
      <c r="R22" s="1507" t="s">
        <v>3286</v>
      </c>
      <c r="S22" s="1507" t="s">
        <v>7825</v>
      </c>
      <c r="T22" s="1507" t="s">
        <v>8464</v>
      </c>
      <c r="U22" s="1507" t="s">
        <v>9136</v>
      </c>
      <c r="V22" s="1507" t="s">
        <v>5009</v>
      </c>
      <c r="W22" s="1507" t="s">
        <v>9137</v>
      </c>
      <c r="X22" s="1409" t="s">
        <v>6919</v>
      </c>
      <c r="Y22" s="1409" t="s">
        <v>5490</v>
      </c>
      <c r="Z22" s="1507" t="s">
        <v>9138</v>
      </c>
      <c r="AA22" s="1507" t="s">
        <v>2331</v>
      </c>
      <c r="AB22" s="1507" t="s">
        <v>9139</v>
      </c>
      <c r="AC22" s="1507" t="s">
        <v>787</v>
      </c>
      <c r="AD22" s="1507" t="s">
        <v>5410</v>
      </c>
      <c r="AE22" s="1507" t="s">
        <v>9140</v>
      </c>
      <c r="AF22" s="1507" t="s">
        <v>949</v>
      </c>
      <c r="AG22" s="1507" t="s">
        <v>9141</v>
      </c>
      <c r="AH22" s="1507" t="s">
        <v>6112</v>
      </c>
      <c r="AI22" s="1507" t="s">
        <v>691</v>
      </c>
      <c r="AJ22" s="1409" t="s">
        <v>9142</v>
      </c>
      <c r="AK22" s="1545" t="s">
        <v>2945</v>
      </c>
      <c r="AL22" s="1507" t="s">
        <v>4598</v>
      </c>
      <c r="AM22" s="1507" t="s">
        <v>3609</v>
      </c>
      <c r="AN22" s="1409" t="s">
        <v>6245</v>
      </c>
      <c r="AO22" s="1409" t="s">
        <v>6621</v>
      </c>
      <c r="AP22" s="1409" t="s">
        <v>9143</v>
      </c>
      <c r="AQ22" s="1409" t="s">
        <v>8789</v>
      </c>
      <c r="AR22" s="1409" t="s">
        <v>492</v>
      </c>
      <c r="AS22" s="1409" t="s">
        <v>5758</v>
      </c>
      <c r="AT22" s="1409" t="s">
        <v>9029</v>
      </c>
      <c r="AU22" s="1507" t="s">
        <v>9144</v>
      </c>
      <c r="AV22" s="1409" t="str">
        <f t="shared" si="1"/>
        <v>3:46</v>
      </c>
      <c r="AW22" s="1573" t="s">
        <v>8259</v>
      </c>
    </row>
    <row r="23" ht="15.75" customHeight="1">
      <c r="A23" s="1606" t="s">
        <v>6302</v>
      </c>
      <c r="B23" s="1490" t="s">
        <v>8683</v>
      </c>
      <c r="C23" s="1504">
        <v>0.05</v>
      </c>
      <c r="D23" s="803" t="s">
        <v>9145</v>
      </c>
      <c r="E23" s="1507" t="s">
        <v>8496</v>
      </c>
      <c r="F23" s="1507" t="s">
        <v>9109</v>
      </c>
      <c r="G23" s="1409" t="s">
        <v>9146</v>
      </c>
      <c r="H23" s="1507" t="s">
        <v>9147</v>
      </c>
      <c r="I23" s="1409" t="s">
        <v>1852</v>
      </c>
      <c r="J23" s="1507" t="s">
        <v>2833</v>
      </c>
      <c r="K23" s="1507" t="s">
        <v>9148</v>
      </c>
      <c r="L23" s="1507" t="s">
        <v>3306</v>
      </c>
      <c r="M23" s="1507" t="s">
        <v>9149</v>
      </c>
      <c r="N23" s="1507" t="s">
        <v>9150</v>
      </c>
      <c r="O23" s="1507" t="s">
        <v>9096</v>
      </c>
      <c r="P23" s="1409" t="s">
        <v>3948</v>
      </c>
      <c r="Q23" s="1507" t="s">
        <v>9151</v>
      </c>
      <c r="R23" s="1507" t="s">
        <v>6842</v>
      </c>
      <c r="S23" s="1507" t="s">
        <v>7090</v>
      </c>
      <c r="T23" s="1507" t="s">
        <v>7470</v>
      </c>
      <c r="U23" s="1507" t="s">
        <v>9152</v>
      </c>
      <c r="V23" s="1507" t="s">
        <v>9153</v>
      </c>
      <c r="W23" s="1507" t="s">
        <v>9154</v>
      </c>
      <c r="X23" s="1507" t="s">
        <v>8993</v>
      </c>
      <c r="Y23" s="1507" t="s">
        <v>9155</v>
      </c>
      <c r="Z23" s="1507" t="s">
        <v>9156</v>
      </c>
      <c r="AA23" s="1507" t="s">
        <v>8991</v>
      </c>
      <c r="AB23" s="1507" t="s">
        <v>9157</v>
      </c>
      <c r="AC23" s="1409" t="s">
        <v>4953</v>
      </c>
      <c r="AD23" s="1507" t="s">
        <v>9158</v>
      </c>
      <c r="AE23" s="1409" t="s">
        <v>5478</v>
      </c>
      <c r="AF23" s="1607" t="s">
        <v>8699</v>
      </c>
      <c r="AG23" s="1507" t="s">
        <v>608</v>
      </c>
      <c r="AH23" s="1507" t="s">
        <v>7075</v>
      </c>
      <c r="AI23" s="1507" t="s">
        <v>309</v>
      </c>
      <c r="AJ23" s="1409" t="s">
        <v>9159</v>
      </c>
      <c r="AK23" s="1507" t="s">
        <v>9160</v>
      </c>
      <c r="AL23" s="1409" t="s">
        <v>3191</v>
      </c>
      <c r="AM23" s="1507" t="s">
        <v>1993</v>
      </c>
      <c r="AN23" s="1409" t="s">
        <v>2593</v>
      </c>
      <c r="AO23" s="1507" t="s">
        <v>3518</v>
      </c>
      <c r="AP23" s="1507" t="s">
        <v>9161</v>
      </c>
      <c r="AQ23" s="1409" t="s">
        <v>9162</v>
      </c>
      <c r="AR23" s="1507" t="s">
        <v>1677</v>
      </c>
      <c r="AS23" s="1409" t="s">
        <v>9036</v>
      </c>
      <c r="AT23" s="1507" t="s">
        <v>9163</v>
      </c>
      <c r="AU23" s="1507" t="s">
        <v>9164</v>
      </c>
      <c r="AV23" s="1409" t="str">
        <f t="shared" si="1"/>
        <v>1:53</v>
      </c>
      <c r="AW23" s="1573"/>
    </row>
    <row r="24" ht="15.75" customHeight="1">
      <c r="A24" s="1536" t="s">
        <v>2609</v>
      </c>
      <c r="B24" s="1534" t="s">
        <v>8710</v>
      </c>
      <c r="C24" s="1504">
        <v>0.05008101851851852</v>
      </c>
      <c r="D24" s="803" t="s">
        <v>9165</v>
      </c>
      <c r="E24" s="803" t="s">
        <v>9166</v>
      </c>
      <c r="F24" s="803" t="s">
        <v>9075</v>
      </c>
      <c r="G24" s="803" t="s">
        <v>9167</v>
      </c>
      <c r="H24" s="803" t="s">
        <v>9168</v>
      </c>
      <c r="I24" s="803" t="s">
        <v>9169</v>
      </c>
      <c r="J24" s="1578" t="s">
        <v>1355</v>
      </c>
      <c r="K24" s="803" t="s">
        <v>1096</v>
      </c>
      <c r="L24" s="803" t="s">
        <v>9170</v>
      </c>
      <c r="M24" s="1541" t="s">
        <v>9023</v>
      </c>
      <c r="N24" s="1578" t="s">
        <v>2496</v>
      </c>
      <c r="O24" s="803" t="s">
        <v>9171</v>
      </c>
      <c r="P24" s="1578" t="s">
        <v>5478</v>
      </c>
      <c r="Q24" s="1578" t="s">
        <v>5843</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6259</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5" t="s">
        <v>8732</v>
      </c>
      <c r="AV24" s="1409" t="str">
        <f t="shared" si="1"/>
        <v>2:51</v>
      </c>
      <c r="AW24" s="1608"/>
    </row>
    <row r="25">
      <c r="A25" s="1536" t="s">
        <v>6596</v>
      </c>
      <c r="B25" s="1531" t="s">
        <v>8710</v>
      </c>
      <c r="C25" s="1504">
        <v>0.05016203703703704</v>
      </c>
      <c r="D25" s="1514" t="s">
        <v>9182</v>
      </c>
      <c r="E25" s="1609" t="s">
        <v>7343</v>
      </c>
      <c r="F25" s="1514" t="s">
        <v>9183</v>
      </c>
      <c r="G25" s="1514" t="s">
        <v>9184</v>
      </c>
      <c r="H25" s="1514" t="s">
        <v>9185</v>
      </c>
      <c r="I25" s="1514" t="s">
        <v>5258</v>
      </c>
      <c r="J25" s="1514" t="s">
        <v>4065</v>
      </c>
      <c r="K25" s="1514" t="s">
        <v>9186</v>
      </c>
      <c r="L25" s="803" t="s">
        <v>5100</v>
      </c>
      <c r="M25" s="1578" t="s">
        <v>8717</v>
      </c>
      <c r="N25" s="1514" t="s">
        <v>9187</v>
      </c>
      <c r="O25" s="1514" t="s">
        <v>9188</v>
      </c>
      <c r="P25" s="1514" t="s">
        <v>5874</v>
      </c>
      <c r="Q25" s="1514" t="s">
        <v>2677</v>
      </c>
      <c r="R25" s="1514" t="s">
        <v>974</v>
      </c>
      <c r="S25" s="1514" t="s">
        <v>9189</v>
      </c>
      <c r="T25" s="1514" t="s">
        <v>1397</v>
      </c>
      <c r="U25" s="1514" t="s">
        <v>9190</v>
      </c>
      <c r="V25" s="1514" t="s">
        <v>9191</v>
      </c>
      <c r="W25" s="1514" t="s">
        <v>9192</v>
      </c>
      <c r="X25" s="1514" t="s">
        <v>1304</v>
      </c>
      <c r="Y25" s="1514" t="s">
        <v>1097</v>
      </c>
      <c r="Z25" s="1514" t="s">
        <v>9098</v>
      </c>
      <c r="AA25" s="1514" t="s">
        <v>9193</v>
      </c>
      <c r="AB25" s="1514" t="s">
        <v>9194</v>
      </c>
      <c r="AC25" s="1514" t="s">
        <v>4782</v>
      </c>
      <c r="AD25" s="1514" t="s">
        <v>9195</v>
      </c>
      <c r="AE25" s="1514" t="s">
        <v>9196</v>
      </c>
      <c r="AF25" s="1514" t="s">
        <v>5705</v>
      </c>
      <c r="AG25" s="1514" t="s">
        <v>9197</v>
      </c>
      <c r="AH25" s="1514" t="s">
        <v>4266</v>
      </c>
      <c r="AI25" s="1507" t="s">
        <v>4147</v>
      </c>
      <c r="AJ25" s="1514" t="s">
        <v>9198</v>
      </c>
      <c r="AK25" s="1514" t="s">
        <v>9199</v>
      </c>
      <c r="AL25" s="1514" t="s">
        <v>2509</v>
      </c>
      <c r="AM25" s="1514" t="s">
        <v>4006</v>
      </c>
      <c r="AN25" s="1514" t="s">
        <v>6026</v>
      </c>
      <c r="AO25" s="1514" t="s">
        <v>9200</v>
      </c>
      <c r="AP25" s="1514" t="s">
        <v>9201</v>
      </c>
      <c r="AQ25" s="1514" t="s">
        <v>3991</v>
      </c>
      <c r="AR25" s="1514" t="s">
        <v>2946</v>
      </c>
      <c r="AS25" s="1514" t="s">
        <v>756</v>
      </c>
      <c r="AT25" s="1514" t="s">
        <v>9202</v>
      </c>
      <c r="AU25" s="1507" t="s">
        <v>9203</v>
      </c>
      <c r="AV25" s="1409" t="str">
        <f t="shared" si="1"/>
        <v>3:20</v>
      </c>
      <c r="AW25" s="800"/>
    </row>
    <row r="26" ht="15.75" customHeight="1">
      <c r="A26" s="1503" t="s">
        <v>1420</v>
      </c>
      <c r="B26" s="1490" t="s">
        <v>8683</v>
      </c>
      <c r="C26" s="1504">
        <v>0.05025462962962963</v>
      </c>
      <c r="D26" s="803" t="s">
        <v>9204</v>
      </c>
      <c r="E26" s="1540" t="s">
        <v>9205</v>
      </c>
      <c r="F26" s="1592" t="s">
        <v>9206</v>
      </c>
      <c r="G26" s="1498" t="s">
        <v>9207</v>
      </c>
      <c r="H26" s="1167" t="s">
        <v>9208</v>
      </c>
      <c r="I26" s="1167" t="s">
        <v>1048</v>
      </c>
      <c r="J26" s="1541" t="s">
        <v>8822</v>
      </c>
      <c r="K26" s="1593" t="s">
        <v>7202</v>
      </c>
      <c r="L26" s="1593" t="s">
        <v>5149</v>
      </c>
      <c r="M26" s="1610" t="str">
        <f>HYPERLINK("https://youtu.be/teAIifUZjFw","1:14.18")</f>
        <v>1:14.18</v>
      </c>
      <c r="N26" s="1593" t="s">
        <v>3707</v>
      </c>
      <c r="O26" s="1593" t="s">
        <v>9209</v>
      </c>
      <c r="P26" s="1593" t="s">
        <v>2094</v>
      </c>
      <c r="Q26" s="1594" t="s">
        <v>9210</v>
      </c>
      <c r="R26" s="1543" t="s">
        <v>9211</v>
      </c>
      <c r="S26" s="1543" t="s">
        <v>5433</v>
      </c>
      <c r="T26" s="1611" t="str">
        <f>HYPERLINK("https://youtu.be/AiXricVH5ss","1:24.99")</f>
        <v>1:24.99</v>
      </c>
      <c r="U26" s="1612" t="str">
        <f>HYPERLINK("https://www.twitch.tv/videos/450151935","2:00.31")</f>
        <v>2:00.31</v>
      </c>
      <c r="V26" s="1543" t="s">
        <v>9212</v>
      </c>
      <c r="W26" s="1613" t="str">
        <f>HYPERLINK("https://youtu.be/eafNhBoXVWA","1:46.09")</f>
        <v>1:46.09</v>
      </c>
      <c r="X26" s="1595" t="s">
        <v>4459</v>
      </c>
      <c r="Y26" s="1595" t="s">
        <v>8914</v>
      </c>
      <c r="Z26" s="1595" t="s">
        <v>9213</v>
      </c>
      <c r="AA26" s="1544" t="s">
        <v>8854</v>
      </c>
      <c r="AB26" s="1595" t="s">
        <v>7204</v>
      </c>
      <c r="AC26" s="1595" t="s">
        <v>7796</v>
      </c>
      <c r="AD26" s="1614" t="str">
        <f>HYPERLINK("https://youtu.be/8FEcTKESSh0","1:49.80")</f>
        <v>1:49.80</v>
      </c>
      <c r="AE26" s="1540" t="s">
        <v>6543</v>
      </c>
      <c r="AF26" s="1596" t="s">
        <v>9214</v>
      </c>
      <c r="AG26" s="1596" t="s">
        <v>9215</v>
      </c>
      <c r="AH26" s="1596" t="s">
        <v>9216</v>
      </c>
      <c r="AI26" s="1596" t="s">
        <v>4007</v>
      </c>
      <c r="AJ26" s="1596" t="s">
        <v>9217</v>
      </c>
      <c r="AK26" s="1545" t="s">
        <v>9094</v>
      </c>
      <c r="AL26" s="1596" t="s">
        <v>9218</v>
      </c>
      <c r="AM26" s="1547" t="s">
        <v>9061</v>
      </c>
      <c r="AN26" s="1547" t="s">
        <v>8465</v>
      </c>
      <c r="AO26" s="1547" t="s">
        <v>9181</v>
      </c>
      <c r="AP26" s="1546" t="s">
        <v>9219</v>
      </c>
      <c r="AQ26" s="1546" t="s">
        <v>9220</v>
      </c>
      <c r="AR26" s="1547" t="s">
        <v>9221</v>
      </c>
      <c r="AS26" s="1546" t="s">
        <v>5535</v>
      </c>
      <c r="AT26" s="1610" t="str">
        <f>HYPERLINK("https://youtu.be/xDirVtS1AZ4?t=4416","2:27.45")</f>
        <v>2:27.45</v>
      </c>
      <c r="AU26" s="1597" t="s">
        <v>9222</v>
      </c>
      <c r="AV26" s="1409" t="str">
        <f t="shared" si="1"/>
        <v>2:34</v>
      </c>
      <c r="AW26" s="1530" t="s">
        <v>9223</v>
      </c>
    </row>
    <row r="27">
      <c r="A27" s="1536" t="s">
        <v>6583</v>
      </c>
      <c r="B27" s="1531" t="s">
        <v>8683</v>
      </c>
      <c r="C27" s="1504">
        <v>0.0502662037037037</v>
      </c>
      <c r="D27" s="803" t="s">
        <v>9224</v>
      </c>
      <c r="E27" s="1507" t="s">
        <v>8843</v>
      </c>
      <c r="F27" s="1507" t="s">
        <v>9225</v>
      </c>
      <c r="G27" s="1507" t="s">
        <v>9226</v>
      </c>
      <c r="H27" s="1507" t="s">
        <v>9227</v>
      </c>
      <c r="I27" s="803" t="s">
        <v>263</v>
      </c>
      <c r="J27" s="803" t="s">
        <v>6126</v>
      </c>
      <c r="K27" s="1507" t="s">
        <v>9148</v>
      </c>
      <c r="L27" s="1507" t="s">
        <v>4052</v>
      </c>
      <c r="M27" s="803" t="s">
        <v>2659</v>
      </c>
      <c r="N27" s="1507" t="s">
        <v>9228</v>
      </c>
      <c r="O27" s="1507" t="s">
        <v>9229</v>
      </c>
      <c r="P27" s="803" t="s">
        <v>9230</v>
      </c>
      <c r="Q27" s="1507" t="s">
        <v>9231</v>
      </c>
      <c r="R27" s="803" t="s">
        <v>9232</v>
      </c>
      <c r="S27" s="1507" t="s">
        <v>9233</v>
      </c>
      <c r="T27" s="803" t="s">
        <v>9234</v>
      </c>
      <c r="U27" s="1507" t="s">
        <v>1033</v>
      </c>
      <c r="V27" s="803" t="s">
        <v>5009</v>
      </c>
      <c r="W27" s="803" t="s">
        <v>7370</v>
      </c>
      <c r="X27" s="803" t="s">
        <v>6919</v>
      </c>
      <c r="Y27" s="803" t="s">
        <v>885</v>
      </c>
      <c r="Z27" s="803" t="s">
        <v>9235</v>
      </c>
      <c r="AA27" s="1507" t="s">
        <v>9236</v>
      </c>
      <c r="AB27" s="803" t="s">
        <v>7795</v>
      </c>
      <c r="AC27" s="1507" t="s">
        <v>9169</v>
      </c>
      <c r="AD27" s="803" t="s">
        <v>6284</v>
      </c>
      <c r="AE27" s="1507" t="s">
        <v>9237</v>
      </c>
      <c r="AF27" s="1507" t="s">
        <v>9238</v>
      </c>
      <c r="AG27" s="803" t="s">
        <v>2053</v>
      </c>
      <c r="AH27" s="803" t="s">
        <v>2600</v>
      </c>
      <c r="AI27" s="1507" t="s">
        <v>9239</v>
      </c>
      <c r="AJ27" s="803" t="s">
        <v>9240</v>
      </c>
      <c r="AK27" s="803" t="s">
        <v>8695</v>
      </c>
      <c r="AL27" s="803" t="s">
        <v>4598</v>
      </c>
      <c r="AM27" s="803" t="s">
        <v>9241</v>
      </c>
      <c r="AN27" s="803" t="s">
        <v>4598</v>
      </c>
      <c r="AO27" s="803" t="s">
        <v>1849</v>
      </c>
      <c r="AP27" s="1507" t="s">
        <v>9242</v>
      </c>
      <c r="AQ27" s="803" t="s">
        <v>2189</v>
      </c>
      <c r="AR27" s="1507" t="s">
        <v>8581</v>
      </c>
      <c r="AS27" s="803" t="s">
        <v>1907</v>
      </c>
      <c r="AT27" s="1507" t="s">
        <v>9243</v>
      </c>
      <c r="AU27" s="1507" t="s">
        <v>9244</v>
      </c>
      <c r="AV27" s="1409" t="str">
        <f t="shared" si="1"/>
        <v>2:28</v>
      </c>
      <c r="AW27" s="1532" t="s">
        <v>9245</v>
      </c>
    </row>
    <row r="28">
      <c r="A28" s="1536" t="s">
        <v>9246</v>
      </c>
      <c r="B28" s="1615" t="s">
        <v>8683</v>
      </c>
      <c r="C28" s="1504">
        <v>0.0503125</v>
      </c>
      <c r="D28" s="803" t="s">
        <v>9247</v>
      </c>
      <c r="E28" s="1540" t="s">
        <v>9248</v>
      </c>
      <c r="F28" s="1540" t="s">
        <v>9249</v>
      </c>
      <c r="G28" s="1540" t="s">
        <v>8294</v>
      </c>
      <c r="H28" s="1116" t="s">
        <v>9250</v>
      </c>
      <c r="I28" s="1116" t="s">
        <v>7173</v>
      </c>
      <c r="J28" s="1541" t="s">
        <v>1845</v>
      </c>
      <c r="K28" s="1541" t="s">
        <v>6046</v>
      </c>
      <c r="L28" s="1541" t="s">
        <v>3454</v>
      </c>
      <c r="M28" s="1541" t="s">
        <v>9251</v>
      </c>
      <c r="N28" s="1541" t="s">
        <v>9252</v>
      </c>
      <c r="O28" s="1541" t="s">
        <v>4134</v>
      </c>
      <c r="P28" s="1541" t="s">
        <v>4739</v>
      </c>
      <c r="Q28" s="1543" t="s">
        <v>9253</v>
      </c>
      <c r="R28" s="1543" t="s">
        <v>9254</v>
      </c>
      <c r="S28" s="1543" t="s">
        <v>550</v>
      </c>
      <c r="T28" s="1543" t="s">
        <v>9255</v>
      </c>
      <c r="U28" s="1543" t="s">
        <v>9256</v>
      </c>
      <c r="V28" s="1543" t="s">
        <v>9257</v>
      </c>
      <c r="W28" s="1544" t="s">
        <v>9258</v>
      </c>
      <c r="X28" s="1544" t="s">
        <v>4459</v>
      </c>
      <c r="Y28" s="1544" t="s">
        <v>1556</v>
      </c>
      <c r="Z28" s="1544" t="s">
        <v>2402</v>
      </c>
      <c r="AA28" s="1544" t="s">
        <v>9259</v>
      </c>
      <c r="AB28" s="1544" t="s">
        <v>3737</v>
      </c>
      <c r="AC28" s="1544" t="s">
        <v>9260</v>
      </c>
      <c r="AD28" s="1540" t="s">
        <v>9261</v>
      </c>
      <c r="AE28" s="1540" t="s">
        <v>5899</v>
      </c>
      <c r="AF28" s="1545" t="s">
        <v>9262</v>
      </c>
      <c r="AG28" s="1545" t="s">
        <v>8010</v>
      </c>
      <c r="AH28" s="1545" t="s">
        <v>9263</v>
      </c>
      <c r="AI28" s="1545" t="s">
        <v>5120</v>
      </c>
      <c r="AJ28" s="1545" t="s">
        <v>9264</v>
      </c>
      <c r="AK28" s="1545" t="s">
        <v>9265</v>
      </c>
      <c r="AL28" s="1545" t="s">
        <v>8905</v>
      </c>
      <c r="AM28" s="1547" t="s">
        <v>8950</v>
      </c>
      <c r="AN28" s="1547" t="s">
        <v>9266</v>
      </c>
      <c r="AO28" s="1547" t="s">
        <v>3235</v>
      </c>
      <c r="AP28" s="1547" t="s">
        <v>9267</v>
      </c>
      <c r="AQ28" s="1547" t="s">
        <v>9268</v>
      </c>
      <c r="AR28" s="1547" t="s">
        <v>3002</v>
      </c>
      <c r="AS28" s="1547" t="s">
        <v>302</v>
      </c>
      <c r="AT28" s="1541" t="s">
        <v>9269</v>
      </c>
      <c r="AU28" s="1529" t="s">
        <v>9270</v>
      </c>
      <c r="AV28" s="1409" t="str">
        <f t="shared" si="1"/>
        <v>2:59</v>
      </c>
      <c r="AW28" s="1535" t="s">
        <v>9271</v>
      </c>
    </row>
    <row r="29" ht="15.75" customHeight="1">
      <c r="A29" s="1489" t="s">
        <v>9272</v>
      </c>
      <c r="B29" s="1589" t="s">
        <v>8710</v>
      </c>
      <c r="C29" s="1504">
        <v>0.05042824074074074</v>
      </c>
      <c r="D29" s="803" t="s">
        <v>9016</v>
      </c>
      <c r="E29" s="1540" t="s">
        <v>6329</v>
      </c>
      <c r="F29" s="1540" t="s">
        <v>9273</v>
      </c>
      <c r="G29" s="1592" t="s">
        <v>9274</v>
      </c>
      <c r="H29" s="1167" t="s">
        <v>9275</v>
      </c>
      <c r="I29" s="1116" t="s">
        <v>3352</v>
      </c>
      <c r="J29" s="1541" t="s">
        <v>4843</v>
      </c>
      <c r="K29" s="1541" t="s">
        <v>9186</v>
      </c>
      <c r="L29" s="1541" t="s">
        <v>2471</v>
      </c>
      <c r="M29" s="1541" t="s">
        <v>2042</v>
      </c>
      <c r="N29" s="1541" t="s">
        <v>4177</v>
      </c>
      <c r="O29" s="1541" t="s">
        <v>9276</v>
      </c>
      <c r="P29" s="1593" t="s">
        <v>761</v>
      </c>
      <c r="Q29" s="1543" t="s">
        <v>9277</v>
      </c>
      <c r="R29" s="1543" t="s">
        <v>3424</v>
      </c>
      <c r="S29" s="1543" t="s">
        <v>7754</v>
      </c>
      <c r="T29" s="1594" t="s">
        <v>8876</v>
      </c>
      <c r="U29" s="1543" t="s">
        <v>8826</v>
      </c>
      <c r="V29" s="1594" t="s">
        <v>4976</v>
      </c>
      <c r="W29" s="1595" t="s">
        <v>7552</v>
      </c>
      <c r="X29" s="1544" t="s">
        <v>2572</v>
      </c>
      <c r="Y29" s="1595" t="s">
        <v>9278</v>
      </c>
      <c r="Z29" s="1544" t="s">
        <v>9279</v>
      </c>
      <c r="AA29" s="1595" t="s">
        <v>9280</v>
      </c>
      <c r="AB29" s="803" t="s">
        <v>7626</v>
      </c>
      <c r="AC29" s="1595" t="s">
        <v>3586</v>
      </c>
      <c r="AD29" s="1583" t="s">
        <v>8722</v>
      </c>
      <c r="AE29" s="1540" t="s">
        <v>3300</v>
      </c>
      <c r="AF29" s="1545" t="s">
        <v>9281</v>
      </c>
      <c r="AG29" s="1596" t="s">
        <v>3927</v>
      </c>
      <c r="AH29" s="1596" t="s">
        <v>6108</v>
      </c>
      <c r="AI29" s="1409" t="s">
        <v>9236</v>
      </c>
      <c r="AJ29" s="1596" t="s">
        <v>9282</v>
      </c>
      <c r="AK29" s="1616" t="s">
        <v>8727</v>
      </c>
      <c r="AL29" s="1596" t="s">
        <v>3591</v>
      </c>
      <c r="AM29" s="1547" t="s">
        <v>9283</v>
      </c>
      <c r="AN29" s="1547" t="s">
        <v>5088</v>
      </c>
      <c r="AO29" s="1547" t="s">
        <v>2076</v>
      </c>
      <c r="AP29" s="1547" t="s">
        <v>9284</v>
      </c>
      <c r="AQ29" s="1546" t="s">
        <v>9285</v>
      </c>
      <c r="AR29" s="1546" t="s">
        <v>3637</v>
      </c>
      <c r="AS29" s="1546" t="s">
        <v>5186</v>
      </c>
      <c r="AT29" s="1541" t="s">
        <v>9286</v>
      </c>
      <c r="AU29" s="1529"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6259</v>
      </c>
      <c r="AE30" s="1409" t="s">
        <v>5504</v>
      </c>
      <c r="AF30" s="1409" t="s">
        <v>9299</v>
      </c>
      <c r="AG30" s="1409" t="s">
        <v>5889</v>
      </c>
      <c r="AH30" s="1409" t="s">
        <v>4034</v>
      </c>
      <c r="AI30" s="1409" t="s">
        <v>5120</v>
      </c>
      <c r="AJ30" s="1409" t="s">
        <v>9300</v>
      </c>
      <c r="AK30" s="1409" t="s">
        <v>9301</v>
      </c>
      <c r="AL30" s="1409" t="s">
        <v>5983</v>
      </c>
      <c r="AM30" s="1409" t="s">
        <v>1236</v>
      </c>
      <c r="AN30" s="1409" t="s">
        <v>4180</v>
      </c>
      <c r="AO30" s="1409" t="s">
        <v>9302</v>
      </c>
      <c r="AP30" s="1516" t="str">
        <f>HYPERLINK("https://www.twitch.tv/videos/511415405","2:00.79")</f>
        <v>2:00.79</v>
      </c>
      <c r="AQ30" s="1409" t="s">
        <v>9303</v>
      </c>
      <c r="AR30" s="1409" t="s">
        <v>7517</v>
      </c>
      <c r="AS30" s="1409" t="s">
        <v>9304</v>
      </c>
      <c r="AT30" s="1409" t="s">
        <v>9305</v>
      </c>
      <c r="AU30" s="1409" t="s">
        <v>9306</v>
      </c>
      <c r="AV30" s="1409" t="str">
        <f t="shared" si="1"/>
        <v>2:36</v>
      </c>
      <c r="AW30" s="1517" t="s">
        <v>6671</v>
      </c>
    </row>
    <row r="31">
      <c r="A31" s="1536" t="s">
        <v>1202</v>
      </c>
      <c r="B31" s="1534" t="s">
        <v>8683</v>
      </c>
      <c r="C31" s="1504">
        <v>0.050486111111111114</v>
      </c>
      <c r="D31" s="1540" t="s">
        <v>9307</v>
      </c>
      <c r="E31" s="1540" t="s">
        <v>4240</v>
      </c>
      <c r="F31" s="1540" t="s">
        <v>9308</v>
      </c>
      <c r="G31" s="1540" t="s">
        <v>9309</v>
      </c>
      <c r="H31" s="803" t="s">
        <v>9310</v>
      </c>
      <c r="I31" s="1116" t="s">
        <v>930</v>
      </c>
      <c r="J31" s="1541" t="s">
        <v>5796</v>
      </c>
      <c r="K31" s="1541" t="s">
        <v>8023</v>
      </c>
      <c r="L31" s="1541" t="s">
        <v>6486</v>
      </c>
      <c r="M31" s="1541" t="s">
        <v>5000</v>
      </c>
      <c r="N31" s="1541" t="s">
        <v>9311</v>
      </c>
      <c r="O31" s="1541" t="s">
        <v>9312</v>
      </c>
      <c r="P31" s="1541" t="s">
        <v>9055</v>
      </c>
      <c r="Q31" s="1543" t="s">
        <v>170</v>
      </c>
      <c r="R31" s="1543" t="s">
        <v>4791</v>
      </c>
      <c r="S31" s="1543" t="s">
        <v>9199</v>
      </c>
      <c r="T31" s="1543" t="s">
        <v>9313</v>
      </c>
      <c r="U31" s="1543" t="s">
        <v>9314</v>
      </c>
      <c r="V31" s="1543" t="s">
        <v>9315</v>
      </c>
      <c r="W31" s="1544" t="s">
        <v>9316</v>
      </c>
      <c r="X31" s="1544" t="s">
        <v>9317</v>
      </c>
      <c r="Y31" s="1544" t="s">
        <v>7135</v>
      </c>
      <c r="Z31" s="1544" t="s">
        <v>9318</v>
      </c>
      <c r="AA31" s="1507" t="s">
        <v>9319</v>
      </c>
      <c r="AB31" s="1544" t="s">
        <v>3391</v>
      </c>
      <c r="AC31" s="1544" t="s">
        <v>1048</v>
      </c>
      <c r="AD31" s="1540" t="s">
        <v>9320</v>
      </c>
      <c r="AE31" s="1540" t="s">
        <v>2185</v>
      </c>
      <c r="AF31" s="1545" t="s">
        <v>9321</v>
      </c>
      <c r="AG31" s="1545" t="s">
        <v>529</v>
      </c>
      <c r="AH31" s="1545" t="s">
        <v>9322</v>
      </c>
      <c r="AI31" s="1545" t="s">
        <v>2637</v>
      </c>
      <c r="AJ31" s="1545" t="s">
        <v>9323</v>
      </c>
      <c r="AK31" s="1545" t="s">
        <v>7602</v>
      </c>
      <c r="AL31" s="1545" t="s">
        <v>2739</v>
      </c>
      <c r="AM31" s="1547" t="s">
        <v>9324</v>
      </c>
      <c r="AN31" s="1547" t="s">
        <v>9170</v>
      </c>
      <c r="AO31" s="1547" t="s">
        <v>9325</v>
      </c>
      <c r="AP31" s="1547" t="s">
        <v>9326</v>
      </c>
      <c r="AQ31" s="1547" t="s">
        <v>9327</v>
      </c>
      <c r="AR31" s="1547" t="s">
        <v>1163</v>
      </c>
      <c r="AS31" s="1547" t="s">
        <v>1556</v>
      </c>
      <c r="AT31" s="1541" t="s">
        <v>9328</v>
      </c>
      <c r="AU31" s="1529" t="s">
        <v>9329</v>
      </c>
      <c r="AV31" s="1409" t="str">
        <f t="shared" si="1"/>
        <v>3:47</v>
      </c>
      <c r="AW31" s="1535"/>
    </row>
    <row r="32" ht="15.75" customHeight="1">
      <c r="A32" s="1536" t="s">
        <v>1641</v>
      </c>
      <c r="B32" s="1490" t="s">
        <v>8683</v>
      </c>
      <c r="C32" s="1504">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6457</v>
      </c>
      <c r="K32" s="1541" t="s">
        <v>6619</v>
      </c>
      <c r="L32" s="1610" t="str">
        <f>HYPERLINK("https://www.youtube.com/watch?v=tJdjPKdAbw4","57.01")</f>
        <v>57.01</v>
      </c>
      <c r="M32" s="1593" t="s">
        <v>7464</v>
      </c>
      <c r="N32" s="1541"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5" t="s">
        <v>9338</v>
      </c>
      <c r="AL32" s="1596" t="s">
        <v>9339</v>
      </c>
      <c r="AM32" s="1621" t="str">
        <f>HYPERLINK("https://www.youtube.com/watch?v=BAoEwuQ0LoI","1:25.68")</f>
        <v>1:25.68</v>
      </c>
      <c r="AN32" s="1621" t="str">
        <f>HYPERLINK("https://www.youtube.com/watch?v=F-LtZeEZXek","56.36")</f>
        <v>56.36</v>
      </c>
      <c r="AO32" s="1546" t="s">
        <v>9340</v>
      </c>
      <c r="AP32" s="1546" t="s">
        <v>9341</v>
      </c>
      <c r="AQ32" s="1546" t="s">
        <v>9342</v>
      </c>
      <c r="AR32" s="1621" t="str">
        <f>HYPERLINK("https://www.youtube.com/watch?v=WSIIkWWbKgE","1:21.74")</f>
        <v>1:21.74</v>
      </c>
      <c r="AS32" s="1546" t="s">
        <v>5526</v>
      </c>
      <c r="AT32" s="1610" t="str">
        <f>HYPERLINK("https://www.youtube.com/watch?v=H67SXBLcISI","2:29.09")</f>
        <v>2:29.09</v>
      </c>
      <c r="AU32" s="1597" t="s">
        <v>9343</v>
      </c>
      <c r="AV32" s="1409" t="str">
        <f t="shared" si="1"/>
        <v>2:03</v>
      </c>
      <c r="AW32" s="1622" t="s">
        <v>9344</v>
      </c>
    </row>
    <row r="33">
      <c r="A33" s="1536" t="s">
        <v>3081</v>
      </c>
      <c r="B33" s="1534" t="s">
        <v>8710</v>
      </c>
      <c r="C33" s="1504">
        <v>0.050520833333333334</v>
      </c>
      <c r="D33" s="1540" t="s">
        <v>9345</v>
      </c>
      <c r="E33" s="1602" t="s">
        <v>4583</v>
      </c>
      <c r="F33" s="1602" t="s">
        <v>8729</v>
      </c>
      <c r="G33" s="1540" t="s">
        <v>9346</v>
      </c>
      <c r="H33" s="1602" t="s">
        <v>9347</v>
      </c>
      <c r="I33" s="1602" t="s">
        <v>3105</v>
      </c>
      <c r="J33" s="1541" t="s">
        <v>9348</v>
      </c>
      <c r="K33" s="1623" t="s">
        <v>9349</v>
      </c>
      <c r="L33" s="1541" t="s">
        <v>9350</v>
      </c>
      <c r="M33" s="1498" t="s">
        <v>5724</v>
      </c>
      <c r="N33" s="1541" t="s">
        <v>889</v>
      </c>
      <c r="O33" s="1541" t="s">
        <v>9209</v>
      </c>
      <c r="P33" s="1541" t="s">
        <v>412</v>
      </c>
      <c r="Q33" s="787" t="str">
        <f>HYPERLINK("https://www.twitch.tv/planktonsecretformula/v/1588460220?sr=a", "2:12.43")</f>
        <v>2:12.43</v>
      </c>
      <c r="R33" s="1543" t="s">
        <v>9293</v>
      </c>
      <c r="S33" s="1543" t="s">
        <v>9351</v>
      </c>
      <c r="T33" s="1624" t="s">
        <v>9352</v>
      </c>
      <c r="U33" s="1602" t="s">
        <v>9353</v>
      </c>
      <c r="V33" s="1602" t="s">
        <v>9354</v>
      </c>
      <c r="W33" s="1590" t="s">
        <v>9355</v>
      </c>
      <c r="X33" s="1544" t="s">
        <v>860</v>
      </c>
      <c r="Y33" s="1544" t="s">
        <v>6813</v>
      </c>
      <c r="Z33" s="1544" t="s">
        <v>8823</v>
      </c>
      <c r="AA33" s="1507" t="s">
        <v>9356</v>
      </c>
      <c r="AB33" s="1544" t="s">
        <v>4130</v>
      </c>
      <c r="AC33" s="1544" t="s">
        <v>946</v>
      </c>
      <c r="AD33" s="1540" t="s">
        <v>3855</v>
      </c>
      <c r="AE33" s="1540" t="s">
        <v>5874</v>
      </c>
      <c r="AF33" s="1545" t="s">
        <v>9357</v>
      </c>
      <c r="AG33" s="1602" t="s">
        <v>4620</v>
      </c>
      <c r="AH33" s="1545" t="s">
        <v>9358</v>
      </c>
      <c r="AI33" s="1545" t="s">
        <v>6914</v>
      </c>
      <c r="AJ33" s="1545" t="s">
        <v>9359</v>
      </c>
      <c r="AK33" s="1545" t="s">
        <v>9360</v>
      </c>
      <c r="AL33" s="1545" t="s">
        <v>9361</v>
      </c>
      <c r="AM33" s="1547" t="s">
        <v>8876</v>
      </c>
      <c r="AN33" s="1547" t="s">
        <v>9058</v>
      </c>
      <c r="AO33" s="1547" t="s">
        <v>3002</v>
      </c>
      <c r="AP33" s="1547" t="s">
        <v>9362</v>
      </c>
      <c r="AQ33" s="787" t="str">
        <f>HYPERLINK("https://www.twitch.tv/planktonsecretformula/v/1678454360?sr=a&amp;t=0s", "1:37.46")</f>
        <v>1:37.46</v>
      </c>
      <c r="AR33" s="1547" t="s">
        <v>9363</v>
      </c>
      <c r="AS33" s="1547" t="s">
        <v>719</v>
      </c>
      <c r="AT33" s="1541" t="s">
        <v>9364</v>
      </c>
      <c r="AU33" s="1529" t="s">
        <v>9365</v>
      </c>
      <c r="AV33" s="1409" t="str">
        <f t="shared" si="1"/>
        <v>4:40</v>
      </c>
      <c r="AW33" s="1535" t="s">
        <v>9366</v>
      </c>
    </row>
    <row r="34" ht="15.75" customHeight="1">
      <c r="A34" s="1606" t="s">
        <v>9367</v>
      </c>
      <c r="B34" s="1490" t="s">
        <v>8683</v>
      </c>
      <c r="C34" s="1504">
        <v>0.050555555555555555</v>
      </c>
      <c r="D34" s="803" t="s">
        <v>9368</v>
      </c>
      <c r="E34" s="1540" t="s">
        <v>9369</v>
      </c>
      <c r="F34" s="1540" t="s">
        <v>9370</v>
      </c>
      <c r="G34" s="1540" t="s">
        <v>9371</v>
      </c>
      <c r="H34" s="1116" t="s">
        <v>9372</v>
      </c>
      <c r="I34" s="1116" t="s">
        <v>9373</v>
      </c>
      <c r="J34" s="1541" t="s">
        <v>9374</v>
      </c>
      <c r="K34" s="1541" t="s">
        <v>9375</v>
      </c>
      <c r="L34" s="1541" t="s">
        <v>9376</v>
      </c>
      <c r="M34" s="1541" t="s">
        <v>3228</v>
      </c>
      <c r="N34" s="1541" t="s">
        <v>9377</v>
      </c>
      <c r="O34" s="1541" t="s">
        <v>9276</v>
      </c>
      <c r="P34" s="1541" t="s">
        <v>4887</v>
      </c>
      <c r="Q34" s="1543" t="s">
        <v>9378</v>
      </c>
      <c r="R34" s="1543" t="s">
        <v>2642</v>
      </c>
      <c r="S34" s="1543" t="s">
        <v>9379</v>
      </c>
      <c r="T34" s="1543" t="s">
        <v>9380</v>
      </c>
      <c r="U34" s="1543" t="s">
        <v>9381</v>
      </c>
      <c r="V34" s="1543" t="s">
        <v>9212</v>
      </c>
      <c r="W34" s="1544" t="s">
        <v>9382</v>
      </c>
      <c r="X34" s="1544" t="s">
        <v>9383</v>
      </c>
      <c r="Y34" s="1544" t="s">
        <v>9384</v>
      </c>
      <c r="Z34" s="1544" t="s">
        <v>1388</v>
      </c>
      <c r="AA34" s="1544" t="s">
        <v>9385</v>
      </c>
      <c r="AB34" s="1544" t="s">
        <v>6618</v>
      </c>
      <c r="AC34" s="1595" t="s">
        <v>2248</v>
      </c>
      <c r="AD34" s="1540" t="s">
        <v>9386</v>
      </c>
      <c r="AE34" s="1540" t="s">
        <v>9055</v>
      </c>
      <c r="AF34" s="1545" t="s">
        <v>9387</v>
      </c>
      <c r="AG34" s="1545" t="s">
        <v>9388</v>
      </c>
      <c r="AH34" s="1545" t="s">
        <v>5590</v>
      </c>
      <c r="AI34" s="1545" t="s">
        <v>9389</v>
      </c>
      <c r="AJ34" s="1545" t="s">
        <v>9390</v>
      </c>
      <c r="AK34" s="1545" t="s">
        <v>4459</v>
      </c>
      <c r="AL34" s="1545" t="s">
        <v>5669</v>
      </c>
      <c r="AM34" s="1547" t="s">
        <v>2064</v>
      </c>
      <c r="AN34" s="1547" t="s">
        <v>4605</v>
      </c>
      <c r="AO34" s="1547" t="s">
        <v>9391</v>
      </c>
      <c r="AP34" s="1547" t="s">
        <v>9392</v>
      </c>
      <c r="AQ34" s="1547" t="s">
        <v>9393</v>
      </c>
      <c r="AR34" s="1547" t="s">
        <v>9071</v>
      </c>
      <c r="AS34" s="1547" t="s">
        <v>885</v>
      </c>
      <c r="AT34" s="1541" t="s">
        <v>9394</v>
      </c>
      <c r="AU34" s="1529" t="s">
        <v>9395</v>
      </c>
      <c r="AV34" s="1409" t="str">
        <f t="shared" si="1"/>
        <v>2:07</v>
      </c>
      <c r="AW34" s="1617"/>
    </row>
    <row r="35">
      <c r="A35" s="1536" t="s">
        <v>646</v>
      </c>
      <c r="B35" s="1534" t="s">
        <v>8683</v>
      </c>
      <c r="C35" s="1504">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6333</v>
      </c>
      <c r="AP35" s="803" t="s">
        <v>9419</v>
      </c>
      <c r="AQ35" s="803" t="s">
        <v>9420</v>
      </c>
      <c r="AR35" s="803" t="s">
        <v>8954</v>
      </c>
      <c r="AS35" s="803" t="s">
        <v>841</v>
      </c>
      <c r="AT35" s="803" t="s">
        <v>9421</v>
      </c>
      <c r="AU35" s="1529" t="s">
        <v>9306</v>
      </c>
      <c r="AV35" s="1409" t="str">
        <f t="shared" si="1"/>
        <v>2:26</v>
      </c>
      <c r="AW35" s="1535" t="s">
        <v>9422</v>
      </c>
    </row>
    <row r="36" ht="15.75" customHeight="1">
      <c r="A36" s="1489" t="s">
        <v>741</v>
      </c>
      <c r="B36" s="1589" t="s">
        <v>8710</v>
      </c>
      <c r="C36" s="1504">
        <v>0.05056712962962963</v>
      </c>
      <c r="D36" s="1578" t="s">
        <v>8711</v>
      </c>
      <c r="E36" s="1592" t="s">
        <v>9205</v>
      </c>
      <c r="F36" s="1609" t="s">
        <v>8712</v>
      </c>
      <c r="G36" s="1507" t="s">
        <v>9423</v>
      </c>
      <c r="H36" s="1507" t="s">
        <v>9424</v>
      </c>
      <c r="I36" s="1609" t="s">
        <v>8715</v>
      </c>
      <c r="J36" s="1507" t="s">
        <v>1108</v>
      </c>
      <c r="K36" s="1507" t="s">
        <v>4854</v>
      </c>
      <c r="L36" s="1507" t="s">
        <v>2291</v>
      </c>
      <c r="M36" s="1507" t="s">
        <v>2205</v>
      </c>
      <c r="N36" s="1507" t="s">
        <v>9160</v>
      </c>
      <c r="O36" s="1507" t="s">
        <v>9425</v>
      </c>
      <c r="P36" s="1507" t="s">
        <v>3948</v>
      </c>
      <c r="Q36" s="1507" t="s">
        <v>9426</v>
      </c>
      <c r="R36" s="1507" t="s">
        <v>3102</v>
      </c>
      <c r="S36" s="1507" t="s">
        <v>8976</v>
      </c>
      <c r="T36" s="1507" t="s">
        <v>2359</v>
      </c>
      <c r="U36" s="1507" t="s">
        <v>8911</v>
      </c>
      <c r="V36" s="1507" t="s">
        <v>2733</v>
      </c>
      <c r="W36" s="1507" t="s">
        <v>9427</v>
      </c>
      <c r="X36" s="1507" t="s">
        <v>9428</v>
      </c>
      <c r="Y36" s="1507" t="s">
        <v>865</v>
      </c>
      <c r="Z36" s="1507" t="s">
        <v>9077</v>
      </c>
      <c r="AA36" s="1507" t="s">
        <v>7602</v>
      </c>
      <c r="AB36" s="1507" t="s">
        <v>6121</v>
      </c>
      <c r="AC36" s="1409" t="s">
        <v>537</v>
      </c>
      <c r="AD36" s="1507" t="s">
        <v>9429</v>
      </c>
      <c r="AE36" s="1507" t="s">
        <v>9196</v>
      </c>
      <c r="AF36" s="1507" t="s">
        <v>9430</v>
      </c>
      <c r="AG36" s="1507" t="s">
        <v>9265</v>
      </c>
      <c r="AH36" s="1507" t="s">
        <v>2889</v>
      </c>
      <c r="AI36" s="1507" t="s">
        <v>9431</v>
      </c>
      <c r="AJ36" s="1507" t="s">
        <v>3246</v>
      </c>
      <c r="AK36" s="1507" t="s">
        <v>5296</v>
      </c>
      <c r="AL36" s="1507" t="s">
        <v>4180</v>
      </c>
      <c r="AM36" s="1507" t="s">
        <v>3308</v>
      </c>
      <c r="AN36" s="1507" t="s">
        <v>344</v>
      </c>
      <c r="AO36" s="1507" t="s">
        <v>9432</v>
      </c>
      <c r="AP36" s="1507" t="s">
        <v>9433</v>
      </c>
      <c r="AQ36" s="1507" t="s">
        <v>7534</v>
      </c>
      <c r="AR36" s="1507" t="s">
        <v>2627</v>
      </c>
      <c r="AS36" s="1507" t="s">
        <v>4027</v>
      </c>
      <c r="AT36" s="1507" t="s">
        <v>9434</v>
      </c>
      <c r="AU36" s="1507" t="s">
        <v>9106</v>
      </c>
      <c r="AV36" s="1409" t="str">
        <f t="shared" si="1"/>
        <v>3:34</v>
      </c>
      <c r="AW36" s="1532" t="s">
        <v>9435</v>
      </c>
    </row>
    <row r="37" ht="15.75" customHeight="1">
      <c r="A37" s="1536" t="s">
        <v>646</v>
      </c>
      <c r="B37" s="1589" t="s">
        <v>8710</v>
      </c>
      <c r="C37" s="1618">
        <v>0.05056712962962963</v>
      </c>
      <c r="D37" s="803" t="s">
        <v>9436</v>
      </c>
      <c r="E37" s="1409" t="s">
        <v>9437</v>
      </c>
      <c r="F37" s="1409" t="s">
        <v>9136</v>
      </c>
      <c r="G37" s="1409" t="s">
        <v>9438</v>
      </c>
      <c r="H37" s="1409" t="s">
        <v>4433</v>
      </c>
      <c r="I37" s="1409" t="s">
        <v>1187</v>
      </c>
      <c r="J37" s="1507" t="s">
        <v>3505</v>
      </c>
      <c r="K37" s="1507" t="s">
        <v>3505</v>
      </c>
      <c r="L37" s="1409" t="s">
        <v>9439</v>
      </c>
      <c r="M37" s="1409" t="s">
        <v>9440</v>
      </c>
      <c r="N37" s="1409" t="s">
        <v>9082</v>
      </c>
      <c r="O37" s="1609" t="s">
        <v>8718</v>
      </c>
      <c r="P37" s="1409" t="s">
        <v>7170</v>
      </c>
      <c r="Q37" s="1409" t="s">
        <v>788</v>
      </c>
      <c r="R37" s="1507"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7" t="s">
        <v>9449</v>
      </c>
      <c r="AO37" s="1507" t="s">
        <v>3505</v>
      </c>
      <c r="AP37" s="1409" t="s">
        <v>5344</v>
      </c>
      <c r="AQ37" s="1409" t="s">
        <v>252</v>
      </c>
      <c r="AR37" s="1409" t="s">
        <v>4777</v>
      </c>
      <c r="AS37" s="1409" t="s">
        <v>9450</v>
      </c>
      <c r="AT37" s="1409" t="s">
        <v>9451</v>
      </c>
      <c r="AU37" s="1507"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5899</v>
      </c>
      <c r="Q38" s="1594" t="s">
        <v>9459</v>
      </c>
      <c r="R38" s="1594" t="s">
        <v>5451</v>
      </c>
      <c r="S38" s="1594" t="s">
        <v>6618</v>
      </c>
      <c r="T38" s="1594" t="s">
        <v>9460</v>
      </c>
      <c r="U38" s="1594" t="s">
        <v>6194</v>
      </c>
      <c r="V38" s="1594" t="s">
        <v>3818</v>
      </c>
      <c r="W38" s="1595" t="s">
        <v>9461</v>
      </c>
      <c r="X38" s="1595" t="s">
        <v>8013</v>
      </c>
      <c r="Y38" s="1595" t="s">
        <v>5063</v>
      </c>
      <c r="Z38" s="1595" t="s">
        <v>1845</v>
      </c>
      <c r="AA38" s="1595" t="s">
        <v>9462</v>
      </c>
      <c r="AB38" s="1595" t="s">
        <v>8929</v>
      </c>
      <c r="AC38" s="1595" t="s">
        <v>5506</v>
      </c>
      <c r="AD38" s="1592" t="s">
        <v>6511</v>
      </c>
      <c r="AE38" s="1592" t="s">
        <v>6813</v>
      </c>
      <c r="AF38" s="1596" t="s">
        <v>9463</v>
      </c>
      <c r="AG38" s="1596" t="s">
        <v>9388</v>
      </c>
      <c r="AH38" s="1596" t="s">
        <v>7255</v>
      </c>
      <c r="AI38" s="1596" t="s">
        <v>5501</v>
      </c>
      <c r="AJ38" s="1596" t="s">
        <v>9464</v>
      </c>
      <c r="AK38" s="1596" t="s">
        <v>9465</v>
      </c>
      <c r="AL38" s="1596" t="s">
        <v>9466</v>
      </c>
      <c r="AM38" s="1546" t="s">
        <v>9467</v>
      </c>
      <c r="AN38" s="1546" t="s">
        <v>9468</v>
      </c>
      <c r="AO38" s="1546" t="s">
        <v>9469</v>
      </c>
      <c r="AP38" s="1546" t="s">
        <v>9470</v>
      </c>
      <c r="AQ38" s="1546" t="s">
        <v>9327</v>
      </c>
      <c r="AR38" s="1546" t="s">
        <v>9471</v>
      </c>
      <c r="AS38" s="1546" t="s">
        <v>4349</v>
      </c>
      <c r="AT38" s="1593" t="s">
        <v>9472</v>
      </c>
      <c r="AU38" s="1597" t="s">
        <v>9473</v>
      </c>
      <c r="AV38" s="1409" t="str">
        <f t="shared" si="1"/>
        <v>1:56</v>
      </c>
      <c r="AW38" s="1617"/>
    </row>
    <row r="39" ht="15.75" customHeight="1">
      <c r="A39" s="1503" t="s">
        <v>902</v>
      </c>
      <c r="B39" s="1490" t="s">
        <v>8683</v>
      </c>
      <c r="C39" s="1504">
        <v>0.05061342592592592</v>
      </c>
      <c r="D39" s="803" t="s">
        <v>9474</v>
      </c>
      <c r="E39" s="1507" t="s">
        <v>8843</v>
      </c>
      <c r="F39" s="1507" t="s">
        <v>5384</v>
      </c>
      <c r="G39" s="1409" t="s">
        <v>9475</v>
      </c>
      <c r="H39" s="1507" t="s">
        <v>9476</v>
      </c>
      <c r="I39" s="1507" t="s">
        <v>388</v>
      </c>
      <c r="J39" s="1507" t="s">
        <v>6916</v>
      </c>
      <c r="K39" s="1409" t="s">
        <v>9133</v>
      </c>
      <c r="L39" s="1507" t="s">
        <v>9477</v>
      </c>
      <c r="M39" s="1507" t="s">
        <v>9478</v>
      </c>
      <c r="N39" s="1507" t="s">
        <v>4356</v>
      </c>
      <c r="O39" s="1507" t="s">
        <v>9479</v>
      </c>
      <c r="P39" s="1507" t="s">
        <v>1595</v>
      </c>
      <c r="Q39" s="1496" t="s">
        <v>9480</v>
      </c>
      <c r="R39" s="1507" t="s">
        <v>9481</v>
      </c>
      <c r="S39" s="1409" t="s">
        <v>9482</v>
      </c>
      <c r="T39" s="1507" t="s">
        <v>9241</v>
      </c>
      <c r="U39" s="1507" t="s">
        <v>7345</v>
      </c>
      <c r="V39" s="1507" t="s">
        <v>2476</v>
      </c>
      <c r="W39" s="1515" t="str">
        <f>HYPERLINK("https://www.youtube.com/watch?v=nn1ub1z3NYM","1:45.96")</f>
        <v>1:45.96</v>
      </c>
      <c r="X39" s="1507" t="s">
        <v>5667</v>
      </c>
      <c r="Y39" s="1409" t="s">
        <v>5490</v>
      </c>
      <c r="Z39" s="1507" t="s">
        <v>1509</v>
      </c>
      <c r="AA39" s="1507" t="s">
        <v>9483</v>
      </c>
      <c r="AB39" s="1507" t="s">
        <v>9484</v>
      </c>
      <c r="AC39" s="1507" t="s">
        <v>1048</v>
      </c>
      <c r="AD39" s="1507" t="s">
        <v>9485</v>
      </c>
      <c r="AE39" s="1496" t="s">
        <v>4603</v>
      </c>
      <c r="AF39" s="1409" t="s">
        <v>9486</v>
      </c>
      <c r="AG39" s="1507" t="s">
        <v>2075</v>
      </c>
      <c r="AH39" s="1507" t="s">
        <v>3039</v>
      </c>
      <c r="AI39" s="1507" t="s">
        <v>9487</v>
      </c>
      <c r="AJ39" s="1409" t="s">
        <v>8268</v>
      </c>
      <c r="AK39" s="1507" t="s">
        <v>9488</v>
      </c>
      <c r="AL39" s="1409" t="s">
        <v>4366</v>
      </c>
      <c r="AM39" s="1409" t="s">
        <v>9489</v>
      </c>
      <c r="AN39" s="1409" t="s">
        <v>2509</v>
      </c>
      <c r="AO39" s="1507" t="s">
        <v>5200</v>
      </c>
      <c r="AP39" s="1507" t="s">
        <v>9490</v>
      </c>
      <c r="AQ39" s="1507" t="s">
        <v>9491</v>
      </c>
      <c r="AR39" s="1507" t="s">
        <v>1305</v>
      </c>
      <c r="AS39" s="1507" t="s">
        <v>4734</v>
      </c>
      <c r="AT39" s="1507" t="s">
        <v>9492</v>
      </c>
      <c r="AU39" s="1507" t="s">
        <v>9493</v>
      </c>
      <c r="AV39" s="1409" t="str">
        <f t="shared" si="1"/>
        <v>2:25</v>
      </c>
      <c r="AW39" s="1532"/>
    </row>
    <row r="40">
      <c r="A40" s="1503" t="s">
        <v>9494</v>
      </c>
      <c r="B40" s="1531" t="s">
        <v>8683</v>
      </c>
      <c r="C40" s="1504">
        <v>0.050625</v>
      </c>
      <c r="D40" s="1625" t="s">
        <v>9495</v>
      </c>
      <c r="E40" s="1507" t="s">
        <v>4688</v>
      </c>
      <c r="F40" s="1507" t="s">
        <v>9496</v>
      </c>
      <c r="G40" s="1507" t="s">
        <v>9497</v>
      </c>
      <c r="H40" s="1507" t="s">
        <v>1664</v>
      </c>
      <c r="I40" s="1507" t="s">
        <v>1837</v>
      </c>
      <c r="J40" s="1507" t="s">
        <v>9498</v>
      </c>
      <c r="K40" s="1507" t="s">
        <v>3524</v>
      </c>
      <c r="L40" s="1507" t="s">
        <v>9499</v>
      </c>
      <c r="M40" s="1507" t="s">
        <v>9500</v>
      </c>
      <c r="N40" s="1507" t="s">
        <v>9501</v>
      </c>
      <c r="O40" s="1507" t="s">
        <v>9502</v>
      </c>
      <c r="P40" s="1507" t="s">
        <v>9384</v>
      </c>
      <c r="Q40" s="1507" t="s">
        <v>4625</v>
      </c>
      <c r="R40" s="1507" t="s">
        <v>3944</v>
      </c>
      <c r="S40" s="1507" t="s">
        <v>2612</v>
      </c>
      <c r="T40" s="1507" t="s">
        <v>2359</v>
      </c>
      <c r="U40" s="1507" t="s">
        <v>9503</v>
      </c>
      <c r="V40" s="1507" t="s">
        <v>2176</v>
      </c>
      <c r="W40" s="1507" t="s">
        <v>7847</v>
      </c>
      <c r="X40" s="1507" t="s">
        <v>9504</v>
      </c>
      <c r="Y40" s="1507" t="s">
        <v>9505</v>
      </c>
      <c r="Z40" s="1507" t="s">
        <v>9506</v>
      </c>
      <c r="AA40" s="1507" t="s">
        <v>9507</v>
      </c>
      <c r="AB40" s="1507"/>
      <c r="AC40" s="1507" t="s">
        <v>9508</v>
      </c>
      <c r="AD40" s="1507" t="s">
        <v>9509</v>
      </c>
      <c r="AE40" s="1507" t="s">
        <v>4934</v>
      </c>
      <c r="AF40" s="1507" t="s">
        <v>9510</v>
      </c>
      <c r="AG40" s="1507" t="s">
        <v>9511</v>
      </c>
      <c r="AH40" s="1507" t="s">
        <v>9512</v>
      </c>
      <c r="AI40" s="1507" t="s">
        <v>728</v>
      </c>
      <c r="AJ40" s="1507" t="s">
        <v>9513</v>
      </c>
      <c r="AK40" s="1507" t="s">
        <v>9514</v>
      </c>
      <c r="AL40" s="1507" t="s">
        <v>9515</v>
      </c>
      <c r="AM40" s="1507" t="s">
        <v>9516</v>
      </c>
      <c r="AN40" s="1507" t="s">
        <v>8758</v>
      </c>
      <c r="AO40" s="1507" t="s">
        <v>9517</v>
      </c>
      <c r="AP40" s="1507" t="s">
        <v>9518</v>
      </c>
      <c r="AQ40" s="1507" t="s">
        <v>9519</v>
      </c>
      <c r="AR40" s="1507" t="s">
        <v>6623</v>
      </c>
      <c r="AS40" s="1507" t="s">
        <v>5851</v>
      </c>
      <c r="AT40" s="1507" t="s">
        <v>8348</v>
      </c>
      <c r="AU40" s="1507" t="s">
        <v>9520</v>
      </c>
      <c r="AV40" s="1409" t="str">
        <f t="shared" si="1"/>
        <v>2:05</v>
      </c>
      <c r="AW40" s="1573"/>
    </row>
    <row r="41">
      <c r="A41" s="1503" t="s">
        <v>9521</v>
      </c>
      <c r="B41" s="1534" t="s">
        <v>8683</v>
      </c>
      <c r="C41" s="1504">
        <v>0.0506712962962963</v>
      </c>
      <c r="D41" s="1625" t="s">
        <v>9522</v>
      </c>
      <c r="E41" s="1540" t="s">
        <v>3284</v>
      </c>
      <c r="F41" s="1540" t="s">
        <v>9027</v>
      </c>
      <c r="G41" s="1540" t="s">
        <v>9523</v>
      </c>
      <c r="H41" s="1116" t="s">
        <v>9524</v>
      </c>
      <c r="I41" s="1116" t="s">
        <v>9525</v>
      </c>
      <c r="J41" s="1541" t="s">
        <v>9526</v>
      </c>
      <c r="K41" s="1541" t="s">
        <v>7210</v>
      </c>
      <c r="L41" s="1541" t="s">
        <v>4298</v>
      </c>
      <c r="M41" s="1541" t="s">
        <v>7211</v>
      </c>
      <c r="N41" s="1541" t="s">
        <v>9527</v>
      </c>
      <c r="O41" s="1541" t="s">
        <v>2209</v>
      </c>
      <c r="P41" s="1541" t="s">
        <v>7173</v>
      </c>
      <c r="Q41" s="1543" t="s">
        <v>7931</v>
      </c>
      <c r="R41" s="1543" t="s">
        <v>9528</v>
      </c>
      <c r="S41" s="1543" t="s">
        <v>9529</v>
      </c>
      <c r="T41" s="1543" t="s">
        <v>9530</v>
      </c>
      <c r="U41" s="1543" t="s">
        <v>9531</v>
      </c>
      <c r="V41" s="1543" t="s">
        <v>9532</v>
      </c>
      <c r="W41" s="1544" t="s">
        <v>9533</v>
      </c>
      <c r="X41" s="1544" t="s">
        <v>9534</v>
      </c>
      <c r="Y41" s="1544" t="s">
        <v>6249</v>
      </c>
      <c r="Z41" s="1544" t="s">
        <v>9535</v>
      </c>
      <c r="AA41" s="1507" t="s">
        <v>1771</v>
      </c>
      <c r="AB41" s="1544" t="s">
        <v>9536</v>
      </c>
      <c r="AC41" s="1544" t="s">
        <v>7796</v>
      </c>
      <c r="AD41" s="1540" t="s">
        <v>9537</v>
      </c>
      <c r="AE41" s="1540" t="s">
        <v>537</v>
      </c>
      <c r="AF41" s="1545" t="s">
        <v>9538</v>
      </c>
      <c r="AG41" s="1545" t="s">
        <v>3927</v>
      </c>
      <c r="AH41" s="1545" t="s">
        <v>5189</v>
      </c>
      <c r="AI41" s="1545" t="s">
        <v>9539</v>
      </c>
      <c r="AJ41" s="1545" t="s">
        <v>9540</v>
      </c>
      <c r="AK41" s="1545" t="s">
        <v>401</v>
      </c>
      <c r="AL41" s="1545" t="s">
        <v>2584</v>
      </c>
      <c r="AM41" s="1547" t="s">
        <v>9028</v>
      </c>
      <c r="AN41" s="1547" t="s">
        <v>8905</v>
      </c>
      <c r="AO41" s="1547" t="s">
        <v>9200</v>
      </c>
      <c r="AP41" s="1547" t="s">
        <v>9541</v>
      </c>
      <c r="AQ41" s="1547" t="s">
        <v>9542</v>
      </c>
      <c r="AR41" s="1547" t="s">
        <v>9543</v>
      </c>
      <c r="AS41" s="1547" t="s">
        <v>9544</v>
      </c>
      <c r="AT41" s="1541" t="s">
        <v>9545</v>
      </c>
      <c r="AU41" s="1529" t="s">
        <v>9329</v>
      </c>
      <c r="AV41" s="1409" t="str">
        <f t="shared" si="1"/>
        <v>3:31</v>
      </c>
      <c r="AW41" s="1617"/>
    </row>
    <row r="42" ht="15.75" customHeight="1">
      <c r="A42" s="1606" t="s">
        <v>9546</v>
      </c>
      <c r="B42" s="1490" t="s">
        <v>8683</v>
      </c>
      <c r="C42" s="1504">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6122</v>
      </c>
      <c r="Y42" s="1595" t="s">
        <v>8062</v>
      </c>
      <c r="Z42" s="1595" t="s">
        <v>8770</v>
      </c>
      <c r="AA42" s="1595" t="s">
        <v>9555</v>
      </c>
      <c r="AB42" s="1595" t="s">
        <v>2603</v>
      </c>
      <c r="AC42" s="1595" t="s">
        <v>3098</v>
      </c>
      <c r="AD42" s="1592" t="s">
        <v>9556</v>
      </c>
      <c r="AE42" s="1592" t="s">
        <v>6251</v>
      </c>
      <c r="AF42" s="1596" t="s">
        <v>8808</v>
      </c>
      <c r="AG42" s="1596" t="s">
        <v>9557</v>
      </c>
      <c r="AH42" s="1596" t="s">
        <v>2219</v>
      </c>
      <c r="AI42" s="1596" t="s">
        <v>9558</v>
      </c>
      <c r="AJ42" s="1596" t="s">
        <v>9559</v>
      </c>
      <c r="AK42" s="1596" t="s">
        <v>9560</v>
      </c>
      <c r="AL42" s="1596" t="s">
        <v>5361</v>
      </c>
      <c r="AM42" s="1546" t="s">
        <v>9410</v>
      </c>
      <c r="AN42" s="1546" t="s">
        <v>5361</v>
      </c>
      <c r="AO42" s="1546" t="s">
        <v>2303</v>
      </c>
      <c r="AP42" s="1546" t="s">
        <v>9561</v>
      </c>
      <c r="AQ42" s="1546" t="s">
        <v>9562</v>
      </c>
      <c r="AR42" s="1546" t="s">
        <v>4671</v>
      </c>
      <c r="AS42" s="1546" t="s">
        <v>4352</v>
      </c>
      <c r="AT42" s="1593" t="s">
        <v>9563</v>
      </c>
      <c r="AU42" s="1597" t="s">
        <v>9564</v>
      </c>
      <c r="AV42" s="1409" t="str">
        <f t="shared" si="1"/>
        <v>2:54</v>
      </c>
      <c r="AW42" s="1617"/>
    </row>
    <row r="43">
      <c r="A43" s="1536" t="s">
        <v>2789</v>
      </c>
      <c r="B43" s="1531" t="s">
        <v>8683</v>
      </c>
      <c r="C43" s="1504">
        <v>0.050826388888888886</v>
      </c>
      <c r="D43" s="1507" t="s">
        <v>9565</v>
      </c>
      <c r="E43" s="1507" t="s">
        <v>9566</v>
      </c>
      <c r="F43" s="1540" t="s">
        <v>9567</v>
      </c>
      <c r="G43" s="1507" t="s">
        <v>9568</v>
      </c>
      <c r="H43" s="1507" t="s">
        <v>6496</v>
      </c>
      <c r="I43" s="1507" t="s">
        <v>1295</v>
      </c>
      <c r="J43" s="1507" t="s">
        <v>9569</v>
      </c>
      <c r="K43" s="1507" t="s">
        <v>3902</v>
      </c>
      <c r="L43" s="1507" t="s">
        <v>5887</v>
      </c>
      <c r="M43" s="1507" t="s">
        <v>9570</v>
      </c>
      <c r="N43" s="1507" t="s">
        <v>7421</v>
      </c>
      <c r="O43" s="1507" t="s">
        <v>9571</v>
      </c>
      <c r="P43" s="1507" t="s">
        <v>9140</v>
      </c>
      <c r="Q43" s="1507" t="s">
        <v>9572</v>
      </c>
      <c r="R43" s="1507" t="s">
        <v>9573</v>
      </c>
      <c r="S43" s="1507" t="s">
        <v>9574</v>
      </c>
      <c r="T43" s="1507" t="s">
        <v>1799</v>
      </c>
      <c r="U43" s="1507" t="s">
        <v>9575</v>
      </c>
      <c r="V43" s="1507" t="s">
        <v>7257</v>
      </c>
      <c r="W43" s="1507" t="s">
        <v>5450</v>
      </c>
      <c r="X43" s="1507" t="s">
        <v>9576</v>
      </c>
      <c r="Y43" s="1507" t="s">
        <v>7164</v>
      </c>
      <c r="Z43" s="1507" t="s">
        <v>9577</v>
      </c>
      <c r="AA43" s="1544" t="s">
        <v>9578</v>
      </c>
      <c r="AB43" s="1507" t="s">
        <v>1845</v>
      </c>
      <c r="AC43" s="1507" t="s">
        <v>7796</v>
      </c>
      <c r="AD43" s="1507" t="s">
        <v>9579</v>
      </c>
      <c r="AE43" s="1507" t="s">
        <v>4934</v>
      </c>
      <c r="AF43" s="1507" t="s">
        <v>9580</v>
      </c>
      <c r="AG43" s="1507" t="s">
        <v>1181</v>
      </c>
      <c r="AH43" s="1507" t="s">
        <v>3894</v>
      </c>
      <c r="AI43" s="1507" t="s">
        <v>9581</v>
      </c>
      <c r="AJ43" s="1507" t="s">
        <v>9582</v>
      </c>
      <c r="AK43" s="1507" t="s">
        <v>9488</v>
      </c>
      <c r="AL43" s="1507" t="s">
        <v>4371</v>
      </c>
      <c r="AM43" s="1507" t="s">
        <v>9488</v>
      </c>
      <c r="AN43" s="1507" t="s">
        <v>8758</v>
      </c>
      <c r="AO43" s="1507" t="s">
        <v>7517</v>
      </c>
      <c r="AP43" s="1507" t="s">
        <v>9583</v>
      </c>
      <c r="AQ43" s="1507" t="s">
        <v>9584</v>
      </c>
      <c r="AR43" s="1507" t="s">
        <v>5127</v>
      </c>
      <c r="AS43" s="1507" t="s">
        <v>6174</v>
      </c>
      <c r="AT43" s="1507" t="s">
        <v>9585</v>
      </c>
      <c r="AU43" s="1507" t="s">
        <v>9586</v>
      </c>
      <c r="AV43" s="1409" t="str">
        <f t="shared" si="1"/>
        <v>2:25</v>
      </c>
      <c r="AW43" s="1573"/>
    </row>
    <row r="44" ht="15.75" customHeight="1">
      <c r="A44" s="1536"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7"/>
    </row>
    <row r="45" ht="15.75" customHeight="1">
      <c r="A45" s="1536" t="s">
        <v>1814</v>
      </c>
      <c r="B45" s="1626" t="s">
        <v>8734</v>
      </c>
      <c r="C45" s="1627">
        <v>0.05092592592592592</v>
      </c>
      <c r="D45" s="1628" t="s">
        <v>8735</v>
      </c>
      <c r="E45" s="1629" t="s">
        <v>8736</v>
      </c>
      <c r="F45" s="1628" t="s">
        <v>8737</v>
      </c>
      <c r="G45" s="1507"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0" t="s">
        <v>9610</v>
      </c>
      <c r="AA45" s="1409" t="s">
        <v>2305</v>
      </c>
      <c r="AB45" s="1592" t="s">
        <v>9611</v>
      </c>
      <c r="AC45" s="1507" t="s">
        <v>9612</v>
      </c>
      <c r="AD45" s="1592" t="s">
        <v>9613</v>
      </c>
      <c r="AE45" s="1507" t="s">
        <v>9614</v>
      </c>
      <c r="AF45" s="1592" t="s">
        <v>9615</v>
      </c>
      <c r="AG45" s="1409" t="s">
        <v>7080</v>
      </c>
      <c r="AH45" s="1540" t="s">
        <v>9499</v>
      </c>
      <c r="AI45" s="1629" t="s">
        <v>8754</v>
      </c>
      <c r="AJ45" s="1592" t="s">
        <v>9616</v>
      </c>
      <c r="AK45" s="1409" t="s">
        <v>5859</v>
      </c>
      <c r="AL45" s="1628" t="s">
        <v>8756</v>
      </c>
      <c r="AM45" s="1409" t="s">
        <v>9099</v>
      </c>
      <c r="AN45" s="1592" t="s">
        <v>3813</v>
      </c>
      <c r="AO45" s="1507" t="s">
        <v>4863</v>
      </c>
      <c r="AP45" s="1540" t="s">
        <v>9617</v>
      </c>
      <c r="AQ45" s="1507" t="s">
        <v>9618</v>
      </c>
      <c r="AR45" s="1540" t="s">
        <v>9619</v>
      </c>
      <c r="AS45" s="1409" t="s">
        <v>978</v>
      </c>
      <c r="AT45" s="1628" t="s">
        <v>8762</v>
      </c>
      <c r="AU45" s="1629" t="s">
        <v>8763</v>
      </c>
      <c r="AV45" s="1409" t="str">
        <f t="shared" si="1"/>
        <v>2:24</v>
      </c>
      <c r="AW45" s="1532"/>
    </row>
    <row r="46">
      <c r="A46" s="1536" t="s">
        <v>2540</v>
      </c>
      <c r="B46" s="1574" t="s">
        <v>8710</v>
      </c>
      <c r="C46" s="1504">
        <v>0.05092592592592592</v>
      </c>
      <c r="D46" s="803" t="s">
        <v>9620</v>
      </c>
      <c r="E46" s="1540" t="s">
        <v>9621</v>
      </c>
      <c r="F46" s="1540" t="s">
        <v>9622</v>
      </c>
      <c r="G46" s="1540" t="s">
        <v>9623</v>
      </c>
      <c r="H46" s="1116" t="s">
        <v>9624</v>
      </c>
      <c r="I46" s="1116" t="s">
        <v>2887</v>
      </c>
      <c r="J46" s="1541" t="s">
        <v>8825</v>
      </c>
      <c r="K46" s="1541" t="s">
        <v>3882</v>
      </c>
      <c r="L46" s="1541" t="s">
        <v>5716</v>
      </c>
      <c r="M46" s="1541" t="s">
        <v>3116</v>
      </c>
      <c r="N46" s="1541" t="s">
        <v>876</v>
      </c>
      <c r="O46" s="1541" t="s">
        <v>9625</v>
      </c>
      <c r="P46" s="1541" t="s">
        <v>775</v>
      </c>
      <c r="Q46" s="1543" t="s">
        <v>7817</v>
      </c>
      <c r="R46" s="1543" t="s">
        <v>7545</v>
      </c>
      <c r="S46" s="1543" t="s">
        <v>6619</v>
      </c>
      <c r="T46" s="1543" t="s">
        <v>9626</v>
      </c>
      <c r="U46" s="1630" t="s">
        <v>7998</v>
      </c>
      <c r="V46" s="1543" t="s">
        <v>9627</v>
      </c>
      <c r="W46" s="1544" t="s">
        <v>6837</v>
      </c>
      <c r="X46" s="1544" t="s">
        <v>9628</v>
      </c>
      <c r="Y46" s="1544" t="s">
        <v>9629</v>
      </c>
      <c r="Z46" s="1544" t="s">
        <v>7754</v>
      </c>
      <c r="AA46" s="1544" t="s">
        <v>1871</v>
      </c>
      <c r="AB46" s="1544" t="s">
        <v>9630</v>
      </c>
      <c r="AC46" s="1544" t="s">
        <v>161</v>
      </c>
      <c r="AD46" s="1540" t="s">
        <v>9631</v>
      </c>
      <c r="AE46" s="1540" t="s">
        <v>5195</v>
      </c>
      <c r="AF46" s="1545" t="s">
        <v>9632</v>
      </c>
      <c r="AG46" s="1545" t="s">
        <v>5294</v>
      </c>
      <c r="AH46" s="1545" t="s">
        <v>4450</v>
      </c>
      <c r="AI46" s="1545" t="s">
        <v>9633</v>
      </c>
      <c r="AJ46" s="1585" t="s">
        <v>8726</v>
      </c>
      <c r="AK46" s="1545" t="s">
        <v>193</v>
      </c>
      <c r="AL46" s="1545" t="s">
        <v>5860</v>
      </c>
      <c r="AM46" s="1547" t="s">
        <v>4007</v>
      </c>
      <c r="AN46" s="1547" t="s">
        <v>3628</v>
      </c>
      <c r="AO46" s="1547" t="s">
        <v>2400</v>
      </c>
      <c r="AP46" s="1547" t="s">
        <v>9634</v>
      </c>
      <c r="AQ46" s="1547" t="s">
        <v>4281</v>
      </c>
      <c r="AR46" s="1547" t="s">
        <v>7807</v>
      </c>
      <c r="AS46" s="1547" t="s">
        <v>6516</v>
      </c>
      <c r="AT46" s="1541" t="s">
        <v>9635</v>
      </c>
      <c r="AU46" s="750" t="s">
        <v>9636</v>
      </c>
      <c r="AV46" s="1409" t="str">
        <f t="shared" si="1"/>
        <v>4:25</v>
      </c>
      <c r="AW46" s="1530"/>
    </row>
    <row r="47" ht="15.75" customHeight="1">
      <c r="A47" s="1489" t="s">
        <v>4479</v>
      </c>
      <c r="B47" s="1589" t="s">
        <v>8710</v>
      </c>
      <c r="C47" s="1504">
        <v>0.05100810185185185</v>
      </c>
      <c r="D47" s="803" t="s">
        <v>9637</v>
      </c>
      <c r="E47" s="1540" t="s">
        <v>9638</v>
      </c>
      <c r="F47" s="1540" t="s">
        <v>9639</v>
      </c>
      <c r="G47" s="1592" t="s">
        <v>9640</v>
      </c>
      <c r="H47" s="1116" t="s">
        <v>9641</v>
      </c>
      <c r="I47" s="1116" t="s">
        <v>1415</v>
      </c>
      <c r="J47" s="1541" t="s">
        <v>5127</v>
      </c>
      <c r="K47" s="1541" t="s">
        <v>9377</v>
      </c>
      <c r="L47" s="1541" t="s">
        <v>4394</v>
      </c>
      <c r="M47" s="1541" t="s">
        <v>1458</v>
      </c>
      <c r="N47" s="1541" t="s">
        <v>9642</v>
      </c>
      <c r="O47" s="1541" t="s">
        <v>8848</v>
      </c>
      <c r="P47" s="1541" t="s">
        <v>9643</v>
      </c>
      <c r="Q47" s="1543" t="s">
        <v>9644</v>
      </c>
      <c r="R47" s="1543" t="s">
        <v>3424</v>
      </c>
      <c r="S47" s="1543" t="s">
        <v>7204</v>
      </c>
      <c r="T47" s="1543" t="s">
        <v>9645</v>
      </c>
      <c r="U47" s="1543" t="s">
        <v>9646</v>
      </c>
      <c r="V47" s="1594" t="s">
        <v>1368</v>
      </c>
      <c r="W47" s="1544" t="s">
        <v>9647</v>
      </c>
      <c r="X47" s="1544" t="s">
        <v>9431</v>
      </c>
      <c r="Y47" s="1544" t="s">
        <v>3948</v>
      </c>
      <c r="Z47" s="1544" t="s">
        <v>7788</v>
      </c>
      <c r="AA47" s="1544" t="s">
        <v>1026</v>
      </c>
      <c r="AB47" s="1544" t="s">
        <v>3844</v>
      </c>
      <c r="AC47" s="1595" t="s">
        <v>6781</v>
      </c>
      <c r="AD47" s="1540" t="s">
        <v>9648</v>
      </c>
      <c r="AE47" s="1592" t="s">
        <v>4922</v>
      </c>
      <c r="AF47" s="1545" t="s">
        <v>9649</v>
      </c>
      <c r="AG47" s="1545" t="s">
        <v>9650</v>
      </c>
      <c r="AH47" s="1545" t="s">
        <v>9651</v>
      </c>
      <c r="AI47" s="1545" t="s">
        <v>9080</v>
      </c>
      <c r="AJ47" s="1545" t="s">
        <v>9652</v>
      </c>
      <c r="AK47" s="1545" t="s">
        <v>9653</v>
      </c>
      <c r="AL47" s="1545" t="s">
        <v>4510</v>
      </c>
      <c r="AM47" s="1547" t="s">
        <v>9654</v>
      </c>
      <c r="AN47" s="1547" t="s">
        <v>3399</v>
      </c>
      <c r="AO47" s="1547" t="s">
        <v>9655</v>
      </c>
      <c r="AP47" s="1547" t="s">
        <v>9656</v>
      </c>
      <c r="AQ47" s="1547" t="s">
        <v>4281</v>
      </c>
      <c r="AR47" s="1547" t="s">
        <v>9657</v>
      </c>
      <c r="AS47" s="1547" t="s">
        <v>4532</v>
      </c>
      <c r="AT47" s="1541" t="s">
        <v>9658</v>
      </c>
      <c r="AU47" s="1529" t="s">
        <v>9659</v>
      </c>
      <c r="AV47" s="1409" t="str">
        <f t="shared" si="1"/>
        <v>3:17</v>
      </c>
      <c r="AW47" s="1535" t="s">
        <v>9660</v>
      </c>
    </row>
    <row r="48" ht="15.75" customHeight="1">
      <c r="A48" s="1536" t="s">
        <v>986</v>
      </c>
      <c r="B48" s="1534" t="s">
        <v>8710</v>
      </c>
      <c r="C48" s="1504">
        <v>0.05112268518518519</v>
      </c>
      <c r="D48" s="1540" t="s">
        <v>9661</v>
      </c>
      <c r="E48" s="1540" t="s">
        <v>4637</v>
      </c>
      <c r="F48" s="1540" t="s">
        <v>9662</v>
      </c>
      <c r="G48" s="1540" t="s">
        <v>9663</v>
      </c>
      <c r="H48" s="803" t="s">
        <v>9664</v>
      </c>
      <c r="I48" s="1116" t="s">
        <v>5258</v>
      </c>
      <c r="J48" s="1541" t="s">
        <v>4010</v>
      </c>
      <c r="K48" s="1541" t="s">
        <v>9665</v>
      </c>
      <c r="L48" s="1498" t="s">
        <v>3546</v>
      </c>
      <c r="M48" s="1541" t="s">
        <v>4434</v>
      </c>
      <c r="N48" s="1541" t="s">
        <v>9410</v>
      </c>
      <c r="O48" s="1541" t="s">
        <v>9666</v>
      </c>
      <c r="P48" s="1541" t="s">
        <v>1533</v>
      </c>
      <c r="Q48" s="1543" t="s">
        <v>9667</v>
      </c>
      <c r="R48" s="1631" t="s">
        <v>6182</v>
      </c>
      <c r="S48" s="1543" t="s">
        <v>416</v>
      </c>
      <c r="T48" s="1543" t="s">
        <v>9668</v>
      </c>
      <c r="U48" s="1543" t="s">
        <v>9669</v>
      </c>
      <c r="V48" s="1543" t="s">
        <v>9670</v>
      </c>
      <c r="W48" s="1544" t="s">
        <v>9671</v>
      </c>
      <c r="X48" s="1544" t="s">
        <v>9672</v>
      </c>
      <c r="Y48" s="1632" t="s">
        <v>978</v>
      </c>
      <c r="Z48" s="1544" t="s">
        <v>9673</v>
      </c>
      <c r="AA48" s="1507" t="s">
        <v>9674</v>
      </c>
      <c r="AB48" s="1544" t="s">
        <v>2812</v>
      </c>
      <c r="AC48" s="1544" t="s">
        <v>5028</v>
      </c>
      <c r="AD48" s="1540" t="s">
        <v>9675</v>
      </c>
      <c r="AE48" s="1540" t="s">
        <v>8753</v>
      </c>
      <c r="AF48" s="1545" t="s">
        <v>8866</v>
      </c>
      <c r="AG48" s="1545" t="s">
        <v>274</v>
      </c>
      <c r="AH48" s="1545" t="s">
        <v>465</v>
      </c>
      <c r="AI48" s="1545" t="s">
        <v>9676</v>
      </c>
      <c r="AJ48" s="1545" t="s">
        <v>9677</v>
      </c>
      <c r="AK48" s="1545" t="s">
        <v>4133</v>
      </c>
      <c r="AL48" s="1545" t="s">
        <v>9678</v>
      </c>
      <c r="AM48" s="1547" t="s">
        <v>9679</v>
      </c>
      <c r="AN48" s="1587" t="s">
        <v>3237</v>
      </c>
      <c r="AO48" s="1547" t="s">
        <v>7210</v>
      </c>
      <c r="AP48" s="1547" t="s">
        <v>9680</v>
      </c>
      <c r="AQ48" s="1547" t="s">
        <v>9681</v>
      </c>
      <c r="AR48" s="1547" t="s">
        <v>9682</v>
      </c>
      <c r="AS48" s="1547" t="s">
        <v>8640</v>
      </c>
      <c r="AT48" s="1541" t="s">
        <v>9683</v>
      </c>
      <c r="AU48" s="1529" t="s">
        <v>9684</v>
      </c>
      <c r="AV48" s="1409" t="str">
        <f t="shared" si="1"/>
        <v>4:57</v>
      </c>
      <c r="AW48" s="1617"/>
    </row>
    <row r="49">
      <c r="A49" s="1536" t="s">
        <v>2373</v>
      </c>
      <c r="B49" s="1531" t="s">
        <v>8710</v>
      </c>
      <c r="C49" s="1504">
        <v>0.05112268518518519</v>
      </c>
      <c r="D49" s="1507" t="s">
        <v>9685</v>
      </c>
      <c r="E49" s="1507" t="s">
        <v>4498</v>
      </c>
      <c r="F49" s="1507" t="s">
        <v>6184</v>
      </c>
      <c r="G49" s="1609" t="s">
        <v>8713</v>
      </c>
      <c r="H49" s="803" t="s">
        <v>9686</v>
      </c>
      <c r="I49" s="1507" t="s">
        <v>767</v>
      </c>
      <c r="J49" s="1507" t="s">
        <v>6622</v>
      </c>
      <c r="K49" s="1507" t="s">
        <v>2497</v>
      </c>
      <c r="L49" s="1507" t="s">
        <v>1368</v>
      </c>
      <c r="M49" s="1507" t="s">
        <v>9687</v>
      </c>
      <c r="N49" s="1507" t="s">
        <v>9178</v>
      </c>
      <c r="O49" s="1507" t="s">
        <v>9688</v>
      </c>
      <c r="P49" s="1507" t="s">
        <v>3531</v>
      </c>
      <c r="Q49" s="1507" t="s">
        <v>9689</v>
      </c>
      <c r="R49" s="1507" t="s">
        <v>9690</v>
      </c>
      <c r="S49" s="1507" t="s">
        <v>3710</v>
      </c>
      <c r="T49" s="1507" t="s">
        <v>8013</v>
      </c>
      <c r="U49" s="1543" t="s">
        <v>9105</v>
      </c>
      <c r="V49" s="1507" t="s">
        <v>9691</v>
      </c>
      <c r="W49" s="1507" t="s">
        <v>9692</v>
      </c>
      <c r="X49" s="1507" t="s">
        <v>1493</v>
      </c>
      <c r="Y49" s="1507" t="s">
        <v>7170</v>
      </c>
      <c r="Z49" s="1507" t="s">
        <v>8915</v>
      </c>
      <c r="AA49" s="1544" t="s">
        <v>614</v>
      </c>
      <c r="AB49" s="1507" t="s">
        <v>9693</v>
      </c>
      <c r="AC49" s="1507" t="s">
        <v>5195</v>
      </c>
      <c r="AD49" s="1507" t="s">
        <v>9694</v>
      </c>
      <c r="AE49" s="1507" t="s">
        <v>3531</v>
      </c>
      <c r="AF49" s="1507" t="s">
        <v>9695</v>
      </c>
      <c r="AG49" s="1507" t="s">
        <v>9696</v>
      </c>
      <c r="AH49" s="1507" t="s">
        <v>2521</v>
      </c>
      <c r="AI49" s="1507" t="s">
        <v>6091</v>
      </c>
      <c r="AJ49" s="1507" t="s">
        <v>9697</v>
      </c>
      <c r="AK49" s="1507" t="s">
        <v>9200</v>
      </c>
      <c r="AL49" s="1507" t="s">
        <v>9698</v>
      </c>
      <c r="AM49" s="1507" t="s">
        <v>2637</v>
      </c>
      <c r="AN49" s="1507" t="s">
        <v>9699</v>
      </c>
      <c r="AO49" s="1507" t="s">
        <v>8822</v>
      </c>
      <c r="AP49" s="1507" t="s">
        <v>9700</v>
      </c>
      <c r="AQ49" s="1507" t="s">
        <v>9701</v>
      </c>
      <c r="AR49" s="1507" t="s">
        <v>2218</v>
      </c>
      <c r="AS49" s="1507" t="s">
        <v>7164</v>
      </c>
      <c r="AT49" s="1507" t="s">
        <v>9702</v>
      </c>
      <c r="AU49" s="1507" t="s">
        <v>9703</v>
      </c>
      <c r="AV49" s="1409" t="str">
        <f t="shared" si="1"/>
        <v>3:15</v>
      </c>
      <c r="AW49" s="760"/>
    </row>
    <row r="50">
      <c r="A50" s="1536" t="s">
        <v>2919</v>
      </c>
      <c r="B50" s="1531" t="s">
        <v>8683</v>
      </c>
      <c r="C50" s="1504">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6815</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4">
        <v>0.051180555555555556</v>
      </c>
      <c r="D51" s="803" t="s">
        <v>9729</v>
      </c>
      <c r="E51" s="1507" t="s">
        <v>9730</v>
      </c>
      <c r="F51" s="1507" t="s">
        <v>163</v>
      </c>
      <c r="G51" s="1507" t="s">
        <v>8419</v>
      </c>
      <c r="H51" s="1507" t="s">
        <v>9731</v>
      </c>
      <c r="I51" s="1507" t="s">
        <v>1603</v>
      </c>
      <c r="J51" s="1507" t="s">
        <v>889</v>
      </c>
      <c r="K51" s="1507" t="s">
        <v>9252</v>
      </c>
      <c r="L51" s="1507" t="s">
        <v>8855</v>
      </c>
      <c r="M51" s="1507" t="s">
        <v>5901</v>
      </c>
      <c r="N51" s="1507" t="s">
        <v>9732</v>
      </c>
      <c r="O51" s="1507" t="s">
        <v>9733</v>
      </c>
      <c r="P51" s="1507" t="s">
        <v>5489</v>
      </c>
      <c r="Q51" s="1507" t="s">
        <v>7409</v>
      </c>
      <c r="R51" s="1507" t="s">
        <v>9734</v>
      </c>
      <c r="S51" s="1507" t="s">
        <v>8581</v>
      </c>
      <c r="T51" s="1409" t="s">
        <v>4178</v>
      </c>
      <c r="U51" s="1409" t="s">
        <v>9735</v>
      </c>
      <c r="V51" s="1507" t="s">
        <v>1901</v>
      </c>
      <c r="W51" s="1507" t="s">
        <v>9736</v>
      </c>
      <c r="X51" s="1507" t="s">
        <v>9737</v>
      </c>
      <c r="Y51" s="1507" t="s">
        <v>9140</v>
      </c>
      <c r="Z51" s="1507" t="s">
        <v>9738</v>
      </c>
      <c r="AA51" s="1507" t="s">
        <v>9739</v>
      </c>
      <c r="AB51" s="1507" t="s">
        <v>9740</v>
      </c>
      <c r="AC51" s="1507" t="s">
        <v>851</v>
      </c>
      <c r="AD51" s="1507" t="s">
        <v>9648</v>
      </c>
      <c r="AE51" s="1507" t="s">
        <v>3234</v>
      </c>
      <c r="AF51" s="1409" t="s">
        <v>9741</v>
      </c>
      <c r="AG51" s="1507" t="s">
        <v>387</v>
      </c>
      <c r="AH51" s="1507" t="s">
        <v>9742</v>
      </c>
      <c r="AI51" s="1507" t="s">
        <v>9743</v>
      </c>
      <c r="AJ51" s="1507" t="s">
        <v>9744</v>
      </c>
      <c r="AK51" s="1507" t="s">
        <v>9745</v>
      </c>
      <c r="AL51" s="1507" t="s">
        <v>9746</v>
      </c>
      <c r="AM51" s="1507" t="s">
        <v>7514</v>
      </c>
      <c r="AN51" s="1507" t="s">
        <v>9339</v>
      </c>
      <c r="AO51" s="1515" t="str">
        <f>HYPERLINK("https://clips.twitch.tv/AltruisticEmpathicManateeDoritosChip","1:20.90")</f>
        <v>1:20.90</v>
      </c>
      <c r="AP51" s="1507" t="s">
        <v>9747</v>
      </c>
      <c r="AQ51" s="1507" t="s">
        <v>9748</v>
      </c>
      <c r="AR51" s="1507" t="s">
        <v>9749</v>
      </c>
      <c r="AS51" s="1507" t="s">
        <v>9304</v>
      </c>
      <c r="AT51" s="1507" t="s">
        <v>9750</v>
      </c>
      <c r="AU51" s="1507" t="s">
        <v>9751</v>
      </c>
      <c r="AV51" s="1409" t="str">
        <f t="shared" si="1"/>
        <v>2:40</v>
      </c>
      <c r="AW51" s="1573" t="s">
        <v>9752</v>
      </c>
    </row>
    <row r="52" ht="15.75" customHeight="1">
      <c r="A52" s="1536" t="s">
        <v>3679</v>
      </c>
      <c r="B52" s="1626" t="s">
        <v>8683</v>
      </c>
      <c r="C52" s="1635">
        <v>0.05123738425925926</v>
      </c>
      <c r="D52" s="1540" t="s">
        <v>9753</v>
      </c>
      <c r="E52" s="1540" t="s">
        <v>3804</v>
      </c>
      <c r="F52" s="1540" t="s">
        <v>9754</v>
      </c>
      <c r="G52" s="1540" t="s">
        <v>9159</v>
      </c>
      <c r="H52" s="1116" t="s">
        <v>9755</v>
      </c>
      <c r="I52" s="1116" t="s">
        <v>9401</v>
      </c>
      <c r="J52" s="1541" t="s">
        <v>9377</v>
      </c>
      <c r="K52" s="1541" t="s">
        <v>7197</v>
      </c>
      <c r="L52" s="1541" t="s">
        <v>9756</v>
      </c>
      <c r="M52" s="1541" t="s">
        <v>9116</v>
      </c>
      <c r="N52" s="1636" t="s">
        <v>1165</v>
      </c>
      <c r="O52" s="1541" t="s">
        <v>3487</v>
      </c>
      <c r="P52" s="1541" t="s">
        <v>8807</v>
      </c>
      <c r="Q52" s="1543" t="s">
        <v>9757</v>
      </c>
      <c r="R52" s="1543" t="s">
        <v>9334</v>
      </c>
      <c r="S52" s="1543" t="s">
        <v>9758</v>
      </c>
      <c r="T52" s="1543" t="s">
        <v>9759</v>
      </c>
      <c r="U52" s="1543" t="s">
        <v>9760</v>
      </c>
      <c r="V52" s="1543" t="s">
        <v>4204</v>
      </c>
      <c r="W52" s="1544" t="s">
        <v>9761</v>
      </c>
      <c r="X52" s="1544" t="s">
        <v>9762</v>
      </c>
      <c r="Y52" s="1544" t="s">
        <v>9763</v>
      </c>
      <c r="Z52" s="1544" t="s">
        <v>1355</v>
      </c>
      <c r="AA52" s="1544" t="s">
        <v>9080</v>
      </c>
      <c r="AB52" s="1544" t="s">
        <v>9482</v>
      </c>
      <c r="AC52" s="1544" t="s">
        <v>484</v>
      </c>
      <c r="AD52" s="1540" t="s">
        <v>9764</v>
      </c>
      <c r="AE52" s="1540" t="s">
        <v>6543</v>
      </c>
      <c r="AF52" s="1545" t="s">
        <v>9765</v>
      </c>
      <c r="AG52" s="1545" t="s">
        <v>9766</v>
      </c>
      <c r="AH52" s="1545" t="s">
        <v>9767</v>
      </c>
      <c r="AI52" s="1545" t="s">
        <v>312</v>
      </c>
      <c r="AJ52" s="1545" t="s">
        <v>9768</v>
      </c>
      <c r="AK52" s="1495" t="s">
        <v>9239</v>
      </c>
      <c r="AL52" s="1545" t="s">
        <v>9170</v>
      </c>
      <c r="AM52" s="1547" t="s">
        <v>9769</v>
      </c>
      <c r="AN52" s="1547" t="s">
        <v>571</v>
      </c>
      <c r="AO52" s="1547" t="s">
        <v>9770</v>
      </c>
      <c r="AP52" s="1547" t="s">
        <v>9771</v>
      </c>
      <c r="AQ52" s="803" t="s">
        <v>9772</v>
      </c>
      <c r="AR52" s="1637" t="s">
        <v>9773</v>
      </c>
      <c r="AS52" s="1547" t="s">
        <v>9774</v>
      </c>
      <c r="AT52" s="1541" t="s">
        <v>9775</v>
      </c>
      <c r="AU52" s="1529" t="s">
        <v>9776</v>
      </c>
      <c r="AV52" s="1409" t="str">
        <f t="shared" si="1"/>
        <v>4:25</v>
      </c>
      <c r="AW52" s="1535" t="s">
        <v>9777</v>
      </c>
    </row>
    <row r="53" ht="15.75" customHeight="1">
      <c r="A53" s="1536" t="s">
        <v>1641</v>
      </c>
      <c r="B53" s="1638" t="s">
        <v>8734</v>
      </c>
      <c r="C53" s="1618">
        <v>0.051319444444444445</v>
      </c>
      <c r="D53" s="803" t="s">
        <v>9778</v>
      </c>
      <c r="E53" s="1409" t="s">
        <v>9779</v>
      </c>
      <c r="F53" s="1409" t="s">
        <v>9780</v>
      </c>
      <c r="G53" s="1409" t="s">
        <v>9781</v>
      </c>
      <c r="H53" s="1409" t="s">
        <v>5042</v>
      </c>
      <c r="I53" s="1409" t="s">
        <v>6542</v>
      </c>
      <c r="J53" s="1409" t="s">
        <v>9782</v>
      </c>
      <c r="K53" s="1409" t="s">
        <v>8828</v>
      </c>
      <c r="L53" s="1409" t="s">
        <v>3895</v>
      </c>
      <c r="M53" s="1409" t="s">
        <v>9528</v>
      </c>
      <c r="N53" s="1409" t="s">
        <v>9317</v>
      </c>
      <c r="O53" s="1409" t="s">
        <v>9783</v>
      </c>
      <c r="P53" s="1639" t="s">
        <v>8742</v>
      </c>
      <c r="Q53" s="1409" t="s">
        <v>9784</v>
      </c>
      <c r="R53" s="1409" t="s">
        <v>5890</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6271</v>
      </c>
      <c r="AM53" s="1639" t="s">
        <v>8757</v>
      </c>
      <c r="AN53" s="1507"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6" t="s">
        <v>1882</v>
      </c>
      <c r="B54" s="1534" t="s">
        <v>8683</v>
      </c>
      <c r="C54" s="1504">
        <v>0.05133101851851852</v>
      </c>
      <c r="D54" s="1625" t="s">
        <v>9797</v>
      </c>
      <c r="E54" s="1540" t="s">
        <v>9798</v>
      </c>
      <c r="F54" s="1540" t="s">
        <v>9799</v>
      </c>
      <c r="G54" s="1540" t="s">
        <v>9800</v>
      </c>
      <c r="H54" s="1116" t="s">
        <v>9801</v>
      </c>
      <c r="I54" s="1116" t="s">
        <v>3098</v>
      </c>
      <c r="J54" s="1541" t="s">
        <v>1869</v>
      </c>
      <c r="K54" s="1541" t="s">
        <v>9802</v>
      </c>
      <c r="L54" s="1541" t="s">
        <v>4166</v>
      </c>
      <c r="M54" s="1541" t="s">
        <v>9803</v>
      </c>
      <c r="N54" s="1541" t="s">
        <v>8922</v>
      </c>
      <c r="O54" s="1541" t="s">
        <v>9804</v>
      </c>
      <c r="P54" s="1541" t="s">
        <v>8852</v>
      </c>
      <c r="Q54" s="1543" t="s">
        <v>9805</v>
      </c>
      <c r="R54" s="1543" t="s">
        <v>9573</v>
      </c>
      <c r="S54" s="1543" t="s">
        <v>9806</v>
      </c>
      <c r="T54" s="1543" t="s">
        <v>9578</v>
      </c>
      <c r="U54" s="1543" t="s">
        <v>9807</v>
      </c>
      <c r="V54" s="1543" t="s">
        <v>9354</v>
      </c>
      <c r="W54" s="1544" t="s">
        <v>9808</v>
      </c>
      <c r="X54" s="1544" t="s">
        <v>9809</v>
      </c>
      <c r="Y54" s="1544" t="s">
        <v>5454</v>
      </c>
      <c r="Z54" s="1544" t="s">
        <v>1509</v>
      </c>
      <c r="AA54" s="1544" t="s">
        <v>9810</v>
      </c>
      <c r="AB54" s="1544" t="s">
        <v>6317</v>
      </c>
      <c r="AC54" s="1544" t="s">
        <v>263</v>
      </c>
      <c r="AD54" s="1540" t="s">
        <v>9147</v>
      </c>
      <c r="AE54" s="1540" t="s">
        <v>5454</v>
      </c>
      <c r="AF54" s="1545" t="s">
        <v>9811</v>
      </c>
      <c r="AG54" s="1545" t="s">
        <v>5765</v>
      </c>
      <c r="AH54" s="1545" t="s">
        <v>3996</v>
      </c>
      <c r="AI54" s="1545" t="s">
        <v>9812</v>
      </c>
      <c r="AJ54" s="1545" t="s">
        <v>9813</v>
      </c>
      <c r="AK54" s="1545" t="s">
        <v>9737</v>
      </c>
      <c r="AL54" s="1545" t="s">
        <v>3999</v>
      </c>
      <c r="AM54" s="1547" t="s">
        <v>9174</v>
      </c>
      <c r="AN54" s="1547" t="s">
        <v>4005</v>
      </c>
      <c r="AO54" s="1547" t="s">
        <v>9814</v>
      </c>
      <c r="AP54" s="1547" t="s">
        <v>9815</v>
      </c>
      <c r="AQ54" s="1547" t="s">
        <v>9393</v>
      </c>
      <c r="AR54" s="1547" t="s">
        <v>9816</v>
      </c>
      <c r="AS54" s="1547" t="s">
        <v>9817</v>
      </c>
      <c r="AT54" s="1541" t="s">
        <v>9818</v>
      </c>
      <c r="AU54" s="1529" t="s">
        <v>9819</v>
      </c>
      <c r="AV54" s="1409" t="str">
        <f t="shared" si="1"/>
        <v>1:34</v>
      </c>
      <c r="AW54" s="1617"/>
    </row>
    <row r="55">
      <c r="A55" s="1536" t="s">
        <v>2976</v>
      </c>
      <c r="B55" s="1534" t="s">
        <v>8683</v>
      </c>
      <c r="C55" s="1504">
        <v>0.05134259259259259</v>
      </c>
      <c r="D55" s="1540" t="s">
        <v>9820</v>
      </c>
      <c r="E55" s="1540" t="s">
        <v>6539</v>
      </c>
      <c r="F55" s="1540" t="s">
        <v>9821</v>
      </c>
      <c r="G55" s="1540" t="s">
        <v>9822</v>
      </c>
      <c r="H55" s="1540" t="s">
        <v>9823</v>
      </c>
      <c r="I55" s="1540" t="s">
        <v>1295</v>
      </c>
      <c r="J55" s="1541" t="s">
        <v>4997</v>
      </c>
      <c r="K55" s="1541" t="s">
        <v>7404</v>
      </c>
      <c r="L55" s="1541" t="s">
        <v>4868</v>
      </c>
      <c r="M55" s="1541" t="s">
        <v>3538</v>
      </c>
      <c r="N55" s="1541" t="s">
        <v>2011</v>
      </c>
      <c r="O55" s="1541" t="s">
        <v>9824</v>
      </c>
      <c r="P55" s="1541" t="s">
        <v>4530</v>
      </c>
      <c r="Q55" s="1543" t="s">
        <v>9825</v>
      </c>
      <c r="R55" s="1543" t="s">
        <v>2559</v>
      </c>
      <c r="S55" s="1543" t="s">
        <v>9826</v>
      </c>
      <c r="T55" s="1543" t="s">
        <v>9827</v>
      </c>
      <c r="U55" s="1543" t="s">
        <v>9669</v>
      </c>
      <c r="V55" s="1543" t="s">
        <v>9010</v>
      </c>
      <c r="W55" s="1544" t="s">
        <v>9828</v>
      </c>
      <c r="X55" s="1544" t="s">
        <v>8754</v>
      </c>
      <c r="Y55" s="1544" t="s">
        <v>9405</v>
      </c>
      <c r="Z55" s="1544" t="s">
        <v>3022</v>
      </c>
      <c r="AA55" s="1507" t="s">
        <v>592</v>
      </c>
      <c r="AB55" s="1544" t="s">
        <v>9000</v>
      </c>
      <c r="AC55" s="1544" t="s">
        <v>9278</v>
      </c>
      <c r="AD55" s="1540" t="s">
        <v>9829</v>
      </c>
      <c r="AE55" s="1540" t="s">
        <v>9830</v>
      </c>
      <c r="AF55" s="1545" t="s">
        <v>9831</v>
      </c>
      <c r="AG55" s="1545" t="s">
        <v>9832</v>
      </c>
      <c r="AH55" s="1545" t="s">
        <v>1908</v>
      </c>
      <c r="AI55" s="1545" t="s">
        <v>420</v>
      </c>
      <c r="AJ55" s="1545" t="s">
        <v>9833</v>
      </c>
      <c r="AK55" s="1545" t="s">
        <v>9834</v>
      </c>
      <c r="AL55" s="1545" t="s">
        <v>5629</v>
      </c>
      <c r="AM55" s="1547" t="s">
        <v>9835</v>
      </c>
      <c r="AN55" s="1547" t="s">
        <v>6486</v>
      </c>
      <c r="AO55" s="1547" t="s">
        <v>9836</v>
      </c>
      <c r="AP55" s="1547" t="s">
        <v>9837</v>
      </c>
      <c r="AQ55" s="1547" t="s">
        <v>9393</v>
      </c>
      <c r="AR55" s="1547" t="s">
        <v>9838</v>
      </c>
      <c r="AS55" s="1547" t="s">
        <v>1907</v>
      </c>
      <c r="AT55" s="1541" t="s">
        <v>9839</v>
      </c>
      <c r="AU55" s="1529" t="s">
        <v>9703</v>
      </c>
      <c r="AV55" s="1409" t="str">
        <f t="shared" si="1"/>
        <v>2:56</v>
      </c>
      <c r="AW55" s="1535" t="s">
        <v>9840</v>
      </c>
    </row>
    <row r="56" ht="15.75" customHeight="1">
      <c r="A56" s="1503"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6542</v>
      </c>
      <c r="Z56" s="1595" t="s">
        <v>7779</v>
      </c>
      <c r="AA56" s="1595" t="s">
        <v>9239</v>
      </c>
      <c r="AB56" s="1643" t="s">
        <v>8751</v>
      </c>
      <c r="AC56" s="1595" t="s">
        <v>6634</v>
      </c>
      <c r="AD56" s="1547" t="s">
        <v>9849</v>
      </c>
      <c r="AE56" s="1592" t="s">
        <v>9850</v>
      </c>
      <c r="AF56" s="1596" t="s">
        <v>9851</v>
      </c>
      <c r="AG56" s="1596" t="s">
        <v>9852</v>
      </c>
      <c r="AH56" s="1596" t="s">
        <v>9853</v>
      </c>
      <c r="AI56" s="1596" t="s">
        <v>9854</v>
      </c>
      <c r="AJ56" s="1596" t="s">
        <v>9855</v>
      </c>
      <c r="AK56" s="1644" t="s">
        <v>888</v>
      </c>
      <c r="AL56" s="1596" t="s">
        <v>1573</v>
      </c>
      <c r="AM56" s="1546" t="s">
        <v>9696</v>
      </c>
      <c r="AN56" s="1547" t="s">
        <v>4087</v>
      </c>
      <c r="AO56" s="1546" t="s">
        <v>9856</v>
      </c>
      <c r="AP56" s="1546" t="s">
        <v>9857</v>
      </c>
      <c r="AQ56" s="1546" t="s">
        <v>9858</v>
      </c>
      <c r="AR56" s="1546" t="s">
        <v>9859</v>
      </c>
      <c r="AS56" s="1546"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6274</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6454</v>
      </c>
      <c r="AP57" s="1409" t="s">
        <v>9877</v>
      </c>
      <c r="AQ57" s="1409" t="s">
        <v>9878</v>
      </c>
      <c r="AR57" s="1409" t="s">
        <v>9879</v>
      </c>
      <c r="AS57" s="1546" t="s">
        <v>4411</v>
      </c>
      <c r="AT57" s="1409" t="s">
        <v>9880</v>
      </c>
      <c r="AU57" s="1409" t="s">
        <v>9106</v>
      </c>
      <c r="AV57" s="1409" t="str">
        <f t="shared" si="1"/>
        <v>2:27</v>
      </c>
      <c r="AW57" s="1573"/>
    </row>
    <row r="58" ht="15.75" customHeight="1">
      <c r="A58" s="1536" t="s">
        <v>1351</v>
      </c>
      <c r="B58" s="1531" t="s">
        <v>8734</v>
      </c>
      <c r="C58" s="1504">
        <v>0.05140046296296296</v>
      </c>
      <c r="D58" s="1507" t="s">
        <v>9881</v>
      </c>
      <c r="E58" s="1507" t="s">
        <v>1665</v>
      </c>
      <c r="F58" s="1507" t="s">
        <v>9882</v>
      </c>
      <c r="G58" s="1629" t="s">
        <v>8738</v>
      </c>
      <c r="H58" s="803" t="s">
        <v>9883</v>
      </c>
      <c r="I58" s="1507" t="s">
        <v>1763</v>
      </c>
      <c r="J58" s="1629" t="s">
        <v>8740</v>
      </c>
      <c r="K58" s="1507" t="s">
        <v>9884</v>
      </c>
      <c r="L58" s="1507" t="s">
        <v>9885</v>
      </c>
      <c r="M58" s="1629" t="s">
        <v>7568</v>
      </c>
      <c r="N58" s="1507" t="s">
        <v>9886</v>
      </c>
      <c r="O58" s="1507" t="s">
        <v>9887</v>
      </c>
      <c r="P58" s="1507" t="s">
        <v>1048</v>
      </c>
      <c r="Q58" s="1507" t="s">
        <v>9667</v>
      </c>
      <c r="R58" s="1507" t="s">
        <v>9888</v>
      </c>
      <c r="S58" s="1507" t="s">
        <v>9889</v>
      </c>
      <c r="T58" s="1507" t="s">
        <v>3236</v>
      </c>
      <c r="U58" s="1507" t="s">
        <v>9588</v>
      </c>
      <c r="V58" s="1507" t="s">
        <v>5914</v>
      </c>
      <c r="W58" s="1507" t="s">
        <v>9890</v>
      </c>
      <c r="X58" s="1507" t="s">
        <v>629</v>
      </c>
      <c r="Y58" s="1507" t="s">
        <v>9891</v>
      </c>
      <c r="Z58" s="1507" t="s">
        <v>9892</v>
      </c>
      <c r="AA58" s="1645" t="s">
        <v>8750</v>
      </c>
      <c r="AB58" s="1507" t="s">
        <v>6020</v>
      </c>
      <c r="AC58" s="1507" t="s">
        <v>9893</v>
      </c>
      <c r="AD58" s="1507" t="s">
        <v>9090</v>
      </c>
      <c r="AE58" s="1507" t="s">
        <v>2565</v>
      </c>
      <c r="AF58" s="1507" t="s">
        <v>9894</v>
      </c>
      <c r="AG58" s="1629" t="s">
        <v>4587</v>
      </c>
      <c r="AH58" s="1629" t="s">
        <v>5204</v>
      </c>
      <c r="AI58" s="1507" t="s">
        <v>9895</v>
      </c>
      <c r="AJ58" s="1507" t="s">
        <v>9896</v>
      </c>
      <c r="AK58" s="1507" t="s">
        <v>2945</v>
      </c>
      <c r="AL58" s="1507" t="s">
        <v>3894</v>
      </c>
      <c r="AM58" s="1507" t="s">
        <v>9897</v>
      </c>
      <c r="AN58" s="1507" t="s">
        <v>3750</v>
      </c>
      <c r="AO58" s="1629" t="s">
        <v>8759</v>
      </c>
      <c r="AP58" s="1646" t="s">
        <v>8760</v>
      </c>
      <c r="AQ58" s="1507" t="s">
        <v>3261</v>
      </c>
      <c r="AR58" s="1507" t="s">
        <v>1628</v>
      </c>
      <c r="AS58" s="1507" t="s">
        <v>4739</v>
      </c>
      <c r="AT58" s="1507" t="s">
        <v>9898</v>
      </c>
      <c r="AU58" s="1507" t="s">
        <v>9106</v>
      </c>
      <c r="AV58" s="1409" t="str">
        <f t="shared" si="1"/>
        <v>2:22</v>
      </c>
      <c r="AW58" s="1532" t="s">
        <v>9899</v>
      </c>
    </row>
    <row r="59" ht="15.75" customHeight="1">
      <c r="A59" s="1536" t="s">
        <v>3982</v>
      </c>
      <c r="B59" s="1534" t="s">
        <v>8683</v>
      </c>
      <c r="C59" s="1504">
        <v>0.05153935185185185</v>
      </c>
      <c r="D59" s="1605" t="s">
        <v>9900</v>
      </c>
      <c r="E59" s="1605" t="s">
        <v>6843</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4">
        <v>0.05157407407407407</v>
      </c>
      <c r="D60" s="803" t="s">
        <v>9919</v>
      </c>
      <c r="E60" s="1540" t="s">
        <v>9920</v>
      </c>
      <c r="F60" s="1540"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6091</v>
      </c>
      <c r="AB60" s="1595" t="s">
        <v>5796</v>
      </c>
      <c r="AC60" s="1595" t="s">
        <v>6405</v>
      </c>
      <c r="AD60" s="1540" t="s">
        <v>9929</v>
      </c>
      <c r="AE60" s="1592" t="s">
        <v>5478</v>
      </c>
      <c r="AF60" s="1596" t="s">
        <v>9930</v>
      </c>
      <c r="AG60" s="1596" t="s">
        <v>9931</v>
      </c>
      <c r="AH60" s="1596" t="s">
        <v>9932</v>
      </c>
      <c r="AI60" s="1596" t="s">
        <v>1039</v>
      </c>
      <c r="AJ60" s="1596" t="s">
        <v>9933</v>
      </c>
      <c r="AK60" s="1545" t="s">
        <v>629</v>
      </c>
      <c r="AL60" s="1545" t="s">
        <v>9934</v>
      </c>
      <c r="AM60" s="1546" t="s">
        <v>3627</v>
      </c>
      <c r="AN60" s="1546" t="s">
        <v>9935</v>
      </c>
      <c r="AO60" s="1546" t="s">
        <v>9936</v>
      </c>
      <c r="AP60" s="1546" t="s">
        <v>9937</v>
      </c>
      <c r="AQ60" s="1546" t="s">
        <v>9938</v>
      </c>
      <c r="AR60" s="1547" t="s">
        <v>8023</v>
      </c>
      <c r="AS60" s="1546" t="s">
        <v>4411</v>
      </c>
      <c r="AT60" s="1593" t="s">
        <v>9939</v>
      </c>
      <c r="AU60" s="1597" t="s">
        <v>9940</v>
      </c>
      <c r="AV60" s="1409" t="str">
        <f t="shared" si="1"/>
        <v>4:40</v>
      </c>
      <c r="AW60" s="1617" t="s">
        <v>9941</v>
      </c>
    </row>
    <row r="61" ht="15.75" customHeight="1">
      <c r="A61" s="1536" t="s">
        <v>9942</v>
      </c>
      <c r="B61" s="1534" t="s">
        <v>8683</v>
      </c>
      <c r="C61" s="1504">
        <v>0.051631944444444446</v>
      </c>
      <c r="D61" s="1540" t="s">
        <v>9943</v>
      </c>
      <c r="E61" s="1540" t="s">
        <v>6690</v>
      </c>
      <c r="F61" s="1540" t="s">
        <v>8906</v>
      </c>
      <c r="G61" s="1540" t="s">
        <v>9944</v>
      </c>
      <c r="H61" s="1116" t="s">
        <v>9945</v>
      </c>
      <c r="I61" s="1116" t="s">
        <v>9946</v>
      </c>
      <c r="J61" s="1541" t="s">
        <v>9947</v>
      </c>
      <c r="K61" s="1541" t="s">
        <v>2945</v>
      </c>
      <c r="L61" s="1541" t="s">
        <v>4442</v>
      </c>
      <c r="M61" s="1541" t="s">
        <v>9948</v>
      </c>
      <c r="N61" s="1541" t="s">
        <v>9335</v>
      </c>
      <c r="O61" s="1541" t="s">
        <v>9949</v>
      </c>
      <c r="P61" s="1541" t="s">
        <v>2248</v>
      </c>
      <c r="Q61" s="1543" t="s">
        <v>9950</v>
      </c>
      <c r="R61" s="1543" t="s">
        <v>5890</v>
      </c>
      <c r="S61" s="1543" t="s">
        <v>5583</v>
      </c>
      <c r="T61" s="1543" t="s">
        <v>6255</v>
      </c>
      <c r="U61" s="1543" t="s">
        <v>9951</v>
      </c>
      <c r="V61" s="1543" t="s">
        <v>9952</v>
      </c>
      <c r="W61" s="1544" t="s">
        <v>9953</v>
      </c>
      <c r="X61" s="1544" t="s">
        <v>629</v>
      </c>
      <c r="Y61" s="1544" t="s">
        <v>5061</v>
      </c>
      <c r="Z61" s="1544" t="s">
        <v>9954</v>
      </c>
      <c r="AA61" s="1507" t="s">
        <v>9955</v>
      </c>
      <c r="AB61" s="1544" t="s">
        <v>9536</v>
      </c>
      <c r="AC61" s="1544" t="s">
        <v>840</v>
      </c>
      <c r="AD61" s="1540" t="s">
        <v>9956</v>
      </c>
      <c r="AE61" s="1540" t="s">
        <v>9230</v>
      </c>
      <c r="AF61" s="1649" t="s">
        <v>9957</v>
      </c>
      <c r="AG61" s="1545" t="s">
        <v>6810</v>
      </c>
      <c r="AH61" s="1545" t="s">
        <v>9932</v>
      </c>
      <c r="AI61" s="1545" t="s">
        <v>4103</v>
      </c>
      <c r="AJ61" s="1545" t="s">
        <v>9958</v>
      </c>
      <c r="AK61" s="1545" t="s">
        <v>1530</v>
      </c>
      <c r="AL61" s="1545" t="s">
        <v>3514</v>
      </c>
      <c r="AM61" s="1547" t="s">
        <v>6091</v>
      </c>
      <c r="AN61" s="1547" t="s">
        <v>5629</v>
      </c>
      <c r="AO61" s="1547" t="s">
        <v>6621</v>
      </c>
      <c r="AP61" s="1547" t="s">
        <v>9959</v>
      </c>
      <c r="AQ61" s="1547" t="s">
        <v>3667</v>
      </c>
      <c r="AR61" s="1547" t="s">
        <v>9501</v>
      </c>
      <c r="AS61" s="1547" t="s">
        <v>4027</v>
      </c>
      <c r="AT61" s="1541" t="s">
        <v>9960</v>
      </c>
      <c r="AU61" s="1529"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5889</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6843</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6622</v>
      </c>
      <c r="AC64" s="360" t="s">
        <v>6781</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3" t="s">
        <v>902</v>
      </c>
      <c r="B65" s="1638" t="s">
        <v>8734</v>
      </c>
      <c r="C65" s="1618">
        <v>0.05167824074074074</v>
      </c>
      <c r="D65" s="803" t="s">
        <v>10022</v>
      </c>
      <c r="E65" s="360" t="s">
        <v>10023</v>
      </c>
      <c r="F65" s="360" t="s">
        <v>5895</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5931</v>
      </c>
      <c r="X65" s="360" t="s">
        <v>10031</v>
      </c>
      <c r="Y65" s="360" t="s">
        <v>946</v>
      </c>
      <c r="Z65" s="360" t="s">
        <v>3844</v>
      </c>
      <c r="AA65" s="360" t="s">
        <v>1629</v>
      </c>
      <c r="AB65" s="360" t="s">
        <v>10032</v>
      </c>
      <c r="AC65" s="360" t="s">
        <v>10033</v>
      </c>
      <c r="AD65" s="1605" t="s">
        <v>10034</v>
      </c>
      <c r="AE65" s="360" t="s">
        <v>1865</v>
      </c>
      <c r="AF65" s="360" t="s">
        <v>9486</v>
      </c>
      <c r="AG65" s="360" t="s">
        <v>6923</v>
      </c>
      <c r="AH65" s="360" t="s">
        <v>4442</v>
      </c>
      <c r="AI65" s="360" t="s">
        <v>6351</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6"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6133</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6516</v>
      </c>
      <c r="AT66" s="360" t="s">
        <v>10058</v>
      </c>
      <c r="AU66" s="360" t="s">
        <v>10059</v>
      </c>
      <c r="AV66" s="1409" t="str">
        <f t="shared" si="1"/>
        <v>2:37</v>
      </c>
      <c r="AW66" s="1652" t="s">
        <v>10060</v>
      </c>
    </row>
    <row r="67" ht="15.75" customHeight="1">
      <c r="A67" s="1536" t="s">
        <v>5076</v>
      </c>
      <c r="B67" s="1531" t="s">
        <v>8710</v>
      </c>
      <c r="C67" s="1504">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6" t="s">
        <v>2150</v>
      </c>
      <c r="B68" s="1634" t="s">
        <v>8710</v>
      </c>
      <c r="C68" s="1504">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5889</v>
      </c>
      <c r="AB68" s="1605" t="s">
        <v>6620</v>
      </c>
      <c r="AC68" s="1605" t="s">
        <v>1603</v>
      </c>
      <c r="AD68" s="1605" t="s">
        <v>9956</v>
      </c>
      <c r="AE68" s="1605" t="s">
        <v>9373</v>
      </c>
      <c r="AF68" s="1605" t="s">
        <v>9387</v>
      </c>
      <c r="AG68" s="1605" t="s">
        <v>10092</v>
      </c>
      <c r="AH68" s="1605" t="s">
        <v>10093</v>
      </c>
      <c r="AI68" s="1605" t="s">
        <v>10094</v>
      </c>
      <c r="AJ68" s="1605" t="s">
        <v>6106</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6" t="s">
        <v>8064</v>
      </c>
      <c r="B69" s="1534" t="s">
        <v>8734</v>
      </c>
      <c r="C69" s="1504">
        <v>0.051805555555555556</v>
      </c>
      <c r="D69" s="1605" t="s">
        <v>10102</v>
      </c>
      <c r="E69" s="1605" t="s">
        <v>10103</v>
      </c>
      <c r="F69" s="803" t="s">
        <v>10104</v>
      </c>
      <c r="G69" s="1605" t="s">
        <v>10105</v>
      </c>
      <c r="H69" s="1510" t="s">
        <v>10106</v>
      </c>
      <c r="I69" s="1510">
        <v>49.81</v>
      </c>
      <c r="J69" s="1510" t="s">
        <v>10107</v>
      </c>
      <c r="K69" s="1510" t="s">
        <v>6273</v>
      </c>
      <c r="L69" s="1510">
        <v>59.57</v>
      </c>
      <c r="M69" s="1510" t="s">
        <v>10108</v>
      </c>
      <c r="N69" s="1510" t="s">
        <v>10109</v>
      </c>
      <c r="O69" s="1509" t="s">
        <v>7552</v>
      </c>
      <c r="P69" s="1509" t="s">
        <v>10110</v>
      </c>
      <c r="Q69" s="1509" t="s">
        <v>10111</v>
      </c>
      <c r="R69" s="1510" t="s">
        <v>10112</v>
      </c>
      <c r="S69" s="1510" t="s">
        <v>9749</v>
      </c>
      <c r="T69" s="1510" t="s">
        <v>10113</v>
      </c>
      <c r="U69" s="1510" t="s">
        <v>10114</v>
      </c>
      <c r="V69" s="1510" t="s">
        <v>4294</v>
      </c>
      <c r="W69" s="1510" t="s">
        <v>10115</v>
      </c>
      <c r="X69" s="1510" t="s">
        <v>10116</v>
      </c>
      <c r="Y69" s="1509" t="s">
        <v>9612</v>
      </c>
      <c r="Z69" s="1654" t="s">
        <v>8749</v>
      </c>
      <c r="AA69" s="1510" t="s">
        <v>971</v>
      </c>
      <c r="AB69" s="1509" t="s">
        <v>4359</v>
      </c>
      <c r="AC69" s="1510">
        <v>49.53</v>
      </c>
      <c r="AD69" s="1510" t="s">
        <v>1941</v>
      </c>
      <c r="AE69" s="1509" t="s">
        <v>10117</v>
      </c>
      <c r="AF69" s="1510" t="s">
        <v>8903</v>
      </c>
      <c r="AG69" s="1510" t="s">
        <v>10118</v>
      </c>
      <c r="AH69" s="1510">
        <v>59.93</v>
      </c>
      <c r="AI69" s="1510" t="s">
        <v>10119</v>
      </c>
      <c r="AJ69" s="1510" t="s">
        <v>10120</v>
      </c>
      <c r="AK69" s="1510" t="s">
        <v>5920</v>
      </c>
      <c r="AL69" s="1510">
        <v>59.13</v>
      </c>
      <c r="AM69" s="1510" t="s">
        <v>10057</v>
      </c>
      <c r="AN69" s="1510">
        <v>57.86</v>
      </c>
      <c r="AO69" s="1510" t="s">
        <v>7850</v>
      </c>
      <c r="AP69" s="1510" t="s">
        <v>10121</v>
      </c>
      <c r="AQ69" s="1510" t="s">
        <v>9618</v>
      </c>
      <c r="AR69" s="1510" t="s">
        <v>6207</v>
      </c>
      <c r="AS69" s="1510">
        <v>47.67</v>
      </c>
      <c r="AT69" s="1605" t="s">
        <v>10122</v>
      </c>
      <c r="AU69" s="1605" t="s">
        <v>10123</v>
      </c>
      <c r="AV69" s="1409" t="str">
        <f t="shared" si="1"/>
        <v>2:57</v>
      </c>
      <c r="AW69" s="1633" t="s">
        <v>10124</v>
      </c>
    </row>
    <row r="70">
      <c r="A70" s="1232" t="s">
        <v>1260</v>
      </c>
      <c r="B70" s="1531" t="s">
        <v>8710</v>
      </c>
      <c r="C70" s="1655">
        <v>0.05181712962962963</v>
      </c>
      <c r="D70" s="1498" t="s">
        <v>10125</v>
      </c>
      <c r="E70" s="1498" t="s">
        <v>6696</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6369</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7" t="s">
        <v>10144</v>
      </c>
      <c r="AV70" s="1409" t="str">
        <f t="shared" si="1"/>
        <v>3:49</v>
      </c>
      <c r="AW70" s="1656" t="s">
        <v>10145</v>
      </c>
    </row>
    <row r="71" ht="15.75" customHeight="1">
      <c r="A71" s="1489" t="s">
        <v>3117</v>
      </c>
      <c r="B71" s="1589" t="s">
        <v>8710</v>
      </c>
      <c r="C71" s="1618">
        <v>0.051863425925925924</v>
      </c>
      <c r="D71" s="803" t="s">
        <v>10146</v>
      </c>
      <c r="E71" s="360" t="s">
        <v>6503</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6512</v>
      </c>
      <c r="W72" s="360" t="s">
        <v>4456</v>
      </c>
      <c r="X72" s="360" t="s">
        <v>9581</v>
      </c>
      <c r="Y72" s="360" t="s">
        <v>9614</v>
      </c>
      <c r="Z72" s="360" t="s">
        <v>6525</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6321</v>
      </c>
      <c r="AO72" s="1605" t="s">
        <v>9773</v>
      </c>
      <c r="AP72" s="360" t="s">
        <v>10184</v>
      </c>
      <c r="AQ72" s="360" t="s">
        <v>10185</v>
      </c>
      <c r="AR72" s="360" t="s">
        <v>9428</v>
      </c>
      <c r="AS72" s="360" t="s">
        <v>4734</v>
      </c>
      <c r="AT72" s="360" t="s">
        <v>10186</v>
      </c>
      <c r="AU72" s="1605" t="s">
        <v>10187</v>
      </c>
      <c r="AV72" s="1409" t="str">
        <f t="shared" si="1"/>
        <v>0:37</v>
      </c>
      <c r="AW72" s="1652" t="s">
        <v>10188</v>
      </c>
    </row>
    <row r="73">
      <c r="A73" s="1536" t="s">
        <v>8031</v>
      </c>
      <c r="B73" s="1531" t="s">
        <v>8683</v>
      </c>
      <c r="C73" s="1504">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5874</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6516</v>
      </c>
      <c r="AT73" s="803" t="s">
        <v>9006</v>
      </c>
      <c r="AU73" s="1605" t="s">
        <v>10206</v>
      </c>
      <c r="AV73" s="1409" t="str">
        <f t="shared" si="1"/>
        <v>4:21</v>
      </c>
      <c r="AW73" s="1648" t="s">
        <v>10207</v>
      </c>
    </row>
    <row r="74">
      <c r="A74" s="1536" t="s">
        <v>8626</v>
      </c>
      <c r="B74" s="1534" t="s">
        <v>8683</v>
      </c>
      <c r="C74" s="1504">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5925</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6512</v>
      </c>
      <c r="W75" s="360" t="s">
        <v>8039</v>
      </c>
      <c r="X75" s="360" t="s">
        <v>10239</v>
      </c>
      <c r="Y75" s="360" t="s">
        <v>2097</v>
      </c>
      <c r="Z75" s="360" t="s">
        <v>10240</v>
      </c>
      <c r="AA75" s="360" t="s">
        <v>9928</v>
      </c>
      <c r="AB75" s="360" t="s">
        <v>10241</v>
      </c>
      <c r="AC75" s="360" t="s">
        <v>8753</v>
      </c>
      <c r="AD75" s="360" t="s">
        <v>10242</v>
      </c>
      <c r="AE75" s="360" t="s">
        <v>6781</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6112</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5862</v>
      </c>
      <c r="AB77" s="360" t="s">
        <v>9046</v>
      </c>
      <c r="AC77" s="360" t="s">
        <v>930</v>
      </c>
      <c r="AD77" s="360" t="s">
        <v>10285</v>
      </c>
      <c r="AE77" s="360" t="s">
        <v>1169</v>
      </c>
      <c r="AF77" s="360" t="s">
        <v>10286</v>
      </c>
      <c r="AG77" s="360" t="s">
        <v>2908</v>
      </c>
      <c r="AH77" s="360" t="s">
        <v>6136</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6592</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6087</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6249</v>
      </c>
      <c r="AT78" s="360" t="s">
        <v>7829</v>
      </c>
      <c r="AU78" s="360" t="s">
        <v>10307</v>
      </c>
      <c r="AV78" s="1409" t="str">
        <f t="shared" si="1"/>
        <v>3:10</v>
      </c>
      <c r="AW78" s="1652" t="s">
        <v>10308</v>
      </c>
    </row>
    <row r="79">
      <c r="A79" s="1232" t="s">
        <v>3799</v>
      </c>
      <c r="B79" s="1638" t="s">
        <v>8734</v>
      </c>
      <c r="C79" s="1657">
        <v>0.052141203703703703</v>
      </c>
      <c r="D79" s="803" t="s">
        <v>10309</v>
      </c>
      <c r="E79" s="1540" t="s">
        <v>2993</v>
      </c>
      <c r="F79" s="1540" t="s">
        <v>10310</v>
      </c>
      <c r="G79" s="1602" t="s">
        <v>10311</v>
      </c>
      <c r="H79" s="1602" t="s">
        <v>10312</v>
      </c>
      <c r="I79" s="1602" t="s">
        <v>2431</v>
      </c>
      <c r="J79" s="1602" t="s">
        <v>7086</v>
      </c>
      <c r="K79" s="1658" t="s">
        <v>6280</v>
      </c>
      <c r="L79" s="1659" t="s">
        <v>7253</v>
      </c>
      <c r="M79" s="1602" t="s">
        <v>5936</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29" t="s">
        <v>10324</v>
      </c>
      <c r="AV79" s="1409" t="str">
        <f t="shared" si="1"/>
        <v>4:08</v>
      </c>
      <c r="AW79" s="1662" t="s">
        <v>10325</v>
      </c>
    </row>
    <row r="80">
      <c r="A80" s="1536" t="s">
        <v>3900</v>
      </c>
      <c r="B80" s="1534" t="s">
        <v>8683</v>
      </c>
      <c r="C80" s="1504">
        <v>0.0522337962962963</v>
      </c>
      <c r="D80" s="1625" t="s">
        <v>10326</v>
      </c>
      <c r="E80" s="1605" t="s">
        <v>10327</v>
      </c>
      <c r="F80" s="1605" t="s">
        <v>10328</v>
      </c>
      <c r="G80" s="1605" t="s">
        <v>10329</v>
      </c>
      <c r="H80" s="1605" t="s">
        <v>10330</v>
      </c>
      <c r="I80" s="1605" t="s">
        <v>1912</v>
      </c>
      <c r="J80" s="1605" t="s">
        <v>8359</v>
      </c>
      <c r="K80" s="1605" t="s">
        <v>4421</v>
      </c>
      <c r="L80" s="1605" t="s">
        <v>6292</v>
      </c>
      <c r="M80" s="1605" t="s">
        <v>10331</v>
      </c>
      <c r="N80" s="1605" t="s">
        <v>9720</v>
      </c>
      <c r="O80" s="1605" t="s">
        <v>10332</v>
      </c>
      <c r="P80" s="1605" t="s">
        <v>5160</v>
      </c>
      <c r="Q80" s="1605" t="s">
        <v>10333</v>
      </c>
      <c r="R80" s="1605" t="s">
        <v>6278</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6804</v>
      </c>
      <c r="AJ80" s="1605" t="s">
        <v>10340</v>
      </c>
      <c r="AK80" s="1605" t="s">
        <v>10341</v>
      </c>
      <c r="AL80" s="1605" t="s">
        <v>10055</v>
      </c>
      <c r="AM80" s="1605" t="s">
        <v>9722</v>
      </c>
      <c r="AN80" s="1605" t="s">
        <v>1081</v>
      </c>
      <c r="AO80" s="1605" t="s">
        <v>6440</v>
      </c>
      <c r="AP80" s="1605" t="s">
        <v>5593</v>
      </c>
      <c r="AQ80" s="1605" t="s">
        <v>10342</v>
      </c>
      <c r="AR80" s="1605" t="s">
        <v>692</v>
      </c>
      <c r="AS80" s="1285" t="s">
        <v>2794</v>
      </c>
      <c r="AT80" s="1605" t="s">
        <v>10343</v>
      </c>
      <c r="AU80" s="1605" t="s">
        <v>10344</v>
      </c>
      <c r="AV80" s="1409" t="str">
        <f t="shared" si="1"/>
        <v>4:32</v>
      </c>
      <c r="AW80" s="1648" t="s">
        <v>10345</v>
      </c>
    </row>
    <row r="81">
      <c r="A81" s="1536" t="s">
        <v>5168</v>
      </c>
      <c r="B81" s="1531" t="s">
        <v>8710</v>
      </c>
      <c r="C81" s="1504">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6377</v>
      </c>
      <c r="X81" s="1605" t="s">
        <v>312</v>
      </c>
      <c r="Y81" s="1605" t="s">
        <v>6635</v>
      </c>
      <c r="Z81" s="1605" t="s">
        <v>783</v>
      </c>
      <c r="AA81" s="360" t="s">
        <v>9581</v>
      </c>
      <c r="AB81" s="1605" t="s">
        <v>10356</v>
      </c>
      <c r="AC81" s="1605" t="s">
        <v>6274</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6273</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6542</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6696</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6481</v>
      </c>
      <c r="T83" s="360" t="s">
        <v>10395</v>
      </c>
      <c r="U83" s="360" t="s">
        <v>10396</v>
      </c>
      <c r="V83" s="360" t="s">
        <v>10397</v>
      </c>
      <c r="W83" s="360" t="s">
        <v>10398</v>
      </c>
      <c r="X83" s="360" t="s">
        <v>5760</v>
      </c>
      <c r="Y83" s="360" t="s">
        <v>1547</v>
      </c>
      <c r="Z83" s="360" t="s">
        <v>6622</v>
      </c>
      <c r="AA83" s="1605" t="s">
        <v>6436</v>
      </c>
      <c r="AB83" s="360" t="s">
        <v>9302</v>
      </c>
      <c r="AC83" s="360" t="s">
        <v>10133</v>
      </c>
      <c r="AD83" s="360" t="s">
        <v>3031</v>
      </c>
      <c r="AE83" s="360" t="s">
        <v>4765</v>
      </c>
      <c r="AF83" s="360" t="s">
        <v>10399</v>
      </c>
      <c r="AG83" s="360" t="s">
        <v>2740</v>
      </c>
      <c r="AH83" s="360" t="s">
        <v>6799</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6" t="s">
        <v>3520</v>
      </c>
      <c r="B84" s="1626" t="s">
        <v>8734</v>
      </c>
      <c r="C84" s="1504">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6172</v>
      </c>
      <c r="T84" s="803" t="s">
        <v>10416</v>
      </c>
      <c r="U84" s="803" t="s">
        <v>10417</v>
      </c>
      <c r="V84" s="803" t="s">
        <v>10418</v>
      </c>
      <c r="W84" s="803" t="s">
        <v>10419</v>
      </c>
      <c r="X84" s="803" t="s">
        <v>2679</v>
      </c>
      <c r="Y84" s="803" t="s">
        <v>2807</v>
      </c>
      <c r="Z84" s="803" t="s">
        <v>6345</v>
      </c>
      <c r="AA84" s="1605" t="s">
        <v>10420</v>
      </c>
      <c r="AB84" s="803" t="s">
        <v>10421</v>
      </c>
      <c r="AC84" s="803" t="s">
        <v>6634</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6" t="s">
        <v>10432</v>
      </c>
      <c r="B85" s="1531" t="s">
        <v>8683</v>
      </c>
      <c r="C85" s="1504">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6207</v>
      </c>
      <c r="AP85" s="1605" t="s">
        <v>10449</v>
      </c>
      <c r="AQ85" s="1605" t="s">
        <v>2168</v>
      </c>
      <c r="AR85" s="1605" t="s">
        <v>10263</v>
      </c>
      <c r="AS85" s="1605" t="s">
        <v>10450</v>
      </c>
      <c r="AT85" s="1605" t="s">
        <v>10451</v>
      </c>
      <c r="AU85" s="1605" t="s">
        <v>10452</v>
      </c>
      <c r="AV85" s="1409" t="str">
        <f t="shared" si="1"/>
        <v>5:58</v>
      </c>
      <c r="AW85" s="1648" t="s">
        <v>10453</v>
      </c>
    </row>
    <row r="86" ht="15.75" customHeight="1">
      <c r="A86" s="1489" t="s">
        <v>6078</v>
      </c>
      <c r="B86" s="1589" t="s">
        <v>8710</v>
      </c>
      <c r="C86" s="1618">
        <v>0.05275462962962963</v>
      </c>
      <c r="D86" s="803" t="s">
        <v>10454</v>
      </c>
      <c r="E86" s="360" t="s">
        <v>5979</v>
      </c>
      <c r="F86" s="360" t="s">
        <v>10455</v>
      </c>
      <c r="G86" s="360" t="s">
        <v>8903</v>
      </c>
      <c r="H86" s="360" t="s">
        <v>7461</v>
      </c>
      <c r="I86" s="360" t="s">
        <v>2284</v>
      </c>
      <c r="J86" s="360" t="s">
        <v>4147</v>
      </c>
      <c r="K86" s="360" t="s">
        <v>10153</v>
      </c>
      <c r="L86" s="360" t="s">
        <v>5233</v>
      </c>
      <c r="M86" s="360" t="s">
        <v>4132</v>
      </c>
      <c r="N86" s="360" t="s">
        <v>10456</v>
      </c>
      <c r="O86" s="360" t="s">
        <v>10457</v>
      </c>
      <c r="P86" s="360" t="s">
        <v>6337</v>
      </c>
      <c r="Q86" s="360" t="s">
        <v>10458</v>
      </c>
      <c r="R86" s="360" t="s">
        <v>10459</v>
      </c>
      <c r="S86" s="360" t="s">
        <v>8700</v>
      </c>
      <c r="T86" s="360" t="s">
        <v>2574</v>
      </c>
      <c r="U86" s="360" t="s">
        <v>499</v>
      </c>
      <c r="V86" s="360" t="s">
        <v>4081</v>
      </c>
      <c r="W86" s="360" t="s">
        <v>10460</v>
      </c>
      <c r="X86" s="360" t="s">
        <v>10461</v>
      </c>
      <c r="Y86" s="360" t="s">
        <v>5710</v>
      </c>
      <c r="Z86" s="360" t="s">
        <v>9046</v>
      </c>
      <c r="AA86" s="360" t="s">
        <v>10462</v>
      </c>
      <c r="AB86" s="360" t="s">
        <v>492</v>
      </c>
      <c r="AC86" s="360" t="s">
        <v>10033</v>
      </c>
      <c r="AD86" s="360" t="s">
        <v>10463</v>
      </c>
      <c r="AE86" s="360" t="s">
        <v>10464</v>
      </c>
      <c r="AF86" s="360" t="s">
        <v>9540</v>
      </c>
      <c r="AG86" s="360" t="s">
        <v>7081</v>
      </c>
      <c r="AH86" s="360" t="s">
        <v>724</v>
      </c>
      <c r="AI86" s="360" t="s">
        <v>5261</v>
      </c>
      <c r="AJ86" s="360" t="s">
        <v>10465</v>
      </c>
      <c r="AK86" s="360" t="s">
        <v>8999</v>
      </c>
      <c r="AL86" s="360" t="s">
        <v>5301</v>
      </c>
      <c r="AM86" s="360" t="s">
        <v>2933</v>
      </c>
      <c r="AN86" s="360" t="s">
        <v>6494</v>
      </c>
      <c r="AO86" s="360" t="s">
        <v>6225</v>
      </c>
      <c r="AP86" s="360" t="s">
        <v>10466</v>
      </c>
      <c r="AQ86" s="360" t="s">
        <v>10467</v>
      </c>
      <c r="AR86" s="360" t="s">
        <v>10089</v>
      </c>
      <c r="AS86" s="360" t="s">
        <v>9055</v>
      </c>
      <c r="AT86" s="360" t="s">
        <v>10468</v>
      </c>
      <c r="AU86" s="360" t="s">
        <v>10469</v>
      </c>
      <c r="AV86" s="1409" t="str">
        <f t="shared" si="1"/>
        <v>3:59</v>
      </c>
      <c r="AW86" s="1652" t="s">
        <v>10470</v>
      </c>
    </row>
    <row r="87" ht="15.75" customHeight="1">
      <c r="A87" s="1606" t="s">
        <v>10471</v>
      </c>
      <c r="B87" s="1638" t="s">
        <v>8734</v>
      </c>
      <c r="C87" s="1618">
        <v>0.05291666666666667</v>
      </c>
      <c r="D87" s="803" t="s">
        <v>10472</v>
      </c>
      <c r="E87" s="360" t="s">
        <v>10473</v>
      </c>
      <c r="F87" s="360" t="s">
        <v>5865</v>
      </c>
      <c r="G87" s="360" t="s">
        <v>9677</v>
      </c>
      <c r="H87" s="360" t="s">
        <v>10025</v>
      </c>
      <c r="I87" s="360" t="s">
        <v>3105</v>
      </c>
      <c r="J87" s="360" t="s">
        <v>10474</v>
      </c>
      <c r="K87" s="360" t="s">
        <v>5392</v>
      </c>
      <c r="L87" s="360" t="s">
        <v>7929</v>
      </c>
      <c r="M87" s="360" t="s">
        <v>10475</v>
      </c>
      <c r="N87" s="360" t="s">
        <v>10476</v>
      </c>
      <c r="O87" s="360" t="s">
        <v>10477</v>
      </c>
      <c r="P87" s="360" t="s">
        <v>9893</v>
      </c>
      <c r="Q87" s="360" t="s">
        <v>10478</v>
      </c>
      <c r="R87" s="360" t="s">
        <v>5890</v>
      </c>
      <c r="S87" s="360" t="s">
        <v>4569</v>
      </c>
      <c r="T87" s="360" t="s">
        <v>8902</v>
      </c>
      <c r="U87" s="360" t="s">
        <v>5465</v>
      </c>
      <c r="V87" s="360" t="s">
        <v>1151</v>
      </c>
      <c r="W87" s="360" t="s">
        <v>1835</v>
      </c>
      <c r="X87" s="360" t="s">
        <v>3349</v>
      </c>
      <c r="Y87" s="360" t="s">
        <v>660</v>
      </c>
      <c r="Z87" s="360" t="s">
        <v>10479</v>
      </c>
      <c r="AA87" s="1605" t="s">
        <v>7857</v>
      </c>
      <c r="AB87" s="360" t="s">
        <v>3573</v>
      </c>
      <c r="AC87" s="360" t="s">
        <v>161</v>
      </c>
      <c r="AD87" s="360" t="s">
        <v>10480</v>
      </c>
      <c r="AE87" s="360" t="s">
        <v>10481</v>
      </c>
      <c r="AF87" s="360" t="s">
        <v>10482</v>
      </c>
      <c r="AG87" s="360" t="s">
        <v>10483</v>
      </c>
      <c r="AH87" s="360" t="s">
        <v>9713</v>
      </c>
      <c r="AI87" s="360" t="s">
        <v>10484</v>
      </c>
      <c r="AJ87" s="360" t="s">
        <v>10485</v>
      </c>
      <c r="AK87" s="360" t="s">
        <v>10486</v>
      </c>
      <c r="AL87" s="360" t="s">
        <v>1668</v>
      </c>
      <c r="AM87" s="360" t="s">
        <v>2703</v>
      </c>
      <c r="AN87" s="360" t="s">
        <v>10487</v>
      </c>
      <c r="AO87" s="360" t="s">
        <v>10488</v>
      </c>
      <c r="AP87" s="360" t="s">
        <v>8533</v>
      </c>
      <c r="AQ87" s="360" t="s">
        <v>10489</v>
      </c>
      <c r="AR87" s="360" t="s">
        <v>10395</v>
      </c>
      <c r="AS87" s="360" t="s">
        <v>4381</v>
      </c>
      <c r="AT87" s="360" t="s">
        <v>10490</v>
      </c>
      <c r="AU87" s="360" t="s">
        <v>10491</v>
      </c>
      <c r="AV87" s="1409" t="str">
        <f t="shared" si="1"/>
        <v>2:38</v>
      </c>
      <c r="AW87" s="1652"/>
    </row>
    <row r="88" ht="15.75" customHeight="1">
      <c r="A88" s="1536" t="s">
        <v>6389</v>
      </c>
      <c r="B88" s="1534" t="s">
        <v>8683</v>
      </c>
      <c r="C88" s="1504">
        <v>0.05324074074074074</v>
      </c>
      <c r="D88" s="803" t="s">
        <v>10492</v>
      </c>
      <c r="E88" s="803" t="s">
        <v>10493</v>
      </c>
      <c r="F88" s="803" t="s">
        <v>10494</v>
      </c>
      <c r="G88" s="803" t="s">
        <v>9417</v>
      </c>
      <c r="H88" s="803" t="s">
        <v>10495</v>
      </c>
      <c r="I88" s="803" t="s">
        <v>142</v>
      </c>
      <c r="J88" s="803" t="s">
        <v>1799</v>
      </c>
      <c r="K88" s="803" t="s">
        <v>4254</v>
      </c>
      <c r="L88" s="803" t="s">
        <v>10496</v>
      </c>
      <c r="M88" s="803" t="s">
        <v>10497</v>
      </c>
      <c r="N88" s="803" t="s">
        <v>10498</v>
      </c>
      <c r="O88" s="803" t="s">
        <v>10499</v>
      </c>
      <c r="P88" s="803" t="s">
        <v>10500</v>
      </c>
      <c r="Q88" s="803" t="s">
        <v>10501</v>
      </c>
      <c r="R88" s="803" t="s">
        <v>8696</v>
      </c>
      <c r="S88" s="803" t="s">
        <v>10375</v>
      </c>
      <c r="T88" s="803" t="s">
        <v>10502</v>
      </c>
      <c r="U88" s="803" t="s">
        <v>10503</v>
      </c>
      <c r="V88" s="803" t="s">
        <v>2754</v>
      </c>
      <c r="W88" s="803" t="s">
        <v>10504</v>
      </c>
      <c r="X88" s="803" t="s">
        <v>10505</v>
      </c>
      <c r="Y88" s="803" t="s">
        <v>5586</v>
      </c>
      <c r="Z88" s="803" t="s">
        <v>4045</v>
      </c>
      <c r="AA88" s="1605" t="s">
        <v>10506</v>
      </c>
      <c r="AB88" s="803" t="s">
        <v>9826</v>
      </c>
      <c r="AC88" s="803" t="s">
        <v>5506</v>
      </c>
      <c r="AD88" s="803" t="s">
        <v>10507</v>
      </c>
      <c r="AE88" s="803" t="s">
        <v>9614</v>
      </c>
      <c r="AF88" s="803" t="s">
        <v>10508</v>
      </c>
      <c r="AG88" s="803" t="s">
        <v>10317</v>
      </c>
      <c r="AH88" s="803" t="s">
        <v>5684</v>
      </c>
      <c r="AI88" s="803" t="s">
        <v>10509</v>
      </c>
      <c r="AJ88" s="803" t="s">
        <v>10510</v>
      </c>
      <c r="AK88" s="1605" t="s">
        <v>10511</v>
      </c>
      <c r="AL88" s="803" t="s">
        <v>10136</v>
      </c>
      <c r="AM88" s="803" t="s">
        <v>10512</v>
      </c>
      <c r="AN88" s="803" t="s">
        <v>9972</v>
      </c>
      <c r="AO88" s="803" t="s">
        <v>4519</v>
      </c>
      <c r="AP88" s="803" t="s">
        <v>10513</v>
      </c>
      <c r="AQ88" s="803" t="s">
        <v>10514</v>
      </c>
      <c r="AR88" s="1605" t="s">
        <v>3759</v>
      </c>
      <c r="AS88" s="803" t="s">
        <v>10515</v>
      </c>
      <c r="AT88" s="803" t="s">
        <v>10516</v>
      </c>
      <c r="AU88" s="1605" t="s">
        <v>10430</v>
      </c>
      <c r="AV88" s="1409" t="str">
        <f t="shared" si="1"/>
        <v>3:53</v>
      </c>
      <c r="AW88" s="1648" t="s">
        <v>10517</v>
      </c>
    </row>
    <row r="89">
      <c r="A89" s="1536" t="s">
        <v>4779</v>
      </c>
      <c r="B89" s="1531" t="s">
        <v>8734</v>
      </c>
      <c r="C89" s="1504">
        <v>0.05331018518518518</v>
      </c>
      <c r="D89" s="1605" t="s">
        <v>10518</v>
      </c>
      <c r="E89" s="1605" t="s">
        <v>8024</v>
      </c>
      <c r="F89" s="1605" t="s">
        <v>10294</v>
      </c>
      <c r="G89" s="1605" t="s">
        <v>10519</v>
      </c>
      <c r="H89" s="803" t="s">
        <v>10520</v>
      </c>
      <c r="I89" s="1605" t="s">
        <v>10521</v>
      </c>
      <c r="J89" s="1605" t="s">
        <v>10066</v>
      </c>
      <c r="K89" s="1605" t="s">
        <v>8898</v>
      </c>
      <c r="L89" s="1605" t="s">
        <v>4078</v>
      </c>
      <c r="M89" s="1605" t="s">
        <v>10522</v>
      </c>
      <c r="N89" s="1605" t="s">
        <v>9854</v>
      </c>
      <c r="O89" s="1605" t="s">
        <v>10523</v>
      </c>
      <c r="P89" s="1605" t="s">
        <v>6274</v>
      </c>
      <c r="Q89" s="1605" t="s">
        <v>10524</v>
      </c>
      <c r="R89" s="1605" t="s">
        <v>2148</v>
      </c>
      <c r="S89" s="1605" t="s">
        <v>7893</v>
      </c>
      <c r="T89" s="1605" t="s">
        <v>7443</v>
      </c>
      <c r="U89" s="1605" t="s">
        <v>10525</v>
      </c>
      <c r="V89" s="1605" t="s">
        <v>10047</v>
      </c>
      <c r="W89" s="1605" t="s">
        <v>10526</v>
      </c>
      <c r="X89" s="1605" t="s">
        <v>7082</v>
      </c>
      <c r="Y89" s="1605" t="s">
        <v>5434</v>
      </c>
      <c r="Z89" s="1605" t="s">
        <v>9856</v>
      </c>
      <c r="AA89" s="1605" t="s">
        <v>10527</v>
      </c>
      <c r="AB89" s="1605" t="s">
        <v>3467</v>
      </c>
      <c r="AC89" s="1605" t="s">
        <v>10528</v>
      </c>
      <c r="AD89" s="1605" t="s">
        <v>10529</v>
      </c>
      <c r="AE89" s="1605" t="s">
        <v>5710</v>
      </c>
      <c r="AF89" s="1605" t="s">
        <v>10530</v>
      </c>
      <c r="AG89" s="1605" t="s">
        <v>9180</v>
      </c>
      <c r="AH89" s="1605" t="s">
        <v>10531</v>
      </c>
      <c r="AI89" s="1605" t="s">
        <v>10532</v>
      </c>
      <c r="AJ89" s="1605" t="s">
        <v>10533</v>
      </c>
      <c r="AK89" s="1605" t="s">
        <v>2190</v>
      </c>
      <c r="AL89" s="1605" t="s">
        <v>2159</v>
      </c>
      <c r="AM89" s="1605" t="s">
        <v>10534</v>
      </c>
      <c r="AN89" s="1605" t="s">
        <v>4661</v>
      </c>
      <c r="AO89" s="1605" t="s">
        <v>10535</v>
      </c>
      <c r="AP89" s="1605" t="s">
        <v>2685</v>
      </c>
      <c r="AQ89" s="1605" t="s">
        <v>10536</v>
      </c>
      <c r="AR89" s="1605" t="s">
        <v>1681</v>
      </c>
      <c r="AS89" s="1605" t="s">
        <v>978</v>
      </c>
      <c r="AT89" s="1605" t="s">
        <v>10537</v>
      </c>
      <c r="AU89" s="1605" t="s">
        <v>10538</v>
      </c>
      <c r="AV89" s="1409" t="str">
        <f t="shared" si="1"/>
        <v>4:18</v>
      </c>
      <c r="AW89" s="1652"/>
    </row>
    <row r="90" ht="15.75" customHeight="1">
      <c r="A90" s="1606" t="s">
        <v>10539</v>
      </c>
      <c r="B90" s="1638" t="s">
        <v>8734</v>
      </c>
      <c r="C90" s="1504">
        <v>0.05348379629629629</v>
      </c>
      <c r="D90" s="803" t="s">
        <v>10540</v>
      </c>
      <c r="E90" s="360" t="s">
        <v>10327</v>
      </c>
      <c r="F90" s="360" t="s">
        <v>6493</v>
      </c>
      <c r="G90" s="360" t="s">
        <v>10541</v>
      </c>
      <c r="H90" s="360" t="s">
        <v>10542</v>
      </c>
      <c r="I90" s="360" t="s">
        <v>2350</v>
      </c>
      <c r="J90" s="360" t="s">
        <v>9234</v>
      </c>
      <c r="K90" s="360" t="s">
        <v>8745</v>
      </c>
      <c r="L90" s="360" t="s">
        <v>4838</v>
      </c>
      <c r="M90" s="360" t="s">
        <v>10543</v>
      </c>
      <c r="N90" s="360" t="s">
        <v>10544</v>
      </c>
      <c r="O90" s="360" t="s">
        <v>4300</v>
      </c>
      <c r="P90" s="360" t="s">
        <v>930</v>
      </c>
      <c r="Q90" s="1605" t="s">
        <v>10545</v>
      </c>
      <c r="R90" s="360" t="s">
        <v>10112</v>
      </c>
      <c r="S90" s="360" t="s">
        <v>9447</v>
      </c>
      <c r="T90" s="360" t="s">
        <v>10301</v>
      </c>
      <c r="U90" s="360" t="s">
        <v>10546</v>
      </c>
      <c r="V90" s="360" t="s">
        <v>3247</v>
      </c>
      <c r="W90" s="360" t="s">
        <v>2969</v>
      </c>
      <c r="X90" s="360" t="s">
        <v>3130</v>
      </c>
      <c r="Y90" s="360" t="s">
        <v>1433</v>
      </c>
      <c r="Z90" s="360" t="s">
        <v>9133</v>
      </c>
      <c r="AA90" s="1605" t="s">
        <v>10547</v>
      </c>
      <c r="AB90" s="360" t="s">
        <v>9865</v>
      </c>
      <c r="AC90" s="360" t="s">
        <v>1158</v>
      </c>
      <c r="AD90" s="360" t="s">
        <v>10548</v>
      </c>
      <c r="AE90" s="360" t="s">
        <v>586</v>
      </c>
      <c r="AF90" s="1605" t="s">
        <v>10549</v>
      </c>
      <c r="AG90" s="360" t="s">
        <v>5729</v>
      </c>
      <c r="AH90" s="360" t="s">
        <v>9315</v>
      </c>
      <c r="AI90" s="360" t="s">
        <v>2599</v>
      </c>
      <c r="AJ90" s="360" t="s">
        <v>10550</v>
      </c>
      <c r="AK90" s="360" t="s">
        <v>9148</v>
      </c>
      <c r="AL90" s="360" t="s">
        <v>10551</v>
      </c>
      <c r="AM90" s="360" t="s">
        <v>8882</v>
      </c>
      <c r="AN90" s="360" t="s">
        <v>10136</v>
      </c>
      <c r="AO90" s="360" t="s">
        <v>8828</v>
      </c>
      <c r="AP90" s="360" t="s">
        <v>10552</v>
      </c>
      <c r="AQ90" s="360" t="s">
        <v>4447</v>
      </c>
      <c r="AR90" s="360" t="s">
        <v>1387</v>
      </c>
      <c r="AS90" s="360" t="s">
        <v>8914</v>
      </c>
      <c r="AT90" s="360" t="s">
        <v>4690</v>
      </c>
      <c r="AU90" s="360" t="s">
        <v>10553</v>
      </c>
      <c r="AV90" s="1409" t="str">
        <f t="shared" si="1"/>
        <v>3:27</v>
      </c>
      <c r="AW90" s="1648" t="s">
        <v>10554</v>
      </c>
    </row>
    <row r="91">
      <c r="A91" s="1536" t="s">
        <v>5346</v>
      </c>
      <c r="B91" s="1534" t="s">
        <v>8683</v>
      </c>
      <c r="C91" s="1504">
        <v>0.05376157407407407</v>
      </c>
      <c r="D91" s="1605" t="s">
        <v>10555</v>
      </c>
      <c r="E91" s="1605" t="s">
        <v>5743</v>
      </c>
      <c r="F91" s="1605" t="s">
        <v>10556</v>
      </c>
      <c r="G91" s="1605" t="s">
        <v>10557</v>
      </c>
      <c r="H91" s="1665" t="s">
        <v>10558</v>
      </c>
      <c r="I91" s="803" t="s">
        <v>239</v>
      </c>
      <c r="J91" s="1605" t="s">
        <v>9739</v>
      </c>
      <c r="K91" s="1605" t="s">
        <v>10559</v>
      </c>
      <c r="L91" s="1605" t="s">
        <v>2515</v>
      </c>
      <c r="M91" s="1605" t="s">
        <v>1264</v>
      </c>
      <c r="N91" s="1605" t="s">
        <v>10560</v>
      </c>
      <c r="O91" s="1605" t="s">
        <v>10561</v>
      </c>
      <c r="P91" s="1605" t="s">
        <v>865</v>
      </c>
      <c r="Q91" s="1605" t="s">
        <v>4387</v>
      </c>
      <c r="R91" s="1605" t="s">
        <v>10562</v>
      </c>
      <c r="S91" s="1666" t="s">
        <v>10563</v>
      </c>
      <c r="T91" s="1666" t="s">
        <v>9280</v>
      </c>
      <c r="U91" s="1605" t="s">
        <v>10564</v>
      </c>
      <c r="V91" s="1605" t="s">
        <v>10565</v>
      </c>
      <c r="W91" s="1605" t="s">
        <v>7842</v>
      </c>
      <c r="X91" s="1605" t="s">
        <v>10566</v>
      </c>
      <c r="Y91" s="1605" t="s">
        <v>2123</v>
      </c>
      <c r="Z91" s="1605" t="s">
        <v>9865</v>
      </c>
      <c r="AA91" s="1605" t="s">
        <v>10567</v>
      </c>
      <c r="AB91" s="1605" t="s">
        <v>10568</v>
      </c>
      <c r="AC91" s="1605" t="s">
        <v>7796</v>
      </c>
      <c r="AD91" s="1605" t="s">
        <v>6037</v>
      </c>
      <c r="AE91" s="1605" t="s">
        <v>161</v>
      </c>
      <c r="AF91" s="1605" t="s">
        <v>10569</v>
      </c>
      <c r="AG91" s="1605" t="s">
        <v>10570</v>
      </c>
      <c r="AH91" s="1605" t="s">
        <v>4976</v>
      </c>
      <c r="AI91" s="1605" t="s">
        <v>7684</v>
      </c>
      <c r="AJ91" s="1605" t="s">
        <v>10571</v>
      </c>
      <c r="AK91" s="1605" t="s">
        <v>4830</v>
      </c>
      <c r="AL91" s="1605" t="s">
        <v>10572</v>
      </c>
      <c r="AM91" s="1605" t="s">
        <v>4841</v>
      </c>
      <c r="AN91" s="1605" t="s">
        <v>10573</v>
      </c>
      <c r="AO91" s="1605" t="s">
        <v>8695</v>
      </c>
      <c r="AP91" s="1605" t="s">
        <v>10574</v>
      </c>
      <c r="AQ91" s="1605" t="s">
        <v>10575</v>
      </c>
      <c r="AR91" s="1605" t="s">
        <v>5157</v>
      </c>
      <c r="AS91" s="1605" t="s">
        <v>8861</v>
      </c>
      <c r="AT91" s="1605" t="s">
        <v>10576</v>
      </c>
      <c r="AU91" s="1605" t="s">
        <v>10577</v>
      </c>
      <c r="AV91" s="1409" t="str">
        <f t="shared" si="1"/>
        <v>4:58</v>
      </c>
      <c r="AW91" s="1667"/>
    </row>
    <row r="92" ht="15.75" customHeight="1">
      <c r="A92" s="1606" t="s">
        <v>6544</v>
      </c>
      <c r="B92" s="1638" t="s">
        <v>8734</v>
      </c>
      <c r="C92" s="1618">
        <v>0.05386574074074074</v>
      </c>
      <c r="D92" s="360" t="s">
        <v>10578</v>
      </c>
      <c r="E92" s="360" t="s">
        <v>7425</v>
      </c>
      <c r="F92" s="360" t="s">
        <v>10579</v>
      </c>
      <c r="G92" s="360" t="s">
        <v>4262</v>
      </c>
      <c r="H92" s="360" t="s">
        <v>10580</v>
      </c>
      <c r="I92" s="360" t="s">
        <v>10521</v>
      </c>
      <c r="J92" s="360" t="s">
        <v>10581</v>
      </c>
      <c r="K92" s="360" t="s">
        <v>10582</v>
      </c>
      <c r="L92" s="360" t="s">
        <v>1440</v>
      </c>
      <c r="M92" s="360" t="s">
        <v>4540</v>
      </c>
      <c r="N92" s="360" t="s">
        <v>7592</v>
      </c>
      <c r="O92" s="360" t="s">
        <v>10583</v>
      </c>
      <c r="P92" s="360" t="s">
        <v>6274</v>
      </c>
      <c r="Q92" s="360" t="s">
        <v>10584</v>
      </c>
      <c r="R92" s="360" t="s">
        <v>10585</v>
      </c>
      <c r="S92" s="360" t="s">
        <v>10586</v>
      </c>
      <c r="T92" s="360" t="s">
        <v>9845</v>
      </c>
      <c r="U92" s="360" t="s">
        <v>10587</v>
      </c>
      <c r="V92" s="360" t="s">
        <v>10588</v>
      </c>
      <c r="W92" s="360" t="s">
        <v>10589</v>
      </c>
      <c r="X92" s="360" t="s">
        <v>1336</v>
      </c>
      <c r="Y92" s="360" t="s">
        <v>1886</v>
      </c>
      <c r="Z92" s="360" t="s">
        <v>8720</v>
      </c>
      <c r="AA92" s="803" t="s">
        <v>10590</v>
      </c>
      <c r="AB92" s="360" t="s">
        <v>10591</v>
      </c>
      <c r="AC92" s="360" t="s">
        <v>7165</v>
      </c>
      <c r="AD92" s="360" t="s">
        <v>10592</v>
      </c>
      <c r="AE92" s="360" t="s">
        <v>10593</v>
      </c>
      <c r="AF92" s="360" t="s">
        <v>10181</v>
      </c>
      <c r="AG92" s="360" t="s">
        <v>10594</v>
      </c>
      <c r="AH92" s="360" t="s">
        <v>10595</v>
      </c>
      <c r="AI92" s="360" t="s">
        <v>3549</v>
      </c>
      <c r="AJ92" s="360" t="s">
        <v>10596</v>
      </c>
      <c r="AK92" s="360" t="s">
        <v>10597</v>
      </c>
      <c r="AL92" s="360" t="s">
        <v>4513</v>
      </c>
      <c r="AM92" s="360" t="s">
        <v>9834</v>
      </c>
      <c r="AN92" s="360" t="s">
        <v>9354</v>
      </c>
      <c r="AO92" s="1605" t="s">
        <v>9530</v>
      </c>
      <c r="AP92" s="360" t="s">
        <v>10598</v>
      </c>
      <c r="AQ92" s="360" t="s">
        <v>10599</v>
      </c>
      <c r="AR92" s="360" t="s">
        <v>10600</v>
      </c>
      <c r="AS92" s="360" t="s">
        <v>9140</v>
      </c>
      <c r="AT92" s="360" t="s">
        <v>10601</v>
      </c>
      <c r="AU92" s="360" t="s">
        <v>10538</v>
      </c>
      <c r="AV92" s="1409" t="str">
        <f t="shared" si="1"/>
        <v>3:30</v>
      </c>
      <c r="AW92" s="1652"/>
    </row>
    <row r="93">
      <c r="A93" s="1536" t="s">
        <v>5211</v>
      </c>
      <c r="B93" s="1534" t="s">
        <v>8734</v>
      </c>
      <c r="C93" s="1504">
        <v>0.05482638888888889</v>
      </c>
      <c r="D93" s="1625" t="s">
        <v>10602</v>
      </c>
      <c r="E93" s="1605" t="s">
        <v>9440</v>
      </c>
      <c r="F93" s="1605" t="s">
        <v>10603</v>
      </c>
      <c r="G93" s="1605" t="s">
        <v>10604</v>
      </c>
      <c r="H93" s="1605" t="s">
        <v>10605</v>
      </c>
      <c r="I93" s="1605" t="s">
        <v>10606</v>
      </c>
      <c r="J93" s="1605" t="s">
        <v>10607</v>
      </c>
      <c r="K93" s="1605" t="s">
        <v>9869</v>
      </c>
      <c r="L93" s="1605" t="s">
        <v>10608</v>
      </c>
      <c r="M93" s="1605" t="s">
        <v>1679</v>
      </c>
      <c r="N93" s="1605" t="s">
        <v>6445</v>
      </c>
      <c r="O93" s="1605" t="s">
        <v>10609</v>
      </c>
      <c r="P93" s="1605" t="s">
        <v>6542</v>
      </c>
      <c r="Q93" s="1605" t="s">
        <v>10610</v>
      </c>
      <c r="R93" s="1605" t="s">
        <v>9138</v>
      </c>
      <c r="S93" s="1605" t="s">
        <v>10611</v>
      </c>
      <c r="T93" s="1605" t="s">
        <v>10527</v>
      </c>
      <c r="U93" s="1605" t="s">
        <v>10612</v>
      </c>
      <c r="V93" s="1605" t="s">
        <v>844</v>
      </c>
      <c r="W93" s="1605" t="s">
        <v>6534</v>
      </c>
      <c r="X93" s="1605" t="s">
        <v>10613</v>
      </c>
      <c r="Y93" s="1605" t="s">
        <v>1772</v>
      </c>
      <c r="Z93" s="1605" t="s">
        <v>9886</v>
      </c>
      <c r="AA93" s="1605" t="s">
        <v>2389</v>
      </c>
      <c r="AB93" s="1605" t="s">
        <v>8974</v>
      </c>
      <c r="AC93" s="1605" t="s">
        <v>10614</v>
      </c>
      <c r="AD93" s="1605" t="s">
        <v>10615</v>
      </c>
      <c r="AE93" s="1605" t="s">
        <v>1547</v>
      </c>
      <c r="AF93" s="1605" t="s">
        <v>10616</v>
      </c>
      <c r="AG93" s="1605" t="s">
        <v>10617</v>
      </c>
      <c r="AH93" s="1605" t="s">
        <v>10618</v>
      </c>
      <c r="AI93" s="1605" t="s">
        <v>5840</v>
      </c>
      <c r="AJ93" s="1605" t="s">
        <v>10619</v>
      </c>
      <c r="AK93" s="1605" t="s">
        <v>246</v>
      </c>
      <c r="AL93" s="1605" t="s">
        <v>7253</v>
      </c>
      <c r="AM93" s="1605" t="s">
        <v>4267</v>
      </c>
      <c r="AN93" s="1605" t="s">
        <v>10620</v>
      </c>
      <c r="AO93" s="1605" t="s">
        <v>1799</v>
      </c>
      <c r="AP93" s="1605" t="s">
        <v>887</v>
      </c>
      <c r="AQ93" s="1605" t="s">
        <v>10621</v>
      </c>
      <c r="AR93" s="1605" t="s">
        <v>10622</v>
      </c>
      <c r="AS93" s="1605" t="s">
        <v>2185</v>
      </c>
      <c r="AT93" s="1605" t="s">
        <v>10623</v>
      </c>
      <c r="AU93" s="1605" t="s">
        <v>10624</v>
      </c>
      <c r="AV93" s="1409" t="str">
        <f t="shared" si="1"/>
        <v>3:40</v>
      </c>
      <c r="AW93" s="1648" t="s">
        <v>10625</v>
      </c>
    </row>
    <row r="94">
      <c r="A94" s="1536" t="s">
        <v>5395</v>
      </c>
      <c r="B94" s="1534" t="s">
        <v>8683</v>
      </c>
      <c r="C94" s="1504">
        <v>0.05482638888888889</v>
      </c>
      <c r="D94" s="1514" t="s">
        <v>10626</v>
      </c>
      <c r="E94" s="1514" t="s">
        <v>9290</v>
      </c>
      <c r="F94" s="1514" t="s">
        <v>10627</v>
      </c>
      <c r="G94" s="1514" t="s">
        <v>10628</v>
      </c>
      <c r="H94" s="1514" t="s">
        <v>10629</v>
      </c>
      <c r="I94" s="1514">
        <v>50.26</v>
      </c>
      <c r="J94" s="1514" t="s">
        <v>10607</v>
      </c>
      <c r="K94" s="1514" t="s">
        <v>10630</v>
      </c>
      <c r="L94" s="1514" t="s">
        <v>10631</v>
      </c>
      <c r="M94" s="1514" t="s">
        <v>2214</v>
      </c>
      <c r="N94" s="1514" t="s">
        <v>10632</v>
      </c>
      <c r="O94" s="1514" t="s">
        <v>10633</v>
      </c>
      <c r="P94" s="1514">
        <v>49.15</v>
      </c>
      <c r="Q94" s="1514" t="s">
        <v>10634</v>
      </c>
      <c r="R94" s="1514" t="s">
        <v>3387</v>
      </c>
      <c r="S94" s="1514" t="s">
        <v>10635</v>
      </c>
      <c r="T94" s="1514" t="s">
        <v>5037</v>
      </c>
      <c r="U94" s="1514" t="s">
        <v>3184</v>
      </c>
      <c r="V94" s="1514" t="s">
        <v>10636</v>
      </c>
      <c r="W94" s="1514" t="s">
        <v>10637</v>
      </c>
      <c r="X94" s="1514" t="s">
        <v>10638</v>
      </c>
      <c r="Y94" s="1514">
        <v>51.87</v>
      </c>
      <c r="Z94" s="1514" t="s">
        <v>6273</v>
      </c>
      <c r="AA94" s="1514" t="s">
        <v>6505</v>
      </c>
      <c r="AB94" s="1514" t="s">
        <v>6481</v>
      </c>
      <c r="AC94" s="1514">
        <v>49.75</v>
      </c>
      <c r="AD94" s="1514" t="s">
        <v>10639</v>
      </c>
      <c r="AE94" s="1514">
        <v>50.16</v>
      </c>
      <c r="AF94" s="1514" t="s">
        <v>10640</v>
      </c>
      <c r="AG94" s="1514" t="s">
        <v>10641</v>
      </c>
      <c r="AH94" s="1514" t="s">
        <v>6374</v>
      </c>
      <c r="AI94" s="1514" t="s">
        <v>7411</v>
      </c>
      <c r="AJ94" s="1514" t="s">
        <v>10642</v>
      </c>
      <c r="AK94" s="1514" t="s">
        <v>10560</v>
      </c>
      <c r="AL94" s="1514">
        <v>59.29</v>
      </c>
      <c r="AM94" s="1514" t="s">
        <v>4447</v>
      </c>
      <c r="AN94" s="1514" t="s">
        <v>624</v>
      </c>
      <c r="AO94" s="1514" t="s">
        <v>10643</v>
      </c>
      <c r="AP94" s="1514" t="s">
        <v>10644</v>
      </c>
      <c r="AQ94" s="1514" t="s">
        <v>10645</v>
      </c>
      <c r="AR94" s="1514" t="s">
        <v>7505</v>
      </c>
      <c r="AS94" s="1514">
        <v>47.7</v>
      </c>
      <c r="AT94" s="1514" t="s">
        <v>10646</v>
      </c>
      <c r="AU94" s="1518" t="s">
        <v>10647</v>
      </c>
      <c r="AV94" s="1409" t="str">
        <f t="shared" si="1"/>
        <v>5:51</v>
      </c>
      <c r="AW94" s="1633" t="s">
        <v>10648</v>
      </c>
    </row>
    <row r="95">
      <c r="A95" s="1536" t="s">
        <v>5466</v>
      </c>
      <c r="B95" s="1531" t="s">
        <v>8683</v>
      </c>
      <c r="C95" s="1504">
        <v>0.05559027777777778</v>
      </c>
      <c r="D95" s="1625" t="s">
        <v>10649</v>
      </c>
      <c r="E95" s="1605" t="s">
        <v>10650</v>
      </c>
      <c r="F95" s="1605" t="s">
        <v>10651</v>
      </c>
      <c r="G95" s="1605" t="s">
        <v>8416</v>
      </c>
      <c r="H95" s="1605" t="s">
        <v>5876</v>
      </c>
      <c r="I95" s="1605" t="s">
        <v>1850</v>
      </c>
      <c r="J95" s="1605" t="s">
        <v>10652</v>
      </c>
      <c r="K95" s="1605" t="s">
        <v>6277</v>
      </c>
      <c r="L95" s="1605" t="s">
        <v>8522</v>
      </c>
      <c r="M95" s="1605" t="s">
        <v>7467</v>
      </c>
      <c r="N95" s="1605" t="s">
        <v>10653</v>
      </c>
      <c r="O95" s="1605" t="s">
        <v>10654</v>
      </c>
      <c r="P95" s="1605" t="s">
        <v>189</v>
      </c>
      <c r="Q95" s="1605" t="s">
        <v>1762</v>
      </c>
      <c r="R95" s="1605" t="s">
        <v>10655</v>
      </c>
      <c r="S95" s="1605" t="s">
        <v>5190</v>
      </c>
      <c r="T95" s="1605" t="s">
        <v>10656</v>
      </c>
      <c r="U95" s="1605" t="s">
        <v>10657</v>
      </c>
      <c r="V95" s="1605" t="s">
        <v>6540</v>
      </c>
      <c r="W95" s="1605" t="s">
        <v>9424</v>
      </c>
      <c r="X95" s="1605" t="s">
        <v>4978</v>
      </c>
      <c r="Y95" s="1605" t="s">
        <v>100</v>
      </c>
      <c r="Z95" s="1605" t="s">
        <v>10658</v>
      </c>
      <c r="AA95" s="1605" t="s">
        <v>10423</v>
      </c>
      <c r="AB95" s="1605" t="s">
        <v>3659</v>
      </c>
      <c r="AC95" s="1605" t="s">
        <v>840</v>
      </c>
      <c r="AD95" s="1605" t="s">
        <v>6184</v>
      </c>
      <c r="AE95" s="1605" t="s">
        <v>862</v>
      </c>
      <c r="AF95" s="1605" t="s">
        <v>10659</v>
      </c>
      <c r="AG95" s="1605" t="s">
        <v>10660</v>
      </c>
      <c r="AH95" s="1605" t="s">
        <v>4025</v>
      </c>
      <c r="AI95" s="1605" t="s">
        <v>10661</v>
      </c>
      <c r="AJ95" s="1605" t="s">
        <v>10662</v>
      </c>
      <c r="AK95" s="1605" t="s">
        <v>4534</v>
      </c>
      <c r="AL95" s="1605" t="s">
        <v>126</v>
      </c>
      <c r="AM95" s="1605" t="s">
        <v>10663</v>
      </c>
      <c r="AN95" s="1605" t="s">
        <v>10664</v>
      </c>
      <c r="AO95" s="1605" t="s">
        <v>1039</v>
      </c>
      <c r="AP95" s="1605" t="s">
        <v>10665</v>
      </c>
      <c r="AQ95" s="1605" t="s">
        <v>10666</v>
      </c>
      <c r="AR95" s="1605" t="s">
        <v>10667</v>
      </c>
      <c r="AS95" s="1605" t="s">
        <v>832</v>
      </c>
      <c r="AT95" s="1605" t="s">
        <v>10668</v>
      </c>
      <c r="AU95" s="1605" t="s">
        <v>10669</v>
      </c>
      <c r="AV95" s="1409" t="str">
        <f t="shared" si="1"/>
        <v>5:05</v>
      </c>
      <c r="AW95" s="1648" t="s">
        <v>10670</v>
      </c>
    </row>
    <row r="96">
      <c r="A96" s="1536" t="s">
        <v>4915</v>
      </c>
      <c r="B96" s="1531" t="s">
        <v>8710</v>
      </c>
      <c r="C96" s="1571">
        <v>0.05565972222222222</v>
      </c>
      <c r="D96" s="1605" t="s">
        <v>10671</v>
      </c>
      <c r="E96" s="1605" t="s">
        <v>3228</v>
      </c>
      <c r="F96" s="1605" t="s">
        <v>10672</v>
      </c>
      <c r="G96" s="1605" t="s">
        <v>10673</v>
      </c>
      <c r="H96" s="803" t="s">
        <v>9201</v>
      </c>
      <c r="I96" s="1605" t="s">
        <v>3656</v>
      </c>
      <c r="J96" s="1605" t="s">
        <v>9431</v>
      </c>
      <c r="K96" s="1605" t="s">
        <v>806</v>
      </c>
      <c r="L96" s="1605" t="s">
        <v>10674</v>
      </c>
      <c r="M96" s="1605" t="s">
        <v>10675</v>
      </c>
      <c r="N96" s="1605" t="s">
        <v>6357</v>
      </c>
      <c r="O96" s="1605" t="s">
        <v>10676</v>
      </c>
      <c r="P96" s="1605" t="s">
        <v>10117</v>
      </c>
      <c r="Q96" s="1605" t="s">
        <v>10677</v>
      </c>
      <c r="R96" s="1605" t="s">
        <v>9888</v>
      </c>
      <c r="S96" s="1605" t="s">
        <v>419</v>
      </c>
      <c r="T96" s="1605" t="s">
        <v>10678</v>
      </c>
      <c r="U96" s="1605" t="s">
        <v>10679</v>
      </c>
      <c r="V96" s="1605" t="s">
        <v>10680</v>
      </c>
      <c r="W96" s="1605" t="s">
        <v>10681</v>
      </c>
      <c r="X96" s="1605" t="s">
        <v>10682</v>
      </c>
      <c r="Y96" s="1605" t="s">
        <v>161</v>
      </c>
      <c r="Z96" s="1605" t="s">
        <v>5279</v>
      </c>
      <c r="AA96" s="1605" t="s">
        <v>10052</v>
      </c>
      <c r="AB96" s="1605" t="s">
        <v>10369</v>
      </c>
      <c r="AC96" s="1605" t="s">
        <v>9893</v>
      </c>
      <c r="AD96" s="1605" t="s">
        <v>10683</v>
      </c>
      <c r="AE96" s="1605" t="s">
        <v>10684</v>
      </c>
      <c r="AF96" s="1605" t="s">
        <v>10685</v>
      </c>
      <c r="AG96" s="1605" t="s">
        <v>10686</v>
      </c>
      <c r="AH96" s="1605" t="s">
        <v>10687</v>
      </c>
      <c r="AI96" s="1605" t="s">
        <v>10688</v>
      </c>
      <c r="AJ96" s="1605" t="s">
        <v>10689</v>
      </c>
      <c r="AK96" s="1605" t="s">
        <v>7443</v>
      </c>
      <c r="AL96" s="1605" t="s">
        <v>3691</v>
      </c>
      <c r="AM96" s="1605" t="s">
        <v>4841</v>
      </c>
      <c r="AN96" s="1605" t="s">
        <v>10690</v>
      </c>
      <c r="AO96" s="1605" t="s">
        <v>1993</v>
      </c>
      <c r="AP96" s="1605" t="s">
        <v>10691</v>
      </c>
      <c r="AQ96" s="1605" t="s">
        <v>10692</v>
      </c>
      <c r="AR96" s="1605" t="s">
        <v>10693</v>
      </c>
      <c r="AS96" s="1605" t="s">
        <v>2246</v>
      </c>
      <c r="AT96" s="1605" t="s">
        <v>10694</v>
      </c>
      <c r="AU96" s="1605" t="s">
        <v>10695</v>
      </c>
      <c r="AV96" s="1409" t="str">
        <f t="shared" si="1"/>
        <v>8:24</v>
      </c>
      <c r="AW96" s="1648" t="s">
        <v>9752</v>
      </c>
    </row>
    <row r="97">
      <c r="A97" s="1606" t="s">
        <v>10696</v>
      </c>
      <c r="B97" s="1589" t="s">
        <v>8710</v>
      </c>
      <c r="C97" s="1618">
        <v>0.057881944444444444</v>
      </c>
      <c r="D97" s="1605" t="s">
        <v>10697</v>
      </c>
      <c r="E97" s="360" t="s">
        <v>10698</v>
      </c>
      <c r="F97" s="1605" t="s">
        <v>10699</v>
      </c>
      <c r="G97" s="1605" t="s">
        <v>10700</v>
      </c>
      <c r="H97" s="360" t="s">
        <v>10701</v>
      </c>
      <c r="I97" s="360" t="s">
        <v>1028</v>
      </c>
      <c r="J97" s="360" t="s">
        <v>10702</v>
      </c>
      <c r="K97" s="360" t="s">
        <v>3609</v>
      </c>
      <c r="L97" s="360" t="s">
        <v>10703</v>
      </c>
      <c r="M97" s="360" t="s">
        <v>6916</v>
      </c>
      <c r="N97" s="360" t="s">
        <v>10704</v>
      </c>
      <c r="O97" s="360" t="s">
        <v>10705</v>
      </c>
      <c r="P97" s="360" t="s">
        <v>3746</v>
      </c>
      <c r="Q97" s="360" t="s">
        <v>10706</v>
      </c>
      <c r="R97" s="360" t="s">
        <v>10707</v>
      </c>
      <c r="S97" s="360" t="s">
        <v>10708</v>
      </c>
      <c r="T97" s="360" t="s">
        <v>1770</v>
      </c>
      <c r="U97" s="360" t="s">
        <v>10709</v>
      </c>
      <c r="V97" s="360" t="s">
        <v>10710</v>
      </c>
      <c r="W97" s="360" t="s">
        <v>10711</v>
      </c>
      <c r="X97" s="360" t="s">
        <v>10712</v>
      </c>
      <c r="Y97" s="360" t="s">
        <v>2905</v>
      </c>
      <c r="Z97" s="360" t="s">
        <v>10713</v>
      </c>
      <c r="AA97" s="1605" t="s">
        <v>10714</v>
      </c>
      <c r="AB97" s="360" t="s">
        <v>9234</v>
      </c>
      <c r="AC97" s="360" t="s">
        <v>3500</v>
      </c>
      <c r="AD97" s="360" t="s">
        <v>5242</v>
      </c>
      <c r="AE97" s="360" t="s">
        <v>2576</v>
      </c>
      <c r="AF97" s="360" t="s">
        <v>10715</v>
      </c>
      <c r="AG97" s="360" t="s">
        <v>5732</v>
      </c>
      <c r="AH97" s="360" t="s">
        <v>10716</v>
      </c>
      <c r="AI97" s="360" t="s">
        <v>4876</v>
      </c>
      <c r="AJ97" s="360" t="s">
        <v>10717</v>
      </c>
      <c r="AK97" s="360" t="s">
        <v>10718</v>
      </c>
      <c r="AL97" s="360" t="s">
        <v>3960</v>
      </c>
      <c r="AM97" s="360" t="s">
        <v>4884</v>
      </c>
      <c r="AN97" s="360" t="s">
        <v>10719</v>
      </c>
      <c r="AO97" s="360" t="s">
        <v>10118</v>
      </c>
      <c r="AP97" s="360" t="s">
        <v>10720</v>
      </c>
      <c r="AQ97" s="360" t="s">
        <v>7460</v>
      </c>
      <c r="AR97" s="360" t="s">
        <v>10721</v>
      </c>
      <c r="AS97" s="360" t="s">
        <v>619</v>
      </c>
      <c r="AT97" s="360" t="s">
        <v>10722</v>
      </c>
      <c r="AU97" s="360" t="s">
        <v>10723</v>
      </c>
      <c r="AV97" s="1409" t="str">
        <f t="shared" si="1"/>
        <v>2:11</v>
      </c>
      <c r="AW97" s="1652" t="s">
        <v>10724</v>
      </c>
    </row>
    <row r="98">
      <c r="A98" s="1668" t="s">
        <v>6520</v>
      </c>
      <c r="B98" s="1669" t="s">
        <v>10725</v>
      </c>
      <c r="C98" s="1670">
        <v>0.06118055555555556</v>
      </c>
      <c r="D98" s="1671" t="s">
        <v>10726</v>
      </c>
      <c r="E98" s="1672" t="s">
        <v>6497</v>
      </c>
      <c r="F98" s="1672" t="s">
        <v>10727</v>
      </c>
      <c r="G98" s="1672" t="s">
        <v>10728</v>
      </c>
      <c r="H98" s="1671" t="s">
        <v>10729</v>
      </c>
      <c r="I98" s="1673" t="s">
        <v>10033</v>
      </c>
      <c r="J98" s="1674" t="s">
        <v>10730</v>
      </c>
      <c r="K98" s="1674" t="s">
        <v>1766</v>
      </c>
      <c r="L98" s="1674" t="s">
        <v>7561</v>
      </c>
      <c r="M98" s="1674" t="s">
        <v>10731</v>
      </c>
      <c r="N98" s="1674" t="s">
        <v>7551</v>
      </c>
      <c r="O98" s="1674" t="s">
        <v>10732</v>
      </c>
      <c r="P98" s="1674" t="s">
        <v>5380</v>
      </c>
      <c r="Q98" s="1675" t="s">
        <v>10733</v>
      </c>
      <c r="R98" s="1675" t="s">
        <v>10734</v>
      </c>
      <c r="S98" s="1675" t="s">
        <v>10735</v>
      </c>
      <c r="T98" s="1675" t="s">
        <v>10736</v>
      </c>
      <c r="U98" s="1675" t="s">
        <v>10737</v>
      </c>
      <c r="V98" s="1675" t="s">
        <v>10738</v>
      </c>
      <c r="W98" s="1676" t="s">
        <v>6385</v>
      </c>
      <c r="X98" s="1676" t="s">
        <v>10739</v>
      </c>
      <c r="Y98" s="1676" t="s">
        <v>10464</v>
      </c>
      <c r="Z98" s="1676" t="s">
        <v>7580</v>
      </c>
      <c r="AA98" s="1677" t="s">
        <v>1899</v>
      </c>
      <c r="AB98" s="1676" t="s">
        <v>10740</v>
      </c>
      <c r="AC98" s="1676" t="s">
        <v>9030</v>
      </c>
      <c r="AD98" s="1672" t="s">
        <v>10741</v>
      </c>
      <c r="AE98" s="1672" t="s">
        <v>1378</v>
      </c>
      <c r="AF98" s="1678" t="s">
        <v>10742</v>
      </c>
      <c r="AG98" s="1678" t="s">
        <v>10743</v>
      </c>
      <c r="AH98" s="1678" t="s">
        <v>10744</v>
      </c>
      <c r="AI98" s="1678" t="s">
        <v>7407</v>
      </c>
      <c r="AJ98" s="1678" t="s">
        <v>10745</v>
      </c>
      <c r="AK98" s="1678" t="s">
        <v>10199</v>
      </c>
      <c r="AL98" s="1678" t="s">
        <v>1892</v>
      </c>
      <c r="AM98" s="1679" t="s">
        <v>3219</v>
      </c>
      <c r="AN98" s="1679" t="s">
        <v>10746</v>
      </c>
      <c r="AO98" s="1679" t="s">
        <v>4467</v>
      </c>
      <c r="AP98" s="1679" t="s">
        <v>10747</v>
      </c>
      <c r="AQ98" s="1679" t="s">
        <v>6354</v>
      </c>
      <c r="AR98" s="1679" t="s">
        <v>10748</v>
      </c>
      <c r="AS98" s="1679" t="s">
        <v>9443</v>
      </c>
      <c r="AT98" s="1674" t="s">
        <v>10749</v>
      </c>
      <c r="AU98" s="1680" t="s">
        <v>10750</v>
      </c>
      <c r="AV98" s="1409" t="str">
        <f t="shared" si="1"/>
        <v>7:37</v>
      </c>
      <c r="AW98" s="1535" t="s">
        <v>10751</v>
      </c>
    </row>
    <row r="99" ht="15.75" customHeight="1">
      <c r="A99" s="1536" t="s">
        <v>6358</v>
      </c>
      <c r="B99" s="1589" t="s">
        <v>8710</v>
      </c>
      <c r="C99" s="1504">
        <v>0.06635416666666667</v>
      </c>
      <c r="D99" s="803" t="s">
        <v>10752</v>
      </c>
      <c r="E99" s="803" t="s">
        <v>8578</v>
      </c>
      <c r="F99" s="803" t="s">
        <v>10753</v>
      </c>
      <c r="G99" s="803" t="s">
        <v>10754</v>
      </c>
      <c r="H99" s="803" t="s">
        <v>10755</v>
      </c>
      <c r="I99" s="803" t="s">
        <v>3508</v>
      </c>
      <c r="J99" s="803" t="s">
        <v>10756</v>
      </c>
      <c r="K99" s="803" t="s">
        <v>3928</v>
      </c>
      <c r="L99" s="803" t="s">
        <v>7468</v>
      </c>
      <c r="M99" s="803" t="s">
        <v>940</v>
      </c>
      <c r="N99" s="803" t="s">
        <v>10757</v>
      </c>
      <c r="O99" s="803" t="s">
        <v>10758</v>
      </c>
      <c r="P99" s="803" t="s">
        <v>10759</v>
      </c>
      <c r="Q99" s="803" t="s">
        <v>10760</v>
      </c>
      <c r="R99" s="803" t="s">
        <v>4549</v>
      </c>
      <c r="S99" s="803" t="s">
        <v>10761</v>
      </c>
      <c r="T99" s="803" t="s">
        <v>6534</v>
      </c>
      <c r="U99" s="803" t="s">
        <v>10762</v>
      </c>
      <c r="V99" s="803" t="s">
        <v>8024</v>
      </c>
      <c r="W99" s="803" t="s">
        <v>10763</v>
      </c>
      <c r="X99" s="803" t="s">
        <v>10764</v>
      </c>
      <c r="Y99" s="803" t="s">
        <v>758</v>
      </c>
      <c r="Z99" s="803" t="s">
        <v>10765</v>
      </c>
      <c r="AA99" s="360"/>
      <c r="AB99" s="803" t="s">
        <v>10766</v>
      </c>
      <c r="AC99" s="803" t="s">
        <v>958</v>
      </c>
      <c r="AD99" s="803" t="s">
        <v>10767</v>
      </c>
      <c r="AE99" s="803" t="s">
        <v>10768</v>
      </c>
      <c r="AF99" s="803" t="s">
        <v>10769</v>
      </c>
      <c r="AG99" s="803" t="s">
        <v>10770</v>
      </c>
      <c r="AH99" s="803" t="s">
        <v>4089</v>
      </c>
      <c r="AI99" s="803" t="s">
        <v>10771</v>
      </c>
      <c r="AJ99" s="803" t="s">
        <v>10772</v>
      </c>
      <c r="AK99" s="803" t="s">
        <v>10773</v>
      </c>
      <c r="AL99" s="803" t="s">
        <v>10774</v>
      </c>
      <c r="AM99" s="803" t="s">
        <v>10775</v>
      </c>
      <c r="AN99" s="803" t="s">
        <v>9295</v>
      </c>
      <c r="AO99" s="803" t="s">
        <v>2330</v>
      </c>
      <c r="AP99" s="803" t="s">
        <v>10776</v>
      </c>
      <c r="AQ99" s="803" t="s">
        <v>130</v>
      </c>
      <c r="AR99" s="803" t="s">
        <v>10777</v>
      </c>
      <c r="AS99" s="803" t="s">
        <v>4013</v>
      </c>
      <c r="AT99" s="803" t="s">
        <v>10778</v>
      </c>
      <c r="AU99" s="1343" t="s">
        <v>10779</v>
      </c>
      <c r="AV99" s="1409" t="str">
        <f t="shared" si="1"/>
        <v>9:53</v>
      </c>
      <c r="AW99" s="1633" t="s">
        <v>10780</v>
      </c>
    </row>
    <row r="100">
      <c r="A100" s="1536" t="s">
        <v>6583</v>
      </c>
      <c r="B100" s="1531" t="s">
        <v>8710</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9192</v>
      </c>
      <c r="X100" s="1514"/>
      <c r="Y100" s="1514"/>
      <c r="Z100" s="1514"/>
      <c r="AA100" s="1514"/>
      <c r="AB100" s="1681"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4632</v>
      </c>
      <c r="B101" s="1534" t="s">
        <v>8710</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8723</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10781</v>
      </c>
      <c r="E1" s="1691" t="s">
        <v>6833</v>
      </c>
      <c r="F1" s="1692" t="s">
        <v>7131</v>
      </c>
      <c r="G1" s="1693" t="s">
        <v>38</v>
      </c>
      <c r="H1" s="1694" t="s">
        <v>36</v>
      </c>
      <c r="I1" s="1690" t="s">
        <v>10782</v>
      </c>
      <c r="J1" s="1695" t="s">
        <v>39</v>
      </c>
      <c r="K1" s="1696" t="s">
        <v>7071</v>
      </c>
      <c r="L1" s="1430" t="s">
        <v>8678</v>
      </c>
      <c r="M1" s="1431" t="s">
        <v>8679</v>
      </c>
      <c r="N1" s="1697" t="s">
        <v>8680</v>
      </c>
      <c r="O1" s="1698" t="s">
        <v>8681</v>
      </c>
    </row>
    <row r="2" ht="15.75" customHeight="1">
      <c r="A2" s="1699" t="s">
        <v>8682</v>
      </c>
      <c r="B2" s="1700" t="s">
        <v>8683</v>
      </c>
      <c r="C2" s="1701">
        <v>0.0496875</v>
      </c>
      <c r="D2" s="1702" t="s">
        <v>10783</v>
      </c>
      <c r="E2" s="1703" t="s">
        <v>10784</v>
      </c>
      <c r="F2" s="1704" t="s">
        <v>10785</v>
      </c>
      <c r="G2" s="1705" t="s">
        <v>10786</v>
      </c>
      <c r="H2" s="1706" t="s">
        <v>10787</v>
      </c>
      <c r="I2" s="1707" t="s">
        <v>10788</v>
      </c>
      <c r="J2" s="1708" t="s">
        <v>10789</v>
      </c>
      <c r="K2" s="1709" t="s">
        <v>10790</v>
      </c>
      <c r="L2" s="1710" t="s">
        <v>8707</v>
      </c>
      <c r="M2" s="1701">
        <v>0.05050925925925926</v>
      </c>
      <c r="N2" s="1711" t="str">
        <f t="shared" ref="N2:N40" si="1">TEXT(M2-C2, "m:ss")</f>
        <v>1:11</v>
      </c>
      <c r="O2" s="1712"/>
    </row>
    <row r="3" ht="15.75" customHeight="1">
      <c r="A3" s="1713" t="s">
        <v>8709</v>
      </c>
      <c r="B3" s="1714" t="s">
        <v>8710</v>
      </c>
      <c r="C3" s="1715">
        <v>0.051458333333333335</v>
      </c>
      <c r="D3" s="1460" t="s">
        <v>10791</v>
      </c>
      <c r="E3" s="1461" t="s">
        <v>5984</v>
      </c>
      <c r="F3" s="1462" t="s">
        <v>10792</v>
      </c>
      <c r="G3" s="1463" t="s">
        <v>10793</v>
      </c>
      <c r="H3" s="1465" t="s">
        <v>10794</v>
      </c>
      <c r="I3" s="1460" t="s">
        <v>10795</v>
      </c>
      <c r="J3" s="1467" t="s">
        <v>10796</v>
      </c>
      <c r="K3" s="1470" t="s">
        <v>10797</v>
      </c>
      <c r="L3" s="1462" t="s">
        <v>9286</v>
      </c>
      <c r="M3" s="1715">
        <v>0.05236111111111111</v>
      </c>
      <c r="N3" s="1716" t="str">
        <f t="shared" si="1"/>
        <v>1:18</v>
      </c>
      <c r="O3" s="1717"/>
    </row>
    <row r="4" ht="15.75" customHeight="1">
      <c r="A4" s="1718" t="s">
        <v>8733</v>
      </c>
      <c r="B4" s="1719" t="s">
        <v>8734</v>
      </c>
      <c r="C4" s="1720">
        <f>C25</f>
        <v>0.05158564815</v>
      </c>
      <c r="D4" s="1721" t="s">
        <v>10798</v>
      </c>
      <c r="E4" s="1722" t="s">
        <v>10799</v>
      </c>
      <c r="F4" s="1723" t="s">
        <v>10800</v>
      </c>
      <c r="G4" s="1724" t="s">
        <v>10801</v>
      </c>
      <c r="H4" s="1725" t="s">
        <v>10802</v>
      </c>
      <c r="I4" s="1721" t="s">
        <v>10803</v>
      </c>
      <c r="J4" s="1726" t="s">
        <v>10804</v>
      </c>
      <c r="K4" s="1727" t="s">
        <v>10805</v>
      </c>
      <c r="L4" s="1728" t="s">
        <v>8762</v>
      </c>
      <c r="M4" s="1729">
        <f>M25</f>
        <v>0.0521412037</v>
      </c>
      <c r="N4" s="1729" t="str">
        <f t="shared" si="1"/>
        <v>0:48</v>
      </c>
      <c r="O4" s="1712"/>
    </row>
    <row r="5" ht="15.75" customHeight="1">
      <c r="A5" s="1232" t="s">
        <v>1061</v>
      </c>
      <c r="B5" s="1634" t="s">
        <v>8683</v>
      </c>
      <c r="C5" s="1730">
        <v>0.04986111111111111</v>
      </c>
      <c r="D5" s="1731" t="s">
        <v>10783</v>
      </c>
      <c r="E5" s="1515" t="s">
        <v>10806</v>
      </c>
      <c r="F5" s="1731" t="s">
        <v>10785</v>
      </c>
      <c r="G5" s="1731" t="s">
        <v>10786</v>
      </c>
      <c r="H5" s="1731" t="s">
        <v>10787</v>
      </c>
      <c r="I5" s="1512" t="s">
        <v>10807</v>
      </c>
      <c r="J5" s="1732" t="s">
        <v>10808</v>
      </c>
      <c r="K5" s="1731" t="s">
        <v>10790</v>
      </c>
      <c r="L5" s="1493" t="s">
        <v>10809</v>
      </c>
      <c r="M5" s="1733">
        <v>0.05050925925925926</v>
      </c>
      <c r="N5" s="1734" t="str">
        <f t="shared" si="1"/>
        <v>0:56</v>
      </c>
      <c r="O5" s="1548" t="s">
        <v>10810</v>
      </c>
    </row>
    <row r="6" ht="15.75" customHeight="1">
      <c r="A6" s="1735" t="s">
        <v>436</v>
      </c>
      <c r="B6" s="1490" t="s">
        <v>8683</v>
      </c>
      <c r="C6" s="1736">
        <v>0.04998842592592593</v>
      </c>
      <c r="D6" s="1512" t="s">
        <v>10811</v>
      </c>
      <c r="E6" s="1737" t="s">
        <v>10784</v>
      </c>
      <c r="F6" s="1512" t="s">
        <v>10812</v>
      </c>
      <c r="G6" s="1512" t="s">
        <v>10813</v>
      </c>
      <c r="H6" s="1512" t="s">
        <v>10814</v>
      </c>
      <c r="I6" s="1512" t="s">
        <v>10815</v>
      </c>
      <c r="J6" s="1738" t="s">
        <v>10789</v>
      </c>
      <c r="K6" s="1512" t="s">
        <v>10816</v>
      </c>
      <c r="L6" s="1512" t="s">
        <v>8792</v>
      </c>
      <c r="M6" s="1739">
        <v>0.0508912037037037</v>
      </c>
      <c r="N6" s="1740" t="str">
        <f t="shared" si="1"/>
        <v>1:18</v>
      </c>
      <c r="O6" s="1548" t="s">
        <v>10817</v>
      </c>
    </row>
    <row r="7" ht="15.75" customHeight="1">
      <c r="A7" s="1682" t="s">
        <v>1814</v>
      </c>
      <c r="B7" s="1490" t="s">
        <v>8683</v>
      </c>
      <c r="C7" s="1741">
        <v>0.050150462962962966</v>
      </c>
      <c r="D7" s="1512" t="s">
        <v>10818</v>
      </c>
      <c r="E7" s="1512" t="s">
        <v>10819</v>
      </c>
      <c r="F7" s="1512" t="s">
        <v>10820</v>
      </c>
      <c r="G7" s="1512" t="s">
        <v>10821</v>
      </c>
      <c r="H7" s="1512" t="s">
        <v>10822</v>
      </c>
      <c r="I7" s="1512" t="s">
        <v>10823</v>
      </c>
      <c r="J7" s="1512" t="s">
        <v>10824</v>
      </c>
      <c r="K7" s="1512" t="s">
        <v>10825</v>
      </c>
      <c r="L7" s="1742" t="s">
        <v>8707</v>
      </c>
      <c r="M7" s="1739">
        <v>0.05056712962962963</v>
      </c>
      <c r="N7" s="1740" t="str">
        <f t="shared" si="1"/>
        <v>0:36</v>
      </c>
      <c r="O7" s="1548" t="s">
        <v>10817</v>
      </c>
    </row>
    <row r="8" ht="15.75" customHeight="1">
      <c r="A8" s="1735" t="s">
        <v>6535</v>
      </c>
      <c r="B8" s="1574" t="s">
        <v>8683</v>
      </c>
      <c r="C8" s="1741">
        <v>0.05025462962962963</v>
      </c>
      <c r="D8" s="1743" t="s">
        <v>10826</v>
      </c>
      <c r="E8" s="1513" t="s">
        <v>10827</v>
      </c>
      <c r="F8" s="1512" t="s">
        <v>10828</v>
      </c>
      <c r="G8" s="1512" t="s">
        <v>10829</v>
      </c>
      <c r="H8" s="1512" t="s">
        <v>10830</v>
      </c>
      <c r="I8" s="1512" t="s">
        <v>10584</v>
      </c>
      <c r="J8" s="1512" t="s">
        <v>10831</v>
      </c>
      <c r="K8" s="1512" t="s">
        <v>10832</v>
      </c>
      <c r="L8" s="1512" t="s">
        <v>8884</v>
      </c>
      <c r="M8" s="1739">
        <v>0.0506712962962963</v>
      </c>
      <c r="N8" s="1740" t="str">
        <f t="shared" si="1"/>
        <v>0:36</v>
      </c>
      <c r="O8" s="1548"/>
    </row>
    <row r="9">
      <c r="A9" s="1744" t="s">
        <v>2695</v>
      </c>
      <c r="B9" s="1745" t="s">
        <v>8683</v>
      </c>
      <c r="C9" s="1736">
        <v>0.050303819444444446</v>
      </c>
      <c r="D9" s="1746" t="s">
        <v>10833</v>
      </c>
      <c r="E9" s="1747" t="s">
        <v>10834</v>
      </c>
      <c r="F9" s="1732" t="s">
        <v>10835</v>
      </c>
      <c r="G9" s="1732" t="s">
        <v>10836</v>
      </c>
      <c r="H9" s="1732" t="s">
        <v>10837</v>
      </c>
      <c r="I9" s="1732" t="s">
        <v>10838</v>
      </c>
      <c r="J9" s="1732" t="s">
        <v>10839</v>
      </c>
      <c r="K9" s="1732" t="s">
        <v>10840</v>
      </c>
      <c r="L9" s="1732" t="s">
        <v>3571</v>
      </c>
      <c r="M9" s="1739">
        <v>0.051284722222222225</v>
      </c>
      <c r="N9" s="1739" t="str">
        <f t="shared" si="1"/>
        <v>1:25</v>
      </c>
      <c r="O9" s="1548"/>
    </row>
    <row r="10" ht="15.75" customHeight="1">
      <c r="A10" s="1682" t="s">
        <v>6594</v>
      </c>
      <c r="B10" s="1490" t="s">
        <v>8683</v>
      </c>
      <c r="C10" s="1741">
        <v>0.050416666666666665</v>
      </c>
      <c r="D10" s="1512" t="s">
        <v>10841</v>
      </c>
      <c r="E10" s="1513" t="s">
        <v>10842</v>
      </c>
      <c r="F10" s="1515" t="s">
        <v>10843</v>
      </c>
      <c r="G10" s="1515" t="s">
        <v>10844</v>
      </c>
      <c r="H10" s="1512" t="s">
        <v>10845</v>
      </c>
      <c r="I10" s="1738" t="s">
        <v>10788</v>
      </c>
      <c r="J10" s="1512" t="s">
        <v>10846</v>
      </c>
      <c r="K10" s="1512" t="s">
        <v>10847</v>
      </c>
      <c r="L10" s="1515" t="s">
        <v>10848</v>
      </c>
      <c r="M10" s="1739">
        <v>0.0512037037037037</v>
      </c>
      <c r="N10" s="1740" t="str">
        <f t="shared" si="1"/>
        <v>1:08</v>
      </c>
      <c r="O10" s="1548" t="s">
        <v>10817</v>
      </c>
    </row>
    <row r="11">
      <c r="A11" s="1748" t="s">
        <v>828</v>
      </c>
      <c r="B11" s="1749" t="s">
        <v>8683</v>
      </c>
      <c r="C11" s="1741">
        <v>0.05047453703703704</v>
      </c>
      <c r="D11" s="800" t="s">
        <v>10849</v>
      </c>
      <c r="E11" s="1513" t="s">
        <v>10850</v>
      </c>
      <c r="F11" s="1732" t="s">
        <v>10851</v>
      </c>
      <c r="G11" s="1512" t="s">
        <v>10852</v>
      </c>
      <c r="H11" s="1512" t="s">
        <v>10853</v>
      </c>
      <c r="I11" s="1512" t="s">
        <v>10854</v>
      </c>
      <c r="J11" s="1512" t="s">
        <v>10855</v>
      </c>
      <c r="K11" s="1512" t="s">
        <v>10856</v>
      </c>
      <c r="L11" s="1512" t="s">
        <v>3571</v>
      </c>
      <c r="M11" s="1739">
        <v>0.051076388888888886</v>
      </c>
      <c r="N11" s="1740" t="str">
        <f t="shared" si="1"/>
        <v>0:52</v>
      </c>
      <c r="O11" s="1548" t="s">
        <v>10857</v>
      </c>
    </row>
    <row r="12">
      <c r="A12" s="1668" t="s">
        <v>2023</v>
      </c>
      <c r="B12" s="1749" t="s">
        <v>8683</v>
      </c>
      <c r="C12" s="1736">
        <v>0.05059429398148148</v>
      </c>
      <c r="D12" s="1743" t="s">
        <v>10858</v>
      </c>
      <c r="E12" s="1513" t="s">
        <v>10859</v>
      </c>
      <c r="F12" s="1512" t="s">
        <v>10860</v>
      </c>
      <c r="G12" s="1512" t="s">
        <v>10861</v>
      </c>
      <c r="H12" s="1512" t="s">
        <v>10862</v>
      </c>
      <c r="I12" s="1512" t="s">
        <v>10863</v>
      </c>
      <c r="J12" s="1512" t="s">
        <v>10864</v>
      </c>
      <c r="K12" s="1512" t="s">
        <v>10865</v>
      </c>
      <c r="L12" s="1512" t="s">
        <v>10866</v>
      </c>
      <c r="M12" s="1739">
        <v>0.051319444444444445</v>
      </c>
      <c r="N12" s="1740" t="str">
        <f t="shared" si="1"/>
        <v>1:03</v>
      </c>
      <c r="O12" s="1548"/>
    </row>
    <row r="13" ht="15.75" customHeight="1">
      <c r="A13" s="1232" t="s">
        <v>1560</v>
      </c>
      <c r="B13" s="1750" t="s">
        <v>8683</v>
      </c>
      <c r="C13" s="1741">
        <v>0.05061342592592592</v>
      </c>
      <c r="D13" s="1751" t="s">
        <v>10867</v>
      </c>
      <c r="E13" s="1513" t="s">
        <v>10868</v>
      </c>
      <c r="F13" s="1752" t="s">
        <v>10869</v>
      </c>
      <c r="G13" s="1512" t="s">
        <v>10870</v>
      </c>
      <c r="H13" s="1752" t="s">
        <v>10871</v>
      </c>
      <c r="I13" s="1752" t="s">
        <v>10872</v>
      </c>
      <c r="J13" s="1512" t="s">
        <v>10873</v>
      </c>
      <c r="K13" s="1512" t="s">
        <v>10874</v>
      </c>
      <c r="L13" s="1512" t="s">
        <v>3666</v>
      </c>
      <c r="M13" s="1739">
        <v>0.05122685185185185</v>
      </c>
      <c r="N13" s="1740" t="str">
        <f t="shared" si="1"/>
        <v>0:53</v>
      </c>
      <c r="O13" s="1548" t="s">
        <v>10875</v>
      </c>
    </row>
    <row r="14" ht="15.75" customHeight="1">
      <c r="A14" s="1686" t="s">
        <v>2085</v>
      </c>
      <c r="B14" s="1490" t="s">
        <v>8683</v>
      </c>
      <c r="C14" s="1736">
        <v>0.05061342592592592</v>
      </c>
      <c r="D14" s="800" t="s">
        <v>10876</v>
      </c>
      <c r="E14" s="1753" t="s">
        <v>10877</v>
      </c>
      <c r="F14" s="1512" t="s">
        <v>10878</v>
      </c>
      <c r="G14" s="1512" t="s">
        <v>10879</v>
      </c>
      <c r="H14" s="1512" t="s">
        <v>10880</v>
      </c>
      <c r="I14" s="1512" t="s">
        <v>10881</v>
      </c>
      <c r="J14" s="1512" t="s">
        <v>10882</v>
      </c>
      <c r="K14" s="1512" t="s">
        <v>10883</v>
      </c>
      <c r="L14" s="1512" t="s">
        <v>6501</v>
      </c>
      <c r="M14" s="1739">
        <v>0.05153935185185185</v>
      </c>
      <c r="N14" s="1740" t="str">
        <f t="shared" si="1"/>
        <v>1:20</v>
      </c>
      <c r="O14" s="1548" t="s">
        <v>10817</v>
      </c>
    </row>
    <row r="15" ht="15.75" customHeight="1">
      <c r="A15" s="1735" t="s">
        <v>330</v>
      </c>
      <c r="B15" s="1490" t="s">
        <v>8683</v>
      </c>
      <c r="C15" s="1736">
        <v>0.05068287037037037</v>
      </c>
      <c r="D15" s="1512" t="s">
        <v>10884</v>
      </c>
      <c r="E15" s="1753" t="s">
        <v>10885</v>
      </c>
      <c r="F15" s="1512" t="s">
        <v>10886</v>
      </c>
      <c r="G15" s="1512" t="s">
        <v>10887</v>
      </c>
      <c r="H15" s="1512" t="s">
        <v>10888</v>
      </c>
      <c r="I15" s="1512" t="s">
        <v>6455</v>
      </c>
      <c r="J15" s="1512" t="s">
        <v>10889</v>
      </c>
      <c r="K15" s="1512" t="s">
        <v>10890</v>
      </c>
      <c r="L15" s="1512" t="s">
        <v>8862</v>
      </c>
      <c r="M15" s="1739">
        <v>0.05164351851851852</v>
      </c>
      <c r="N15" s="1740" t="str">
        <f t="shared" si="1"/>
        <v>1:23</v>
      </c>
      <c r="O15" s="1548" t="s">
        <v>10817</v>
      </c>
    </row>
    <row r="16" ht="15.75" customHeight="1">
      <c r="A16" s="1668" t="s">
        <v>2227</v>
      </c>
      <c r="B16" s="1634" t="s">
        <v>8710</v>
      </c>
      <c r="C16" s="1754">
        <v>0.05096064814814815</v>
      </c>
      <c r="D16" s="1743" t="s">
        <v>10891</v>
      </c>
      <c r="E16" s="1755" t="s">
        <v>10892</v>
      </c>
      <c r="F16" s="1755" t="s">
        <v>10893</v>
      </c>
      <c r="G16" s="1755" t="s">
        <v>10894</v>
      </c>
      <c r="H16" s="1755" t="s">
        <v>10895</v>
      </c>
      <c r="I16" s="1755" t="s">
        <v>10896</v>
      </c>
      <c r="J16" s="1755" t="s">
        <v>10897</v>
      </c>
      <c r="K16" s="1512" t="s">
        <v>10898</v>
      </c>
      <c r="L16" s="1756" t="s">
        <v>8731</v>
      </c>
      <c r="M16" s="1739">
        <v>0.0528125</v>
      </c>
      <c r="N16" s="1740" t="str">
        <f t="shared" si="1"/>
        <v>2:40</v>
      </c>
      <c r="O16" s="1548" t="s">
        <v>10817</v>
      </c>
    </row>
    <row r="17" ht="15.75" customHeight="1">
      <c r="A17" s="1757" t="s">
        <v>2643</v>
      </c>
      <c r="B17" s="1490" t="s">
        <v>8683</v>
      </c>
      <c r="C17" s="1758">
        <v>0.05103009259259259</v>
      </c>
      <c r="D17" s="1512" t="s">
        <v>10899</v>
      </c>
      <c r="E17" s="1753" t="s">
        <v>10399</v>
      </c>
      <c r="F17" s="1512" t="s">
        <v>10900</v>
      </c>
      <c r="G17" s="1512" t="s">
        <v>10901</v>
      </c>
      <c r="H17" s="1732" t="s">
        <v>10902</v>
      </c>
      <c r="I17" s="1512" t="s">
        <v>10903</v>
      </c>
      <c r="J17" s="1512" t="s">
        <v>10904</v>
      </c>
      <c r="K17" s="1512" t="s">
        <v>10905</v>
      </c>
      <c r="L17" s="1512" t="s">
        <v>10906</v>
      </c>
      <c r="M17" s="1739">
        <v>0.051909722222222225</v>
      </c>
      <c r="N17" s="1740" t="str">
        <f t="shared" si="1"/>
        <v>1:16</v>
      </c>
      <c r="O17" s="1548" t="s">
        <v>10817</v>
      </c>
    </row>
    <row r="18" ht="15.75" customHeight="1">
      <c r="A18" s="1668" t="s">
        <v>2265</v>
      </c>
      <c r="B18" s="1574" t="s">
        <v>8683</v>
      </c>
      <c r="C18" s="1736">
        <v>0.051145833333333335</v>
      </c>
      <c r="D18" s="800" t="s">
        <v>10907</v>
      </c>
      <c r="E18" s="1513" t="s">
        <v>10908</v>
      </c>
      <c r="F18" s="1512" t="s">
        <v>10909</v>
      </c>
      <c r="G18" s="1512" t="s">
        <v>10910</v>
      </c>
      <c r="H18" s="1512" t="s">
        <v>10911</v>
      </c>
      <c r="I18" s="1512" t="s">
        <v>10912</v>
      </c>
      <c r="J18" s="1512" t="s">
        <v>10913</v>
      </c>
      <c r="K18" s="1512" t="s">
        <v>10914</v>
      </c>
      <c r="L18" s="1512" t="s">
        <v>3106</v>
      </c>
      <c r="M18" s="1739">
        <v>0.05228009259259259</v>
      </c>
      <c r="N18" s="1740" t="str">
        <f t="shared" si="1"/>
        <v>1:38</v>
      </c>
      <c r="O18" s="1548" t="s">
        <v>10915</v>
      </c>
    </row>
    <row r="19" ht="15.75" customHeight="1">
      <c r="A19" s="1735" t="s">
        <v>1420</v>
      </c>
      <c r="B19" s="1490" t="s">
        <v>8683</v>
      </c>
      <c r="C19" s="1736">
        <v>0.05122685185185185</v>
      </c>
      <c r="D19" s="1512" t="s">
        <v>10916</v>
      </c>
      <c r="E19" s="1753" t="s">
        <v>8738</v>
      </c>
      <c r="F19" s="1512" t="s">
        <v>10917</v>
      </c>
      <c r="G19" s="1512" t="s">
        <v>10918</v>
      </c>
      <c r="H19" s="1512" t="s">
        <v>10786</v>
      </c>
      <c r="I19" s="1512" t="s">
        <v>10919</v>
      </c>
      <c r="J19" s="1512" t="s">
        <v>10920</v>
      </c>
      <c r="K19" s="1512" t="s">
        <v>10921</v>
      </c>
      <c r="L19" s="1512" t="s">
        <v>10922</v>
      </c>
      <c r="M19" s="1739">
        <v>0.052037037037037034</v>
      </c>
      <c r="N19" s="1740" t="str">
        <f t="shared" si="1"/>
        <v>1:10</v>
      </c>
      <c r="O19" s="1548" t="s">
        <v>10817</v>
      </c>
    </row>
    <row r="20" ht="15.75" customHeight="1">
      <c r="A20" s="1668" t="s">
        <v>1729</v>
      </c>
      <c r="B20" s="1574" t="s">
        <v>8683</v>
      </c>
      <c r="C20" s="1736">
        <v>0.05122685185185185</v>
      </c>
      <c r="D20" s="1743" t="s">
        <v>10923</v>
      </c>
      <c r="E20" s="1513" t="s">
        <v>10924</v>
      </c>
      <c r="F20" s="1512" t="s">
        <v>10925</v>
      </c>
      <c r="G20" s="1512" t="s">
        <v>10926</v>
      </c>
      <c r="H20" s="1512" t="s">
        <v>10927</v>
      </c>
      <c r="I20" s="1512" t="s">
        <v>10928</v>
      </c>
      <c r="J20" s="1512" t="s">
        <v>10929</v>
      </c>
      <c r="K20" s="1512" t="s">
        <v>10930</v>
      </c>
      <c r="L20" s="1512" t="s">
        <v>6059</v>
      </c>
      <c r="M20" s="1739">
        <v>0.05224537037037037</v>
      </c>
      <c r="N20" s="1740" t="str">
        <f t="shared" si="1"/>
        <v>1:28</v>
      </c>
      <c r="O20" s="1548" t="s">
        <v>10931</v>
      </c>
    </row>
    <row r="21" ht="15.75" customHeight="1">
      <c r="A21" s="1668" t="s">
        <v>6583</v>
      </c>
      <c r="B21" s="1574" t="s">
        <v>8683</v>
      </c>
      <c r="C21" s="1736">
        <v>0.05133101851851852</v>
      </c>
      <c r="D21" s="1512" t="s">
        <v>10932</v>
      </c>
      <c r="E21" s="1513" t="s">
        <v>10933</v>
      </c>
      <c r="F21" s="1512" t="s">
        <v>10934</v>
      </c>
      <c r="G21" s="1515" t="s">
        <v>10935</v>
      </c>
      <c r="H21" s="1515" t="s">
        <v>10936</v>
      </c>
      <c r="I21" s="1512" t="s">
        <v>10937</v>
      </c>
      <c r="J21" s="1512" t="s">
        <v>10938</v>
      </c>
      <c r="K21" s="1512" t="s">
        <v>10939</v>
      </c>
      <c r="L21" s="1512" t="s">
        <v>10940</v>
      </c>
      <c r="M21" s="1739">
        <v>0.05197916666666667</v>
      </c>
      <c r="N21" s="1740" t="str">
        <f t="shared" si="1"/>
        <v>0:56</v>
      </c>
      <c r="O21" s="1548" t="s">
        <v>10941</v>
      </c>
    </row>
    <row r="22" ht="15.75" customHeight="1">
      <c r="A22" s="1682" t="s">
        <v>9129</v>
      </c>
      <c r="B22" s="1490" t="s">
        <v>8683</v>
      </c>
      <c r="C22" s="1741">
        <v>0.05144675925925926</v>
      </c>
      <c r="D22" s="1512" t="s">
        <v>10942</v>
      </c>
      <c r="E22" s="1753" t="s">
        <v>10943</v>
      </c>
      <c r="F22" s="1512" t="s">
        <v>10944</v>
      </c>
      <c r="G22" s="1512" t="s">
        <v>10945</v>
      </c>
      <c r="H22" s="1512" t="s">
        <v>10946</v>
      </c>
      <c r="I22" s="1512" t="s">
        <v>10947</v>
      </c>
      <c r="J22" s="1512" t="s">
        <v>10948</v>
      </c>
      <c r="K22" s="1512" t="s">
        <v>10949</v>
      </c>
      <c r="L22" s="965" t="s">
        <v>9029</v>
      </c>
      <c r="M22" s="1739">
        <v>0.05258101851851852</v>
      </c>
      <c r="N22" s="1740" t="str">
        <f t="shared" si="1"/>
        <v>1:38</v>
      </c>
      <c r="O22" s="1548" t="s">
        <v>10817</v>
      </c>
    </row>
    <row r="23" ht="15.75" customHeight="1">
      <c r="A23" s="1668" t="s">
        <v>9272</v>
      </c>
      <c r="B23" s="1574" t="s">
        <v>8710</v>
      </c>
      <c r="C23" s="1736">
        <v>0.05146990740740741</v>
      </c>
      <c r="D23" s="1755" t="s">
        <v>10791</v>
      </c>
      <c r="E23" s="1513" t="s">
        <v>10232</v>
      </c>
      <c r="F23" s="1513" t="s">
        <v>10792</v>
      </c>
      <c r="G23" s="1513" t="s">
        <v>10793</v>
      </c>
      <c r="H23" s="1513" t="s">
        <v>10794</v>
      </c>
      <c r="I23" s="1512" t="s">
        <v>10950</v>
      </c>
      <c r="J23" s="800" t="s">
        <v>10796</v>
      </c>
      <c r="K23" s="1755" t="s">
        <v>10797</v>
      </c>
      <c r="L23" s="800" t="s">
        <v>9286</v>
      </c>
      <c r="M23" s="1759">
        <v>0.05236111111111111</v>
      </c>
      <c r="N23" s="1740" t="str">
        <f t="shared" si="1"/>
        <v>1:17</v>
      </c>
      <c r="O23" s="1548" t="s">
        <v>10817</v>
      </c>
    </row>
    <row r="24" ht="15.75" customHeight="1">
      <c r="A24" s="1735" t="s">
        <v>902</v>
      </c>
      <c r="B24" s="1490" t="s">
        <v>8683</v>
      </c>
      <c r="C24" s="1741">
        <v>0.051550925925925924</v>
      </c>
      <c r="D24" s="1512" t="s">
        <v>10951</v>
      </c>
      <c r="E24" s="1753" t="s">
        <v>10216</v>
      </c>
      <c r="F24" s="1512" t="s">
        <v>10952</v>
      </c>
      <c r="G24" s="1512" t="s">
        <v>10953</v>
      </c>
      <c r="H24" s="1512" t="s">
        <v>10954</v>
      </c>
      <c r="I24" s="1512" t="s">
        <v>10955</v>
      </c>
      <c r="J24" s="1512" t="s">
        <v>10956</v>
      </c>
      <c r="K24" s="1512" t="s">
        <v>10957</v>
      </c>
      <c r="L24" s="965" t="s">
        <v>10958</v>
      </c>
      <c r="M24" s="1739">
        <v>0.05229166666666667</v>
      </c>
      <c r="N24" s="1740" t="str">
        <f t="shared" si="1"/>
        <v>1:04</v>
      </c>
      <c r="O24" s="1548" t="s">
        <v>10817</v>
      </c>
    </row>
    <row r="25">
      <c r="A25" s="1744" t="s">
        <v>1814</v>
      </c>
      <c r="B25" s="1634" t="s">
        <v>8734</v>
      </c>
      <c r="C25" s="1760">
        <v>0.05158564814814815</v>
      </c>
      <c r="D25" s="1761" t="s">
        <v>10798</v>
      </c>
      <c r="E25" s="1762" t="s">
        <v>10799</v>
      </c>
      <c r="F25" s="1761" t="s">
        <v>10800</v>
      </c>
      <c r="G25" s="1761" t="s">
        <v>10801</v>
      </c>
      <c r="H25" s="1761" t="s">
        <v>10802</v>
      </c>
      <c r="I25" s="1761" t="s">
        <v>10803</v>
      </c>
      <c r="J25" s="1761" t="s">
        <v>10804</v>
      </c>
      <c r="K25" s="1761" t="s">
        <v>10805</v>
      </c>
      <c r="L25" s="1761" t="s">
        <v>8762</v>
      </c>
      <c r="M25" s="1763">
        <v>0.052141203703703703</v>
      </c>
      <c r="N25" s="1740" t="str">
        <f t="shared" si="1"/>
        <v>0:48</v>
      </c>
      <c r="O25" s="1548" t="s">
        <v>10959</v>
      </c>
    </row>
    <row r="26" ht="15.75" customHeight="1">
      <c r="A26" s="1232" t="s">
        <v>2789</v>
      </c>
      <c r="B26" s="1574" t="s">
        <v>8683</v>
      </c>
      <c r="C26" s="1741">
        <v>0.051706365740740744</v>
      </c>
      <c r="D26" s="800" t="s">
        <v>10960</v>
      </c>
      <c r="E26" s="1513" t="s">
        <v>10961</v>
      </c>
      <c r="F26" s="1512" t="s">
        <v>10962</v>
      </c>
      <c r="G26" s="1512" t="s">
        <v>10963</v>
      </c>
      <c r="H26" s="1512" t="s">
        <v>10964</v>
      </c>
      <c r="I26" s="1512" t="s">
        <v>10965</v>
      </c>
      <c r="J26" s="1512" t="s">
        <v>10966</v>
      </c>
      <c r="K26" s="1512" t="s">
        <v>10967</v>
      </c>
      <c r="L26" s="1512" t="s">
        <v>9585</v>
      </c>
      <c r="M26" s="1739">
        <v>0.0525</v>
      </c>
      <c r="N26" s="1739" t="str">
        <f t="shared" si="1"/>
        <v>1:09</v>
      </c>
      <c r="O26" s="1548"/>
    </row>
    <row r="27" ht="15.75" customHeight="1">
      <c r="A27" s="1764" t="s">
        <v>2103</v>
      </c>
      <c r="B27" s="1626" t="s">
        <v>8683</v>
      </c>
      <c r="C27" s="1741">
        <v>0.05171296296296296</v>
      </c>
      <c r="D27" s="1765" t="s">
        <v>10968</v>
      </c>
      <c r="E27" s="1765" t="s">
        <v>10969</v>
      </c>
      <c r="F27" s="1765" t="s">
        <v>10970</v>
      </c>
      <c r="G27" s="1765" t="s">
        <v>10971</v>
      </c>
      <c r="H27" s="800" t="s">
        <v>10972</v>
      </c>
      <c r="I27" s="1765" t="s">
        <v>10973</v>
      </c>
      <c r="J27" s="800" t="s">
        <v>10974</v>
      </c>
      <c r="K27" s="1765" t="s">
        <v>10975</v>
      </c>
      <c r="L27" s="800" t="s">
        <v>8183</v>
      </c>
      <c r="M27" s="1739">
        <v>0.054375</v>
      </c>
      <c r="N27" s="1740" t="str">
        <f t="shared" si="1"/>
        <v>3:50</v>
      </c>
      <c r="O27" s="1548" t="s">
        <v>10976</v>
      </c>
    </row>
    <row r="28" ht="15.75" customHeight="1">
      <c r="A28" s="1668" t="s">
        <v>3081</v>
      </c>
      <c r="B28" s="1574" t="s">
        <v>8683</v>
      </c>
      <c r="C28" s="1736">
        <v>0.05180160879629629</v>
      </c>
      <c r="D28" s="800" t="s">
        <v>10977</v>
      </c>
      <c r="E28" s="1513" t="s">
        <v>10978</v>
      </c>
      <c r="F28" s="1512" t="s">
        <v>10979</v>
      </c>
      <c r="G28" s="1512" t="s">
        <v>10980</v>
      </c>
      <c r="H28" s="1512" t="s">
        <v>10981</v>
      </c>
      <c r="I28" s="1512" t="s">
        <v>10982</v>
      </c>
      <c r="J28" s="1512" t="s">
        <v>10983</v>
      </c>
      <c r="K28" s="1512" t="s">
        <v>10984</v>
      </c>
      <c r="L28" s="1512" t="s">
        <v>10985</v>
      </c>
      <c r="M28" s="1739">
        <v>0.05303240740740741</v>
      </c>
      <c r="N28" s="1740" t="str">
        <f t="shared" si="1"/>
        <v>1:46</v>
      </c>
      <c r="O28" s="1548"/>
    </row>
    <row r="29" ht="15.75" customHeight="1">
      <c r="A29" s="1232" t="s">
        <v>1351</v>
      </c>
      <c r="B29" s="1634" t="s">
        <v>8734</v>
      </c>
      <c r="C29" s="1741">
        <v>0.052088194444444444</v>
      </c>
      <c r="D29" s="800" t="s">
        <v>10986</v>
      </c>
      <c r="E29" s="1513" t="s">
        <v>10987</v>
      </c>
      <c r="F29" s="1512" t="s">
        <v>10988</v>
      </c>
      <c r="G29" s="1512" t="s">
        <v>10989</v>
      </c>
      <c r="H29" s="1512" t="s">
        <v>10990</v>
      </c>
      <c r="I29" s="1512" t="s">
        <v>10991</v>
      </c>
      <c r="J29" s="1512" t="s">
        <v>10992</v>
      </c>
      <c r="K29" s="1512" t="s">
        <v>10993</v>
      </c>
      <c r="L29" s="1512" t="s">
        <v>9898</v>
      </c>
      <c r="M29" s="1739">
        <v>0.053043981481481484</v>
      </c>
      <c r="N29" s="1740" t="str">
        <f t="shared" si="1"/>
        <v>1:23</v>
      </c>
      <c r="O29" s="1548" t="s">
        <v>10817</v>
      </c>
    </row>
    <row r="30" ht="15.75" customHeight="1">
      <c r="A30" s="1232" t="s">
        <v>2540</v>
      </c>
      <c r="B30" s="1574" t="s">
        <v>8710</v>
      </c>
      <c r="C30" s="1741">
        <v>0.05215277777777778</v>
      </c>
      <c r="D30" s="1512" t="s">
        <v>10994</v>
      </c>
      <c r="E30" s="1512" t="s">
        <v>5984</v>
      </c>
      <c r="F30" s="1512" t="s">
        <v>10995</v>
      </c>
      <c r="G30" s="1512" t="s">
        <v>10996</v>
      </c>
      <c r="H30" s="1512" t="s">
        <v>10997</v>
      </c>
      <c r="I30" s="1512" t="s">
        <v>10868</v>
      </c>
      <c r="J30" s="1512" t="s">
        <v>10998</v>
      </c>
      <c r="K30" s="1512" t="s">
        <v>10999</v>
      </c>
      <c r="L30" s="1512" t="s">
        <v>9635</v>
      </c>
      <c r="M30" s="1739">
        <v>0.05399305555555556</v>
      </c>
      <c r="N30" s="1740" t="str">
        <f t="shared" si="1"/>
        <v>2:39</v>
      </c>
      <c r="O30" s="1548" t="s">
        <v>11000</v>
      </c>
    </row>
    <row r="31" ht="15.75" customHeight="1">
      <c r="A31" s="1668" t="s">
        <v>2976</v>
      </c>
      <c r="B31" s="1574" t="s">
        <v>8683</v>
      </c>
      <c r="C31" s="1736">
        <v>0.05216435185185185</v>
      </c>
      <c r="D31" s="1512" t="s">
        <v>11001</v>
      </c>
      <c r="E31" s="1513" t="s">
        <v>11002</v>
      </c>
      <c r="F31" s="1512" t="s">
        <v>11003</v>
      </c>
      <c r="G31" s="1512" t="s">
        <v>11004</v>
      </c>
      <c r="H31" s="1512" t="s">
        <v>11005</v>
      </c>
      <c r="I31" s="1512" t="s">
        <v>11006</v>
      </c>
      <c r="J31" s="1512" t="s">
        <v>11007</v>
      </c>
      <c r="K31" s="1512" t="s">
        <v>11008</v>
      </c>
      <c r="L31" s="1512" t="s">
        <v>11009</v>
      </c>
      <c r="M31" s="1739">
        <v>0.05337962962962963</v>
      </c>
      <c r="N31" s="1740" t="str">
        <f t="shared" si="1"/>
        <v>1:45</v>
      </c>
      <c r="O31" s="1548" t="s">
        <v>11010</v>
      </c>
    </row>
    <row r="32" ht="15.75" customHeight="1">
      <c r="A32" s="1232" t="s">
        <v>741</v>
      </c>
      <c r="B32" s="1574" t="s">
        <v>8710</v>
      </c>
      <c r="C32" s="1741">
        <v>0.05224537037037037</v>
      </c>
      <c r="D32" s="1512" t="s">
        <v>11011</v>
      </c>
      <c r="E32" s="1766" t="s">
        <v>11012</v>
      </c>
      <c r="F32" s="1512" t="s">
        <v>11013</v>
      </c>
      <c r="G32" s="1512" t="s">
        <v>11014</v>
      </c>
      <c r="H32" s="1512" t="s">
        <v>11015</v>
      </c>
      <c r="I32" s="1512" t="s">
        <v>10795</v>
      </c>
      <c r="J32" s="1512" t="s">
        <v>11016</v>
      </c>
      <c r="K32" s="1515" t="s">
        <v>11017</v>
      </c>
      <c r="L32" s="1512" t="s">
        <v>11018</v>
      </c>
      <c r="M32" s="1739">
        <v>0.053043981481481484</v>
      </c>
      <c r="N32" s="1740" t="str">
        <f t="shared" si="1"/>
        <v>1:09</v>
      </c>
      <c r="O32" s="1548" t="s">
        <v>11019</v>
      </c>
    </row>
    <row r="33" ht="15.75" customHeight="1">
      <c r="A33" s="1668" t="s">
        <v>3081</v>
      </c>
      <c r="B33" s="1634" t="s">
        <v>8710</v>
      </c>
      <c r="C33" s="1736">
        <v>0.052316898148148154</v>
      </c>
      <c r="D33" s="800" t="s">
        <v>11020</v>
      </c>
      <c r="E33" s="1513" t="s">
        <v>11021</v>
      </c>
      <c r="F33" s="1512" t="s">
        <v>11022</v>
      </c>
      <c r="G33" s="1512" t="s">
        <v>11023</v>
      </c>
      <c r="H33" s="1512" t="s">
        <v>11024</v>
      </c>
      <c r="I33" s="1512" t="s">
        <v>11025</v>
      </c>
      <c r="J33" s="1512" t="s">
        <v>11026</v>
      </c>
      <c r="K33" s="1512" t="s">
        <v>11027</v>
      </c>
      <c r="L33" s="1512" t="s">
        <v>9364</v>
      </c>
      <c r="M33" s="1739">
        <v>0.05376157407407407</v>
      </c>
      <c r="N33" s="1740" t="str">
        <f t="shared" si="1"/>
        <v>2:05</v>
      </c>
      <c r="O33" s="1548" t="s">
        <v>10817</v>
      </c>
    </row>
    <row r="34" ht="15.75" customHeight="1">
      <c r="A34" s="1232" t="s">
        <v>3982</v>
      </c>
      <c r="B34" s="1574" t="s">
        <v>8683</v>
      </c>
      <c r="C34" s="1741">
        <v>0.05238425925925926</v>
      </c>
      <c r="D34" s="1743" t="s">
        <v>11028</v>
      </c>
      <c r="E34" s="1513" t="s">
        <v>11002</v>
      </c>
      <c r="F34" s="1512" t="s">
        <v>11029</v>
      </c>
      <c r="G34" s="1767" t="s">
        <v>11030</v>
      </c>
      <c r="H34" s="1512" t="s">
        <v>11031</v>
      </c>
      <c r="I34" s="1512" t="s">
        <v>11032</v>
      </c>
      <c r="J34" s="1512" t="s">
        <v>11033</v>
      </c>
      <c r="K34" s="1512" t="s">
        <v>11034</v>
      </c>
      <c r="L34" s="1512" t="s">
        <v>9916</v>
      </c>
      <c r="M34" s="1739">
        <v>0.05340277777777778</v>
      </c>
      <c r="N34" s="1740" t="str">
        <f t="shared" si="1"/>
        <v>1:28</v>
      </c>
      <c r="O34" s="1548" t="s">
        <v>11035</v>
      </c>
    </row>
    <row r="35" ht="15.75" customHeight="1">
      <c r="A35" s="1232" t="s">
        <v>2919</v>
      </c>
      <c r="B35" s="1574" t="s">
        <v>8683</v>
      </c>
      <c r="C35" s="1741">
        <v>0.0525</v>
      </c>
      <c r="D35" s="800" t="s">
        <v>11036</v>
      </c>
      <c r="E35" s="1513" t="s">
        <v>11037</v>
      </c>
      <c r="F35" s="1512" t="s">
        <v>11038</v>
      </c>
      <c r="G35" s="1512" t="s">
        <v>11039</v>
      </c>
      <c r="H35" s="1512" t="s">
        <v>11040</v>
      </c>
      <c r="I35" s="1512" t="s">
        <v>11041</v>
      </c>
      <c r="J35" s="1512" t="s">
        <v>11042</v>
      </c>
      <c r="K35" s="1512" t="s">
        <v>11043</v>
      </c>
      <c r="L35" s="1512" t="s">
        <v>700</v>
      </c>
      <c r="M35" s="1739">
        <v>0.053773148148148146</v>
      </c>
      <c r="N35" s="1740" t="str">
        <f t="shared" si="1"/>
        <v>1:50</v>
      </c>
      <c r="O35" s="1548" t="s">
        <v>11044</v>
      </c>
    </row>
    <row r="36" ht="15.75" customHeight="1">
      <c r="A36" s="1668" t="s">
        <v>9942</v>
      </c>
      <c r="B36" s="1574" t="s">
        <v>8683</v>
      </c>
      <c r="C36" s="1736">
        <v>0.05268518518518518</v>
      </c>
      <c r="D36" s="800" t="s">
        <v>11045</v>
      </c>
      <c r="E36" s="1513" t="s">
        <v>11046</v>
      </c>
      <c r="F36" s="1512" t="s">
        <v>11047</v>
      </c>
      <c r="G36" s="1512" t="s">
        <v>11048</v>
      </c>
      <c r="H36" s="1512" t="s">
        <v>11049</v>
      </c>
      <c r="I36" s="1512" t="s">
        <v>8006</v>
      </c>
      <c r="J36" s="1512" t="s">
        <v>11050</v>
      </c>
      <c r="K36" s="1512" t="s">
        <v>11051</v>
      </c>
      <c r="L36" s="1512" t="s">
        <v>9960</v>
      </c>
      <c r="M36" s="1739">
        <v>0.05331018518518518</v>
      </c>
      <c r="N36" s="1740" t="str">
        <f t="shared" si="1"/>
        <v>0:54</v>
      </c>
      <c r="O36" s="1548" t="s">
        <v>11052</v>
      </c>
    </row>
    <row r="37" ht="15.75" customHeight="1">
      <c r="A37" s="1668" t="s">
        <v>3679</v>
      </c>
      <c r="B37" s="1749" t="s">
        <v>8683</v>
      </c>
      <c r="C37" s="1736">
        <v>0.05270034722222223</v>
      </c>
      <c r="D37" s="1743" t="s">
        <v>11053</v>
      </c>
      <c r="E37" s="1513" t="s">
        <v>11054</v>
      </c>
      <c r="F37" s="1512" t="s">
        <v>11055</v>
      </c>
      <c r="G37" s="1512" t="s">
        <v>11056</v>
      </c>
      <c r="H37" s="1512" t="s">
        <v>11057</v>
      </c>
      <c r="I37" s="1512" t="s">
        <v>11058</v>
      </c>
      <c r="J37" s="1512" t="s">
        <v>11059</v>
      </c>
      <c r="K37" s="1512" t="s">
        <v>11060</v>
      </c>
      <c r="L37" s="1512" t="s">
        <v>11061</v>
      </c>
      <c r="M37" s="1739">
        <v>0.05425925925925926</v>
      </c>
      <c r="N37" s="1740" t="str">
        <f t="shared" si="1"/>
        <v>2:15</v>
      </c>
      <c r="O37" s="1548" t="s">
        <v>10817</v>
      </c>
    </row>
    <row r="38">
      <c r="A38" s="1768" t="s">
        <v>3471</v>
      </c>
      <c r="B38" s="1749" t="s">
        <v>8683</v>
      </c>
      <c r="C38" s="1736">
        <v>0.053009259259259256</v>
      </c>
      <c r="D38" s="1743" t="s">
        <v>11062</v>
      </c>
      <c r="E38" s="1513" t="s">
        <v>11063</v>
      </c>
      <c r="F38" s="1512" t="s">
        <v>11064</v>
      </c>
      <c r="G38" s="1512" t="s">
        <v>11065</v>
      </c>
      <c r="H38" s="1512" t="s">
        <v>11066</v>
      </c>
      <c r="I38" s="1512" t="s">
        <v>11067</v>
      </c>
      <c r="J38" s="1512" t="s">
        <v>11068</v>
      </c>
      <c r="K38" s="1512" t="s">
        <v>11069</v>
      </c>
      <c r="L38" s="1512" t="s">
        <v>11070</v>
      </c>
      <c r="M38" s="1739">
        <v>0.05372685185185185</v>
      </c>
      <c r="N38" s="1740" t="str">
        <f t="shared" si="1"/>
        <v>1:02</v>
      </c>
      <c r="O38" s="1548" t="s">
        <v>10817</v>
      </c>
    </row>
    <row r="39" ht="15.75" customHeight="1">
      <c r="A39" s="1232" t="s">
        <v>986</v>
      </c>
      <c r="B39" s="1714" t="s">
        <v>8710</v>
      </c>
      <c r="C39" s="1741">
        <v>0.05378472222222222</v>
      </c>
      <c r="D39" s="800" t="s">
        <v>11071</v>
      </c>
      <c r="E39" s="1513" t="s">
        <v>11072</v>
      </c>
      <c r="F39" s="1512" t="s">
        <v>11073</v>
      </c>
      <c r="G39" s="1512" t="s">
        <v>11074</v>
      </c>
      <c r="H39" s="1512" t="s">
        <v>11075</v>
      </c>
      <c r="I39" s="1512" t="s">
        <v>8294</v>
      </c>
      <c r="J39" s="1512" t="s">
        <v>11076</v>
      </c>
      <c r="K39" s="1512" t="s">
        <v>11077</v>
      </c>
      <c r="L39" s="1512" t="s">
        <v>9683</v>
      </c>
      <c r="M39" s="1739">
        <v>0.054560185185185184</v>
      </c>
      <c r="N39" s="1740" t="str">
        <f t="shared" si="1"/>
        <v>1:07</v>
      </c>
      <c r="O39" s="1548"/>
    </row>
    <row r="40" ht="15.75" customHeight="1">
      <c r="A40" s="1232" t="s">
        <v>4915</v>
      </c>
      <c r="B40" s="1634" t="s">
        <v>8710</v>
      </c>
      <c r="C40" s="1741">
        <v>0.05748842592592593</v>
      </c>
      <c r="D40" s="800" t="s">
        <v>11078</v>
      </c>
      <c r="E40" s="1513" t="s">
        <v>11079</v>
      </c>
      <c r="F40" s="1512" t="s">
        <v>11080</v>
      </c>
      <c r="G40" s="1512" t="s">
        <v>11081</v>
      </c>
      <c r="H40" s="1512" t="s">
        <v>11082</v>
      </c>
      <c r="I40" s="1512" t="s">
        <v>11083</v>
      </c>
      <c r="J40" s="1512" t="s">
        <v>11084</v>
      </c>
      <c r="K40" s="1512" t="s">
        <v>11085</v>
      </c>
      <c r="L40" s="1512" t="s">
        <v>10694</v>
      </c>
      <c r="M40" s="1739">
        <v>0.06149305555555556</v>
      </c>
      <c r="N40" s="1740" t="str">
        <f t="shared" si="1"/>
        <v>5:46</v>
      </c>
      <c r="O40" s="1548" t="s">
        <v>10817</v>
      </c>
    </row>
    <row r="41" ht="15.75" customHeight="1">
      <c r="A41" s="1232" t="s">
        <v>6520</v>
      </c>
      <c r="B41" s="1669" t="s">
        <v>10725</v>
      </c>
      <c r="C41" s="1769">
        <v>0.06118055555555556</v>
      </c>
      <c r="D41" s="1677" t="s">
        <v>11086</v>
      </c>
      <c r="E41" s="1770" t="s">
        <v>8607</v>
      </c>
      <c r="F41" s="1770" t="s">
        <v>11087</v>
      </c>
      <c r="G41" s="1770" t="s">
        <v>11088</v>
      </c>
      <c r="H41" s="1770" t="s">
        <v>11089</v>
      </c>
      <c r="I41" s="1770" t="s">
        <v>8286</v>
      </c>
      <c r="J41" s="1770" t="s">
        <v>11090</v>
      </c>
      <c r="K41" s="1770" t="s">
        <v>11091</v>
      </c>
      <c r="L41" s="1770" t="s">
        <v>11092</v>
      </c>
      <c r="M41" s="1771">
        <v>0.06646990740740741</v>
      </c>
      <c r="N41" s="1770" t="s">
        <v>11093</v>
      </c>
      <c r="O41" s="1548" t="s">
        <v>11094</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10781</v>
      </c>
      <c r="D1" s="1798" t="s">
        <v>6833</v>
      </c>
      <c r="E1" s="1799" t="s">
        <v>7131</v>
      </c>
      <c r="F1" s="1800" t="s">
        <v>38</v>
      </c>
      <c r="G1" s="1801" t="s">
        <v>36</v>
      </c>
      <c r="H1" s="1797" t="s">
        <v>10782</v>
      </c>
      <c r="I1" s="1802" t="s">
        <v>39</v>
      </c>
      <c r="J1" s="1696" t="s">
        <v>7071</v>
      </c>
      <c r="K1" s="1431" t="s">
        <v>8679</v>
      </c>
      <c r="L1" s="1698" t="s">
        <v>8681</v>
      </c>
    </row>
    <row r="2" ht="15.75" customHeight="1">
      <c r="A2" s="1699" t="s">
        <v>8682</v>
      </c>
      <c r="B2" s="1700" t="s">
        <v>8683</v>
      </c>
      <c r="C2" s="1702" t="s">
        <v>10783</v>
      </c>
      <c r="D2" s="1803" t="s">
        <v>11095</v>
      </c>
      <c r="E2" s="1704" t="s">
        <v>11096</v>
      </c>
      <c r="F2" s="1804" t="s">
        <v>11097</v>
      </c>
      <c r="G2" s="1706" t="s">
        <v>11098</v>
      </c>
      <c r="H2" s="1702" t="s">
        <v>11099</v>
      </c>
      <c r="I2" s="1805" t="s">
        <v>11100</v>
      </c>
      <c r="J2" s="1709" t="s">
        <v>11101</v>
      </c>
      <c r="K2" s="1806" t="s">
        <v>8708</v>
      </c>
      <c r="L2" s="1807"/>
    </row>
    <row r="3" ht="15.75" customHeight="1">
      <c r="A3" s="1713" t="s">
        <v>8709</v>
      </c>
      <c r="B3" s="1714" t="s">
        <v>8710</v>
      </c>
      <c r="C3" s="1460" t="s">
        <v>10994</v>
      </c>
      <c r="D3" s="1468" t="s">
        <v>11102</v>
      </c>
      <c r="E3" s="1462" t="s">
        <v>11103</v>
      </c>
      <c r="F3" s="1463" t="s">
        <v>11104</v>
      </c>
      <c r="G3" s="1465" t="s">
        <v>11105</v>
      </c>
      <c r="H3" s="1460" t="s">
        <v>11106</v>
      </c>
      <c r="I3" s="1467" t="s">
        <v>11107</v>
      </c>
      <c r="J3" s="1470" t="s">
        <v>11108</v>
      </c>
      <c r="K3" s="1715">
        <v>0.053043981481481484</v>
      </c>
      <c r="L3" s="1808"/>
    </row>
    <row r="4" ht="15.75" customHeight="1">
      <c r="A4" s="1718" t="s">
        <v>8733</v>
      </c>
      <c r="B4" s="1719" t="s">
        <v>8734</v>
      </c>
      <c r="C4" s="1721" t="s">
        <v>10986</v>
      </c>
      <c r="D4" s="1809" t="s">
        <v>11109</v>
      </c>
      <c r="E4" s="1723" t="s">
        <v>11110</v>
      </c>
      <c r="F4" s="1724" t="s">
        <v>11111</v>
      </c>
      <c r="G4" s="1725" t="s">
        <v>11112</v>
      </c>
      <c r="H4" s="1721" t="s">
        <v>11113</v>
      </c>
      <c r="I4" s="1726" t="s">
        <v>11114</v>
      </c>
      <c r="J4" s="1727" t="s">
        <v>11115</v>
      </c>
      <c r="K4" s="1720">
        <v>0.053043981481481484</v>
      </c>
      <c r="L4" s="1807"/>
    </row>
    <row r="5" ht="15.75" customHeight="1">
      <c r="A5" s="1232" t="s">
        <v>1061</v>
      </c>
      <c r="B5" s="1574" t="s">
        <v>8683</v>
      </c>
      <c r="C5" s="1731" t="s">
        <v>10783</v>
      </c>
      <c r="D5" s="1731" t="s">
        <v>11095</v>
      </c>
      <c r="E5" s="1731" t="s">
        <v>11096</v>
      </c>
      <c r="F5" s="1731" t="s">
        <v>11097</v>
      </c>
      <c r="G5" s="1810" t="s">
        <v>11098</v>
      </c>
      <c r="H5" s="1810" t="s">
        <v>11099</v>
      </c>
      <c r="I5" s="1810" t="s">
        <v>11100</v>
      </c>
      <c r="J5" s="1810" t="s">
        <v>11101</v>
      </c>
      <c r="K5" s="1811" t="s">
        <v>8708</v>
      </c>
      <c r="L5" s="1548" t="s">
        <v>11116</v>
      </c>
    </row>
    <row r="6" ht="15.75" customHeight="1">
      <c r="A6" s="1682" t="s">
        <v>1814</v>
      </c>
      <c r="B6" s="1812" t="s">
        <v>8683</v>
      </c>
      <c r="C6" s="1813" t="s">
        <v>10818</v>
      </c>
      <c r="D6" s="1814" t="s">
        <v>11117</v>
      </c>
      <c r="E6" s="1815" t="s">
        <v>11118</v>
      </c>
      <c r="F6" s="1816" t="s">
        <v>11119</v>
      </c>
      <c r="G6" s="1817" t="s">
        <v>11120</v>
      </c>
      <c r="H6" s="1818" t="s">
        <v>11121</v>
      </c>
      <c r="I6" s="1819" t="s">
        <v>11122</v>
      </c>
      <c r="J6" s="1820" t="s">
        <v>11123</v>
      </c>
      <c r="K6" s="1512" t="s">
        <v>8837</v>
      </c>
      <c r="L6" s="1821" t="s">
        <v>11124</v>
      </c>
    </row>
    <row r="7" ht="15.75" customHeight="1">
      <c r="A7" s="1822" t="s">
        <v>6535</v>
      </c>
      <c r="B7" s="1574" t="s">
        <v>8683</v>
      </c>
      <c r="C7" s="1659" t="s">
        <v>10826</v>
      </c>
      <c r="D7" s="1512" t="s">
        <v>11125</v>
      </c>
      <c r="E7" s="1512" t="s">
        <v>11126</v>
      </c>
      <c r="F7" s="1512" t="s">
        <v>11127</v>
      </c>
      <c r="G7" s="1823" t="s">
        <v>11128</v>
      </c>
      <c r="H7" s="1823" t="s">
        <v>11129</v>
      </c>
      <c r="I7" s="1823" t="s">
        <v>11130</v>
      </c>
      <c r="J7" s="1823" t="s">
        <v>11131</v>
      </c>
      <c r="K7" s="1512" t="s">
        <v>8885</v>
      </c>
      <c r="L7" s="1548"/>
    </row>
    <row r="8" ht="15.75" customHeight="1">
      <c r="A8" s="1735" t="s">
        <v>436</v>
      </c>
      <c r="B8" s="1490" t="s">
        <v>8683</v>
      </c>
      <c r="C8" s="1659" t="s">
        <v>10811</v>
      </c>
      <c r="D8" s="1512" t="s">
        <v>11132</v>
      </c>
      <c r="E8" s="1512" t="s">
        <v>11133</v>
      </c>
      <c r="F8" s="1512" t="s">
        <v>11134</v>
      </c>
      <c r="G8" s="1101" t="s">
        <v>11135</v>
      </c>
      <c r="H8" s="1813" t="s">
        <v>11136</v>
      </c>
      <c r="I8" s="1819" t="s">
        <v>11137</v>
      </c>
      <c r="J8" s="1820" t="s">
        <v>11138</v>
      </c>
      <c r="K8" s="1512" t="s">
        <v>8793</v>
      </c>
      <c r="L8" s="1548"/>
    </row>
    <row r="9" ht="15.75" customHeight="1">
      <c r="A9" s="1682" t="s">
        <v>6594</v>
      </c>
      <c r="B9" s="1490" t="s">
        <v>8683</v>
      </c>
      <c r="C9" s="1512" t="s">
        <v>11139</v>
      </c>
      <c r="D9" s="1512" t="s">
        <v>11140</v>
      </c>
      <c r="E9" s="1512" t="s">
        <v>11141</v>
      </c>
      <c r="F9" s="1515" t="s">
        <v>11142</v>
      </c>
      <c r="G9" s="1824" t="s">
        <v>11143</v>
      </c>
      <c r="H9" s="1825" t="s">
        <v>11144</v>
      </c>
      <c r="I9" s="1824" t="s">
        <v>11145</v>
      </c>
      <c r="J9" s="1824" t="s">
        <v>11146</v>
      </c>
      <c r="K9" s="1512" t="s">
        <v>8816</v>
      </c>
      <c r="L9" s="1548"/>
    </row>
    <row r="10" ht="15.75" customHeight="1">
      <c r="A10" s="1232" t="s">
        <v>1560</v>
      </c>
      <c r="B10" s="1574" t="s">
        <v>8683</v>
      </c>
      <c r="C10" s="1826" t="s">
        <v>10867</v>
      </c>
      <c r="D10" s="1752" t="s">
        <v>11147</v>
      </c>
      <c r="E10" s="1752" t="s">
        <v>11148</v>
      </c>
      <c r="F10" s="1512" t="s">
        <v>11149</v>
      </c>
      <c r="G10" s="1827" t="s">
        <v>11150</v>
      </c>
      <c r="H10" s="1828" t="s">
        <v>11151</v>
      </c>
      <c r="I10" s="1829" t="s">
        <v>11152</v>
      </c>
      <c r="J10" s="428" t="s">
        <v>11153</v>
      </c>
      <c r="K10" s="1767" t="s">
        <v>9085</v>
      </c>
      <c r="L10" s="1548" t="s">
        <v>11154</v>
      </c>
    </row>
    <row r="11" ht="15.75" customHeight="1">
      <c r="A11" s="1232" t="s">
        <v>2695</v>
      </c>
      <c r="B11" s="1574" t="s">
        <v>8683</v>
      </c>
      <c r="C11" s="1746" t="s">
        <v>10833</v>
      </c>
      <c r="D11" s="1732" t="s">
        <v>11155</v>
      </c>
      <c r="E11" s="1732" t="s">
        <v>11156</v>
      </c>
      <c r="F11" s="1732" t="s">
        <v>11157</v>
      </c>
      <c r="G11" s="1830" t="s">
        <v>11158</v>
      </c>
      <c r="H11" s="1830" t="s">
        <v>11159</v>
      </c>
      <c r="I11" s="1830" t="s">
        <v>11160</v>
      </c>
      <c r="J11" s="1830" t="s">
        <v>11161</v>
      </c>
      <c r="K11" s="1732" t="s">
        <v>8977</v>
      </c>
      <c r="L11" s="1548"/>
    </row>
    <row r="12" ht="15.75" customHeight="1">
      <c r="A12" s="1668" t="s">
        <v>828</v>
      </c>
      <c r="B12" s="1634" t="s">
        <v>8683</v>
      </c>
      <c r="C12" s="1831" t="s">
        <v>10849</v>
      </c>
      <c r="D12" s="1512" t="s">
        <v>11162</v>
      </c>
      <c r="E12" s="1512" t="s">
        <v>11163</v>
      </c>
      <c r="F12" s="1512" t="s">
        <v>11164</v>
      </c>
      <c r="G12" s="1101" t="s">
        <v>11165</v>
      </c>
      <c r="H12" s="1813" t="s">
        <v>11166</v>
      </c>
      <c r="I12" s="1819" t="s">
        <v>11167</v>
      </c>
      <c r="J12" s="1820" t="s">
        <v>11168</v>
      </c>
      <c r="K12" s="1512" t="s">
        <v>8908</v>
      </c>
      <c r="L12" s="1548" t="s">
        <v>11169</v>
      </c>
    </row>
    <row r="13" ht="15.75" customHeight="1">
      <c r="A13" s="1686" t="s">
        <v>2085</v>
      </c>
      <c r="B13" s="1490" t="s">
        <v>8683</v>
      </c>
      <c r="C13" s="1826" t="s">
        <v>10876</v>
      </c>
      <c r="D13" s="1512" t="s">
        <v>11170</v>
      </c>
      <c r="E13" s="1512" t="s">
        <v>11171</v>
      </c>
      <c r="F13" s="1512" t="s">
        <v>11172</v>
      </c>
      <c r="G13" s="1823" t="s">
        <v>11173</v>
      </c>
      <c r="H13" s="1823" t="s">
        <v>11174</v>
      </c>
      <c r="I13" s="1823" t="s">
        <v>11175</v>
      </c>
      <c r="J13" s="1823" t="s">
        <v>11176</v>
      </c>
      <c r="K13" s="1512" t="s">
        <v>9063</v>
      </c>
      <c r="L13" s="1548"/>
    </row>
    <row r="14" ht="15.75" customHeight="1">
      <c r="A14" s="1735" t="s">
        <v>330</v>
      </c>
      <c r="B14" s="1490" t="s">
        <v>8683</v>
      </c>
      <c r="C14" s="1512" t="s">
        <v>11177</v>
      </c>
      <c r="D14" s="1512" t="s">
        <v>11178</v>
      </c>
      <c r="E14" s="1512" t="s">
        <v>11179</v>
      </c>
      <c r="F14" s="1512" t="s">
        <v>11180</v>
      </c>
      <c r="G14" s="1101" t="s">
        <v>11181</v>
      </c>
      <c r="H14" s="1813" t="s">
        <v>11182</v>
      </c>
      <c r="I14" s="1819" t="s">
        <v>11183</v>
      </c>
      <c r="J14" s="1820" t="s">
        <v>11184</v>
      </c>
      <c r="K14" s="1512" t="s">
        <v>8863</v>
      </c>
      <c r="L14" s="1548"/>
    </row>
    <row r="15" ht="16.5" customHeight="1">
      <c r="A15" s="1757" t="s">
        <v>2643</v>
      </c>
      <c r="B15" s="1490" t="s">
        <v>8683</v>
      </c>
      <c r="C15" s="1512" t="s">
        <v>10899</v>
      </c>
      <c r="D15" s="1512" t="s">
        <v>11185</v>
      </c>
      <c r="E15" s="1512" t="s">
        <v>11186</v>
      </c>
      <c r="F15" s="1512" t="s">
        <v>11187</v>
      </c>
      <c r="G15" s="1823" t="s">
        <v>11188</v>
      </c>
      <c r="H15" s="1823" t="s">
        <v>11189</v>
      </c>
      <c r="I15" s="1823" t="s">
        <v>11190</v>
      </c>
      <c r="J15" s="1823" t="s">
        <v>11191</v>
      </c>
      <c r="K15" s="1512" t="s">
        <v>11192</v>
      </c>
      <c r="L15" s="1548" t="s">
        <v>11193</v>
      </c>
    </row>
    <row r="16" ht="15.0" customHeight="1">
      <c r="A16" s="1764" t="s">
        <v>1641</v>
      </c>
      <c r="B16" s="1626" t="s">
        <v>8683</v>
      </c>
      <c r="C16" s="1831" t="s">
        <v>11194</v>
      </c>
      <c r="D16" s="1512" t="s">
        <v>11195</v>
      </c>
      <c r="E16" s="1512" t="s">
        <v>11196</v>
      </c>
      <c r="F16" s="1512" t="s">
        <v>11197</v>
      </c>
      <c r="G16" s="1101" t="s">
        <v>11198</v>
      </c>
      <c r="H16" s="1813" t="s">
        <v>11199</v>
      </c>
      <c r="I16" s="1819" t="s">
        <v>11200</v>
      </c>
      <c r="J16" s="1820" t="s">
        <v>11201</v>
      </c>
      <c r="K16" s="1512" t="s">
        <v>9343</v>
      </c>
      <c r="L16" s="1548"/>
    </row>
    <row r="17" ht="15.75" customHeight="1">
      <c r="A17" s="1232" t="s">
        <v>6583</v>
      </c>
      <c r="B17" s="1490" t="s">
        <v>8683</v>
      </c>
      <c r="C17" s="1512" t="s">
        <v>10932</v>
      </c>
      <c r="D17" s="1512" t="s">
        <v>11202</v>
      </c>
      <c r="E17" s="1512" t="s">
        <v>11203</v>
      </c>
      <c r="F17" s="1512" t="s">
        <v>11204</v>
      </c>
      <c r="G17" s="1823" t="s">
        <v>11205</v>
      </c>
      <c r="H17" s="1823" t="s">
        <v>11206</v>
      </c>
      <c r="I17" s="1823" t="s">
        <v>11207</v>
      </c>
      <c r="J17" s="1823" t="s">
        <v>11208</v>
      </c>
      <c r="K17" s="1512" t="s">
        <v>9244</v>
      </c>
      <c r="L17" s="1548" t="s">
        <v>11209</v>
      </c>
    </row>
    <row r="18" ht="15.75" customHeight="1">
      <c r="A18" s="1735" t="s">
        <v>1420</v>
      </c>
      <c r="B18" s="1490" t="s">
        <v>8683</v>
      </c>
      <c r="C18" s="1512" t="s">
        <v>11210</v>
      </c>
      <c r="D18" s="1512" t="s">
        <v>11211</v>
      </c>
      <c r="E18" s="1512" t="s">
        <v>11212</v>
      </c>
      <c r="F18" s="1512" t="s">
        <v>11213</v>
      </c>
      <c r="G18" s="1101" t="s">
        <v>11214</v>
      </c>
      <c r="H18" s="1813" t="s">
        <v>11215</v>
      </c>
      <c r="I18" s="1819" t="s">
        <v>11216</v>
      </c>
      <c r="J18" s="1820" t="s">
        <v>11217</v>
      </c>
      <c r="K18" s="1512" t="s">
        <v>9222</v>
      </c>
      <c r="L18" s="1548"/>
    </row>
    <row r="19" ht="15.75" customHeight="1">
      <c r="A19" s="1232" t="s">
        <v>2265</v>
      </c>
      <c r="B19" s="1634" t="s">
        <v>8683</v>
      </c>
      <c r="C19" s="1831" t="s">
        <v>10907</v>
      </c>
      <c r="D19" s="1512" t="s">
        <v>11218</v>
      </c>
      <c r="E19" s="1512" t="s">
        <v>11219</v>
      </c>
      <c r="F19" s="1512" t="s">
        <v>11220</v>
      </c>
      <c r="G19" s="1823" t="s">
        <v>11221</v>
      </c>
      <c r="H19" s="1823" t="s">
        <v>11222</v>
      </c>
      <c r="I19" s="1823" t="s">
        <v>11223</v>
      </c>
      <c r="J19" s="1823" t="s">
        <v>11224</v>
      </c>
      <c r="K19" s="1512" t="s">
        <v>9127</v>
      </c>
      <c r="L19" s="1548" t="s">
        <v>11225</v>
      </c>
    </row>
    <row r="20" ht="15.75" customHeight="1">
      <c r="A20" s="1735" t="s">
        <v>902</v>
      </c>
      <c r="B20" s="1490" t="s">
        <v>8683</v>
      </c>
      <c r="C20" s="1512" t="s">
        <v>11226</v>
      </c>
      <c r="D20" s="1512" t="s">
        <v>11227</v>
      </c>
      <c r="E20" s="1512" t="s">
        <v>11228</v>
      </c>
      <c r="F20" s="1512" t="s">
        <v>11229</v>
      </c>
      <c r="G20" s="1101" t="s">
        <v>11230</v>
      </c>
      <c r="H20" s="1813" t="s">
        <v>11231</v>
      </c>
      <c r="I20" s="1819" t="s">
        <v>11232</v>
      </c>
      <c r="J20" s="1820" t="s">
        <v>11233</v>
      </c>
      <c r="K20" s="1512" t="s">
        <v>9493</v>
      </c>
      <c r="L20" s="1548"/>
    </row>
    <row r="21" ht="15.75" customHeight="1">
      <c r="A21" s="1232" t="s">
        <v>1729</v>
      </c>
      <c r="B21" s="1574" t="s">
        <v>8683</v>
      </c>
      <c r="C21" s="1512" t="s">
        <v>11234</v>
      </c>
      <c r="D21" s="1512" t="s">
        <v>11235</v>
      </c>
      <c r="E21" s="1767" t="s">
        <v>11236</v>
      </c>
      <c r="F21" s="1512" t="s">
        <v>11237</v>
      </c>
      <c r="G21" s="1823" t="s">
        <v>11238</v>
      </c>
      <c r="H21" s="1823" t="s">
        <v>11239</v>
      </c>
      <c r="I21" s="1823" t="s">
        <v>11240</v>
      </c>
      <c r="J21" s="1823" t="s">
        <v>11241</v>
      </c>
      <c r="K21" s="1512" t="s">
        <v>9270</v>
      </c>
      <c r="L21" s="1548"/>
    </row>
    <row r="22" ht="15.75" customHeight="1">
      <c r="A22" s="1682" t="s">
        <v>9129</v>
      </c>
      <c r="B22" s="1490" t="s">
        <v>8683</v>
      </c>
      <c r="C22" s="1512" t="s">
        <v>10942</v>
      </c>
      <c r="D22" s="1512" t="s">
        <v>11242</v>
      </c>
      <c r="E22" s="1512" t="s">
        <v>11243</v>
      </c>
      <c r="F22" s="1512" t="s">
        <v>11244</v>
      </c>
      <c r="G22" s="1101" t="s">
        <v>11245</v>
      </c>
      <c r="H22" s="1813" t="s">
        <v>11246</v>
      </c>
      <c r="I22" s="1819" t="s">
        <v>11247</v>
      </c>
      <c r="J22" s="1820" t="s">
        <v>11248</v>
      </c>
      <c r="K22" s="1512" t="s">
        <v>9144</v>
      </c>
      <c r="L22" s="1548"/>
    </row>
    <row r="23" ht="15.75" customHeight="1">
      <c r="A23" s="1232" t="s">
        <v>741</v>
      </c>
      <c r="B23" s="1574" t="s">
        <v>8710</v>
      </c>
      <c r="C23" s="1512" t="s">
        <v>11249</v>
      </c>
      <c r="D23" s="1755" t="s">
        <v>11102</v>
      </c>
      <c r="E23" s="1755" t="s">
        <v>11103</v>
      </c>
      <c r="F23" s="1755" t="s">
        <v>11104</v>
      </c>
      <c r="G23" s="1832" t="s">
        <v>11105</v>
      </c>
      <c r="H23" s="1832" t="s">
        <v>11106</v>
      </c>
      <c r="I23" s="1832" t="s">
        <v>11107</v>
      </c>
      <c r="J23" s="1832" t="s">
        <v>11108</v>
      </c>
      <c r="K23" s="1755" t="s">
        <v>9106</v>
      </c>
      <c r="L23" s="1548" t="s">
        <v>11250</v>
      </c>
    </row>
    <row r="24" ht="15.75" customHeight="1">
      <c r="A24" s="1668" t="s">
        <v>1351</v>
      </c>
      <c r="B24" s="1574" t="s">
        <v>8734</v>
      </c>
      <c r="C24" s="1628" t="s">
        <v>10986</v>
      </c>
      <c r="D24" s="1628" t="s">
        <v>11109</v>
      </c>
      <c r="E24" s="1628" t="s">
        <v>11110</v>
      </c>
      <c r="F24" s="1628" t="s">
        <v>11111</v>
      </c>
      <c r="G24" s="1833" t="s">
        <v>11112</v>
      </c>
      <c r="H24" s="1834" t="s">
        <v>11113</v>
      </c>
      <c r="I24" s="1835" t="s">
        <v>11114</v>
      </c>
      <c r="J24" s="1836" t="s">
        <v>11115</v>
      </c>
      <c r="K24" s="1628" t="s">
        <v>9106</v>
      </c>
      <c r="L24" s="1548"/>
    </row>
    <row r="25" ht="16.5" customHeight="1">
      <c r="A25" s="1668" t="s">
        <v>11251</v>
      </c>
      <c r="B25" s="1574" t="s">
        <v>8683</v>
      </c>
      <c r="C25" s="1765" t="s">
        <v>10968</v>
      </c>
      <c r="D25" s="1512" t="s">
        <v>11252</v>
      </c>
      <c r="E25" s="1512" t="s">
        <v>11253</v>
      </c>
      <c r="F25" s="1512" t="s">
        <v>11254</v>
      </c>
      <c r="G25" s="1823" t="s">
        <v>11245</v>
      </c>
      <c r="H25" s="1823" t="s">
        <v>11255</v>
      </c>
      <c r="I25" s="1823" t="s">
        <v>11256</v>
      </c>
      <c r="J25" s="1823" t="s">
        <v>11257</v>
      </c>
      <c r="K25" s="1512" t="s">
        <v>9659</v>
      </c>
      <c r="L25" s="1548"/>
    </row>
    <row r="26" ht="15.75" customHeight="1">
      <c r="A26" s="1668" t="s">
        <v>2976</v>
      </c>
      <c r="B26" s="1574" t="s">
        <v>8683</v>
      </c>
      <c r="C26" s="1512" t="s">
        <v>11258</v>
      </c>
      <c r="D26" s="1512" t="s">
        <v>11259</v>
      </c>
      <c r="E26" s="1512" t="s">
        <v>11260</v>
      </c>
      <c r="F26" s="1512" t="s">
        <v>11261</v>
      </c>
      <c r="G26" s="1101" t="s">
        <v>11262</v>
      </c>
      <c r="H26" s="1813" t="s">
        <v>11263</v>
      </c>
      <c r="I26" s="1819" t="s">
        <v>11264</v>
      </c>
      <c r="J26" s="1820" t="s">
        <v>11265</v>
      </c>
      <c r="K26" s="1512" t="s">
        <v>11266</v>
      </c>
      <c r="L26" s="1548" t="s">
        <v>11267</v>
      </c>
    </row>
    <row r="27">
      <c r="A27" s="1768" t="s">
        <v>3081</v>
      </c>
      <c r="B27" s="1749" t="s">
        <v>8710</v>
      </c>
      <c r="C27" s="1831" t="s">
        <v>11268</v>
      </c>
      <c r="D27" s="1512"/>
      <c r="E27" s="1512" t="s">
        <v>11269</v>
      </c>
      <c r="F27" s="1512" t="s">
        <v>11270</v>
      </c>
      <c r="G27" s="1823"/>
      <c r="H27" s="1823"/>
      <c r="I27" s="1823"/>
      <c r="J27" s="1823"/>
      <c r="K27" s="1512" t="s">
        <v>9795</v>
      </c>
      <c r="L27" s="1548"/>
    </row>
    <row r="28" ht="15.75" customHeight="1">
      <c r="A28" s="1668" t="s">
        <v>2919</v>
      </c>
      <c r="B28" s="1574" t="s">
        <v>8683</v>
      </c>
      <c r="C28" s="1831" t="s">
        <v>11271</v>
      </c>
      <c r="D28" s="1512" t="s">
        <v>11272</v>
      </c>
      <c r="E28" s="1512" t="s">
        <v>11273</v>
      </c>
      <c r="F28" s="1512" t="s">
        <v>11274</v>
      </c>
      <c r="G28" s="1101" t="s">
        <v>11275</v>
      </c>
      <c r="H28" s="1813" t="s">
        <v>11276</v>
      </c>
      <c r="I28" s="1819" t="s">
        <v>11277</v>
      </c>
      <c r="J28" s="1820" t="s">
        <v>11278</v>
      </c>
      <c r="K28" s="1512" t="s">
        <v>9726</v>
      </c>
      <c r="L28" s="1548" t="s">
        <v>11279</v>
      </c>
    </row>
    <row r="29">
      <c r="A29" s="1744" t="s">
        <v>2227</v>
      </c>
      <c r="B29" s="1634" t="s">
        <v>8710</v>
      </c>
      <c r="C29" s="1512" t="s">
        <v>11280</v>
      </c>
      <c r="D29" s="1512" t="s">
        <v>11281</v>
      </c>
      <c r="E29" s="1512" t="s">
        <v>11282</v>
      </c>
      <c r="F29" s="1512" t="s">
        <v>11283</v>
      </c>
      <c r="G29" s="1823" t="s">
        <v>11284</v>
      </c>
      <c r="H29" s="1823" t="s">
        <v>11285</v>
      </c>
      <c r="I29" s="1823" t="s">
        <v>11286</v>
      </c>
      <c r="J29" s="1823" t="s">
        <v>11287</v>
      </c>
      <c r="K29" s="1512" t="s">
        <v>11288</v>
      </c>
      <c r="L29" s="1548" t="s">
        <v>11289</v>
      </c>
    </row>
    <row r="30" ht="15.75" customHeight="1">
      <c r="A30" s="1232" t="s">
        <v>2540</v>
      </c>
      <c r="B30" s="1626" t="s">
        <v>8710</v>
      </c>
      <c r="C30" s="1755" t="s">
        <v>10994</v>
      </c>
      <c r="D30" s="1512" t="s">
        <v>11290</v>
      </c>
      <c r="E30" s="1512" t="s">
        <v>11291</v>
      </c>
      <c r="F30" s="1512" t="s">
        <v>11292</v>
      </c>
      <c r="G30" s="1101" t="s">
        <v>11293</v>
      </c>
      <c r="H30" s="1813" t="s">
        <v>11294</v>
      </c>
      <c r="I30" s="1819" t="s">
        <v>11295</v>
      </c>
      <c r="J30" s="1820" t="s">
        <v>11296</v>
      </c>
      <c r="K30" s="1512" t="s">
        <v>9636</v>
      </c>
      <c r="L30" s="1548"/>
    </row>
    <row r="31" ht="15.75" customHeight="1">
      <c r="A31" s="1668" t="s">
        <v>5395</v>
      </c>
      <c r="B31" s="1574" t="s">
        <v>8683</v>
      </c>
      <c r="C31" s="1831" t="s">
        <v>11297</v>
      </c>
      <c r="D31" s="1512" t="s">
        <v>11298</v>
      </c>
      <c r="E31" s="1512" t="s">
        <v>11299</v>
      </c>
      <c r="F31" s="1512" t="s">
        <v>11300</v>
      </c>
      <c r="G31" s="1823" t="s">
        <v>11301</v>
      </c>
      <c r="H31" s="1823" t="s">
        <v>11302</v>
      </c>
      <c r="I31" s="1823" t="s">
        <v>11303</v>
      </c>
      <c r="J31" s="1823" t="s">
        <v>11304</v>
      </c>
      <c r="K31" s="1512" t="s">
        <v>11305</v>
      </c>
      <c r="L31" s="1548" t="s">
        <v>11306</v>
      </c>
    </row>
    <row r="32" ht="15.75" customHeight="1">
      <c r="A32" s="1668" t="s">
        <v>4915</v>
      </c>
      <c r="B32" s="1574" t="s">
        <v>8710</v>
      </c>
      <c r="C32" s="1831" t="s">
        <v>11078</v>
      </c>
      <c r="D32" s="1512" t="s">
        <v>11307</v>
      </c>
      <c r="E32" s="1512" t="s">
        <v>11308</v>
      </c>
      <c r="F32" s="1512" t="s">
        <v>11309</v>
      </c>
      <c r="G32" s="1101" t="s">
        <v>11310</v>
      </c>
      <c r="H32" s="1813" t="s">
        <v>11311</v>
      </c>
      <c r="I32" s="1819" t="s">
        <v>11312</v>
      </c>
      <c r="J32" s="1820" t="s">
        <v>11313</v>
      </c>
      <c r="K32" s="1512" t="s">
        <v>10695</v>
      </c>
      <c r="L32" s="1548" t="s">
        <v>11314</v>
      </c>
    </row>
    <row r="33" ht="15.75" customHeight="1">
      <c r="A33" s="1232" t="s">
        <v>5806</v>
      </c>
      <c r="B33" s="1669" t="s">
        <v>10725</v>
      </c>
      <c r="C33" s="1837" t="s">
        <v>11315</v>
      </c>
      <c r="D33" s="1770" t="s">
        <v>11316</v>
      </c>
      <c r="E33" s="1770" t="s">
        <v>11317</v>
      </c>
      <c r="F33" s="1770" t="s">
        <v>11318</v>
      </c>
      <c r="G33" s="1838" t="s">
        <v>11319</v>
      </c>
      <c r="H33" s="1838" t="s">
        <v>11320</v>
      </c>
      <c r="I33" s="1838" t="s">
        <v>11321</v>
      </c>
      <c r="J33" s="1838" t="s">
        <v>11322</v>
      </c>
      <c r="K33" s="1770" t="s">
        <v>11323</v>
      </c>
      <c r="L33" s="1548" t="s">
        <v>11324</v>
      </c>
    </row>
    <row r="34" ht="15.75" customHeight="1">
      <c r="A34" s="1668" t="s">
        <v>6520</v>
      </c>
      <c r="B34" s="1669" t="s">
        <v>10725</v>
      </c>
      <c r="C34" s="1839" t="s">
        <v>11325</v>
      </c>
      <c r="D34" s="1840" t="s">
        <v>11326</v>
      </c>
      <c r="E34" s="1840" t="s">
        <v>11327</v>
      </c>
      <c r="F34" s="1840" t="s">
        <v>11328</v>
      </c>
      <c r="G34" s="1841" t="s">
        <v>11329</v>
      </c>
      <c r="K34" s="1840" t="s">
        <v>10750</v>
      </c>
      <c r="L34" s="1548" t="s">
        <v>11330</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11331</v>
      </c>
      <c r="C1" s="1852" t="s">
        <v>43</v>
      </c>
      <c r="D1" s="1853" t="s">
        <v>11332</v>
      </c>
      <c r="E1" s="1852" t="s">
        <v>11333</v>
      </c>
      <c r="F1" s="1854" t="s">
        <v>11334</v>
      </c>
    </row>
    <row r="2">
      <c r="A2" s="1855"/>
      <c r="B2" s="1856"/>
      <c r="C2" s="1856"/>
      <c r="D2" s="1856"/>
      <c r="E2" s="1856"/>
      <c r="F2" s="1856"/>
    </row>
    <row r="3">
      <c r="A3" s="1855"/>
      <c r="B3" s="1856"/>
      <c r="C3" s="1856"/>
      <c r="D3" s="1856"/>
      <c r="E3" s="1856"/>
      <c r="F3" s="1856"/>
    </row>
    <row r="4">
      <c r="A4" s="1857" t="s">
        <v>11335</v>
      </c>
      <c r="B4" s="1858" t="s">
        <v>11336</v>
      </c>
      <c r="C4" s="1859"/>
      <c r="D4" s="1859"/>
      <c r="E4" s="1859"/>
      <c r="F4" s="1860"/>
    </row>
    <row r="5">
      <c r="A5" s="1856"/>
      <c r="B5" s="1861"/>
      <c r="C5" s="1862"/>
      <c r="D5" s="1862"/>
      <c r="E5" s="1862"/>
      <c r="F5" s="1863"/>
    </row>
    <row r="6">
      <c r="A6" s="1864" t="s">
        <v>11336</v>
      </c>
      <c r="B6" s="1865" t="s">
        <v>11337</v>
      </c>
      <c r="C6" s="1866" t="s">
        <v>4357</v>
      </c>
      <c r="D6" s="1867" t="s">
        <v>11338</v>
      </c>
      <c r="E6" s="1866" t="s">
        <v>11339</v>
      </c>
      <c r="F6" s="1868">
        <v>44233.0</v>
      </c>
    </row>
    <row r="7">
      <c r="A7" s="1864" t="s">
        <v>11340</v>
      </c>
      <c r="B7" s="1869" t="s">
        <v>11341</v>
      </c>
      <c r="C7" s="1866" t="s">
        <v>902</v>
      </c>
      <c r="D7" s="1867" t="s">
        <v>11342</v>
      </c>
      <c r="E7" s="1866" t="s">
        <v>11339</v>
      </c>
      <c r="F7" s="1868">
        <v>43878.0</v>
      </c>
    </row>
    <row r="8">
      <c r="A8" s="1864" t="s">
        <v>11343</v>
      </c>
      <c r="B8" s="1870" t="s">
        <v>11344</v>
      </c>
      <c r="C8" s="1866" t="s">
        <v>330</v>
      </c>
      <c r="D8" s="1867" t="s">
        <v>11345</v>
      </c>
      <c r="E8" s="1866" t="s">
        <v>11339</v>
      </c>
      <c r="F8" s="1868">
        <v>43879.0</v>
      </c>
    </row>
    <row r="9">
      <c r="A9" s="1864" t="s">
        <v>11346</v>
      </c>
      <c r="B9" s="1871" t="s">
        <v>11347</v>
      </c>
      <c r="C9" s="1866" t="s">
        <v>3982</v>
      </c>
      <c r="D9" s="1867" t="s">
        <v>11348</v>
      </c>
      <c r="E9" s="1866" t="s">
        <v>11349</v>
      </c>
      <c r="F9" s="1868">
        <v>44084.0</v>
      </c>
    </row>
    <row r="10">
      <c r="A10" s="1864" t="s">
        <v>11350</v>
      </c>
      <c r="B10" s="1871" t="s">
        <v>11351</v>
      </c>
      <c r="C10" s="1872"/>
      <c r="D10" s="1873"/>
      <c r="E10" s="1872"/>
      <c r="F10" s="1872"/>
    </row>
    <row r="11">
      <c r="A11" s="1864" t="s">
        <v>11352</v>
      </c>
      <c r="B11" s="1858" t="s">
        <v>11340</v>
      </c>
      <c r="C11" s="1859"/>
      <c r="D11" s="1859"/>
      <c r="E11" s="1859"/>
      <c r="F11" s="1860"/>
    </row>
    <row r="12">
      <c r="A12" s="1864" t="s">
        <v>11353</v>
      </c>
      <c r="B12" s="1861"/>
      <c r="C12" s="1862"/>
      <c r="D12" s="1862"/>
      <c r="E12" s="1862"/>
      <c r="F12" s="1863"/>
    </row>
    <row r="13">
      <c r="A13" s="1864" t="s">
        <v>11354</v>
      </c>
      <c r="B13" s="1865" t="s">
        <v>11337</v>
      </c>
      <c r="C13" s="1866" t="s">
        <v>4357</v>
      </c>
      <c r="D13" s="1867" t="s">
        <v>11355</v>
      </c>
      <c r="E13" s="1866" t="s">
        <v>11339</v>
      </c>
      <c r="F13" s="1868">
        <v>44250.0</v>
      </c>
    </row>
    <row r="14" ht="15.75" customHeight="1">
      <c r="A14" s="1864" t="s">
        <v>11356</v>
      </c>
      <c r="B14" s="1869" t="s">
        <v>11341</v>
      </c>
      <c r="C14" s="1866" t="s">
        <v>4230</v>
      </c>
      <c r="D14" s="1867" t="s">
        <v>11357</v>
      </c>
      <c r="E14" s="1866" t="s">
        <v>11339</v>
      </c>
      <c r="F14" s="1868">
        <v>43364.0</v>
      </c>
    </row>
    <row r="15">
      <c r="A15" s="1864" t="s">
        <v>11358</v>
      </c>
      <c r="B15" s="1870" t="s">
        <v>11344</v>
      </c>
      <c r="C15" s="1866" t="s">
        <v>11359</v>
      </c>
      <c r="D15" s="1867" t="s">
        <v>11360</v>
      </c>
      <c r="E15" s="1866" t="s">
        <v>11349</v>
      </c>
      <c r="F15" s="1868">
        <v>43757.0</v>
      </c>
    </row>
    <row r="16">
      <c r="A16" s="1864" t="s">
        <v>11361</v>
      </c>
      <c r="B16" s="1871" t="s">
        <v>11347</v>
      </c>
      <c r="C16" s="1866" t="s">
        <v>11362</v>
      </c>
      <c r="D16" s="1867" t="s">
        <v>11363</v>
      </c>
      <c r="E16" s="1866" t="s">
        <v>11349</v>
      </c>
      <c r="F16" s="1868">
        <v>43438.0</v>
      </c>
    </row>
    <row r="17">
      <c r="A17" s="1864" t="s">
        <v>11364</v>
      </c>
      <c r="B17" s="1871" t="s">
        <v>11351</v>
      </c>
      <c r="C17" s="1872"/>
      <c r="D17" s="1873"/>
      <c r="E17" s="1872"/>
      <c r="F17" s="1872"/>
    </row>
    <row r="18">
      <c r="A18" s="1864" t="s">
        <v>11365</v>
      </c>
      <c r="B18" s="1874" t="s">
        <v>11343</v>
      </c>
      <c r="C18" s="1859"/>
      <c r="D18" s="1859"/>
      <c r="E18" s="1859"/>
      <c r="F18" s="1860"/>
    </row>
    <row r="19">
      <c r="A19" s="1864" t="s">
        <v>11366</v>
      </c>
      <c r="B19" s="1862"/>
      <c r="C19" s="1862"/>
      <c r="D19" s="1862"/>
      <c r="E19" s="1862"/>
      <c r="F19" s="1863"/>
    </row>
    <row r="20">
      <c r="A20" s="1875"/>
      <c r="B20" s="1865" t="s">
        <v>11337</v>
      </c>
      <c r="C20" s="1866" t="s">
        <v>11367</v>
      </c>
      <c r="D20" s="1867" t="s">
        <v>11368</v>
      </c>
      <c r="E20" s="1866" t="s">
        <v>11339</v>
      </c>
      <c r="F20" s="1868">
        <v>44021.0</v>
      </c>
    </row>
    <row r="21">
      <c r="A21" s="1875"/>
      <c r="B21" s="1869" t="s">
        <v>11341</v>
      </c>
      <c r="C21" s="1866" t="s">
        <v>5211</v>
      </c>
      <c r="D21" s="1867" t="s">
        <v>11369</v>
      </c>
      <c r="E21" s="1866" t="s">
        <v>11349</v>
      </c>
      <c r="F21" s="1868">
        <v>44022.0</v>
      </c>
    </row>
    <row r="22">
      <c r="A22" s="1876"/>
      <c r="B22" s="1870" t="s">
        <v>11344</v>
      </c>
      <c r="C22" s="1866" t="s">
        <v>11370</v>
      </c>
      <c r="D22" s="1867" t="s">
        <v>11371</v>
      </c>
      <c r="E22" s="1866" t="s">
        <v>11372</v>
      </c>
      <c r="F22" s="1868">
        <v>43884.0</v>
      </c>
    </row>
    <row r="23">
      <c r="A23" s="1876"/>
      <c r="B23" s="1871" t="s">
        <v>11347</v>
      </c>
      <c r="C23" s="1866" t="s">
        <v>5395</v>
      </c>
      <c r="D23" s="1867" t="s">
        <v>11373</v>
      </c>
      <c r="E23" s="1866" t="s">
        <v>11339</v>
      </c>
      <c r="F23" s="1868">
        <v>43892.0</v>
      </c>
    </row>
    <row r="24">
      <c r="A24" s="1876"/>
      <c r="B24" s="1871" t="s">
        <v>11351</v>
      </c>
      <c r="C24" s="1872"/>
      <c r="D24" s="1873"/>
      <c r="E24" s="1872"/>
      <c r="F24" s="1872"/>
    </row>
    <row r="25">
      <c r="A25" s="1876"/>
      <c r="B25" s="1858" t="s">
        <v>11346</v>
      </c>
      <c r="C25" s="1859"/>
      <c r="D25" s="1859"/>
      <c r="E25" s="1859"/>
      <c r="F25" s="1860"/>
    </row>
    <row r="26">
      <c r="A26" s="1876"/>
      <c r="B26" s="1861"/>
      <c r="C26" s="1862"/>
      <c r="D26" s="1862"/>
      <c r="E26" s="1862"/>
      <c r="F26" s="1863"/>
    </row>
    <row r="27">
      <c r="A27" s="1876"/>
      <c r="B27" s="1877" t="s">
        <v>11374</v>
      </c>
      <c r="C27" s="1859"/>
      <c r="D27" s="1859"/>
      <c r="E27" s="1859"/>
      <c r="F27" s="1860"/>
    </row>
    <row r="28">
      <c r="A28" s="1876"/>
      <c r="B28" s="1861"/>
      <c r="C28" s="1862"/>
      <c r="D28" s="1862"/>
      <c r="E28" s="1862"/>
      <c r="F28" s="1863"/>
    </row>
    <row r="29">
      <c r="A29" s="1876"/>
      <c r="B29" s="1865" t="s">
        <v>11337</v>
      </c>
      <c r="C29" s="1878" t="s">
        <v>436</v>
      </c>
      <c r="D29" s="1867" t="s">
        <v>11375</v>
      </c>
      <c r="E29" s="1866" t="s">
        <v>11339</v>
      </c>
      <c r="F29" s="1868">
        <v>43659.0</v>
      </c>
    </row>
    <row r="30">
      <c r="A30" s="1876"/>
      <c r="B30" s="1869" t="s">
        <v>11341</v>
      </c>
      <c r="C30" s="1866" t="s">
        <v>1641</v>
      </c>
      <c r="D30" s="1867" t="s">
        <v>11376</v>
      </c>
      <c r="E30" s="1866" t="s">
        <v>11339</v>
      </c>
      <c r="F30" s="1868">
        <v>43228.0</v>
      </c>
    </row>
    <row r="31">
      <c r="A31" s="1876"/>
      <c r="B31" s="1870" t="s">
        <v>11344</v>
      </c>
      <c r="C31" s="1872"/>
      <c r="D31" s="1879"/>
      <c r="E31" s="1872"/>
      <c r="F31" s="1872"/>
    </row>
    <row r="32">
      <c r="A32" s="1876"/>
      <c r="B32" s="1871" t="s">
        <v>11347</v>
      </c>
      <c r="C32" s="1872"/>
      <c r="D32" s="1879"/>
      <c r="E32" s="1872"/>
      <c r="F32" s="1872"/>
    </row>
    <row r="33">
      <c r="A33" s="1876"/>
      <c r="B33" s="1871" t="s">
        <v>11351</v>
      </c>
      <c r="C33" s="1872"/>
      <c r="D33" s="1879"/>
      <c r="E33" s="1872"/>
      <c r="F33" s="1872"/>
    </row>
    <row r="34">
      <c r="A34" s="1876"/>
      <c r="B34" s="1877" t="s">
        <v>11377</v>
      </c>
      <c r="C34" s="1859"/>
      <c r="D34" s="1859"/>
      <c r="E34" s="1859"/>
      <c r="F34" s="1860"/>
    </row>
    <row r="35">
      <c r="A35" s="1876"/>
      <c r="B35" s="1861"/>
      <c r="C35" s="1862"/>
      <c r="D35" s="1862"/>
      <c r="E35" s="1862"/>
      <c r="F35" s="1863"/>
    </row>
    <row r="36">
      <c r="A36" s="1876"/>
      <c r="B36" s="1865" t="s">
        <v>11337</v>
      </c>
      <c r="C36" s="1866" t="s">
        <v>1641</v>
      </c>
      <c r="D36" s="1867" t="s">
        <v>11378</v>
      </c>
      <c r="E36" s="1866" t="s">
        <v>11339</v>
      </c>
      <c r="F36" s="1868">
        <v>43352.0</v>
      </c>
    </row>
    <row r="37">
      <c r="A37" s="1876"/>
      <c r="B37" s="1869" t="s">
        <v>11341</v>
      </c>
      <c r="C37" s="1866" t="s">
        <v>11379</v>
      </c>
      <c r="D37" s="1867" t="s">
        <v>11380</v>
      </c>
      <c r="E37" s="1866" t="s">
        <v>11339</v>
      </c>
      <c r="F37" s="1868">
        <v>43799.0</v>
      </c>
    </row>
    <row r="38">
      <c r="A38" s="1876"/>
      <c r="B38" s="1870" t="s">
        <v>11344</v>
      </c>
      <c r="C38" s="1872"/>
      <c r="D38" s="1873"/>
      <c r="E38" s="1872"/>
      <c r="F38" s="1872"/>
    </row>
    <row r="39">
      <c r="A39" s="1876"/>
      <c r="B39" s="1871" t="s">
        <v>11347</v>
      </c>
      <c r="C39" s="1872"/>
      <c r="D39" s="1873"/>
      <c r="E39" s="1872"/>
      <c r="F39" s="1872"/>
    </row>
    <row r="40">
      <c r="A40" s="1876"/>
      <c r="B40" s="1871" t="s">
        <v>11351</v>
      </c>
      <c r="C40" s="1872"/>
      <c r="D40" s="1873"/>
      <c r="E40" s="1872"/>
      <c r="F40" s="1872"/>
    </row>
    <row r="41">
      <c r="A41" s="1876"/>
      <c r="B41" s="1858" t="s">
        <v>11350</v>
      </c>
      <c r="C41" s="1859"/>
      <c r="D41" s="1859"/>
      <c r="E41" s="1859"/>
      <c r="F41" s="1860"/>
    </row>
    <row r="42">
      <c r="A42" s="1876"/>
      <c r="B42" s="1861"/>
      <c r="C42" s="1862"/>
      <c r="D42" s="1862"/>
      <c r="E42" s="1862"/>
      <c r="F42" s="1863"/>
    </row>
    <row r="43">
      <c r="A43" s="1876"/>
      <c r="B43" s="1865" t="s">
        <v>11337</v>
      </c>
      <c r="C43" s="1866" t="s">
        <v>7334</v>
      </c>
      <c r="D43" s="1880" t="s">
        <v>11381</v>
      </c>
      <c r="E43" s="1866" t="s">
        <v>11339</v>
      </c>
      <c r="F43" s="1881">
        <v>44511.0</v>
      </c>
    </row>
    <row r="44">
      <c r="A44" s="1876"/>
      <c r="B44" s="1869" t="s">
        <v>11341</v>
      </c>
      <c r="C44" s="1866" t="s">
        <v>11379</v>
      </c>
      <c r="D44" s="1880" t="s">
        <v>11382</v>
      </c>
      <c r="E44" s="1866" t="s">
        <v>11339</v>
      </c>
      <c r="F44" s="1881">
        <v>43740.0</v>
      </c>
    </row>
    <row r="45">
      <c r="A45" s="1876"/>
      <c r="B45" s="1870" t="s">
        <v>11344</v>
      </c>
      <c r="C45" s="1866" t="s">
        <v>10386</v>
      </c>
      <c r="D45" s="1880" t="s">
        <v>11383</v>
      </c>
      <c r="E45" s="1866" t="s">
        <v>11339</v>
      </c>
      <c r="F45" s="1881">
        <v>42098.0</v>
      </c>
    </row>
    <row r="46">
      <c r="A46" s="1876"/>
      <c r="B46" s="1871" t="s">
        <v>11347</v>
      </c>
      <c r="C46" s="1866"/>
      <c r="D46" s="1880"/>
      <c r="E46" s="1866"/>
      <c r="F46" s="1881"/>
    </row>
    <row r="47">
      <c r="A47" s="1876"/>
      <c r="B47" s="1871" t="s">
        <v>11351</v>
      </c>
      <c r="C47" s="1872"/>
      <c r="D47" s="1882"/>
      <c r="E47" s="1872"/>
      <c r="F47" s="1876"/>
    </row>
    <row r="48">
      <c r="A48" s="1876"/>
      <c r="B48" s="1858" t="s">
        <v>11352</v>
      </c>
      <c r="C48" s="1859"/>
      <c r="D48" s="1859"/>
      <c r="E48" s="1859"/>
      <c r="F48" s="1860"/>
    </row>
    <row r="49">
      <c r="A49" s="1876"/>
      <c r="B49" s="1861"/>
      <c r="C49" s="1862"/>
      <c r="D49" s="1862"/>
      <c r="E49" s="1862"/>
      <c r="F49" s="1863"/>
    </row>
    <row r="50">
      <c r="A50" s="1876"/>
      <c r="B50" s="1865" t="s">
        <v>11337</v>
      </c>
      <c r="C50" s="1866" t="s">
        <v>11384</v>
      </c>
      <c r="D50" s="1880" t="s">
        <v>11385</v>
      </c>
      <c r="E50" s="1866" t="s">
        <v>11386</v>
      </c>
      <c r="F50" s="1881">
        <v>43395.0</v>
      </c>
    </row>
    <row r="51">
      <c r="A51" s="1876"/>
      <c r="B51" s="1869" t="s">
        <v>11341</v>
      </c>
      <c r="C51" s="1866" t="s">
        <v>2265</v>
      </c>
      <c r="D51" s="1880" t="s">
        <v>11387</v>
      </c>
      <c r="E51" s="1866" t="s">
        <v>11349</v>
      </c>
      <c r="F51" s="1881">
        <v>43376.0</v>
      </c>
    </row>
    <row r="52">
      <c r="A52" s="1876"/>
      <c r="B52" s="1870" t="s">
        <v>11344</v>
      </c>
      <c r="C52" s="1872"/>
      <c r="D52" s="1882"/>
      <c r="E52" s="1872"/>
      <c r="F52" s="1876"/>
    </row>
    <row r="53">
      <c r="A53" s="1876"/>
      <c r="B53" s="1871" t="s">
        <v>11347</v>
      </c>
      <c r="C53" s="1872"/>
      <c r="D53" s="1882"/>
      <c r="E53" s="1872"/>
      <c r="F53" s="1876"/>
    </row>
    <row r="54">
      <c r="A54" s="1876"/>
      <c r="B54" s="1871" t="s">
        <v>11351</v>
      </c>
      <c r="C54" s="1872"/>
      <c r="D54" s="1882"/>
      <c r="E54" s="1872"/>
      <c r="F54" s="1876"/>
    </row>
    <row r="55">
      <c r="A55" s="1876"/>
      <c r="B55" s="1858" t="s">
        <v>11353</v>
      </c>
      <c r="C55" s="1859"/>
      <c r="D55" s="1859"/>
      <c r="E55" s="1859"/>
      <c r="F55" s="1860"/>
    </row>
    <row r="56">
      <c r="A56" s="1876"/>
      <c r="B56" s="1861"/>
      <c r="C56" s="1862"/>
      <c r="D56" s="1862"/>
      <c r="E56" s="1862"/>
      <c r="F56" s="1863"/>
    </row>
    <row r="57">
      <c r="A57" s="1876"/>
      <c r="B57" s="1883" t="s">
        <v>11388</v>
      </c>
      <c r="C57" s="1859"/>
      <c r="D57" s="1859"/>
      <c r="E57" s="1859"/>
      <c r="F57" s="1860"/>
    </row>
    <row r="58">
      <c r="A58" s="1876"/>
      <c r="B58" s="1861"/>
      <c r="C58" s="1862"/>
      <c r="D58" s="1862"/>
      <c r="E58" s="1862"/>
      <c r="F58" s="1863"/>
    </row>
    <row r="59">
      <c r="A59" s="1876"/>
      <c r="B59" s="1865" t="s">
        <v>11337</v>
      </c>
      <c r="C59" s="1884" t="s">
        <v>436</v>
      </c>
      <c r="D59" s="1880" t="s">
        <v>11389</v>
      </c>
      <c r="E59" s="1866" t="s">
        <v>11339</v>
      </c>
      <c r="F59" s="1881">
        <v>43758.0</v>
      </c>
    </row>
    <row r="60">
      <c r="A60" s="1876"/>
      <c r="B60" s="1869" t="s">
        <v>11341</v>
      </c>
      <c r="C60" s="1872"/>
      <c r="D60" s="1882"/>
      <c r="E60" s="1872"/>
      <c r="F60" s="1876"/>
    </row>
    <row r="61">
      <c r="A61" s="1876"/>
      <c r="B61" s="1870" t="s">
        <v>11344</v>
      </c>
      <c r="C61" s="1872"/>
      <c r="D61" s="1882"/>
      <c r="E61" s="1872"/>
      <c r="F61" s="1876"/>
    </row>
    <row r="62">
      <c r="A62" s="1876"/>
      <c r="B62" s="1871" t="s">
        <v>11347</v>
      </c>
      <c r="C62" s="1872"/>
      <c r="D62" s="1882"/>
      <c r="E62" s="1872"/>
      <c r="F62" s="1876"/>
    </row>
    <row r="63">
      <c r="A63" s="1876"/>
      <c r="B63" s="1871" t="s">
        <v>11351</v>
      </c>
      <c r="C63" s="1872"/>
      <c r="D63" s="1882"/>
      <c r="E63" s="1872"/>
      <c r="F63" s="1876"/>
    </row>
    <row r="64">
      <c r="A64" s="1876"/>
      <c r="B64" s="1883" t="s">
        <v>11377</v>
      </c>
      <c r="C64" s="1859"/>
      <c r="D64" s="1859"/>
      <c r="E64" s="1859"/>
      <c r="F64" s="1860"/>
    </row>
    <row r="65">
      <c r="A65" s="1876"/>
      <c r="B65" s="1861"/>
      <c r="C65" s="1862"/>
      <c r="D65" s="1862"/>
      <c r="E65" s="1862"/>
      <c r="F65" s="1863"/>
    </row>
    <row r="66">
      <c r="A66" s="1876"/>
      <c r="B66" s="1865" t="s">
        <v>11337</v>
      </c>
      <c r="C66" s="1866" t="s">
        <v>11390</v>
      </c>
      <c r="D66" s="1885" t="s">
        <v>11391</v>
      </c>
      <c r="E66" s="1866" t="s">
        <v>11339</v>
      </c>
      <c r="F66" s="1881">
        <v>44805.0</v>
      </c>
    </row>
    <row r="67">
      <c r="A67" s="1876"/>
      <c r="B67" s="1869" t="s">
        <v>11341</v>
      </c>
      <c r="C67" s="1866" t="s">
        <v>11392</v>
      </c>
      <c r="D67" s="1880" t="s">
        <v>11393</v>
      </c>
      <c r="E67" s="1866" t="s">
        <v>11339</v>
      </c>
      <c r="F67" s="1881">
        <v>43307.0</v>
      </c>
    </row>
    <row r="68">
      <c r="A68" s="1876"/>
      <c r="B68" s="1870" t="s">
        <v>11344</v>
      </c>
      <c r="C68" s="1872"/>
      <c r="D68" s="1882"/>
      <c r="E68" s="1872"/>
      <c r="F68" s="1876"/>
    </row>
    <row r="69">
      <c r="A69" s="1876"/>
      <c r="B69" s="1871" t="s">
        <v>11347</v>
      </c>
      <c r="C69" s="1872"/>
      <c r="D69" s="1882"/>
      <c r="E69" s="1872"/>
      <c r="F69" s="1876"/>
    </row>
    <row r="70">
      <c r="A70" s="1876"/>
      <c r="B70" s="1871" t="s">
        <v>11351</v>
      </c>
      <c r="C70" s="1872"/>
      <c r="D70" s="1882"/>
      <c r="E70" s="1872"/>
      <c r="F70" s="1876"/>
    </row>
    <row r="71">
      <c r="A71" s="1876"/>
      <c r="B71" s="1858" t="s">
        <v>11354</v>
      </c>
      <c r="C71" s="1859"/>
      <c r="D71" s="1859"/>
      <c r="E71" s="1859"/>
      <c r="F71" s="1860"/>
    </row>
    <row r="72">
      <c r="A72" s="1876"/>
      <c r="B72" s="1861"/>
      <c r="C72" s="1862"/>
      <c r="D72" s="1862"/>
      <c r="E72" s="1862"/>
      <c r="F72" s="1863"/>
    </row>
    <row r="73">
      <c r="A73" s="1876"/>
      <c r="B73" s="1883" t="s">
        <v>11394</v>
      </c>
      <c r="C73" s="1859"/>
      <c r="D73" s="1859"/>
      <c r="E73" s="1859"/>
      <c r="F73" s="1860"/>
    </row>
    <row r="74">
      <c r="A74" s="1876"/>
      <c r="B74" s="1861"/>
      <c r="C74" s="1862"/>
      <c r="D74" s="1862"/>
      <c r="E74" s="1862"/>
      <c r="F74" s="1863"/>
    </row>
    <row r="75">
      <c r="A75" s="1876"/>
      <c r="B75" s="1865" t="s">
        <v>11337</v>
      </c>
      <c r="C75" s="1866" t="s">
        <v>4357</v>
      </c>
      <c r="D75" s="1880" t="s">
        <v>11395</v>
      </c>
      <c r="E75" s="1866" t="s">
        <v>11339</v>
      </c>
      <c r="F75" s="1881">
        <v>44246.0</v>
      </c>
    </row>
    <row r="76">
      <c r="A76" s="1876"/>
      <c r="B76" s="1869" t="s">
        <v>11341</v>
      </c>
      <c r="C76" s="1866" t="s">
        <v>11384</v>
      </c>
      <c r="D76" s="1880" t="s">
        <v>11396</v>
      </c>
      <c r="E76" s="1866" t="s">
        <v>11386</v>
      </c>
      <c r="F76" s="1881">
        <v>43637.0</v>
      </c>
    </row>
    <row r="77">
      <c r="A77" s="1876"/>
      <c r="B77" s="1870" t="s">
        <v>11344</v>
      </c>
      <c r="C77" s="1872"/>
      <c r="D77" s="1882"/>
      <c r="E77" s="1872"/>
      <c r="F77" s="1876"/>
    </row>
    <row r="78">
      <c r="A78" s="1876"/>
      <c r="B78" s="1871" t="s">
        <v>11347</v>
      </c>
      <c r="C78" s="1872"/>
      <c r="D78" s="1882"/>
      <c r="E78" s="1872"/>
      <c r="F78" s="1876"/>
    </row>
    <row r="79">
      <c r="A79" s="1876"/>
      <c r="B79" s="1871" t="s">
        <v>11351</v>
      </c>
      <c r="C79" s="1872"/>
      <c r="D79" s="1882"/>
      <c r="E79" s="1872"/>
      <c r="F79" s="1876"/>
    </row>
    <row r="80">
      <c r="A80" s="1876"/>
      <c r="B80" s="1883" t="s">
        <v>11397</v>
      </c>
      <c r="C80" s="1859"/>
      <c r="D80" s="1859"/>
      <c r="E80" s="1859"/>
      <c r="F80" s="1860"/>
    </row>
    <row r="81">
      <c r="A81" s="1876"/>
      <c r="B81" s="1861"/>
      <c r="C81" s="1862"/>
      <c r="D81" s="1862"/>
      <c r="E81" s="1862"/>
      <c r="F81" s="1863"/>
    </row>
    <row r="82">
      <c r="A82" s="1876"/>
      <c r="B82" s="1865" t="s">
        <v>11337</v>
      </c>
      <c r="C82" s="1866" t="s">
        <v>6379</v>
      </c>
      <c r="D82" s="1880" t="s">
        <v>11398</v>
      </c>
      <c r="E82" s="1866" t="s">
        <v>11339</v>
      </c>
      <c r="F82" s="1881">
        <v>43592.0</v>
      </c>
    </row>
    <row r="83">
      <c r="A83" s="1876"/>
      <c r="B83" s="1869" t="s">
        <v>11341</v>
      </c>
      <c r="C83" s="1866" t="s">
        <v>11399</v>
      </c>
      <c r="D83" s="1880" t="s">
        <v>11400</v>
      </c>
      <c r="E83" s="1866" t="s">
        <v>11339</v>
      </c>
      <c r="F83" s="1881">
        <v>43396.0</v>
      </c>
    </row>
    <row r="84">
      <c r="A84" s="1876"/>
      <c r="B84" s="1870" t="s">
        <v>11344</v>
      </c>
      <c r="C84" s="1872"/>
      <c r="D84" s="1882"/>
      <c r="E84" s="1872"/>
      <c r="F84" s="1876"/>
    </row>
    <row r="85">
      <c r="A85" s="1876"/>
      <c r="B85" s="1871" t="s">
        <v>11347</v>
      </c>
      <c r="C85" s="1872"/>
      <c r="D85" s="1882"/>
      <c r="E85" s="1872"/>
      <c r="F85" s="1876"/>
    </row>
    <row r="86">
      <c r="A86" s="1876"/>
      <c r="B86" s="1871" t="s">
        <v>11351</v>
      </c>
      <c r="C86" s="1872"/>
      <c r="D86" s="1882"/>
      <c r="E86" s="1872"/>
      <c r="F86" s="1876"/>
    </row>
    <row r="87">
      <c r="A87" s="1876"/>
      <c r="B87" s="1858" t="s">
        <v>11356</v>
      </c>
      <c r="C87" s="1859"/>
      <c r="D87" s="1859"/>
      <c r="E87" s="1859"/>
      <c r="F87" s="1860"/>
    </row>
    <row r="88">
      <c r="A88" s="1876"/>
      <c r="B88" s="1861"/>
      <c r="C88" s="1862"/>
      <c r="D88" s="1862"/>
      <c r="E88" s="1862"/>
      <c r="F88" s="1863"/>
    </row>
    <row r="89">
      <c r="A89" s="1876"/>
      <c r="B89" s="1865" t="s">
        <v>11337</v>
      </c>
      <c r="C89" s="1884" t="s">
        <v>436</v>
      </c>
      <c r="D89" s="1880" t="s">
        <v>11401</v>
      </c>
      <c r="E89" s="1866" t="s">
        <v>11339</v>
      </c>
      <c r="F89" s="1881">
        <v>43457.0</v>
      </c>
    </row>
    <row r="90">
      <c r="A90" s="1876"/>
      <c r="B90" s="1869" t="s">
        <v>11341</v>
      </c>
      <c r="C90" s="1866" t="s">
        <v>2457</v>
      </c>
      <c r="D90" s="1880" t="s">
        <v>11402</v>
      </c>
      <c r="E90" s="1866" t="s">
        <v>11339</v>
      </c>
      <c r="F90" s="1881">
        <v>43925.0</v>
      </c>
    </row>
    <row r="91">
      <c r="A91" s="1876"/>
      <c r="B91" s="1870" t="s">
        <v>11344</v>
      </c>
      <c r="C91" s="1866" t="s">
        <v>4779</v>
      </c>
      <c r="D91" s="1880" t="s">
        <v>11403</v>
      </c>
      <c r="E91" s="1866" t="s">
        <v>11372</v>
      </c>
      <c r="F91" s="1881">
        <v>43433.0</v>
      </c>
    </row>
    <row r="92">
      <c r="A92" s="1876"/>
      <c r="B92" s="1871" t="s">
        <v>11347</v>
      </c>
      <c r="C92" s="1872"/>
      <c r="D92" s="1882"/>
      <c r="E92" s="1872"/>
      <c r="F92" s="1876"/>
    </row>
    <row r="93">
      <c r="A93" s="1876"/>
      <c r="B93" s="1871" t="s">
        <v>11351</v>
      </c>
      <c r="C93" s="1872"/>
      <c r="D93" s="1882"/>
      <c r="E93" s="1872"/>
      <c r="F93" s="1876"/>
    </row>
    <row r="94">
      <c r="A94" s="1876"/>
      <c r="B94" s="1858" t="s">
        <v>11358</v>
      </c>
      <c r="C94" s="1859"/>
      <c r="D94" s="1859"/>
      <c r="E94" s="1859"/>
      <c r="F94" s="1860"/>
    </row>
    <row r="95">
      <c r="A95" s="1876"/>
      <c r="B95" s="1861"/>
      <c r="C95" s="1862"/>
      <c r="D95" s="1862"/>
      <c r="E95" s="1862"/>
      <c r="F95" s="1863"/>
    </row>
    <row r="96">
      <c r="A96" s="1876"/>
      <c r="B96" s="1883" t="s">
        <v>11404</v>
      </c>
      <c r="C96" s="1859"/>
      <c r="D96" s="1859"/>
      <c r="E96" s="1859"/>
      <c r="F96" s="1860"/>
    </row>
    <row r="97">
      <c r="A97" s="1876"/>
      <c r="B97" s="1861"/>
      <c r="C97" s="1862"/>
      <c r="D97" s="1862"/>
      <c r="E97" s="1862"/>
      <c r="F97" s="1863"/>
    </row>
    <row r="98">
      <c r="A98" s="1876"/>
      <c r="B98" s="1865" t="s">
        <v>11337</v>
      </c>
      <c r="C98" s="1866" t="s">
        <v>11379</v>
      </c>
      <c r="D98" s="1880" t="s">
        <v>11405</v>
      </c>
      <c r="E98" s="1866" t="s">
        <v>11339</v>
      </c>
      <c r="F98" s="1881">
        <v>43862.0</v>
      </c>
    </row>
    <row r="99">
      <c r="A99" s="1876"/>
      <c r="B99" s="1869" t="s">
        <v>11341</v>
      </c>
      <c r="C99" s="1872"/>
      <c r="D99" s="1882"/>
      <c r="E99" s="1872"/>
      <c r="F99" s="1876"/>
    </row>
    <row r="100">
      <c r="A100" s="1876"/>
      <c r="B100" s="1870" t="s">
        <v>11344</v>
      </c>
      <c r="C100" s="1872"/>
      <c r="D100" s="1882"/>
      <c r="E100" s="1872"/>
      <c r="F100" s="1876"/>
    </row>
    <row r="101">
      <c r="A101" s="1876"/>
      <c r="B101" s="1871" t="s">
        <v>11347</v>
      </c>
      <c r="C101" s="1872"/>
      <c r="D101" s="1882"/>
      <c r="E101" s="1872"/>
      <c r="F101" s="1876"/>
    </row>
    <row r="102">
      <c r="A102" s="1876"/>
      <c r="B102" s="1871" t="s">
        <v>11351</v>
      </c>
      <c r="C102" s="1872"/>
      <c r="D102" s="1882"/>
      <c r="E102" s="1872"/>
      <c r="F102" s="1876"/>
    </row>
    <row r="103">
      <c r="A103" s="1876"/>
      <c r="B103" s="1883" t="s">
        <v>11406</v>
      </c>
      <c r="C103" s="1859"/>
      <c r="D103" s="1859"/>
      <c r="E103" s="1859"/>
      <c r="F103" s="1860"/>
    </row>
    <row r="104">
      <c r="A104" s="1876"/>
      <c r="B104" s="1861"/>
      <c r="C104" s="1862"/>
      <c r="D104" s="1862"/>
      <c r="E104" s="1862"/>
      <c r="F104" s="1863"/>
    </row>
    <row r="105">
      <c r="A105" s="1876"/>
      <c r="B105" s="1865" t="s">
        <v>11337</v>
      </c>
      <c r="C105" s="1866" t="s">
        <v>11379</v>
      </c>
      <c r="D105" s="1880" t="s">
        <v>11407</v>
      </c>
      <c r="E105" s="1866" t="s">
        <v>11339</v>
      </c>
      <c r="F105" s="1881">
        <v>43862.0</v>
      </c>
    </row>
    <row r="106">
      <c r="A106" s="1876"/>
      <c r="B106" s="1869" t="s">
        <v>11341</v>
      </c>
      <c r="C106" s="1886" t="s">
        <v>6266</v>
      </c>
      <c r="D106" s="1880" t="s">
        <v>11408</v>
      </c>
      <c r="E106" s="1866" t="s">
        <v>11386</v>
      </c>
      <c r="F106" s="1881">
        <v>43630.0</v>
      </c>
    </row>
    <row r="107">
      <c r="A107" s="1876"/>
      <c r="B107" s="1870" t="s">
        <v>11344</v>
      </c>
      <c r="C107" s="1872"/>
      <c r="D107" s="1882"/>
      <c r="E107" s="1872"/>
      <c r="F107" s="1876"/>
    </row>
    <row r="108">
      <c r="A108" s="1876"/>
      <c r="B108" s="1871" t="s">
        <v>11347</v>
      </c>
      <c r="C108" s="1872"/>
      <c r="D108" s="1882"/>
      <c r="E108" s="1872"/>
      <c r="F108" s="1876"/>
    </row>
    <row r="109">
      <c r="A109" s="1876"/>
      <c r="B109" s="1871" t="s">
        <v>11351</v>
      </c>
      <c r="C109" s="1872"/>
      <c r="D109" s="1882"/>
      <c r="E109" s="1872"/>
      <c r="F109" s="1876"/>
    </row>
    <row r="110">
      <c r="A110" s="1876"/>
      <c r="B110" s="1858" t="s">
        <v>11361</v>
      </c>
      <c r="C110" s="1859"/>
      <c r="D110" s="1859"/>
      <c r="E110" s="1859"/>
      <c r="F110" s="1860"/>
    </row>
    <row r="111">
      <c r="A111" s="1876"/>
      <c r="B111" s="1861"/>
      <c r="C111" s="1862"/>
      <c r="D111" s="1862"/>
      <c r="E111" s="1862"/>
      <c r="F111" s="1863"/>
    </row>
    <row r="112">
      <c r="A112" s="1876"/>
      <c r="B112" s="1865" t="s">
        <v>11337</v>
      </c>
      <c r="C112" s="1866" t="s">
        <v>5211</v>
      </c>
      <c r="D112" s="1880" t="s">
        <v>11409</v>
      </c>
      <c r="E112" s="1866" t="s">
        <v>11349</v>
      </c>
      <c r="F112" s="1881">
        <v>44132.0</v>
      </c>
    </row>
    <row r="113">
      <c r="A113" s="1876"/>
      <c r="B113" s="1869" t="s">
        <v>11341</v>
      </c>
      <c r="C113" s="1872"/>
      <c r="D113" s="1882"/>
      <c r="E113" s="1872"/>
      <c r="F113" s="1876"/>
    </row>
    <row r="114">
      <c r="A114" s="1876"/>
      <c r="B114" s="1870" t="s">
        <v>11344</v>
      </c>
      <c r="C114" s="1872"/>
      <c r="D114" s="1882"/>
      <c r="E114" s="1872"/>
      <c r="F114" s="1876"/>
    </row>
    <row r="115">
      <c r="A115" s="1876"/>
      <c r="B115" s="1871" t="s">
        <v>11347</v>
      </c>
      <c r="C115" s="1872"/>
      <c r="D115" s="1882"/>
      <c r="E115" s="1872"/>
      <c r="F115" s="1876"/>
    </row>
    <row r="116">
      <c r="A116" s="1876"/>
      <c r="B116" s="1871" t="s">
        <v>11351</v>
      </c>
      <c r="C116" s="1872"/>
      <c r="D116" s="1882"/>
      <c r="E116" s="1872"/>
      <c r="F116" s="1876"/>
    </row>
    <row r="117">
      <c r="A117" s="1876"/>
      <c r="B117" s="1858" t="s">
        <v>11364</v>
      </c>
      <c r="C117" s="1859"/>
      <c r="D117" s="1859"/>
      <c r="E117" s="1859"/>
      <c r="F117" s="1860"/>
    </row>
    <row r="118">
      <c r="A118" s="1876"/>
      <c r="B118" s="1861"/>
      <c r="C118" s="1862"/>
      <c r="D118" s="1862"/>
      <c r="E118" s="1862"/>
      <c r="F118" s="1863"/>
    </row>
    <row r="119">
      <c r="A119" s="1876"/>
      <c r="B119" s="1865" t="s">
        <v>11337</v>
      </c>
      <c r="C119" s="1866" t="s">
        <v>6323</v>
      </c>
      <c r="D119" s="1880" t="s">
        <v>11410</v>
      </c>
      <c r="E119" s="1866" t="s">
        <v>11339</v>
      </c>
      <c r="F119" s="1881">
        <v>43741.0</v>
      </c>
    </row>
    <row r="120">
      <c r="A120" s="1876"/>
      <c r="B120" s="1869" t="s">
        <v>11341</v>
      </c>
      <c r="C120" s="1866" t="s">
        <v>11411</v>
      </c>
      <c r="D120" s="1880" t="s">
        <v>11412</v>
      </c>
      <c r="E120" s="1866" t="s">
        <v>11372</v>
      </c>
      <c r="F120" s="1881">
        <v>43748.0</v>
      </c>
    </row>
    <row r="121">
      <c r="A121" s="1876"/>
      <c r="B121" s="1870" t="s">
        <v>11344</v>
      </c>
      <c r="C121" s="1866" t="s">
        <v>2150</v>
      </c>
      <c r="D121" s="1880" t="s">
        <v>11413</v>
      </c>
      <c r="E121" s="1866" t="s">
        <v>11386</v>
      </c>
      <c r="F121" s="1881">
        <v>43729.0</v>
      </c>
    </row>
    <row r="122">
      <c r="A122" s="1876"/>
      <c r="B122" s="1871" t="s">
        <v>11347</v>
      </c>
      <c r="C122" s="1884" t="s">
        <v>436</v>
      </c>
      <c r="D122" s="1880" t="s">
        <v>11414</v>
      </c>
      <c r="E122" s="1866" t="s">
        <v>11339</v>
      </c>
      <c r="F122" s="1881">
        <v>44470.0</v>
      </c>
    </row>
    <row r="123">
      <c r="A123" s="1876"/>
      <c r="B123" s="1871" t="s">
        <v>11351</v>
      </c>
      <c r="C123" s="1866" t="s">
        <v>5211</v>
      </c>
      <c r="D123" s="1880" t="s">
        <v>11415</v>
      </c>
      <c r="E123" s="1866" t="s">
        <v>11349</v>
      </c>
      <c r="F123" s="1881">
        <v>44020.0</v>
      </c>
    </row>
    <row r="124">
      <c r="A124" s="1887" t="s">
        <v>11416</v>
      </c>
      <c r="B124" s="1858" t="s">
        <v>11365</v>
      </c>
      <c r="C124" s="1859"/>
      <c r="D124" s="1859"/>
      <c r="E124" s="1859"/>
      <c r="F124" s="1860"/>
    </row>
    <row r="125">
      <c r="A125" s="1887" t="s">
        <v>11417</v>
      </c>
      <c r="B125" s="1861"/>
      <c r="C125" s="1862"/>
      <c r="D125" s="1862"/>
      <c r="E125" s="1862"/>
      <c r="F125" s="1863"/>
    </row>
    <row r="126">
      <c r="A126" s="1888"/>
      <c r="B126" s="1865" t="s">
        <v>11337</v>
      </c>
      <c r="C126" s="1866" t="s">
        <v>986</v>
      </c>
      <c r="D126" s="1889">
        <v>0.06525462962962963</v>
      </c>
      <c r="E126" s="1866" t="s">
        <v>11349</v>
      </c>
      <c r="F126" s="1868">
        <v>44652.0</v>
      </c>
    </row>
    <row r="127">
      <c r="A127" s="1888"/>
      <c r="B127" s="1869" t="s">
        <v>11341</v>
      </c>
      <c r="C127" s="1866" t="s">
        <v>4114</v>
      </c>
      <c r="D127" s="1889">
        <v>0.06892361111111112</v>
      </c>
      <c r="E127" s="1866" t="s">
        <v>11349</v>
      </c>
      <c r="F127" s="1868">
        <v>44652.0</v>
      </c>
    </row>
    <row r="128">
      <c r="A128" s="1888"/>
      <c r="B128" s="1870" t="s">
        <v>11344</v>
      </c>
      <c r="C128" s="1875" t="s">
        <v>5346</v>
      </c>
      <c r="D128" s="1890">
        <v>0.07195601851851852</v>
      </c>
      <c r="E128" s="1875" t="s">
        <v>11349</v>
      </c>
      <c r="F128" s="1881">
        <v>44652.0</v>
      </c>
    </row>
    <row r="129">
      <c r="A129" s="1888"/>
      <c r="B129" s="1871" t="s">
        <v>11347</v>
      </c>
      <c r="C129" s="1872" t="s">
        <v>11418</v>
      </c>
      <c r="D129" s="1891">
        <v>0.07211805555555556</v>
      </c>
      <c r="E129" s="1892" t="s">
        <v>11419</v>
      </c>
      <c r="F129" s="1881">
        <v>44652.0</v>
      </c>
    </row>
    <row r="130">
      <c r="A130" s="1888"/>
      <c r="B130" s="1871" t="s">
        <v>11351</v>
      </c>
      <c r="C130" s="1872"/>
      <c r="D130" s="1872"/>
      <c r="E130" s="1872"/>
      <c r="F130" s="1872"/>
    </row>
    <row r="131">
      <c r="A131" s="1893" t="s">
        <v>11366</v>
      </c>
      <c r="B131" s="1858" t="s">
        <v>11366</v>
      </c>
      <c r="C131" s="1859"/>
      <c r="D131" s="1859"/>
      <c r="E131" s="1859"/>
      <c r="F131" s="1860"/>
    </row>
    <row r="132">
      <c r="A132" s="1888"/>
      <c r="B132" s="1861"/>
      <c r="C132" s="1862"/>
      <c r="D132" s="1862"/>
      <c r="E132" s="1862"/>
      <c r="F132" s="1863"/>
    </row>
    <row r="133">
      <c r="A133" s="1888"/>
      <c r="B133" s="1865" t="s">
        <v>11337</v>
      </c>
      <c r="C133" s="1866" t="s">
        <v>2457</v>
      </c>
      <c r="D133" s="1894" t="s">
        <v>11420</v>
      </c>
      <c r="E133" s="1866" t="s">
        <v>11339</v>
      </c>
      <c r="F133" s="1868">
        <v>45152.0</v>
      </c>
    </row>
    <row r="134">
      <c r="A134" s="1888"/>
      <c r="B134" s="1869" t="s">
        <v>11341</v>
      </c>
      <c r="C134" s="1866" t="s">
        <v>4230</v>
      </c>
      <c r="D134" s="1894" t="s">
        <v>11421</v>
      </c>
      <c r="E134" s="1866" t="s">
        <v>11339</v>
      </c>
      <c r="F134" s="1868">
        <v>44866.0</v>
      </c>
    </row>
    <row r="135">
      <c r="A135" s="1888"/>
      <c r="B135" s="1870" t="s">
        <v>11344</v>
      </c>
      <c r="C135" s="1872"/>
      <c r="D135" s="1891"/>
      <c r="E135" s="1892"/>
      <c r="F135" s="1881"/>
    </row>
    <row r="136">
      <c r="A136" s="1888"/>
      <c r="B136" s="1871" t="s">
        <v>11347</v>
      </c>
      <c r="C136" s="1872"/>
      <c r="D136" s="1891"/>
      <c r="E136" s="1892"/>
      <c r="F136" s="1881"/>
    </row>
    <row r="137">
      <c r="A137" s="1888"/>
      <c r="B137" s="1871" t="s">
        <v>11351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