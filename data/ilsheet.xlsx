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clockwise WR</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<sst xmlns="http://schemas.openxmlformats.org/spreadsheetml/2006/main" count="28251" uniqueCount="11830">
  <si>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</si>
  <si>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</si>
  <si>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</si>
  <si>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</si>
  <si>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</si>
  <si>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</si>
  <si>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</si>
  <si>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</si>
  <si>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</si>
  <si>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</si>
  <si>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</si>
  <si>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</si>
  <si>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</si>
  <si>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</si>
  <si>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</si>
  <si>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</si>
  <si>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</si>
  <si>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</si>
  <si>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</si>
  <si>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</si>
  <si>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</si>
  <si>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</si>
  <si>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</si>
  <si>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</si>
  <si>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</si>
  <si>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</si>
  <si>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</si>
  <si>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</si>
  <si>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</si>
  <si>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</si>
  <si>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</si>
  <si>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</si>
  <si>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</si>
  <si>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</si>
  <si>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</si>
  <si>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</si>
  <si>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</si>
  <si>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</si>
  <si>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</si>
  <si>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</si>
  <si>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</si>
  <si>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</si>
  <si>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</si>
  <si>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</si>
  <si>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</si>
  <si>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</si>
  <si>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</si>
  <si>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</si>
  <si>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</si>
  <si>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</si>
  <si>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</si>
  <si>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</si>
  <si>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</si>
  <si>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</si>
  <si>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</si>
  <si>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</si>
  <si>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</si>
  <si>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</si>
  <si>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</si>
  <si>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</si>
  <si>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</si>
  <si>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</si>
  <si>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</si>
  <si>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</si>
  <si>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</si>
  <si>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</si>
  <si>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</si>
  <si>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</si>
  <si>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</si>
  <si>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</si>
  <si>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</si>
  <si>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</si>
  <si>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</si>
  <si>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</si>
  <si>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</si>
  <si>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</si>
  <si>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</si>
  <si>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</si>
  <si>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</si>
  <si>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</si>
  <si>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</si>
  <si>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</si>
  <si>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</si>
  <si>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</si>
  <si>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</si>
  <si>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</si>
  <si>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</si>
  <si>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</si>
  <si>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</si>
  <si>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</si>
  <si>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</si>
  <si>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</si>
  <si>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</si>
  <si>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</si>
  <si>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</si>
  <si>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</si>
  <si>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</si>
  <si>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</si>
  <si>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</si>
  <si>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</si>
  <si>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</si>
  <si>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</si>
  <si>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</si>
  <si>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</si>
  <si>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</si>
  <si>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</si>
  <si>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</si>
  <si>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</si>
  <si>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</si>
  <si>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</si>
  <si>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</si>
  <si>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</si>
  <si>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</si>
  <si>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</si>
  <si>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</si>
  <si>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</si>
  <si>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</si>
  <si>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</si>
  <si>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</si>
  <si>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</si>
  <si>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</si>
  <si>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</si>
  <si>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</si>
  <si>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</si>
  <si>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</si>
  <si>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</si>
  <si>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</si>
  <si>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</si>
  <si>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</si>
  <si>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</si>
  <si>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</si>
  <si>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</si>
  <si>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</si>
  <si>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</si>
  <si>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</si>
  <si>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</si>
  <si>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</si>
  <si>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</si>
  <si>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</si>
  <si>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</si>
  <si>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</si>
  <si>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</si>
  <si>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</si>
  <si>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</si>
  <si>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</si>
  <si>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</si>
  <si>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</si>
  <si>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</si>
  <si>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</si>
  <si>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</si>
  <si>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</si>
  <si>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</si>
  <si>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</si>
  <si>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</si>
  <si>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</si>
  <si>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</si>
  <si>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</si>
  <si>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</si>
  <si>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</si>
  <si>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</si>
  <si>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</si>
  <si>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</si>
  <si>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</si>
  <si>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</si>
  <si>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</si>
  <si>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</si>
  <si>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</si>
  <si>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</si>
  <si>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</si>
  <si>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</si>
  <si>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</si>
  <si>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</si>
  <si>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</si>
  <si>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</si>
  <si>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</si>
  <si>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</si>
  <si>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</si>
  <si>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</si>
  <si>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</si>
  <si>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</si>
  <si>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</si>
  <si>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</si>
  <si>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</si>
  <si>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</si>
  <si>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</si>
  <si>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</si>
  <si>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</si>
  <si>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</si>
  <si>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</si>
  <si>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</si>
  <si>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</si>
  <si>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</si>
  <si>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</si>
  <si>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</si>
  <si>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</si>
  <si>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</si>
  <si>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</si>
  <si>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</si>
  <si>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</si>
  <si>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</si>
  <si>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</si>
  <si>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</si>
  <si>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</si>
  <si>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</si>
  <si>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</si>
  <si>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</si>
  <si>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</si>
  <si>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</si>
  <si>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</si>
  <si>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</si>
  <si>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</si>
  <si>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</si>
  <si>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</si>
  <si>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</si>
  <si>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</si>
  <si>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</si>
  <si>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</si>
  <si>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</si>
  <si>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</si>
  <si>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</si>
  <si>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</si>
  <si>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</si>
  <si>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</si>
  <si>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</si>
  <si>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</si>
  <si>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</si>
  <si>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</si>
  <si>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</si>
  <si>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</si>
  <si>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</si>
  <si>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</si>
  <si>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</si>
  <si>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</si>
  <si>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</si>
  <si>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</si>
  <si>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</si>
  <si>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</si>
  <si>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</si>
  <si>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</si>
  <si>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</si>
  <si>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</si>
  <si>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</si>
  <si>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</si>
  <si>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</si>
  <si>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</si>
  <si>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</si>
  <si>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</si>
  <si>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</si>
  <si>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</si>
  <si>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</si>
  <si>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</si>
  <si>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</si>
  <si>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</si>
  <si>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</si>
  <si>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</si>
  <si>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</si>
  <si>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</si>
  <si>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</si>
  <si>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</si>
  <si>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</si>
  <si>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</si>
  <si>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</si>
  <si>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</si>
  <si>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</si>
  <si>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</si>
  <si>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</si>
  <si>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</si>
  <si>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</si>
  <si>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</si>
  <si>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</si>
  <si>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</si>
  <si>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</si>
  <si>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</si>
  <si>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</si>
  <si>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</si>
  <si>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</si>
  <si>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</si>
  <si>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</si>
  <si>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</si>
  <si>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</si>
  <si>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</si>
  <si>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</si>
  <si>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</si>
  <si>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</si>
  <si>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</si>
  <si>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</si>
  <si>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</si>
  <si>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</si>
  <si>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</si>
  <si>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</si>
  <si>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</si>
  <si>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</si>
  <si>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</si>
  <si>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</si>
  <si>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</si>
  <si>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</si>
  <si>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</si>
  <si>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</si>
  <si>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</si>
  <si>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</si>
  <si>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</si>
  <si>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</si>
  <si>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</si>
  <si>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</si>
  <si>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</si>
  <si>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</si>
  <si>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</si>
  <si>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</si>
  <si>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</si>
  <si>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</si>
  <si>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</si>
  <si>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</si>
  <si>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</si>
  <si>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</si>
  <si>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</si>
  <si>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</si>
  <si>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</si>
  <si>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</si>
  <si>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</si>
  <si>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</si>
  <si>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</si>
  <si>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</si>
  <si>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</si>
  <si>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</si>
  <si>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</si>
  <si>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</si>
  <si>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</si>
  <si>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</si>
  <si>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</si>
  <si>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</si>
  <si>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</si>
  <si>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</si>
  <si>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</si>
  <si>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</si>
  <si>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</si>
  <si>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</si>
  <si>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</si>
  <si>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</si>
  <si>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</si>
  <si>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</si>
  <si>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</si>
  <si>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</si>
  <si>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</si>
  <si>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</si>
  <si>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</si>
  <si>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</si>
  <si>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</si>
  <si>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</si>
  <si>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</si>
  <si>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</si>
  <si>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</si>
  <si>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</si>
  <si>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</si>
  <si>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</si>
  <si>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</si>
  <si>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</si>
  <si>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</si>
  <si>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</si>
  <si>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</si>
  <si>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</si>
  <si>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</si>
  <si>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</si>
  <si>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</si>
  <si>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</si>
  <si>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</si>
  <si>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</si>
  <si>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</si>
  <si>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</si>
  <si>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</si>
  <si>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</si>
  <si>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</si>
  <si>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</si>
  <si>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</si>
  <si>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</si>
  <si>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</si>
  <si>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</si>
  <si>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</si>
  <si>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</si>
  <si>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</si>
  <si>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</si>
  <si>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</si>
  <si>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</si>
  <si>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</si>
  <si>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</si>
  <si>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</si>
  <si>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</si>
  <si>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</si>
  <si>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</si>
  <si>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</si>
  <si>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</si>
  <si>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</si>
  <si>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</si>
  <si>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</si>
  <si>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</si>
  <si>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</si>
  <si>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</si>
  <si>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</si>
  <si>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</si>
  <si>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</si>
  <si>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</si>
  <si>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</si>
  <si>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</si>
  <si>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</si>
  <si>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</si>
  <si>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</si>
  <si>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</si>
  <si>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</si>
  <si>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</si>
  <si>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</si>
  <si>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</si>
  <si>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</si>
  <si>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</si>
  <si>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</si>
  <si>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</si>
  <si>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</si>
  <si>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</si>
  <si>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</si>
  <si>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</si>
  <si>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</si>
  <si>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</si>
  <si>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</si>
  <si>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</si>
  <si>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</si>
  <si>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</si>
  <si>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</si>
  <si>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</si>
  <si>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</si>
  <si>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</si>
  <si>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</si>
  <si>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</si>
  <si>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</si>
  <si>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</si>
  <si>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</si>
  <si>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</si>
  <si>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</si>
  <si>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</si>
  <si>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</si>
  <si>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</si>
  <si>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</si>
  <si>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</si>
  <si>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</si>
  <si>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</si>
  <si>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</si>
  <si>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</si>
  <si>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</si>
  <si>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</si>
  <si>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</si>
  <si>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</si>
  <si>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</si>
  <si>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</si>
  <si>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</si>
  <si>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</si>
  <si>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</si>
  <si>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</si>
  <si>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</si>
  <si>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</si>
  <si>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</si>
  <si>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</si>
  <si>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</si>
  <si>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</si>
  <si>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</si>
  <si>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</si>
  <si>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</si>
  <si>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</si>
  <si>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</si>
  <si>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</si>
  <si>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</si>
  <si>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</si>
  <si>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</si>
  <si>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</si>
  <si>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</si>
  <si>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</si>
  <si>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</si>
  <si>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</si>
  <si>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</si>
  <si>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</si>
  <si>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</si>
  <si>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</si>
  <si>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</si>
  <si>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</si>
  <si>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</si>
  <si>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</si>
  <si>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</si>
  <si>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</si>
  <si>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</si>
  <si>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</si>
  <si>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</si>
  <si>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</si>
  <si>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</si>
  <si>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</si>
  <si>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</si>
  <si>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</si>
  <si>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</si>
  <si>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</si>
  <si>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</si>
  <si>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</si>
  <si>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</si>
  <si>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</si>
  <si>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</si>
  <si>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</si>
  <si>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</si>
  <si>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</si>
  <si>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</si>
  <si>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</si>
  <si>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</si>
  <si>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</si>
  <si>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</si>
  <si>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</si>
  <si>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</si>
  <si>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</si>
  <si>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</si>
  <si>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</si>
  <si>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</si>
  <si>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</si>
  <si>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</si>
  <si>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</si>
  <si>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</si>
  <si>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</si>
  <si>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</si>
  <si>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</si>
  <si>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</si>
  <si>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</si>
  <si>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</si>
  <si>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</si>
  <si>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</si>
  <si>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</si>
  <si>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</si>
  <si>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</si>
  <si>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</si>
  <si>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</si>
  <si>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</si>
  <si>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</si>
  <si>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</si>
  <si>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</si>
  <si>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</si>
  <si>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</si>
  <si>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</si>
  <si>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</si>
  <si>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</si>
  <si>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</si>
  <si>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</si>
  <si>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</si>
  <si>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</si>
  <si>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</si>
  <si>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</si>
  <si>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</si>
  <si>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</si>
  <si>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</si>
  <si>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</si>
  <si>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</si>
  <si>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</si>
  <si>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</si>
  <si>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</si>
  <si>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</si>
  <si>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</si>
  <si>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</si>
  <si>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</si>
  <si>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</si>
  <si>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</si>
  <si>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</si>
  <si>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</si>
  <si>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</si>
  <si>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</si>
  <si>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</si>
  <si>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</si>
  <si>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</si>
  <si>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</si>
  <si>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</si>
  <si>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</si>
  <si>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</si>
  <si>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</si>
  <si>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</si>
  <si>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</si>
  <si>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</si>
  <si>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</si>
  <si>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</si>
  <si>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</si>
  <si>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</si>
  <si>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</si>
  <si>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</si>
  <si>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</si>
  <si>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</si>
  <si>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</si>
  <si>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</si>
  <si>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</si>
  <si>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</si>
  <si>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</si>
  <si>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</si>
  <si>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</si>
  <si>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</si>
  <si>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</si>
  <si>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</si>
  <si>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</si>
  <si>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</si>
  <si>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</si>
  <si>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</si>
  <si>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</si>
  <si>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</si>
  <si>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</si>
  <si>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</si>
  <si>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</si>
  <si>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</si>
  <si>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</si>
  <si>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</si>
  <si>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</si>
  <si>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</si>
  <si>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</si>
  <si>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</si>
  <si>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</si>
  <si>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</si>
  <si>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</si>
  <si>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</si>
  <si>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</si>
  <si>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</si>
  <si>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</si>
  <si>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</si>
  <si>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</si>
  <si>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</si>
  <si>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</si>
  <si>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</si>
  <si>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</si>
  <si>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</si>
  <si>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</si>
  <si>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</si>
  <si>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</si>
  <si>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</si>
  <si>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</si>
  <si>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</si>
  <si>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</si>
  <si>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</si>
  <si>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</si>
  <si>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</si>
  <si>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</si>
  <si>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</si>
  <si>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</si>
  <si>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</si>
  <si>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</si>
  <si>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</si>
  <si>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</si>
  <si>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</si>
  <si>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</si>
  <si>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</si>
  <si>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</si>
  <si>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</si>
  <si>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</si>
  <si>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</si>
  <si>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</si>
  <si>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</si>
  <si>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</si>
  <si>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</si>
  <si>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</si>
  <si>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</si>
  <si>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</si>
  <si>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</si>
  <si>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</si>
  <si>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</si>
  <si>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</si>
  <si>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</si>
  <si>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</si>
  <si>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</si>
  <si>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</si>
  <si>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</si>
  <si>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</si>
  <si>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</si>
  <si>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</si>
  <si>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</si>
  <si>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</si>
  <si>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</si>
  <si>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</si>
  <si>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</si>
  <si>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</si>
  <si>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</si>
  <si>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</si>
  <si>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</si>
  <si>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</si>
  <si>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</si>
  <si>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</si>
  <si>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</si>
  <si>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</si>
  <si>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</si>
  <si>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</si>
  <si>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</si>
  <si>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</si>
  <si>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</si>
  <si>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</si>
  <si>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</si>
  <si>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</si>
  <si>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</si>
  <si>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</si>
  <si>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</si>
  <si>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</si>
  <si>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</si>
  <si>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</si>
  <si>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</si>
  <si>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</si>
  <si>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</si>
  <si>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</si>
  <si>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</si>
  <si>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</si>
  <si>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</si>
  <si>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</si>
  <si>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</si>
  <si>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</si>
  <si>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</si>
  <si>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</si>
  <si>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</si>
  <si>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</si>
  <si>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</si>
  <si>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</si>
  <si>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</si>
  <si>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</si>
  <si>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</si>
  <si>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</si>
  <si>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</si>
  <si>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</si>
  <si>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</si>
  <si>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</si>
  <si>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</si>
  <si>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</si>
  <si>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</si>
  <si>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</si>
  <si>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</si>
  <si>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</si>
  <si>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</si>
  <si>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</si>
  <si>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</si>
  <si>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</si>
  <si>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</si>
  <si>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</si>
  <si>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</si>
  <si>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</si>
  <si>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</si>
  <si>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</si>
  <si>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</si>
  <si>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</si>
  <si>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</si>
  <si>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</si>
  <si>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</si>
  <si>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</si>
  <si>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</si>
  <si>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</si>
  <si>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</si>
  <si>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</si>
  <si>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</si>
  <si>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</si>
  <si>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</si>
  <si>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</si>
  <si>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</si>
  <si>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</si>
  <si>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</si>
  <si>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</si>
  <si>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</si>
  <si>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</si>
  <si>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</si>
  <si>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</si>
  <si>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</si>
  <si>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</si>
  <si>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</si>
  <si>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</si>
  <si>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</si>
  <si>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</si>
  <si>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</si>
  <si>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</si>
  <si>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</si>
  <si>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</si>
  <si>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</si>
  <si>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</si>
  <si>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</si>
  <si>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</si>
  <si>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</si>
  <si>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</si>
  <si>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</si>
  <si>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</si>
  <si>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</si>
  <si>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</si>
  <si>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</si>
  <si>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</si>
  <si>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</si>
  <si>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</si>
  <si>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</si>
  <si>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</si>
  <si>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</si>
  <si>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</si>
  <si>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</si>
  <si>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</si>
  <si>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</si>
  <si>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</si>
  <si>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</si>
  <si>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</si>
  <si>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</si>
  <si>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</si>
  <si>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</si>
  <si>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</si>
  <si>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</si>
  <si>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</si>
  <si>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</si>
  <si>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</si>
  <si>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</si>
  <si>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</si>
  <si>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</si>
  <si>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</si>
  <si>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</si>
  <si>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</si>
  <si>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</si>
  <si>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</si>
  <si>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</si>
  <si>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</si>
  <si>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</si>
  <si>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</si>
  <si>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</si>
  <si>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</si>
  <si>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</si>
  <si>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</si>
  <si>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</si>
  <si>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</si>
  <si>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</si>
  <si>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</si>
  <si>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</si>
  <si>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</si>
  <si>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</si>
  <si>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</si>
  <si>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</si>
  <si>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</si>
  <si>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</si>
  <si>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</si>
  <si>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</si>
  <si>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</si>
  <si>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</si>
  <si>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</si>
  <si>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</si>
  <si>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</si>
  <si>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</si>
  <si>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</si>
  <si>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</si>
  <si>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</si>
  <si>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</si>
  <si>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</si>
  <si>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</si>
  <si>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</si>
  <si>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</si>
  <si>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</si>
  <si>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</si>
  <si>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</si>
  <si>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</si>
  <si>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</si>
  <si>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</si>
  <si>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</si>
  <si>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</si>
  <si>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</si>
  <si>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</si>
  <si>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</si>
  <si>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</si>
  <si>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</si>
  <si>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</si>
  <si>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</si>
  <si>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</si>
  <si>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</si>
  <si>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</si>
  <si>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</si>
  <si>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</si>
  <si>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</si>
  <si>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</si>
  <si>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</si>
  <si>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</si>
  <si>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</si>
  <si>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</si>
  <si>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</si>
  <si>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</si>
  <si>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</si>
  <si>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</si>
  <si>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</si>
  <si>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</si>
  <si>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</si>
  <si>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</si>
  <si>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</si>
  <si>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</si>
  <si>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</si>
  <si>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</si>
  <si>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</si>
  <si>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</si>
  <si>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</si>
  <si>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</si>
  <si>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</si>
  <si>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</si>
  <si>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</si>
  <si>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</si>
  <si>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</si>
  <si>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</si>
  <si>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</si>
  <si>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</si>
  <si>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</si>
  <si>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</si>
  <si>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</si>
  <si>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</si>
  <si>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</si>
  <si>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</si>
  <si>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</si>
  <si>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</si>
  <si>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</si>
  <si>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</si>
  <si>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</si>
  <si>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</si>
  <si>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</si>
  <si>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</si>
  <si>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</si>
  <si>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</si>
  <si>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</si>
  <si>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</si>
  <si>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</si>
  <si>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</si>
  <si>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</si>
  <si>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</si>
  <si>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</si>
  <si>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</si>
  <si>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</si>
  <si>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</si>
  <si>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</si>
  <si>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</si>
  <si>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</si>
  <si>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</si>
  <si>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</si>
  <si>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</si>
  <si>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</si>
  <si>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</si>
  <si>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</si>
  <si>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</si>
  <si>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</si>
  <si>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</si>
  <si>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</si>
  <si>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</si>
  <si>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</si>
  <si>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</si>
  <si>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</si>
  <si>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</si>
  <si>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</si>
  <si>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</si>
  <si>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</si>
  <si>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</si>
  <si>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</si>
  <si>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</si>
  <si>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</si>
  <si>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</si>
  <si>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</si>
  <si>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</si>
  <si>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</si>
  <si>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</si>
  <si>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</si>
  <si>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</si>
  <si>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</si>
  <si>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</si>
  <si>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</si>
  <si>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</si>
  <si>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</si>
  <si>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</si>
  <si>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</si>
  <si>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</si>
  <si>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</si>
  <si>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</si>
  <si>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</si>
  <si>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</si>
  <si>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</si>
  <si>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</si>
  <si>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</si>
  <si>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</si>
  <si>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</si>
  <si>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</si>
  <si>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</si>
  <si>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</si>
  <si>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</si>
  <si>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</si>
  <si>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</si>
  <si>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</si>
  <si>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</si>
  <si>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</si>
  <si>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</si>
  <si>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</si>
  <si>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</si>
  <si>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</si>
  <si>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</si>
  <si>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</si>
  <si>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</si>
  <si>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</si>
  <si>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</si>
  <si>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</si>
  <si>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</si>
  <si>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</si>
  <si>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</si>
  <si>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</si>
  <si>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</si>
  <si>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</si>
  <si>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</si>
  <si>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</si>
  <si>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</si>
  <si>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</si>
  <si>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</si>
  <si>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</si>
  <si>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</si>
  <si>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</si>
  <si>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</si>
  <si>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</si>
  <si>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</si>
  <si>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</si>
  <si>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</si>
  <si>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</si>
  <si>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</si>
  <si>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</si>
  <si>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</si>
  <si>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</si>
  <si>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</si>
  <si>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</si>
  <si>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</si>
  <si>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</si>
  <si>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</si>
  <si>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</si>
  <si>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</si>
  <si>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</si>
  <si>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</si>
  <si>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</si>
  <si>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</si>
  <si>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</si>
  <si>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</si>
  <si>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</si>
  <si>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</si>
  <si>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</si>
  <si>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</si>
  <si>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</si>
  <si>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</si>
  <si>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</si>
  <si>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</si>
  <si>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</si>
  <si>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</si>
  <si>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</si>
  <si>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</si>
  <si>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</si>
  <si>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</si>
  <si>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</si>
  <si>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</si>
  <si>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</si>
  <si>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</si>
  <si>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</si>
  <si>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</si>
  <si>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</si>
  <si>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</si>
  <si>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</si>
  <si>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</si>
  <si>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</si>
  <si>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</si>
  <si>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</si>
  <si>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</si>
  <si>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</si>
  <si>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</si>
  <si>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</si>
  <si>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</si>
  <si>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</si>
  <si>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</si>
  <si>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</si>
  <si>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</si>
  <si>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</si>
  <si>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</si>
  <si>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</si>
  <si>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</si>
  <si>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</si>
  <si>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</si>
  <si>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</si>
  <si>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</si>
  <si>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</si>
  <si>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</si>
  <si>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</si>
  <si>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</si>
  <si>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</si>
  <si>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</si>
  <si>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</si>
  <si>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</si>
  <si>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</si>
  <si>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</si>
  <si>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</si>
  <si>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</si>
  <si>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</si>
  <si>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</si>
  <si>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</si>
  <si>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</si>
  <si>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</si>
  <si>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</si>
  <si>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</si>
  <si>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</si>
  <si>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</si>
  <si>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</si>
  <si>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</si>
  <si>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</si>
  <si>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</si>
  <si>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</si>
  <si>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</si>
  <si>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</si>
  <si>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</si>
  <si>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</si>
  <si>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</si>
  <si>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</si>
  <si>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</si>
  <si>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</si>
  <si>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</si>
  <si>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</si>
  <si>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</si>
  <si>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</si>
  <si>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</si>
  <si>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</si>
  <si>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</si>
  <si>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</si>
  <si>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</si>
  <si>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</si>
  <si>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</si>
  <si>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</si>
  <si>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</si>
  <si>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</si>
  <si>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</si>
  <si>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</si>
  <si>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</si>
  <si>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</si>
  <si>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</si>
  <si>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</si>
  <si>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</si>
  <si>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</si>
  <si>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</si>
  <si>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</si>
  <si>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</si>
  <si>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</si>
  <si>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</si>
  <si>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</si>
  <si>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</si>
  <si>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</si>
  <si>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</si>
  <si>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</si>
  <si>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</si>
  <si>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</si>
  <si>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</si>
  <si>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</si>
  <si>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</si>
  <si>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</si>
  <si>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</si>
  <si>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</si>
  <si>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</si>
  <si>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</si>
  <si>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</si>
  <si>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</si>
  <si>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</si>
  <si>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</si>
  <si>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</si>
  <si>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</si>
  <si>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</si>
  <si>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</si>
  <si>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</si>
  <si>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</si>
  <si>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</si>
  <si>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</si>
  <si>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</si>
  <si>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</si>
  <si>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</si>
  <si>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</si>
  <si>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</si>
  <si>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</si>
  <si>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</si>
  <si>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</si>
  <si>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</si>
  <si>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</si>
  <si>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</si>
  <si>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</si>
  <si>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</si>
  <si>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</si>
  <si>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</si>
  <si>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</si>
  <si>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</si>
  <si>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</si>
  <si>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</si>
  <si>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</si>
  <si>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</si>
  <si>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</si>
  <si>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</si>
  <si>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</si>
  <si>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</si>
  <si>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</si>
  <si>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</si>
  <si>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</si>
  <si>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</si>
  <si>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</si>
  <si>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</si>
  <si>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</si>
  <si>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</si>
  <si>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</si>
  <si>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</si>
  <si>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</si>
  <si>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</si>
  <si>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</si>
  <si>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</si>
  <si>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</si>
  <si>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</si>
  <si>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</si>
  <si>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</si>
  <si>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</si>
  <si>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</si>
  <si>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</si>
  <si>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</si>
  <si>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</si>
  <si>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</si>
  <si>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</si>
  <si>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</si>
  <si>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</si>
  <si>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</si>
  <si>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</si>
  <si>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</si>
  <si>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</si>
  <si>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</si>
  <si>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</si>
  <si>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</si>
  <si>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</si>
  <si>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</si>
  <si>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</si>
  <si>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</si>
  <si>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</si>
  <si>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</si>
  <si>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</si>
  <si>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</si>
  <si>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</si>
  <si>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</si>
  <si>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</si>
  <si>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</si>
  <si>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</si>
  <si>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</si>
  <si>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</si>
  <si>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</si>
  <si>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</si>
  <si>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</si>
  <si>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</si>
  <si>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</si>
  <si>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</si>
  <si>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</si>
  <si>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</si>
  <si>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</si>
  <si>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</si>
  <si>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</si>
  <si>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</si>
  <si>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</si>
  <si>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</si>
  <si>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</si>
  <si>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</si>
  <si>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</si>
  <si>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</si>
  <si>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</si>
  <si>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</si>
  <si>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</si>
  <si>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</si>
  <si>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</si>
  <si>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</si>
  <si>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</si>
  <si>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</si>
  <si>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</si>
  <si>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</si>
  <si>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</si>
  <si>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</si>
  <si>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</si>
  <si>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</si>
  <si>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</si>
  <si>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</si>
  <si>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</si>
  <si>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</si>
  <si>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</si>
  <si>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</si>
  <si>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</si>
  <si>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</si>
  <si>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</si>
  <si>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</si>
  <si>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</si>
  <si>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</si>
  <si>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</si>
  <si>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</si>
  <si>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</si>
  <si>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</si>
  <si>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</si>
  <si>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</si>
  <si>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</si>
  <si>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</si>
  <si>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</si>
  <si>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</si>
  <si>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</si>
  <si>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</si>
  <si>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</si>
  <si>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</si>
  <si>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</si>
  <si>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</si>
  <si>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</si>
  <si>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</si>
  <si>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</si>
  <si>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</si>
  <si>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</si>
  <si>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</si>
  <si>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</si>
  <si>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</si>
  <si>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</si>
  <si>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</si>
  <si>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</si>
  <si>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</si>
  <si>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</si>
  <si>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</si>
  <si>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</si>
  <si>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</si>
  <si>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</si>
  <si>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</si>
  <si>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</si>
  <si>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</si>
  <si>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</si>
  <si>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</si>
  <si>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</si>
  <si>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</si>
  <si>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</si>
  <si>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</si>
  <si>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</si>
  <si>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</si>
  <si>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</si>
  <si>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</si>
  <si>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</si>
  <si>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</si>
  <si>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</si>
  <si>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</si>
  <si>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</si>
  <si>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</si>
  <si>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</si>
  <si>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</si>
  <si>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</si>
  <si>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</si>
  <si>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</si>
  <si>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</si>
  <si>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</si>
  <si>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</si>
  <si>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</si>
  <si>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</si>
  <si>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</si>
  <si>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</si>
  <si>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</si>
  <si>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</si>
  <si>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</si>
  <si>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</si>
  <si>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</si>
  <si>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</si>
  <si>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</si>
  <si>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</si>
  <si>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</si>
  <si>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</si>
  <si>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</si>
  <si>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</si>
  <si>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</si>
  <si>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</si>
  <si>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</si>
  <si>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</si>
  <si>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</si>
  <si>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</si>
  <si>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</si>
  <si>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</si>
  <si>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</si>
  <si>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</si>
  <si>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</si>
  <si>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</si>
  <si>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</si>
  <si>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</si>
  <si>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</si>
  <si>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</si>
  <si>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</si>
  <si>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</si>
  <si>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</si>
  <si>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</si>
  <si>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</si>
  <si>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</si>
  <si>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</si>
  <si>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</si>
  <si>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</si>
  <si>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</si>
  <si>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</si>
  <si>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</si>
  <si>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</si>
  <si>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</si>
  <si>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</si>
  <si>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</si>
  <si>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</si>
  <si>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</si>
  <si>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</si>
  <si>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</si>
  <si>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</si>
  <si>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</si>
  <si>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</si>
  <si>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</si>
  <si>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</si>
  <si>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</si>
  <si>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</si>
  <si>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</si>
  <si>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</si>
  <si>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</si>
  <si>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</si>
  <si>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</si>
  <si>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</si>
  <si>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</si>
  <si>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</si>
  <si>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</si>
  <si>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</si>
  <si>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</si>
  <si>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</si>
  <si>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</si>
  <si>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</si>
  <si>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</si>
  <si>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</si>
  <si>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</si>
  <si>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</si>
  <si>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</si>
  <si>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</si>
  <si>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</si>
  <si>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</si>
  <si>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</si>
  <si>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</si>
  <si>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</si>
  <si>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</si>
  <si>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</si>
  <si>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</si>
  <si>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</si>
  <si>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</si>
  <si>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</si>
  <si>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</si>
  <si>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</si>
  <si>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</si>
  <si>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</si>
  <si>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</si>
  <si>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</si>
  <si>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</si>
  <si>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</si>
  <si>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</si>
  <si>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</si>
  <si>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</si>
  <si>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</si>
  <si>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</si>
  <si>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</si>
  <si>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</si>
  <si>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</si>
  <si>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</si>
  <si>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</si>
  <si>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</si>
  <si>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</si>
  <si>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</si>
  <si>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</si>
  <si>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</si>
  <si>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</si>
  <si>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</si>
  <si>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</si>
  <si>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</si>
  <si>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</si>
  <si>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</si>
  <si>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</si>
  <si>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</si>
  <si>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</si>
  <si>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</si>
  <si>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</si>
  <si>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</si>
  <si>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</si>
  <si>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</si>
  <si>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</si>
  <si>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</si>
  <si>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</si>
  <si>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</si>
  <si>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</si>
  <si>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</si>
  <si>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</si>
  <si>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</si>
  <si>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</si>
  <si>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</si>
  <si>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</si>
  <si>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</si>
  <si>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</si>
  <si>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</si>
  <si>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</si>
  <si>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</si>
  <si>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</si>
  <si>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</si>
  <si>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</si>
  <si>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</si>
  <si>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</si>
  <si>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</si>
  <si>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</si>
  <si>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</si>
  <si>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</si>
  <si>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</si>
  <si>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</si>
  <si>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</si>
  <si>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</si>
  <si>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</si>
  <si>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</si>
  <si>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</si>
  <si>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</si>
  <si>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</si>
  <si>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</si>
  <si>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</si>
  <si>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</si>
  <si>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</si>
  <si>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</si>
  <si>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</si>
  <si>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</si>
  <si>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</si>
  <si>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</si>
  <si>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</si>
  <si>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</si>
  <si>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</si>
  <si>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</si>
  <si>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</si>
  <si>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</si>
  <si>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</si>
  <si>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</si>
  <si>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</si>
  <si>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</si>
  <si>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</si>
  <si>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</si>
  <si>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</si>
  <si>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</si>
  <si>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</si>
  <si>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</si>
  <si>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</si>
  <si>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</si>
  <si>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</si>
  <si>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</si>
  <si>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</si>
  <si>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</si>
  <si>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</si>
  <si>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</si>
  <si>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</si>
  <si>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</si>
  <si>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</si>
  <si>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</si>
  <si>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</si>
  <si>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</si>
  <si>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</si>
  <si>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</si>
  <si>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</si>
  <si>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</si>
  <si>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</si>
  <si>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</si>
  <si>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</si>
  <si>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</si>
  <si>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</si>
  <si>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</si>
  <si>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</si>
  <si>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</si>
  <si>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</si>
  <si>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</si>
  <si>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</si>
  <si>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</si>
  <si>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</si>
  <si>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</si>
  <si>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</si>
  <si>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</si>
  <si>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</si>
  <si>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</si>
  <si>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</si>
  <si>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</si>
  <si>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</si>
  <si>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</si>
  <si>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</si>
  <si>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</si>
  <si>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</si>
  <si>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</si>
  <si>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</si>
  <si>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</si>
  <si>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</si>
  <si>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</si>
  <si>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</si>
  <si>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</si>
  <si>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</si>
  <si>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</si>
  <si>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</si>
  <si>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</si>
  <si>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</si>
  <si>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</si>
  <si>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</si>
  <si>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</si>
  <si>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</si>
  <si>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</si>
  <si>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</si>
  <si>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</si>
  <si>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</si>
  <si>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</si>
  <si>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</si>
  <si>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</si>
  <si>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</si>
  <si>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</si>
  <si>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</si>
  <si>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</si>
  <si>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</si>
  <si>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</si>
  <si>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</si>
  <si>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</si>
  <si>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</si>
  <si>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</si>
  <si>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</si>
  <si>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</si>
  <si>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</si>
  <si>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</si>
  <si>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</si>
  <si>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</si>
  <si>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</si>
  <si>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</si>
  <si>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</si>
  <si>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</si>
  <si>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</si>
  <si>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</si>
  <si>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</si>
  <si>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</si>
  <si>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</si>
  <si>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</si>
  <si>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</si>
  <si>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</si>
  <si>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</si>
  <si>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</si>
  <si>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</si>
  <si>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</si>
  <si>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</si>
  <si>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</si>
  <si>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</si>
  <si>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</si>
  <si>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</si>
  <si>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</si>
  <si>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</si>
  <si>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</si>
  <si>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</si>
  <si>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</si>
  <si>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</si>
  <si>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</si>
  <si>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</si>
  <si>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</si>
  <si>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</si>
  <si>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</si>
  <si>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</si>
  <si>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</si>
  <si>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</si>
  <si>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</si>
  <si>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</si>
  <si>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</si>
  <si>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</si>
  <si>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</si>
  <si>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</si>
  <si>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</si>
  <si>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</si>
  <si>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</si>
  <si>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</si>
  <si>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</si>
  <si>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</si>
  <si>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</si>
  <si>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</si>
  <si>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</si>
  <si>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</si>
  <si>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</si>
  <si>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</si>
  <si>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</si>
  <si>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</si>
  <si>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</si>
  <si>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</si>
  <si>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</si>
  <si>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</si>
  <si>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</si>
  <si>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</si>
  <si>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</si>
  <si>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</si>
  <si>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</si>
  <si>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</si>
  <si>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</si>
  <si>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</si>
  <si>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</si>
  <si>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</si>
  <si>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</si>
  <si>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</si>
  <si>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</si>
  <si>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</si>
  <si>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</si>
  <si>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</si>
  <si>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</si>
  <si>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</si>
  <si>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</si>
  <si>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</si>
  <si>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</si>
  <si>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</si>
  <si>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</si>
  <si>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</si>
  <si>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</si>
  <si>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</si>
  <si>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</si>
  <si>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</si>
  <si>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</si>
  <si>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</si>
  <si>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</si>
  <si>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</si>
  <si>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</si>
  <si>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</si>
  <si>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</si>
  <si>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</si>
  <si>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</si>
  <si>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</si>
  <si>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</si>
  <si>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</si>
  <si>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</si>
  <si>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</si>
  <si>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</si>
  <si>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</si>
  <si>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</si>
  <si>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</si>
  <si>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</si>
  <si>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</si>
  <si>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</si>
  <si>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</si>
  <si>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</si>
  <si>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</si>
  <si>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</si>
  <si>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</si>
  <si>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</si>
  <si>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</si>
  <si>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</si>
  <si>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</si>
  <si>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</si>
  <si>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</si>
  <si>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</si>
  <si>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</si>
  <si>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</si>
  <si>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</si>
  <si>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</si>
  <si>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</si>
  <si>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</si>
  <si>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</si>
  <si>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</si>
  <si>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</si>
  <si>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</si>
  <si>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</si>
  <si>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</si>
  <si>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</si>
  <si>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</si>
  <si>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</si>
  <si>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</si>
  <si>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</si>
  <si>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</si>
  <si>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</si>
  <si>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</si>
  <si>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</si>
  <si>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</si>
  <si>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</si>
  <si>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</si>
  <si>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</si>
  <si>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</si>
  <si>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</si>
  <si>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</si>
  <si>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</si>
  <si>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</si>
  <si>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</si>
  <si>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</si>
  <si>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</si>
  <si>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</si>
  <si>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</si>
  <si>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</si>
  <si>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</si>
  <si>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</si>
  <si>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</si>
  <si>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</si>
  <si>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</si>
  <si>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</si>
  <si>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</si>
  <si>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</si>
  <si>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</si>
  <si>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</si>
  <si>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</si>
  <si>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</si>
  <si>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</si>
  <si>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</si>
  <si>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</si>
  <si>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</si>
  <si>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</si>
  <si>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</si>
  <si>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</si>
  <si>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</si>
  <si>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</si>
  <si>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</si>
  <si>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</si>
  <si>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</si>
  <si>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</si>
  <si>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</si>
  <si>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</si>
  <si>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</si>
  <si>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</si>
  <si>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</si>
  <si>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</si>
  <si>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</si>
  <si>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</si>
  <si>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</si>
  <si>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</si>
  <si>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</si>
  <si>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</si>
  <si>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</si>
  <si>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</si>
  <si>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</si>
  <si>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</si>
  <si>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</si>
  <si>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</si>
  <si>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</si>
  <si>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</si>
  <si>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</si>
  <si>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</si>
  <si>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</si>
  <si>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</si>
  <si>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</si>
  <si>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</si>
  <si>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</si>
  <si>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</si>
  <si>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</si>
  <si>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</si>
  <si>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</si>
  <si>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</si>
  <si>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</si>
  <si>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</si>
  <si>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</si>
  <si>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</si>
  <si>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</si>
  <si>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</si>
  <si>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</si>
  <si>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</si>
  <si>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</si>
  <si>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</si>
  <si>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</si>
  <si>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</si>
  <si>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</si>
  <si>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</si>
  <si>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</si>
  <si>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</si>
  <si>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</si>
  <si>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</si>
  <si>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</si>
  <si>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</si>
  <si>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</si>
  <si>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</si>
  <si>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</si>
  <si>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</si>
  <si>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</si>
  <si>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</si>
  <si>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</si>
  <si>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</si>
  <si>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</si>
  <si>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</si>
  <si>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</si>
  <si>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</si>
  <si>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</si>
  <si>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</si>
  <si>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</si>
  <si>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</si>
  <si>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</si>
  <si>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</si>
  <si>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</si>
  <si>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</si>
  <si>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</si>
  <si>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</si>
  <si>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</si>
  <si>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</si>
  <si>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</si>
  <si>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</si>
  <si>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</si>
  <si>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</si>
  <si>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</si>
  <si>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</si>
  <si>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</si>
  <si>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</si>
  <si>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</si>
  <si>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</si>
  <si>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</si>
  <si>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</si>
  <si>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</si>
  <si>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</si>
  <si>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</si>
  <si>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</si>
  <si>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</si>
  <si>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</si>
  <si>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</si>
  <si>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</si>
  <si>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</si>
  <si>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</si>
  <si>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</si>
  <si>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</si>
  <si>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</si>
  <si>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</si>
  <si>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</si>
  <si>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</si>
  <si>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</si>
  <si>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</si>
  <si>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</si>
  <si>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</si>
  <si>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</si>
  <si>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</si>
  <si>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</si>
  <si>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</si>
  <si>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</si>
  <si>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</si>
  <si>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</si>
  <si>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</si>
  <si>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</si>
  <si>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</si>
  <si>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</si>
  <si>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</si>
  <si>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</si>
  <si>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</si>
  <si>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</si>
  <si>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</si>
  <si>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</si>
  <si>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</si>
  <si>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</si>
  <si>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</si>
  <si>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</si>
  <si>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</si>
  <si>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</si>
  <si>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</si>
  <si>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</si>
  <si>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</si>
  <si>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</si>
  <si>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</si>
  <si>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</si>
  <si>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</si>
  <si>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</si>
  <si>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</si>
  <si>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</si>
  <si>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</si>
  <si>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</si>
  <si>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</si>
  <si>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</si>
  <si>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</si>
  <si>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</si>
  <si>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</si>
  <si>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</si>
  <si>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</si>
  <si>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</si>
  <si>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</si>
  <si>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</si>
  <si>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</si>
  <si>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</si>
  <si>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</si>
  <si>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</si>
  <si>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</si>
  <si>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</si>
  <si>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</si>
  <si>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</si>
  <si>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</si>
  <si>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</si>
  <si>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</si>
  <si>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</si>
  <si>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</si>
  <si>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</si>
  <si>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</si>
  <si>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</si>
  <si>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</si>
  <si>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</si>
  <si>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</si>
  <si>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</si>
  <si>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</si>
  <si>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</si>
  <si>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</si>
  <si>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</si>
  <si>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</si>
  <si>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</si>
  <si>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</si>
  <si>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</si>
  <si>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</si>
  <si>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</si>
  <si>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</si>
  <si>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</si>
  <si>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</si>
  <si>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</si>
  <si>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</si>
  <si>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</si>
  <si>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</si>
  <si>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</si>
  <si>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</si>
  <si>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</si>
  <si>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</si>
  <si>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</si>
  <si>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</si>
  <si>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</si>
  <si>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</si>
  <si>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</si>
  <si>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</si>
  <si>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</si>
  <si>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</si>
  <si>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</si>
  <si>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</si>
  <si>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</si>
  <si>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</si>
  <si>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</si>
  <si>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</si>
  <si>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</si>
  <si>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</si>
  <si>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</si>
  <si>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</si>
  <si>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</si>
  <si>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</si>
  <si>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</si>
  <si>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</si>
  <si>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</si>
  <si>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</si>
  <si>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</si>
  <si>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</si>
  <si>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</si>
  <si>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</si>
  <si>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</si>
  <si>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</si>
  <si>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</si>
  <si>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</si>
  <si>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</si>
  <si>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</si>
  <si>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</si>
  <si>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</si>
  <si>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</si>
  <si>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</si>
  <si>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</si>
  <si>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</si>
  <si>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</si>
  <si>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</si>
  <si>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</si>
  <si>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</si>
  <si>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</si>
  <si>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</si>
  <si>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</si>
  <si>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</si>
  <si>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</si>
  <si>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</si>
  <si>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</si>
  <si>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</si>
  <si>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</si>
  <si>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</si>
  <si>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</si>
  <si>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</si>
  <si>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</si>
  <si>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</si>
  <si>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</si>
  <si>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</si>
  <si>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</si>
  <si>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</si>
  <si>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</si>
  <si>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</si>
  <si>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</si>
  <si>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</si>
  <si>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</si>
  <si>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</si>
  <si>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</si>
  <si>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</si>
  <si>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</si>
  <si>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</si>
  <si>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</si>
  <si>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</si>
  <si>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</si>
  <si>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</si>
  <si>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</si>
  <si>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</si>
  <si>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</si>
  <si>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</si>
  <si>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</si>
  <si>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</si>
  <si>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</si>
  <si>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</si>
  <si>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</si>
  <si>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</si>
  <si>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</si>
  <si>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</si>
  <si>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</si>
  <si>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</si>
  <si>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</si>
  <si>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</si>
  <si>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</si>
  <si>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</si>
  <si>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</si>
  <si>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</si>
  <si>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</si>
  <si>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</si>
  <si>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</si>
  <si>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</si>
  <si>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</si>
  <si>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</si>
  <si>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</si>
  <si>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</si>
  <si>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</si>
  <si>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</si>
  <si>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</si>
  <si>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</si>
  <si>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</si>
  <si>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</si>
  <si>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</si>
  <si>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</si>
  <si>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</si>
  <si>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</si>
  <si>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</si>
  <si>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</si>
  <si>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</si>
  <si>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</si>
  <si>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</si>
  <si>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</si>
  <si>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</si>
  <si>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</si>
  <si>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</si>
  <si>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</si>
  <si>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</si>
  <si>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</si>
  <si>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</si>
  <si>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</si>
  <si>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</si>
  <si>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</si>
  <si>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</si>
  <si>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</si>
  <si>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</si>
  <si>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</si>
  <si>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</si>
  <si>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</si>
  <si>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</si>
  <si>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</si>
  <si>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</si>
  <si>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</si>
  <si>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</si>
  <si>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</si>
  <si>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</si>
  <si>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</si>
  <si>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</si>
  <si>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</si>
  <si>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</si>
  <si>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</si>
  <si>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</si>
  <si>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</si>
  <si>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</si>
  <si>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</si>
  <si>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</si>
  <si>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</si>
  <si>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</si>
  <si>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</si>
  <si>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</si>
  <si>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</si>
  <si>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</si>
  <si>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</si>
  <si>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</si>
  <si>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</si>
  <si>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</si>
  <si>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</si>
  <si>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</si>
  <si>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</si>
  <si>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</si>
  <si>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</si>
  <si>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</si>
  <si>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</si>
  <si>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</si>
  <si>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</si>
  <si>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</si>
  <si>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</si>
  <si>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</si>
  <si>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</si>
  <si>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</si>
  <si>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</si>
  <si>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</si>
  <si>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</si>
  <si>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</si>
  <si>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</si>
  <si>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</si>
  <si>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</si>
  <si>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</si>
  <si>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</si>
  <si>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</si>
  <si>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</si>
  <si>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</si>
  <si>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</si>
  <si>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</si>
  <si>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</si>
  <si>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</si>
  <si>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</si>
  <si>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</si>
  <si>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</si>
  <si>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</si>
  <si>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</si>
  <si>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</si>
  <si>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</si>
  <si>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</si>
  <si>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</si>
  <si>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</si>
  <si>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</si>
  <si>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</si>
  <si>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</si>
  <si>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</si>
  <si>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</si>
  <si>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</si>
  <si>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</si>
  <si>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</si>
  <si>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</si>
  <si>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</si>
  <si>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</si>
  <si>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</si>
  <si>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</si>
  <si>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</si>
  <si>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</si>
  <si>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</si>
  <si>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</si>
  <si>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</si>
  <si>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</si>
  <si>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</si>
  <si>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</si>
  <si>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</si>
  <si>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</si>
  <si>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</si>
  <si>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</si>
  <si>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</si>
  <si>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</si>
  <si>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</si>
  <si>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</si>
  <si>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</si>
  <si>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</si>
  <si>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</si>
  <si>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</si>
  <si>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</si>
  <si>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</si>
  <si>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</si>
  <si>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</si>
  <si>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</si>
  <si>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</si>
  <si>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</si>
  <si>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</si>
  <si>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</si>
  <si>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</si>
  <si>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</si>
  <si>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</si>
  <si>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</si>
  <si>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</si>
  <si>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</si>
  <si>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</si>
  <si>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</si>
  <si>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</si>
  <si>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</si>
  <si>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</si>
  <si>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</si>
  <si>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</si>
  <si>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</si>
  <si>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</si>
  <si>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</si>
  <si>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</si>
  <si>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</si>
  <si>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</si>
  <si>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</si>
  <si>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</si>
  <si>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</si>
  <si>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</si>
  <si>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</si>
  <si>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</si>
  <si>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</si>
  <si>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</si>
  <si>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</si>
  <si>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</si>
  <si>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</si>
  <si>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</si>
  <si>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</si>
  <si>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</si>
  <si>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</si>
  <si>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</si>
  <si>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</si>
  <si>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</si>
  <si>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</si>
  <si>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</si>
  <si>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</si>
  <si>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</si>
  <si>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</si>
  <si>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</si>
  <si>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</si>
  <si>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</si>
  <si>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</si>
  <si>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</si>
  <si>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</si>
  <si>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</si>
  <si>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</si>
  <si>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</si>
  <si>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</si>
  <si>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</si>
  <si>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</si>
  <si>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</si>
  <si>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</si>
  <si>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</si>
  <si>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</si>
  <si>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</si>
  <si>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</si>
  <si>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</si>
  <si>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</si>
  <si>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</si>
  <si>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</si>
  <si>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</si>
  <si>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</si>
  <si>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</si>
  <si>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</si>
  <si>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</si>
  <si>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</si>
  <si>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</si>
  <si>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</si>
  <si>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</si>
  <si>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</si>
  <si>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</si>
  <si>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</si>
  <si>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</si>
  <si>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</si>
  <si>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</si>
  <si>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</si>
  <si>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</si>
  <si>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</si>
  <si>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</si>
  <si>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</si>
  <si>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</si>
  <si>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</si>
  <si>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</si>
  <si>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</si>
  <si>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</si>
  <si>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</si>
  <si>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</si>
  <si>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</si>
  <si>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</si>
  <si>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</si>
  <si>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</si>
  <si>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</si>
  <si>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</si>
  <si>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</si>
  <si>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</si>
  <si>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</si>
  <si>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</si>
  <si>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</si>
  <si>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</si>
  <si>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</si>
  <si>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</si>
  <si>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</si>
  <si>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</si>
  <si>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</si>
  <si>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</si>
  <si>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</si>
  <si>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</si>
  <si>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</si>
  <si>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</si>
  <si>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</si>
  <si>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</si>
  <si>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</si>
  <si>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</si>
  <si>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</si>
  <si>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</si>
  <si>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</si>
  <si>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</si>
  <si>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</si>
  <si>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</si>
  <si>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</si>
  <si>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</si>
  <si>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</si>
  <si>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</si>
  <si>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</si>
  <si>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</si>
  <si>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</si>
  <si>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</si>
  <si>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</si>
  <si>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</si>
  <si>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</si>
  <si>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</si>
  <si>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</si>
  <si>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</si>
  <si>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</si>
  <si>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</si>
  <si>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</si>
  <si>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</si>
  <si>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</si>
  <si>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</si>
  <si>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</si>
  <si>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</si>
  <si>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</si>
  <si>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</si>
  <si>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</si>
  <si>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</si>
  <si>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</si>
  <si>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</si>
  <si>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</si>
  <si>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</si>
  <si>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</si>
  <si>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</si>
  <si>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</si>
  <si>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</si>
  <si>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</si>
  <si>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</si>
  <si>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</si>
  <si>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</si>
  <si>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</si>
  <si>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</si>
  <si>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</si>
  <si>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</si>
  <si>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</si>
  <si>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</si>
  <si>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</si>
  <si>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</si>
  <si>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</si>
  <si>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</si>
  <si>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</si>
  <si>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</si>
  <si>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</si>
  <si>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</si>
  <si>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</si>
  <si>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</si>
  <si>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</si>
  <si>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</si>
  <si>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</si>
  <si>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</si>
  <si>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</si>
  <si>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</si>
  <si>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</si>
  <si>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</si>
  <si>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</si>
  <si>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</si>
  <si>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</si>
  <si>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</si>
  <si>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</si>
  <si>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</si>
  <si>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</si>
  <si>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</si>
  <si>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</si>
  <si>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</si>
  <si>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</si>
  <si>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</si>
  <si>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</si>
  <si>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</si>
  <si>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</si>
  <si>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</si>
  <si>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</si>
  <si>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</si>
  <si>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</si>
  <si>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</si>
  <si>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</si>
  <si>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</si>
  <si>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</si>
  <si>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</si>
  <si>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</si>
  <si>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</si>
  <si>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</si>
  <si>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</si>
  <si>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</si>
  <si>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</si>
  <si>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</si>
  <si>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</si>
  <si>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</si>
  <si>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</si>
  <si>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</si>
  <si>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</si>
  <si>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</si>
  <si>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</si>
  <si>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</si>
  <si>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</si>
  <si>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</si>
  <si>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</si>
  <si>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</si>
  <si>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</si>
  <si>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</si>
  <si>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</si>
  <si>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</si>
  <si>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</si>
  <si>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</si>
  <si>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</si>
  <si>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</si>
  <si>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</si>
  <si>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</si>
  <si>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</si>
  <si>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</si>
  <si>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</si>
  <si>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</si>
  <si>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</si>
  <si>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</si>
  <si>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</si>
  <si>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</si>
  <si>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</si>
  <si>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</si>
  <si>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</si>
  <si>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</si>
  <si>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</si>
  <si>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</si>
  <si>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</si>
  <si>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</si>
  <si>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</si>
  <si>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</si>
  <si>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</si>
  <si>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</si>
  <si>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</si>
  <si>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</si>
  <si>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</si>
  <si>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</si>
  <si>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</si>
  <si>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</si>
  <si>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</si>
  <si>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</si>
  <si>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</si>
  <si>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</si>
  <si>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</si>
  <si>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</si>
  <si>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</si>
  <si>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</si>
  <si>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</si>
  <si>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</si>
  <si>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</si>
  <si>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</si>
  <si>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</si>
  <si>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</si>
  <si>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</si>
  <si>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</si>
  <si>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</si>
  <si>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</si>
  <si>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</si>
  <si>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</si>
  <si>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</si>
  <si>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</si>
  <si>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</si>
  <si>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</si>
  <si>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</si>
  <si>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</si>
  <si>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</si>
  <si>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</si>
  <si>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</si>
  <si>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</si>
  <si>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</si>
  <si>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</si>
  <si>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</si>
  <si>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</si>
  <si>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</si>
  <si>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</si>
  <si>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</si>
  <si>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</si>
  <si>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</si>
  <si>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</si>
  <si>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</si>
  <si>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</si>
  <si>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</si>
  <si>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</si>
  <si>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</si>
  <si>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</si>
  <si>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</si>
  <si>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</si>
  <si>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</si>
  <si>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</si>
  <si>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</si>
  <si>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</si>
  <si>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</si>
  <si>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</si>
  <si>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</si>
  <si>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</si>
  <si>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</si>
  <si>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</si>
  <si>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</si>
  <si>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</si>
  <si>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</si>
  <si>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</si>
  <si>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</si>
  <si>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</si>
  <si>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</si>
  <si>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</si>
  <si>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</si>
  <si>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</si>
  <si>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</si>
  <si>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</si>
  <si>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</si>
  <si>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</si>
  <si>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</si>
  <si>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</si>
  <si>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</si>
  <si>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</si>
  <si>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</si>
  <si>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</si>
  <si>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</si>
  <si>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</si>
  <si>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</si>
  <si>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</si>
  <si>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</si>
  <si>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</si>
  <si>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</si>
  <si>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</si>
  <si>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</si>
  <si>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</si>
  <si>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</si>
  <si>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</si>
  <si>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</si>
  <si>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</si>
  <si>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</si>
  <si>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</si>
  <si>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</si>
  <si>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</si>
  <si>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</si>
  <si>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</si>
  <si>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</si>
  <si>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</si>
  <si>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</si>
  <si>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</si>
  <si>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</si>
  <si>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</si>
  <si>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</si>
  <si>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</si>
  <si>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</si>
  <si>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</si>
  <si>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</si>
  <si>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</si>
  <si>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</si>
  <si>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</si>
  <si>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</si>
  <si>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</si>
  <si>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</si>
  <si>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</si>
  <si>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</si>
  <si>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</si>
  <si>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</si>
  <si>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</si>
  <si>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</si>
  <si>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</si>
  <si>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</si>
  <si>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</si>
  <si>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</si>
  <si>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</si>
  <si>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</si>
  <si>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</si>
  <si>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</si>
  <si>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</si>
  <si>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</si>
  <si>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</si>
  <si>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</si>
  <si>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</si>
  <si>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</si>
  <si>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</si>
  <si>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</si>
  <si>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</si>
  <si>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</si>
  <si>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</si>
  <si>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</si>
  <si>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</si>
  <si>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</si>
  <si>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</si>
  <si>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</si>
  <si>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</si>
  <si>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</si>
  <si>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</si>
  <si>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</si>
  <si>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</si>
  <si>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</si>
  <si>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</si>
  <si>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</si>
  <si>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</si>
  <si>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</si>
  <si>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</si>
  <si>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</si>
  <si>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</si>
  <si>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</si>
  <si>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</si>
  <si>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</si>
  <si>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</si>
  <si>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</si>
  <si>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</si>
  <si>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</si>
  <si>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</si>
  <si>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</si>
  <si>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</si>
  <si>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</si>
  <si>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</si>
  <si>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</si>
  <si>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</si>
  <si>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</si>
  <si>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</si>
  <si>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</si>
  <si>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</si>
  <si>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</si>
  <si>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</si>
  <si>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</si>
  <si>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</si>
  <si>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</si>
  <si>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</si>
  <si>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</si>
  <si>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</si>
  <si>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</si>
  <si>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</si>
  <si>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</si>
  <si>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</si>
  <si>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</si>
  <si>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</si>
  <si>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</si>
  <si>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</si>
  <si>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</si>
  <si>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</si>
  <si>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</si>
  <si>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</si>
  <si>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</si>
  <si>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</si>
  <si>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</si>
  <si>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</si>
  <si>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</si>
  <si>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</si>
  <si>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</si>
  <si>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</si>
  <si>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</si>
  <si>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</si>
  <si>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</si>
  <si>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</si>
  <si>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</si>
  <si>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</si>
  <si>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</si>
  <si>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</si>
  <si>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</si>
  <si>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</si>
  <si>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</si>
  <si>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</si>
  <si>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</si>
  <si>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</si>
  <si>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</si>
  <si>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</si>
  <si>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</si>
  <si>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</si>
  <si>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</si>
  <si>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</si>
  <si>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</si>
  <si>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</si>
  <si>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</si>
  <si>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</si>
  <si>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</si>
  <si>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</si>
  <si>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</si>
  <si>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</si>
  <si>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</si>
  <si>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</si>
  <si>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</si>
  <si>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</si>
  <si>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</si>
  <si>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</si>
  <si>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</si>
  <si>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</si>
  <si>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</si>
  <si>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</si>
  <si>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</si>
  <si>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</si>
  <si>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</si>
  <si>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</si>
  <si>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</si>
  <si>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</si>
  <si>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</si>
  <si>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</si>
  <si>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</si>
  <si>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</si>
  <si>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</si>
  <si>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</si>
  <si>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</si>
  <si>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</si>
  <si>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</si>
  <si>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</si>
  <si>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</si>
  <si>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</si>
  <si>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</si>
  <si>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</si>
  <si>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</si>
  <si>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</si>
  <si>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</si>
  <si>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</si>
  <si>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</si>
  <si>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</si>
  <si>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</si>
  <si>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</si>
  <si>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</si>
  <si>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</si>
  <si>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</si>
  <si>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</si>
  <si>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</si>
  <si>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</si>
  <si>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</si>
  <si>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</si>
  <si>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</si>
  <si>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</si>
  <si>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</si>
  <si>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</si>
  <si>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</si>
  <si>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</si>
  <si>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</si>
  <si>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</si>
  <si>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</si>
  <si>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</si>
  <si>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</si>
  <si>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</si>
  <si>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</si>
  <si>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</si>
  <si>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</si>
  <si>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</si>
  <si>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</si>
  <si>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</si>
  <si>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</si>
  <si>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</si>
  <si>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</si>
  <si>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</si>
  <si>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</si>
  <si>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</si>
  <si>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</si>
  <si>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</si>
  <si>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</si>
  <si>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</si>
  <si>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</si>
  <si>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</si>
  <si>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</si>
  <si>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</si>
  <si>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</si>
  <si>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</si>
  <si>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</si>
  <si>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</si>
  <si>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</si>
  <si>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</si>
  <si>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</si>
  <si>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</si>
  <si>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</si>
  <si>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</si>
  <si>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</si>
  <si>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</si>
  <si>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</si>
  <si>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</si>
  <si>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</si>
  <si>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</si>
  <si>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</si>
  <si>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</si>
  <si>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</si>
  <si>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</si>
  <si>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</si>
  <si>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</si>
  <si>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</si>
  <si>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</si>
  <si>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</si>
  <si>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</si>
  <si>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</si>
  <si>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</si>
  <si>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</si>
  <si>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</si>
  <si>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</si>
  <si>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</si>
  <si>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</si>
  <si>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</si>
  <si>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</si>
  <si>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</si>
  <si>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</si>
  <si>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</si>
  <si>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</si>
  <si>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</si>
  <si>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</si>
  <si>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</si>
  <si>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</si>
  <si>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</si>
  <si>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</si>
  <si>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</si>
  <si>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</si>
  <si>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</si>
  <si>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</si>
  <si>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</si>
  <si>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</si>
  <si>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</si>
  <si>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</si>
  <si>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</si>
  <si>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</si>
  <si>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</si>
  <si>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</si>
  <si>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</si>
  <si>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</si>
  <si>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</si>
  <si>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</si>
  <si>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</si>
  <si>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</si>
  <si>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</si>
  <si>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</si>
  <si>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</si>
  <si>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</si>
  <si>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</si>
  <si>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</si>
  <si>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</si>
  <si>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</si>
  <si>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</si>
  <si>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</si>
  <si>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</si>
  <si>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</si>
  <si>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</si>
  <si>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</si>
  <si>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</si>
  <si>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</si>
  <si>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</si>
  <si>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</si>
  <si>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</si>
  <si>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</si>
  <si>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</si>
  <si>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</si>
  <si>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</si>
  <si>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</si>
  <si>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</si>
  <si>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</si>
  <si>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</si>
  <si>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</si>
  <si>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</si>
  <si>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</si>
  <si>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</si>
  <si>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</si>
  <si>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</si>
  <si>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</si>
  <si>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</si>
  <si>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</si>
  <si>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</si>
  <si>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</si>
  <si>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</si>
  <si>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</si>
  <si>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</si>
  <si>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</si>
  <si>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</si>
  <si>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</si>
  <si>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</si>
  <si>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</si>
  <si>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</si>
  <si>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</si>
  <si>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</si>
  <si>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</si>
  <si>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</si>
  <si>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</si>
  <si>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</si>
  <si>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</si>
  <si>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</si>
  <si>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</si>
  <si>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</si>
  <si>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</si>
  <si>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</si>
  <si>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</si>
  <si>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</si>
  <si>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</si>
  <si>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</si>
  <si>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</si>
  <si>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</si>
  <si>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</si>
  <si>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</si>
  <si>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</si>
  <si>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</si>
  <si>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</si>
  <si>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</si>
  <si>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</si>
  <si>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</si>
  <si>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</si>
  <si>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</si>
  <si>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</si>
  <si>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</si>
  <si>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</si>
  <si>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</si>
  <si>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</si>
  <si>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</si>
  <si>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</si>
  <si>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</si>
  <si>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</si>
  <si>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</si>
  <si>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</si>
  <si>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</si>
  <si>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</si>
  <si>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</si>
  <si>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</si>
  <si>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</si>
  <si>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</si>
  <si>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</si>
  <si>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</si>
  <si>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</si>
  <si>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</si>
  <si>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</si>
  <si>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</si>
  <si>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</si>
  <si>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</si>
  <si>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</si>
  <si>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</si>
  <si>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</si>
  <si>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</si>
  <si>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</si>
  <si>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</si>
  <si>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</si>
  <si>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</si>
  <si>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</si>
  <si>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</si>
  <si>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</si>
  <si>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</si>
  <si>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</si>
  <si>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</si>
  <si>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</si>
  <si>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</si>
  <si>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</si>
  <si>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</si>
  <si>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</si>
  <si>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</si>
  <si>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</si>
  <si>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</si>
  <si>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</si>
  <si>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</si>
  <si>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</si>
  <si>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</si>
  <si>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</si>
  <si>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</si>
  <si>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</si>
  <si>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</si>
  <si>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</si>
  <si>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</si>
  <si>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</si>
  <si>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</si>
  <si>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</si>
  <si>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</si>
  <si>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</si>
  <si>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</si>
  <si>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</si>
  <si>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</si>
  <si>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</si>
  <si>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</si>
  <si>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</si>
  <si>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</si>
  <si>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</si>
  <si>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</si>
  <si>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</si>
  <si>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</si>
  <si>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</si>
  <si>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</si>
  <si>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</si>
  <si>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</si>
  <si>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</si>
  <si>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</si>
  <si>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</si>
  <si>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</si>
  <si>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</si>
  <si>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</si>
  <si>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</si>
  <si>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</si>
  <si>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</si>
  <si>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</si>
  <si>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</si>
  <si>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</si>
  <si>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</si>
  <si>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</si>
  <si>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</si>
  <si>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</si>
  <si>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</si>
  <si>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</si>
  <si>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</si>
  <si>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</si>
  <si>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</si>
  <si>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</si>
  <si>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</si>
  <si>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</si>
  <si>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</si>
  <si>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</si>
  <si>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</si>
  <si>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</si>
  <si>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</si>
  <si>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</si>
  <si>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</si>
  <si>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</si>
  <si>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</si>
  <si>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</si>
  <si>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</si>
  <si>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</si>
  <si>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</si>
  <si>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</si>
  <si>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</si>
  <si>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</si>
  <si>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</si>
  <si>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</si>
  <si>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</si>
  <si>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</si>
  <si>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</si>
  <si>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</si>
  <si>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</si>
  <si>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</si>
  <si>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</si>
  <si>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</si>
  <si>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</si>
  <si>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</si>
  <si>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</si>
  <si>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</si>
  <si>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</si>
  <si>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</si>
  <si>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</si>
  <si>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</si>
  <si>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</si>
  <si>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</si>
  <si>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</si>
  <si>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</si>
  <si>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</si>
  <si>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</si>
  <si>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</si>
  <si>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</si>
  <si>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</si>
  <si>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</si>
  <si>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</si>
  <si>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</si>
  <si>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</si>
  <si>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</si>
  <si>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</si>
  <si>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</si>
  <si>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</si>
  <si>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</si>
  <si>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</si>
  <si>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</si>
  <si>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</si>
  <si>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</si>
  <si>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</si>
  <si>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</si>
  <si>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</si>
  <si>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</si>
  <si>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</si>
  <si>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</si>
  <si>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</si>
  <si>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</si>
  <si>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</si>
  <si>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</si>
  <si>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</si>
  <si>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</si>
  <si>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</si>
  <si>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</si>
  <si>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</si>
  <si>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</si>
  <si>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</si>
  <si>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</si>
  <si>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</si>
  <si>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</si>
  <si>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</si>
  <si>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</si>
  <si>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</si>
  <si>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</si>
  <si>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</si>
  <si>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</si>
  <si>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</si>
  <si>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</si>
  <si>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</si>
  <si>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</si>
  <si>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</si>
  <si>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</si>
  <si>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</si>
  <si>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</si>
  <si>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</si>
  <si>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</si>
  <si>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</si>
  <si>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</si>
  <si>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</si>
  <si>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</si>
  <si>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</si>
  <si>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</si>
  <si>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</si>
  <si>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</si>
  <si>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</si>
  <si>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</si>
  <si>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</si>
  <si>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</si>
  <si>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</si>
  <si>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</si>
  <si>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</si>
  <si>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</si>
  <si>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</si>
  <si>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</si>
  <si>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</si>
  <si>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</si>
  <si>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</si>
  <si>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</si>
  <si>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</si>
  <si>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</si>
  <si>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</si>
  <si>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</si>
  <si>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</si>
  <si>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</si>
  <si>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</si>
  <si>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</si>
  <si>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</si>
  <si>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</si>
  <si>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</si>
  <si>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</si>
  <si>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</si>
  <si>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</si>
  <si>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</si>
  <si>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</si>
  <si>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</si>
  <si>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</si>
  <si>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</si>
  <si>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</si>
  <si>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</si>
  <si>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</si>
  <si>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</si>
  <si>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</si>
  <si>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</si>
  <si>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</si>
  <si>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</si>
  <si>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</si>
  <si>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</si>
  <si>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</si>
  <si>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</si>
  <si>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</si>
  <si>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</si>
  <si>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</si>
  <si>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</si>
  <si>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</si>
  <si>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</si>
  <si>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</si>
  <si>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</si>
  <si>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</si>
  <si>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</si>
  <si>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</si>
  <si>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</si>
  <si>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</si>
  <si>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</si>
  <si>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</si>
  <si>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</si>
  <si>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</si>
  <si>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</si>
  <si>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</si>
  <si>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</si>
  <si>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</si>
  <si>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</si>
  <si>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</si>
  <si>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</si>
  <si>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</si>
  <si>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</si>
  <si>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</si>
  <si>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</si>
  <si>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</si>
  <si>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</si>
  <si>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</si>
  <si>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</si>
  <si>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</si>
  <si>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</si>
  <si>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</si>
  <si>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</si>
  <si>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</si>
  <si>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</si>
  <si>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</si>
  <si>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</si>
  <si>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</si>
  <si>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</si>
  <si>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</si>
  <si>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</si>
  <si>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</si>
  <si>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</si>
  <si>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</si>
  <si>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</si>
  <si>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</si>
  <si>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</si>
  <si>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</si>
  <si>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</si>
  <si>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</si>
  <si>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</si>
  <si>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</si>
  <si>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</si>
  <si>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</si>
  <si>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</si>
  <si>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</si>
  <si>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</si>
  <si>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</si>
  <si>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</si>
  <si>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</si>
  <si>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</si>
  <si>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</si>
  <si>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</si>
  <si>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</si>
  <si>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</si>
  <si>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</si>
  <si>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</si>
  <si>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</si>
  <si>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</si>
  <si>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</si>
  <si>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</si>
  <si>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</si>
  <si>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</si>
  <si>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</si>
  <si>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</si>
  <si>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</si>
  <si>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</si>
  <si>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</si>
  <si>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</si>
  <si>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</si>
  <si>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</si>
  <si>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</si>
  <si>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</si>
  <si>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</si>
  <si>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</si>
  <si>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</si>
  <si>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</si>
  <si>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</si>
  <si>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</si>
  <si>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</si>
  <si>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</si>
  <si>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</si>
  <si>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</si>
  <si>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</si>
  <si>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</si>
  <si>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</si>
  <si>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</si>
  <si>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</si>
  <si>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</si>
  <si>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</si>
  <si>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</si>
  <si>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</si>
  <si>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</si>
  <si>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</si>
  <si>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</si>
  <si>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</si>
  <si>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</si>
  <si>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</si>
  <si>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</si>
  <si>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</si>
  <si>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</si>
  <si>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</si>
  <si>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</si>
  <si>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</si>
  <si>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</si>
  <si>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</si>
  <si>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</si>
  <si>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</si>
  <si>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</si>
  <si>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</si>
  <si>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</si>
  <si>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</si>
  <si>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</si>
  <si>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</si>
  <si>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</si>
  <si>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</si>
  <si>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</si>
  <si>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</si>
  <si>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</si>
  <si>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</si>
  <si>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</si>
  <si>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</si>
  <si>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</si>
  <si>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</si>
  <si>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</si>
  <si>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</si>
  <si>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</si>
  <si>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</si>
  <si>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</si>
  <si>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</si>
  <si>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</si>
  <si>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</si>
  <si>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</si>
  <si>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</si>
  <si>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</si>
  <si>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</si>
  <si>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</si>
  <si>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</si>
  <si>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</si>
  <si>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</si>
  <si>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</si>
  <si>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</si>
  <si>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</si>
  <si>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</si>
  <si>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</si>
  <si>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</si>
  <si>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</si>
  <si>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</si>
  <si>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</si>
  <si>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</si>
  <si>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</si>
  <si>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</si>
  <si>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</si>
  <si>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</si>
  <si>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</si>
  <si>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</si>
  <si>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</si>
  <si>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</si>
  <si>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</si>
  <si>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</si>
  <si>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</si>
  <si>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</si>
  <si>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</si>
  <si>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</si>
  <si>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</si>
  <si>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</si>
  <si>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</si>
  <si>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</si>
  <si>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</si>
  <si>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</si>
  <si>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</si>
  <si>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</si>
  <si>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</si>
  <si>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</si>
  <si>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</si>
  <si>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</si>
  <si>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</si>
  <si>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</si>
  <si>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</si>
  <si>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</si>
  <si>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</si>
  <si>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</si>
  <si>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</si>
  <si>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</si>
  <si>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</si>
  <si>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</si>
  <si>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</si>
  <si>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</si>
  <si>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</si>
  <si>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</si>
  <si>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</si>
  <si>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</si>
  <si>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</si>
  <si>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</si>
  <si>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</si>
  <si>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</si>
  <si>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</si>
  <si>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</si>
  <si>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</si>
  <si>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</si>
  <si>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</si>
  <si>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</si>
  <si>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</si>
  <si>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</si>
  <si>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</si>
  <si>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</si>
  <si>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</si>
  <si>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</si>
  <si>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</si>
  <si>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</si>
  <si>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</si>
  <si>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</si>
  <si>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</si>
  <si>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</si>
  <si>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</si>
  <si>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</si>
  <si>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</si>
  <si>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</si>
  <si>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</si>
  <si>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</si>
  <si>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</si>
  <si>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</si>
  <si>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</si>
  <si>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</si>
  <si>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</si>
  <si>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</si>
  <si>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</si>
  <si>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</si>
  <si>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</si>
  <si>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</si>
  <si>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</si>
  <si>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</si>
  <si>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</si>
  <si>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</si>
  <si>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</si>
  <si>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</si>
  <si>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</si>
  <si>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</si>
  <si>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</si>
  <si>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</si>
  <si>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</si>
  <si>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</si>
  <si>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</si>
  <si>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</si>
  <si>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</si>
  <si>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</si>
  <si>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</si>
  <si>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</si>
  <si>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</si>
  <si>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</si>
  <si>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</si>
  <si>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</si>
  <si>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</si>
  <si>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</si>
  <si>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</si>
  <si>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</si>
  <si>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</si>
  <si>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</si>
  <si>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</si>
  <si>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</si>
  <si>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</si>
  <si>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</si>
  <si>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</si>
  <si>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</si>
  <si>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</si>
  <si>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</si>
  <si>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</si>
  <si>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</si>
  <si>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</si>
  <si>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</si>
  <si>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</si>
  <si>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</si>
  <si>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</si>
  <si>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</si>
  <si>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</si>
  <si>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</si>
  <si>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</si>
  <si>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</si>
  <si>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</si>
  <si>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</si>
  <si>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</si>
  <si>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</si>
  <si>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</si>
  <si>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</si>
  <si>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</si>
  <si>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</si>
  <si>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</si>
  <si>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</si>
  <si>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</si>
  <si>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</si>
  <si>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</si>
  <si>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</si>
  <si>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</si>
  <si>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</si>
  <si>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</si>
  <si>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</si>
  <si>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</si>
  <si>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</si>
  <si>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</si>
  <si>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</si>
  <si>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</si>
  <si>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</si>
  <si>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</si>
  <si>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</si>
  <si>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</si>
  <si>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</si>
  <si>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</si>
  <si>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</si>
  <si>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</si>
  <si>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</si>
  <si>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</si>
  <si>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</si>
  <si>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</si>
  <si>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</si>
  <si>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</si>
  <si>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</si>
  <si>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</si>
  <si>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</si>
  <si>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</si>
  <si>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</si>
  <si>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</si>
  <si>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</si>
  <si>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</si>
  <si>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</si>
  <si>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</si>
  <si>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</si>
  <si>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</si>
  <si>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</si>
  <si>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</si>
  <si>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</si>
  <si>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</si>
  <si>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</si>
  <si>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</si>
  <si>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</si>
  <si>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</si>
  <si>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</si>
  <si>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</si>
  <si>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</si>
  <si>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</si>
  <si>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</si>
  <si>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</si>
  <si>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</si>
  <si>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</si>
  <si>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</si>
  <si>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</si>
  <si>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</si>
  <si>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</si>
  <si>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</si>
  <si>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</si>
  <si>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</si>
  <si>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</si>
  <si>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</si>
  <si>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</si>
  <si>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</si>
  <si>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</si>
  <si>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</si>
  <si>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</si>
  <si>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</si>
  <si>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</si>
  <si>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</si>
  <si>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</si>
  <si>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</si>
  <si>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</si>
  <si>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</si>
  <si>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</si>
  <si>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</si>
  <si>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</si>
  <si>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</si>
  <si>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</si>
  <si>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</si>
  <si>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</si>
  <si>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</si>
  <si>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</si>
  <si>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</si>
  <si>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</si>
  <si>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</si>
  <si>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</si>
  <si>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</si>
  <si>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</si>
  <si>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</si>
  <si>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</si>
  <si>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</si>
  <si>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</si>
  <si>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</si>
  <si>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</si>
  <si>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</si>
  <si>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</si>
  <si>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</si>
  <si>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</si>
  <si>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</si>
  <si>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</si>
  <si>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</si>
  <si>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</si>
  <si>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</si>
  <si>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</si>
  <si>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</si>
  <si>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</si>
  <si>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</si>
  <si>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</si>
  <si>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</si>
  <si>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</si>
  <si>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</si>
  <si>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</si>
  <si>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</si>
  <si>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</si>
  <si>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</si>
  <si>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</si>
  <si>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</si>
  <si>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</si>
  <si>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</si>
  <si>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</si>
  <si>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</si>
  <si>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</si>
  <si>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</si>
  <si>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</si>
  <si>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</si>
  <si>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</si>
  <si>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</si>
  <si>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</si>
  <si>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</si>
  <si>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</si>
  <si>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</si>
  <si>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</si>
  <si>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</si>
  <si>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</si>
  <si>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</si>
  <si>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</si>
  <si>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</si>
  <si>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</si>
  <si>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</si>
  <si>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</si>
  <si>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</si>
  <si>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</si>
  <si>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</si>
  <si>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</si>
  <si>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</si>
  <si>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</si>
  <si>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</si>
  <si>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</si>
  <si>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</si>
  <si>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</si>
  <si>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</si>
  <si>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</si>
  <si>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</si>
  <si>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</si>
  <si>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</si>
  <si>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</si>
  <si>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</si>
  <si>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</si>
  <si>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</si>
  <si>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</si>
  <si>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</si>
  <si>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</si>
  <si>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</si>
  <si>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</si>
  <si>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</si>
  <si>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</si>
  <si>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</si>
  <si>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</si>
  <si>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</si>
  <si>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</si>
  <si>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</si>
  <si>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</si>
  <si>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</si>
  <si>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</si>
  <si>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</si>
  <si>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</si>
  <si>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</si>
  <si>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</si>
  <si>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</si>
  <si>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</si>
  <si>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</si>
  <si>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</si>
  <si>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</si>
  <si>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</si>
  <si>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</si>
  <si>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</si>
  <si>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</si>
  <si>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</si>
  <si>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</si>
  <si>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</si>
  <si>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</si>
  <si>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</si>
  <si>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</si>
  <si>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</si>
  <si>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</si>
  <si>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</si>
  <si>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</si>
  <si>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</si>
  <si>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</si>
  <si>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</si>
  <si>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</si>
  <si>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</si>
  <si>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</si>
  <si>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</si>
  <si>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</si>
  <si>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</si>
  <si>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</si>
  <si>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</si>
  <si>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</si>
  <si>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</si>
  <si>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</si>
  <si>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</si>
  <si>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</si>
  <si>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</si>
  <si>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</si>
  <si>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</si>
  <si>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</si>
  <si>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</si>
  <si>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</si>
  <si>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</si>
  <si>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</si>
  <si>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</si>
  <si>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</si>
  <si>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</si>
  <si>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</si>
  <si>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</si>
  <si>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</si>
  <si>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</si>
  <si>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</si>
  <si>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</si>
  <si>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</si>
  <si>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</si>
  <si>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</si>
  <si>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</si>
  <si>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</si>
  <si>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</si>
  <si>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</si>
  <si>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</si>
  <si>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</si>
  <si>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</si>
  <si>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</si>
  <si>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</si>
  <si>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</si>
  <si>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</si>
  <si>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</si>
  <si>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</si>
  <si>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</si>
  <si>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</si>
  <si>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</si>
  <si>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</si>
  <si>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</si>
  <si>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</si>
  <si>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</si>
  <si>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</si>
  <si>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</si>
  <si>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</si>
  <si>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</si>
  <si>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</si>
  <si>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</si>
  <si>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</si>
  <si>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</si>
  <si>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</si>
  <si>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</si>
  <si>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</si>
  <si>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</si>
  <si>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</si>
  <si>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</si>
  <si>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</si>
  <si>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</si>
  <si>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</si>
  <si>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</si>
  <si>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</si>
  <si>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</si>
  <si>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</si>
  <si>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</si>
  <si>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</si>
  <si>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</si>
  <si>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</si>
  <si>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</si>
  <si>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</si>
  <si>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</si>
  <si>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</si>
  <si>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</si>
  <si>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</si>
  <si>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</si>
  <si>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</si>
  <si>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</si>
  <si>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</si>
  <si>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</si>
  <si>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</si>
  <si>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</si>
  <si>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</si>
  <si>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</si>
  <si>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</si>
  <si>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</si>
  <si>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</si>
  <si>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</si>
  <si>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</si>
  <si>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</si>
  <si>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</si>
  <si>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</si>
  <si>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</si>
  <si>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</si>
  <si>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</si>
  <si>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</si>
  <si>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</si>
  <si>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</si>
  <si>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</si>
  <si>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</si>
  <si>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</si>
  <si>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</si>
  <si>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</si>
  <si>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</si>
  <si>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</si>
  <si>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</si>
  <si>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</si>
  <si>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</si>
  <si>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</si>
  <si>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</si>
  <si>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</si>
  <si>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</si>
  <si>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</si>
  <si>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</si>
  <si>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</si>
  <si>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</si>
  <si>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</si>
  <si>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</si>
  <si>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</si>
  <si>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</si>
  <si>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</si>
  <si>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</si>
  <si>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</si>
  <si>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</si>
  <si>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</si>
  <si>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</si>
  <si>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</si>
  <si>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</si>
  <si>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</si>
  <si>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</si>
  <si>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</si>
  <si>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</si>
  <si>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</si>
  <si>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</si>
  <si>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</si>
  <si>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</si>
  <si>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</si>
  <si>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</si>
  <si>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</si>
  <si>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</si>
  <si>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</si>
  <si>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</si>
  <si>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</si>
  <si>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</si>
  <si>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</si>
  <si>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</si>
  <si>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</si>
  <si>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</si>
  <si>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</si>
  <si>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</si>
  <si>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</si>
  <si>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</si>
  <si>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</si>
  <si>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</si>
  <si>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</si>
  <si>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</si>
  <si>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</si>
  <si>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</si>
  <si>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</si>
  <si>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</si>
  <si>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</si>
  <si>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</si>
  <si>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</si>
  <si>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</si>
  <si>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</si>
  <si>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</si>
  <si>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</si>
  <si>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</si>
  <si>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</si>
  <si>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</si>
  <si>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</si>
  <si>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</si>
  <si>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</si>
  <si>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</si>
  <si>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</si>
  <si>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</si>
  <si>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</si>
  <si>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</si>
  <si>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</si>
  <si>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</si>
  <si>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</si>
  <si>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4567</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</si>
  <si>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</si>
  <si>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</si>
  <si>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</si>
  <si>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</si>
  <si>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</si>
  <si>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</si>
  <si>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</si>
  <si>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</si>
  <si>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</si>
  <si>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</si>
  <si>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</si>
  <si>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</si>
  <si>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</si>
  <si>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</si>
  <si>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</si>
  <si>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</si>
  <si>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</si>
  <si>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</si>
  <si>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</si>
  <si>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</si>
  <si>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</si>
  <si>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</si>
  <si>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</si>
  <si>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</si>
  <si>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</si>
  <si>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</si>
  <si>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</si>
  <si>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</si>
  <si>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</si>
  <si>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</si>
  <si>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</si>
  <si>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</si>
  <si>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</si>
  <si>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</si>
  <si>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</si>
  <si>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</si>
  <si>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</si>
  <si>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</si>
  <si>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</si>
  <si>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</si>
  <si>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</si>
  <si>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</si>
  <si>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</si>
  <si>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</si>
  <si>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</si>
  <si>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</si>
  <si>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</si>
  <si>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</si>
  <si>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</si>
  <si>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</si>
  <si>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</si>
  <si>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</si>
  <si>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</si>
  <si>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</si>
  <si>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</si>
  <si>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</si>
  <si>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</si>
  <si>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</si>
  <si>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</si>
  <si>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</si>
  <si>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</si>
  <si>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</si>
  <si>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</si>
  <si>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</si>
  <si>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</si>
  <si>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</si>
  <si>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</si>
  <si>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</si>
  <si>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</si>
  <si>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</si>
  <si>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</si>
  <si>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</si>
  <si>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</si>
  <si>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</si>
  <si>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</si>
  <si>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</si>
  <si>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</si>
  <si>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</si>
  <si>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</si>
  <si>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</si>
  <si>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</si>
  <si>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</si>
  <si>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</si>
  <si>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</si>
  <si>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</si>
  <si>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</si>
  <si>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</si>
  <si>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</si>
  <si>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</si>
  <si>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</si>
  <si>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</si>
  <si>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</si>
  <si>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</si>
  <si>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</si>
  <si>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</si>
  <si>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</si>
  <si>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</si>
  <si>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</si>
  <si>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</si>
  <si>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</si>
  <si>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</si>
  <si>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</si>
  <si>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</si>
  <si>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</si>
  <si>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</si>
  <si>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</si>
  <si>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</si>
  <si>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</si>
  <si>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</si>
  <si>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</si>
  <si>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</si>
  <si>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</si>
  <si>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</si>
  <si>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</si>
  <si>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</si>
  <si>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</si>
  <si>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</si>
  <si>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</si>
  <si>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</si>
  <si>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</si>
  <si>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</si>
  <si>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</si>
  <si>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</si>
  <si>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</si>
  <si>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</si>
  <si>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</si>
  <si>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</si>
  <si>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</si>
  <si>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</si>
  <si>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</si>
  <si>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</si>
  <si>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</si>
  <si>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</si>
  <si>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</si>
  <si>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</si>
  <si>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</si>
  <si>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</si>
  <si>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</si>
  <si>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</si>
  <si>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</si>
  <si>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</si>
  <si>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</si>
  <si>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</si>
  <si>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</si>
  <si>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</si>
  <si>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</si>
  <si>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</si>
  <si>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</si>
  <si>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</si>
  <si>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</si>
  <si>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</si>
  <si>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</si>
  <si>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</si>
  <si>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</si>
  <si>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</si>
  <si>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</si>
  <si>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</si>
  <si>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</si>
  <si>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</si>
  <si>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</si>
  <si>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</si>
  <si>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</si>
  <si>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</si>
  <si>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</si>
  <si>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</si>
  <si>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</si>
  <si>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</si>
  <si>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</si>
  <si>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</si>
  <si>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</si>
  <si>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</si>
  <si>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</si>
  <si>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</si>
  <si>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</si>
  <si>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</si>
  <si>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</si>
  <si>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</si>
  <si>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</si>
  <si>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</si>
  <si>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</si>
  <si>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</si>
  <si>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</si>
  <si>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</si>
  <si>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</si>
  <si>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</si>
  <si>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</si>
  <si>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</si>
  <si>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</si>
  <si>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</si>
  <si>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</si>
  <si>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</si>
  <si>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</si>
  <si>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</si>
  <si>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</si>
  <si>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</si>
  <si>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</si>
  <si>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</si>
  <si>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</si>
  <si>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</si>
  <si>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</si>
  <si>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</si>
  <si>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</si>
  <si>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</si>
  <si>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</si>
  <si>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</si>
  <si>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</si>
  <si>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</si>
  <si>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</si>
  <si>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</si>
  <si>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</si>
  <si>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</si>
  <si>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</si>
  <si>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</si>
  <si>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</si>
  <si>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</si>
  <si>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</si>
  <si>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</si>
  <si>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</si>
  <si>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</si>
  <si>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</si>
  <si>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</si>
  <si>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</si>
  <si>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</si>
  <si>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</si>
  <si>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</si>
  <si>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</si>
  <si>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</si>
  <si>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</si>
  <si>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</si>
  <si>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</si>
  <si>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</si>
  <si>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</si>
  <si>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</si>
  <si>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</si>
  <si>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</si>
  <si>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</si>
  <si>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</si>
  <si>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</si>
  <si>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</si>
  <si>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</si>
  <si>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</si>
  <si>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</si>
  <si>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</si>
  <si>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</si>
  <si>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</si>
  <si>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</si>
  <si>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</si>
  <si>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</si>
  <si>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</si>
  <si>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</si>
  <si>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</si>
  <si>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</si>
  <si>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</si>
  <si>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</si>
  <si>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</si>
  <si>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</si>
  <si>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</si>
  <si>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</si>
  <si>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</si>
  <si>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</si>
  <si>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</si>
  <si>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</si>
  <si>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</si>
  <si>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</si>
  <si>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</si>
  <si>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</si>
  <si>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</si>
  <si>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</si>
  <si>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</si>
  <si>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</si>
  <si>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</si>
  <si>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</si>
  <si>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</si>
  <si>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</si>
  <si>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</si>
  <si>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</si>
  <si>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</si>
  <si>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</si>
  <si>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</si>
  <si>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</si>
  <si>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</si>
  <si>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</si>
  <si>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</si>
  <si>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</si>
  <si>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</si>
  <si>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</si>
  <si>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</si>
  <si>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</si>
  <si>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</si>
  <si>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</si>
  <si>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</si>
  <si>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</si>
  <si>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</si>
  <si>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</si>
  <si>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</si>
  <si>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</si>
  <si>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</si>
  <si>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</si>
  <si>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</si>
  <si>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</si>
  <si>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</si>
  <si>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</si>
  <si>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</si>
  <si>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</si>
  <si>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</si>
  <si>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</si>
  <si>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</si>
  <si>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</si>
  <si>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</si>
  <si>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</si>
  <si>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</si>
  <si>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</si>
  <si>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</si>
  <si>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</si>
  <si>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</si>
  <si>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</si>
  <si>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</si>
  <si>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</si>
  <si>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</si>
  <si>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</si>
  <si>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</si>
  <si>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</si>
  <si>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</si>
  <si>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</si>
  <si>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</si>
  <si>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</si>
  <si>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</si>
  <si>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</si>
  <si>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</si>
  <si>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</si>
  <si>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</si>
  <si>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</si>
  <si>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</si>
  <si>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</si>
  <si>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</si>
  <si>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</si>
  <si>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</si>
  <si>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</si>
  <si>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</si>
  <si>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</si>
  <si>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</si>
  <si>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</si>
  <si>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</si>
  <si>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</si>
  <si>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</si>
  <si>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</si>
  <si>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</si>
  <si>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</si>
  <si>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</si>
  <si>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</si>
  <si>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</si>
  <si>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</si>
  <si>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</si>
  <si>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</si>
  <si>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</si>
  <si>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</si>
  <si>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</si>
  <si>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</si>
  <si>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</si>
  <si>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</si>
  <si>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</si>
  <si>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</si>
  <si>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</si>
  <si>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</si>
  <si>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</si>
  <si>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</si>
  <si>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</si>
  <si>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</si>
  <si>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</si>
  <si>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</si>
  <si>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</si>
  <si>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</si>
  <si>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</si>
  <si>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</si>
  <si>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</si>
  <si>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</si>
  <si>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</si>
  <si>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</si>
  <si>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</si>
  <si>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</si>
  <si>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</si>
  <si>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</si>
  <si>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</si>
  <si>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</si>
  <si>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</si>
  <si>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</si>
  <si>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</si>
  <si>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</si>
  <si>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</si>
  <si>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</si>
  <si>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</si>
  <si>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</si>
  <si>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</si>
  <si>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</si>
  <si>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</si>
  <si>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</si>
  <si>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</si>
  <si>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</si>
  <si>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</si>
  <si>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</si>
  <si>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</si>
  <si>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</si>
  <si>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</si>
  <si>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</si>
  <si>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</si>
  <si>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</si>
  <si>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</si>
  <si>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</si>
  <si>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</si>
  <si>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</si>
  <si>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</si>
  <si>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</si>
  <si>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</si>
  <si>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</si>
  <si>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</si>
  <si>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</si>
  <si>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</si>
  <si>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</si>
  <si>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</si>
  <si>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</si>
  <si>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</si>
  <si>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</si>
  <si>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</si>
  <si>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</si>
  <si>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</si>
  <si>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</si>
  <si>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</si>
  <si>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</si>
  <si>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</si>
  <si>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</si>
  <si>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</si>
  <si>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</si>
  <si>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</si>
  <si>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</si>
  <si>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</si>
  <si>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</si>
  <si>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</si>
  <si>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</si>
  <si>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</si>
  <si>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</si>
  <si>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</si>
  <si>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</si>
  <si>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</si>
  <si>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</si>
  <si>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</si>
  <si>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</si>
  <si>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</si>
  <si>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</si>
  <si>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</si>
  <si>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</si>
  <si>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</si>
  <si>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</si>
  <si>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</si>
  <si>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</si>
  <si>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</si>
  <si>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</si>
  <si>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</si>
  <si>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</si>
  <si>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</si>
  <si>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</si>
  <si>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</si>
  <si>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</si>
  <si>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</si>
  <si>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</si>
  <si>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</si>
  <si>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</si>
  <si>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</si>
  <si>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</si>
  <si>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</si>
  <si>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</si>
  <si>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</si>
  <si>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</si>
  <si>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</si>
  <si>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</si>
  <si>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</si>
  <si>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</si>
  <si>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</si>
  <si>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</si>
  <si>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</si>
  <si>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</si>
  <si>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</si>
  <si>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</si>
  <si>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</si>
  <si>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</si>
  <si>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</si>
  <si>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</si>
  <si>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</si>
  <si>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</si>
  <si>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</si>
  <si>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</si>
  <si>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</si>
  <si>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</si>
  <si>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</si>
  <si>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</si>
  <si>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</si>
  <si>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</si>
  <si>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</si>
  <si>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</si>
  <si>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</si>
  <si>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</si>
  <si>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</si>
  <si>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</si>
  <si>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</si>
  <si>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</si>
  <si>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</si>
  <si>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</si>
  <si>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</si>
  <si>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</si>
  <si>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</si>
  <si>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</si>
  <si>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</si>
  <si>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</si>
  <si>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</si>
  <si>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</si>
  <si>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</si>
  <si>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</si>
  <si>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</si>
  <si>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</si>
  <si>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</si>
  <si>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</si>
  <si>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</si>
  <si>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</si>
  <si>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</si>
  <si>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</si>
  <si>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</si>
  <si>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</si>
  <si>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</si>
  <si>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</si>
  <si>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</si>
  <si>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</si>
  <si>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</si>
  <si>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</si>
  <si>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</si>
  <si>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</si>
  <si>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</si>
  <si>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</si>
  <si>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</si>
  <si>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</si>
  <si>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</si>
  <si>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</si>
  <si>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</si>
  <si>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</si>
  <si>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</si>
  <si>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</si>
  <si>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</si>
  <si>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</si>
  <si>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</si>
  <si>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</si>
  <si>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</si>
  <si>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</si>
  <si>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</si>
  <si>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</si>
  <si>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</si>
  <si>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</si>
  <si>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</si>
  <si>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</si>
  <si>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</si>
  <si>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</si>
  <si>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</si>
  <si>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</si>
  <si>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</si>
  <si>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</si>
  <si>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</si>
  <si>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</si>
  <si>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</si>
  <si>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</si>
  <si>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</si>
  <si>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</si>
  <si>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</si>
  <si>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</si>
  <si>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</si>
  <si>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</si>
  <si>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</si>
  <si>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</si>
  <si>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</si>
  <si>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</si>
  <si>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</si>
  <si>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</si>
  <si>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</si>
  <si>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</si>
  <si>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</si>
  <si>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</si>
  <si>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</si>
  <si>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</si>
  <si>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</si>
  <si>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</si>
  <si>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</si>
  <si>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</si>
  <si>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</si>
  <si>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</si>
  <si>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</si>
  <si>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</si>
  <si>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</si>
  <si>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</si>
  <si>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</si>
  <si>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</si>
  <si>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</si>
  <si>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</si>
  <si>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</si>
  <si>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</si>
  <si>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</si>
  <si>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</si>
  <si>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</si>
  <si>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</si>
  <si>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</si>
  <si>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</si>
  <si>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</si>
  <si>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</si>
  <si>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</si>
  <si>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</si>
  <si>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</si>
  <si>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</si>
  <si>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</si>
  <si>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</si>
  <si>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</si>
  <si>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</si>
  <si>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</si>
  <si>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</si>
  <si>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</si>
  <si>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</si>
  <si>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</si>
  <si>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</si>
  <si>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</si>
  <si>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</si>
  <si>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</si>
  <si>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</si>
  <si>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</si>
  <si>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</si>
  <si>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</si>
  <si>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</si>
  <si>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</si>
  <si>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</si>
  <si>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</si>
  <si>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</si>
  <si>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</si>
  <si>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</si>
  <si>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</si>
  <si>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</si>
  <si>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</si>
  <si>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</si>
  <si>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</si>
  <si>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</si>
  <si>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</si>
  <si>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</si>
  <si>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</si>
  <si>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</si>
  <si>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</si>
  <si>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</si>
  <si>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</si>
  <si>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</si>
  <si>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</si>
  <si>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</si>
  <si>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</si>
  <si>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</si>
  <si>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</si>
  <si>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</si>
  <si>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</si>
  <si>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</si>
  <si>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</si>
  <si>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</si>
  <si>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</si>
  <si>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</si>
  <si>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</si>
  <si>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</si>
  <si>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</si>
  <si>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</si>
  <si>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</si>
  <si>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</si>
  <si>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</si>
  <si>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</si>
  <si>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</si>
  <si>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</si>
  <si>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</si>
  <si>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</si>
  <si>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</si>
  <si>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</si>
  <si>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</si>
  <si>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</si>
  <si>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</si>
  <si>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</si>
  <si>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</si>
  <si>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</si>
  <si>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</si>
  <si>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</si>
  <si>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</si>
  <si>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</si>
  <si>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</si>
  <si>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</si>
  <si>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</si>
  <si>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</si>
  <si>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</si>
  <si>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</si>
  <si>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</si>
  <si>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</si>
  <si>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</si>
  <si>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</si>
  <si>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</si>
  <si>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</si>
  <si>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</si>
  <si>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</si>
  <si>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</si>
  <si>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</si>
  <si>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</si>
  <si>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</si>
  <si>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</si>
  <si>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</si>
  <si>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</si>
  <si>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</si>
  <si>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</si>
  <si>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</si>
  <si>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</si>
  <si>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</si>
  <si>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</si>
  <si>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</si>
  <si>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</si>
  <si>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</si>
  <si>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</si>
  <si>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</si>
  <si>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</si>
  <si>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</si>
  <si>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</si>
  <si>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</si>
  <si>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</si>
  <si>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</si>
  <si>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</si>
  <si>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</si>
  <si>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</si>
  <si>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</si>
  <si>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</si>
  <si>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</si>
  <si>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</si>
  <si>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</si>
  <si>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</si>
  <si>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</si>
  <si>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</si>
  <si>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</si>
  <si>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</si>
  <si>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</si>
  <si>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</si>
  <si>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</si>
  <si>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</si>
  <si>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</si>
  <si>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</si>
  <si>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</si>
  <si>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</si>
  <si>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</si>
  <si>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</si>
  <si>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</si>
  <si>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</si>
  <si>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</si>
  <si>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</si>
  <si>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</si>
  <si>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</si>
  <si>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</si>
  <si>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</si>
  <si>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</si>
  <si>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</si>
  <si>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</si>
  <si>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</si>
  <si>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</si>
  <si>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</si>
  <si>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</si>
  <si>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</si>
  <si>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</si>
  <si>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</si>
  <si>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</si>
  <si>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</si>
  <si>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</si>
  <si>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</si>
  <si>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</si>
  <si>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</si>
  <si>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</si>
  <si>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</si>
  <si>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</si>
  <si>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</si>
  <si>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</si>
  <si>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</si>
  <si>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</si>
  <si>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</si>
  <si>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</si>
  <si>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</si>
  <si>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</si>
  <si>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</si>
  <si>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</si>
  <si>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</si>
  <si>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</si>
  <si>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</si>
  <si>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</si>
  <si>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</si>
  <si>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</si>
  <si>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</si>
  <si>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</si>
  <si>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</si>
  <si>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</si>
  <si>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</si>
  <si>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</si>
  <si>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</si>
  <si>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</si>
  <si>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</si>
  <si>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</si>
  <si>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</si>
  <si>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</si>
  <si>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</si>
  <si>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</si>
  <si>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</si>
  <si>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</si>
  <si>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</si>
  <si>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</si>
  <si>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</si>
  <si>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</si>
  <si>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</si>
  <si>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</si>
  <si>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</si>
  <si>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</si>
  <si>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</si>
  <si>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</si>
  <si>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</si>
  <si>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</si>
  <si>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</si>
  <si>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</si>
  <si>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</si>
  <si>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</si>
  <si>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</si>
  <si>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</si>
  <si>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</si>
  <si>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</si>
  <si>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</si>
  <si>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</si>
  <si>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</si>
  <si>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</si>
  <si>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</si>
  <si>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</si>
  <si>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</si>
  <si>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</si>
  <si>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</si>
  <si>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</si>
  <si>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</si>
  <si>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</si>
  <si>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</si>
  <si>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</si>
  <si>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</si>
  <si>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</si>
  <si>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</si>
  <si>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</si>
  <si>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</si>
  <si>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</si>
  <si>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</si>
  <si>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</si>
  <si>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</si>
  <si>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</si>
  <si>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</si>
  <si>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</si>
  <si>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</si>
  <si>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</si>
  <si>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</si>
  <si>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</si>
  <si>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</si>
  <si>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</si>
  <si>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</si>
  <si>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</si>
  <si>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</si>
  <si>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</si>
  <si>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</si>
  <si>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</si>
  <si>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</si>
  <si>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</si>
  <si>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</si>
  <si>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</si>
  <si>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</si>
  <si>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</si>
  <si>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</si>
  <si>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</si>
  <si>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</si>
  <si>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</si>
  <si>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</si>
  <si>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</si>
  <si>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</si>
  <si>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</si>
  <si>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</si>
  <si>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</si>
  <si>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</si>
  <si>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</si>
  <si>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</si>
  <si>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</si>
  <si>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</si>
  <si>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</si>
  <si>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</si>
  <si>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</si>
  <si>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</si>
  <si>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</si>
  <si>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</si>
  <si>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</si>
  <si>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</si>
  <si>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</si>
  <si>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</si>
  <si>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</si>
  <si>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</si>
  <si>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</si>
  <si>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</si>
  <si>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</si>
  <si>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</si>
  <si>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</si>
  <si>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</si>
  <si>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</si>
  <si>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</si>
  <si>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</si>
  <si>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</si>
  <si>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</si>
  <si>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</si>
  <si>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</si>
  <si>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</si>
  <si>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</si>
  <si>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</si>
  <si>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</si>
  <si>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</si>
  <si>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</si>
  <si>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</si>
  <si>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</si>
  <si>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</si>
  <si>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</si>
  <si>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</si>
  <si>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</si>
  <si>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</si>
  <si>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</si>
  <si>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</si>
  <si>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</si>
  <si>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</si>
  <si>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</si>
  <si>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</si>
  <si>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</si>
  <si>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</si>
  <si>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</si>
  <si>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</si>
  <si>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</si>
  <si>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</si>
  <si>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</si>
  <si>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</si>
  <si>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</si>
  <si>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</si>
  <si>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</si>
  <si>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</si>
  <si>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</si>
  <si>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</si>
  <si>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</si>
  <si>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</si>
  <si>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</si>
  <si>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</si>
  <si>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</si>
  <si>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</si>
  <si>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</si>
  <si>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</si>
  <si>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</si>
  <si>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</si>
  <si>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</si>
  <si>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</si>
  <si>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</si>
  <si>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</si>
  <si>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</si>
  <si>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</si>
  <si>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</si>
  <si>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</si>
  <si>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</si>
  <si>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</si>
  <si>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</si>
  <si>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</si>
  <si>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</si>
  <si>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</si>
  <si>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</si>
  <si>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</si>
  <si>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</si>
  <si>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</si>
  <si>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</si>
  <si>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</si>
  <si>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</si>
  <si>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</si>
  <si>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</si>
  <si>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</si>
  <si>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</si>
  <si>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</si>
  <si>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</si>
  <si>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</si>
  <si>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</si>
  <si>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</si>
  <si>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</si>
  <si>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</si>
  <si>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</si>
  <si>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</si>
  <si>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</si>
  <si>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</si>
  <si>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</si>
  <si>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</si>
  <si>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</si>
  <si>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</si>
  <si>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</si>
  <si>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</si>
  <si>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</si>
  <si>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</si>
  <si>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</si>
  <si>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</si>
  <si>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</si>
  <si>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</si>
  <si>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</si>
  <si>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</si>
  <si>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</si>
  <si>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</si>
  <si>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</si>
  <si>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</si>
  <si>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</si>
  <si>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</si>
  <si>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</si>
  <si>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</si>
  <si>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</si>
  <si>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</si>
  <si>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</si>
  <si>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</si>
  <si>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</si>
  <si>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</si>
  <si>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</si>
  <si>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</si>
  <si>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</si>
  <si>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</si>
  <si>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</si>
  <si>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</si>
  <si>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</si>
  <si>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</si>
  <si>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</si>
  <si>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</si>
  <si>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</si>
  <si>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</si>
  <si>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</si>
  <si>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</si>
  <si>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</si>
  <si>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</si>
  <si>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</si>
  <si>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</si>
  <si>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</si>
  <si>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</si>
  <si>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</si>
  <si>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</si>
  <si>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</si>
  <si>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</si>
  <si>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</si>
  <si>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</si>
  <si>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</si>
  <si>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</si>
  <si>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</si>
  <si>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</si>
  <si>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</si>
  <si>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</si>
  <si>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</si>
  <si>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</si>
  <si>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</si>
  <si>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</si>
  <si>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</si>
  <si>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</si>
  <si>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</si>
  <si>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</si>
  <si>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</si>
  <si>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</si>
  <si>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</si>
  <si>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</si>
  <si>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</si>
  <si>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</si>
  <si>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</si>
  <si>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</si>
  <si>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</si>
  <si>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</si>
  <si>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</si>
  <si>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</si>
  <si>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</si>
  <si>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</si>
  <si>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</si>
  <si>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</si>
  <si>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</si>
  <si>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</si>
  <si>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</si>
  <si>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</si>
  <si>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</si>
  <si>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</si>
  <si>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</si>
  <si>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</si>
  <si>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</si>
  <si>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</si>
  <si>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</si>
  <si>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</si>
  <si>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</si>
  <si>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</si>
  <si>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</si>
  <si>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</si>
  <si>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</si>
  <si>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</si>
  <si>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</si>
  <si>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</si>
  <si>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</si>
  <si>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</si>
  <si>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</si>
  <si>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</si>
  <si>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</si>
  <si>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</si>
  <si>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</si>
  <si>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</si>
  <si>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</si>
  <si>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</si>
  <si>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</si>
  <si>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</si>
  <si>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</si>
  <si>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</si>
  <si>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</si>
  <si>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</si>
  <si>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</si>
  <si>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</si>
  <si>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</si>
  <si>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</si>
  <si>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</si>
  <si>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</si>
  <si>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</si>
  <si>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</si>
  <si>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</si>
  <si>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</si>
  <si>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</si>
  <si>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</si>
  <si>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</si>
  <si>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</si>
  <si>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</si>
  <si>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</si>
  <si>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</si>
  <si>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</si>
  <si>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</si>
  <si>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</si>
  <si>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</si>
  <si>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</si>
  <si>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</si>
  <si>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</si>
  <si>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</si>
  <si>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</si>
  <si>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</si>
  <si>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</si>
  <si>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</si>
  <si>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</si>
  <si>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</si>
  <si>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</si>
  <si>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</si>
  <si>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</si>
  <si>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</si>
  <si>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</si>
  <si>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</si>
  <si>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</si>
  <si>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</si>
  <si>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</si>
  <si>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</si>
  <si>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</si>
  <si>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</si>
  <si>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</si>
  <si>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</si>
  <si>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</si>
  <si>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</si>
  <si>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</si>
  <si>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</si>
  <si>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</si>
  <si>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</si>
  <si>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</si>
  <si>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</si>
  <si>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</si>
  <si>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</si>
  <si>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</si>
  <si>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</si>
  <si>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</si>
  <si>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</si>
  <si>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</si>
  <si>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</si>
  <si>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</si>
  <si>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</si>
  <si>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</si>
  <si>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</si>
  <si>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</si>
  <si>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</si>
  <si>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</si>
  <si>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</si>
  <si>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</si>
  <si>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</si>
  <si>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</si>
  <si>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</si>
  <si>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</si>
  <si>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</si>
  <si>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</si>
  <si>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</si>
  <si>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</si>
  <si>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</si>
  <si>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</si>
  <si>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</si>
  <si>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</si>
  <si>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</si>
  <si>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</si>
  <si>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2490</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</si>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</sst>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ySSEfFNukbY"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1000</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124</v>
      </c>
      <c r="AG42" s="198" t="s">
        <v>2283</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2494</v>
      </c>
      <c r="AZ42" s="168" t="s">
        <v>2794</v>
      </c>
      <c r="BA42" s="168"/>
      <c r="BB42" s="173"/>
      <c r="BC42" s="174"/>
      <c r="BD42" s="174" t="s">
        <v>2795</v>
      </c>
      <c r="BE42" s="174" t="s">
        <v>2796</v>
      </c>
      <c r="BF42" s="174" t="s">
        <v>2797</v>
      </c>
      <c r="BG42" s="174" t="s">
        <v>2798</v>
      </c>
      <c r="BH42" s="174"/>
      <c r="BI42" s="174" t="s">
        <v>1912</v>
      </c>
      <c r="BJ42" s="173"/>
      <c r="BK42" s="126" t="s">
        <v>2799</v>
      </c>
      <c r="BL42" s="174" t="s">
        <v>801</v>
      </c>
      <c r="BM42" s="174" t="s">
        <v>2256</v>
      </c>
      <c r="BN42" s="174" t="s">
        <v>2800</v>
      </c>
      <c r="BO42" s="174" t="s">
        <v>2801</v>
      </c>
      <c r="BP42" s="174" t="s">
        <v>2802</v>
      </c>
      <c r="BQ42" s="296"/>
      <c r="BR42" s="175" t="s">
        <v>2803</v>
      </c>
      <c r="BS42" s="175" t="s">
        <v>2214</v>
      </c>
      <c r="BT42" s="175" t="s">
        <v>2804</v>
      </c>
      <c r="BU42" s="129" t="s">
        <v>729</v>
      </c>
      <c r="BV42" s="253"/>
      <c r="BW42" s="175" t="s">
        <v>2805</v>
      </c>
      <c r="BX42" s="253"/>
      <c r="BY42" s="175" t="s">
        <v>2806</v>
      </c>
      <c r="BZ42" s="175" t="s">
        <v>165</v>
      </c>
      <c r="CA42" s="175" t="s">
        <v>2643</v>
      </c>
      <c r="CB42" s="253"/>
      <c r="CC42" s="175" t="s">
        <v>2807</v>
      </c>
      <c r="CD42" s="175" t="s">
        <v>384</v>
      </c>
      <c r="CE42" s="176" t="s">
        <v>2808</v>
      </c>
      <c r="CF42" s="363"/>
      <c r="CG42" s="135" t="s">
        <v>793</v>
      </c>
      <c r="CH42" s="177" t="s">
        <v>259</v>
      </c>
      <c r="CI42" s="177" t="s">
        <v>2809</v>
      </c>
      <c r="CJ42" s="177" t="s">
        <v>2810</v>
      </c>
      <c r="CK42" s="177"/>
      <c r="CL42" s="177"/>
      <c r="CM42" s="177" t="s">
        <v>2811</v>
      </c>
      <c r="CN42" s="299" t="s">
        <v>1962</v>
      </c>
      <c r="CO42" s="132" t="str">
        <f>HYPERLINK("https://www.youtube.com/watch?v=X66lFoaVyLY","15.60")</f>
        <v>15.60</v>
      </c>
      <c r="CP42" s="256"/>
      <c r="CQ42" s="256"/>
      <c r="CR42" s="256"/>
      <c r="CS42" s="256"/>
      <c r="CT42" s="177" t="s">
        <v>2812</v>
      </c>
      <c r="CU42" s="92"/>
      <c r="CV42" s="140" t="s">
        <v>2813</v>
      </c>
      <c r="CW42" s="204" t="s">
        <v>1699</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1562</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1258</v>
      </c>
      <c r="D43" s="84" t="s">
        <v>1258</v>
      </c>
      <c r="E43" s="85" t="s">
        <v>1258</v>
      </c>
      <c r="F43" s="86" t="s">
        <v>2192</v>
      </c>
      <c r="G43" s="82" t="s">
        <v>2584</v>
      </c>
      <c r="H43" s="99"/>
      <c r="I43" s="88" t="s">
        <v>2828</v>
      </c>
      <c r="J43" s="88" t="s">
        <v>2829</v>
      </c>
      <c r="K43" s="88" t="s">
        <v>1557</v>
      </c>
      <c r="L43" s="88" t="s">
        <v>2830</v>
      </c>
      <c r="M43" s="88" t="s">
        <v>2831</v>
      </c>
      <c r="N43" s="88" t="s">
        <v>2832</v>
      </c>
      <c r="O43" s="88" t="s">
        <v>2833</v>
      </c>
      <c r="P43" s="88" t="s">
        <v>2553</v>
      </c>
      <c r="Q43" s="99"/>
      <c r="R43" s="88" t="s">
        <v>2834</v>
      </c>
      <c r="S43" s="88" t="s">
        <v>1364</v>
      </c>
      <c r="T43" s="99"/>
      <c r="U43" s="99"/>
      <c r="V43" s="88" t="s">
        <v>2835</v>
      </c>
      <c r="W43" s="92"/>
      <c r="X43" s="88" t="s">
        <v>2836</v>
      </c>
      <c r="Y43" s="93"/>
      <c r="Z43" s="88" t="s">
        <v>2837</v>
      </c>
      <c r="AA43" s="88" t="s">
        <v>2838</v>
      </c>
      <c r="AB43" s="88" t="s">
        <v>2839</v>
      </c>
      <c r="AC43" s="88" t="s">
        <v>2540</v>
      </c>
      <c r="AD43" s="88" t="s">
        <v>1894</v>
      </c>
      <c r="AE43" s="99"/>
      <c r="AF43" s="162" t="s">
        <v>1188</v>
      </c>
      <c r="AG43" s="88" t="s">
        <v>2728</v>
      </c>
      <c r="AH43" s="99"/>
      <c r="AI43" s="99"/>
      <c r="AJ43" s="94" t="s">
        <v>1792</v>
      </c>
      <c r="AK43" s="88" t="s">
        <v>2840</v>
      </c>
      <c r="AL43" s="97"/>
      <c r="AM43" s="99"/>
      <c r="AN43" s="88" t="s">
        <v>2841</v>
      </c>
      <c r="AO43" s="99"/>
      <c r="AP43" s="99"/>
      <c r="AQ43" s="99"/>
      <c r="AR43" s="99"/>
      <c r="AS43" s="99"/>
      <c r="AT43" s="99"/>
      <c r="AU43" s="88" t="s">
        <v>362</v>
      </c>
      <c r="AV43" s="88" t="s">
        <v>2842</v>
      </c>
      <c r="AW43" s="88" t="s">
        <v>2124</v>
      </c>
      <c r="AX43" s="99"/>
      <c r="AY43" s="88" t="s">
        <v>1423</v>
      </c>
      <c r="AZ43" s="99"/>
      <c r="BA43" s="99"/>
      <c r="BB43" s="88" t="s">
        <v>2843</v>
      </c>
      <c r="BC43" s="88" t="s">
        <v>2400</v>
      </c>
      <c r="BD43" s="88" t="s">
        <v>2740</v>
      </c>
      <c r="BE43" s="88" t="s">
        <v>1162</v>
      </c>
      <c r="BF43" s="88" t="s">
        <v>2844</v>
      </c>
      <c r="BG43" s="88" t="s">
        <v>260</v>
      </c>
      <c r="BH43" s="99"/>
      <c r="BI43" s="94" t="s">
        <v>1912</v>
      </c>
      <c r="BJ43" s="94" t="s">
        <v>2845</v>
      </c>
      <c r="BK43" s="94"/>
      <c r="BL43" s="88" t="s">
        <v>2846</v>
      </c>
      <c r="BM43" s="99"/>
      <c r="BN43" s="99"/>
      <c r="BO43" s="99"/>
      <c r="BP43" s="88" t="s">
        <v>2847</v>
      </c>
      <c r="BQ43" s="236"/>
      <c r="BR43" s="88" t="s">
        <v>2848</v>
      </c>
      <c r="BS43" s="88" t="s">
        <v>777</v>
      </c>
      <c r="BT43" s="88" t="s">
        <v>2849</v>
      </c>
      <c r="BU43" s="88" t="s">
        <v>2850</v>
      </c>
      <c r="BV43" s="88" t="s">
        <v>2851</v>
      </c>
      <c r="BW43" s="88" t="s">
        <v>2852</v>
      </c>
      <c r="BX43" s="99"/>
      <c r="BY43" s="94" t="s">
        <v>2853</v>
      </c>
      <c r="BZ43" s="88" t="s">
        <v>2854</v>
      </c>
      <c r="CA43" s="88" t="s">
        <v>790</v>
      </c>
      <c r="CB43" s="88" t="s">
        <v>2855</v>
      </c>
      <c r="CC43" s="88" t="s">
        <v>2856</v>
      </c>
      <c r="CD43" s="88" t="s">
        <v>479</v>
      </c>
      <c r="CE43" s="99"/>
      <c r="CF43" s="236"/>
      <c r="CG43" s="88" t="s">
        <v>2857</v>
      </c>
      <c r="CH43" s="88" t="s">
        <v>2338</v>
      </c>
      <c r="CI43" s="88" t="s">
        <v>2699</v>
      </c>
      <c r="CJ43" s="88" t="s">
        <v>2858</v>
      </c>
      <c r="CK43" s="102"/>
      <c r="CL43" s="88" t="s">
        <v>2859</v>
      </c>
      <c r="CM43" s="88" t="s">
        <v>1774</v>
      </c>
      <c r="CN43" s="88" t="s">
        <v>2860</v>
      </c>
      <c r="CO43" s="88" t="s">
        <v>2861</v>
      </c>
      <c r="CP43" s="99"/>
      <c r="CQ43" s="88" t="s">
        <v>2460</v>
      </c>
      <c r="CR43" s="99"/>
      <c r="CS43" s="88" t="s">
        <v>2862</v>
      </c>
      <c r="CT43" s="88" t="s">
        <v>2863</v>
      </c>
      <c r="CU43" s="92"/>
      <c r="CV43" s="88" t="s">
        <v>2864</v>
      </c>
      <c r="CW43" s="88" t="s">
        <v>187</v>
      </c>
      <c r="CX43" s="272" t="s">
        <v>611</v>
      </c>
      <c r="CY43" s="88" t="s">
        <v>1321</v>
      </c>
      <c r="CZ43" s="88" t="s">
        <v>2103</v>
      </c>
      <c r="DA43" s="88" t="s">
        <v>2338</v>
      </c>
      <c r="DB43" s="88" t="s">
        <v>2865</v>
      </c>
      <c r="DC43" s="88" t="s">
        <v>1215</v>
      </c>
      <c r="DD43" s="99"/>
      <c r="DE43" s="99"/>
      <c r="DF43" s="88" t="s">
        <v>2866</v>
      </c>
      <c r="DG43" s="88" t="s">
        <v>2867</v>
      </c>
      <c r="DH43" s="236"/>
      <c r="DI43" s="88" t="s">
        <v>924</v>
      </c>
      <c r="DJ43" s="99"/>
      <c r="DK43" s="99"/>
      <c r="DL43" s="99"/>
      <c r="DM43" s="99"/>
      <c r="DN43" s="99"/>
      <c r="DO43" s="88" t="s">
        <v>2868</v>
      </c>
      <c r="DP43" s="88" t="s">
        <v>2869</v>
      </c>
      <c r="DQ43" s="99"/>
      <c r="DR43" s="88" t="s">
        <v>2870</v>
      </c>
      <c r="DS43" s="88" t="s">
        <v>320</v>
      </c>
      <c r="DT43" s="99"/>
      <c r="DU43" s="99"/>
      <c r="DV43" s="99"/>
      <c r="DW43" s="99"/>
      <c r="DX43" s="88" t="s">
        <v>2871</v>
      </c>
      <c r="DY43" s="99"/>
      <c r="DZ43" s="88" t="s">
        <v>1084</v>
      </c>
      <c r="EA43" s="99"/>
      <c r="EB43" s="99"/>
      <c r="EC43" s="88" t="s">
        <v>2341</v>
      </c>
      <c r="ED43" s="261"/>
    </row>
    <row r="44">
      <c r="A44" s="365" t="s">
        <v>2872</v>
      </c>
      <c r="B44" s="104" t="s">
        <v>2873</v>
      </c>
      <c r="C44" s="105" t="s">
        <v>1258</v>
      </c>
      <c r="D44" s="106" t="s">
        <v>1258</v>
      </c>
      <c r="E44" s="107" t="s">
        <v>1258</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808</v>
      </c>
      <c r="T44" s="167" t="s">
        <v>2885</v>
      </c>
      <c r="U44" s="368" t="str">
        <f>HYPERLINK("https://youtu.be/HHFrEbWlPX4","50.03")</f>
        <v>50.03</v>
      </c>
      <c r="V44" s="371" t="s">
        <v>2886</v>
      </c>
      <c r="W44" s="154"/>
      <c r="X44" s="372" t="s">
        <v>2887</v>
      </c>
      <c r="Y44" s="372"/>
      <c r="Z44" s="372" t="s">
        <v>2888</v>
      </c>
      <c r="AA44" s="372" t="s">
        <v>2889</v>
      </c>
      <c r="AB44" s="372" t="s">
        <v>2890</v>
      </c>
      <c r="AC44" s="372" t="s">
        <v>2629</v>
      </c>
      <c r="AD44" s="372" t="s">
        <v>2891</v>
      </c>
      <c r="AE44" s="373"/>
      <c r="AF44" s="374" t="s">
        <v>2892</v>
      </c>
      <c r="AG44" s="374" t="s">
        <v>2728</v>
      </c>
      <c r="AH44" s="375" t="str">
        <f>HYPERLINK("https://youtu.be/N6tkTf4Wb68","53.04")</f>
        <v>53.04</v>
      </c>
      <c r="AI44" s="374"/>
      <c r="AJ44" s="374" t="s">
        <v>1229</v>
      </c>
      <c r="AK44" s="376" t="s">
        <v>2893</v>
      </c>
      <c r="AL44" s="159"/>
      <c r="AM44" s="168" t="s">
        <v>2894</v>
      </c>
      <c r="AN44" s="377" t="s">
        <v>2895</v>
      </c>
      <c r="AO44" s="168" t="s">
        <v>2896</v>
      </c>
      <c r="AP44" s="378" t="s">
        <v>2897</v>
      </c>
      <c r="AQ44" s="379"/>
      <c r="AR44" s="379"/>
      <c r="AS44" s="378" t="s">
        <v>1008</v>
      </c>
      <c r="AT44" s="377" t="s">
        <v>751</v>
      </c>
      <c r="AU44" s="168" t="s">
        <v>1215</v>
      </c>
      <c r="AV44" s="380" t="str">
        <f>HYPERLINK("https://www.youtube.com/watch?v=I53jRzHVHbs","25.78")</f>
        <v>25.78</v>
      </c>
      <c r="AW44" s="378" t="s">
        <v>892</v>
      </c>
      <c r="AX44" s="379"/>
      <c r="AY44" s="378" t="s">
        <v>2898</v>
      </c>
      <c r="AZ44" s="381" t="s">
        <v>142</v>
      </c>
      <c r="BA44" s="382"/>
      <c r="BB44" s="174" t="s">
        <v>2899</v>
      </c>
      <c r="BC44" s="383" t="s">
        <v>2900</v>
      </c>
      <c r="BD44" s="383" t="s">
        <v>1288</v>
      </c>
      <c r="BE44" s="384" t="s">
        <v>2538</v>
      </c>
      <c r="BF44" s="385" t="s">
        <v>2901</v>
      </c>
      <c r="BG44" s="383" t="s">
        <v>1700</v>
      </c>
      <c r="BH44" s="174" t="s">
        <v>2902</v>
      </c>
      <c r="BI44" s="383" t="s">
        <v>409</v>
      </c>
      <c r="BJ44" s="173"/>
      <c r="BK44" s="384" t="s">
        <v>2903</v>
      </c>
      <c r="BL44" s="383" t="s">
        <v>2743</v>
      </c>
      <c r="BM44" s="126" t="s">
        <v>2904</v>
      </c>
      <c r="BN44" s="386" t="str">
        <f>HYPERLINK("https://youtu.be/PNHoaVHANBk","42.06")</f>
        <v>42.06</v>
      </c>
      <c r="BO44" s="383" t="s">
        <v>887</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1090</v>
      </c>
      <c r="CE44" s="393" t="s">
        <v>2913</v>
      </c>
      <c r="CF44" s="394"/>
      <c r="CG44" s="395" t="s">
        <v>1739</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2921</v>
      </c>
      <c r="CZ44" s="204" t="s">
        <v>2922</v>
      </c>
      <c r="DA44" s="204" t="s">
        <v>2560</v>
      </c>
      <c r="DB44" s="401" t="s">
        <v>2923</v>
      </c>
      <c r="DC44" s="402" t="s">
        <v>2736</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2435</v>
      </c>
      <c r="DS44" s="407"/>
      <c r="DT44" s="407" t="s">
        <v>2019</v>
      </c>
      <c r="DU44" s="406" t="s">
        <v>2930</v>
      </c>
      <c r="DV44" s="407" t="s">
        <v>2931</v>
      </c>
      <c r="DW44" s="407" t="s">
        <v>2932</v>
      </c>
      <c r="DX44" s="405"/>
      <c r="DY44" s="406" t="s">
        <v>2933</v>
      </c>
      <c r="DZ44" s="406" t="s">
        <v>2934</v>
      </c>
      <c r="EA44" s="406" t="s">
        <v>2935</v>
      </c>
      <c r="EB44" s="406" t="s">
        <v>1870</v>
      </c>
      <c r="EC44" s="406" t="s">
        <v>1492</v>
      </c>
      <c r="ED44" s="287" t="s">
        <v>2936</v>
      </c>
    </row>
    <row r="45">
      <c r="A45" s="288" t="s">
        <v>2937</v>
      </c>
      <c r="B45" s="82" t="s">
        <v>2938</v>
      </c>
      <c r="C45" s="83" t="s">
        <v>1258</v>
      </c>
      <c r="D45" s="84" t="s">
        <v>649</v>
      </c>
      <c r="E45" s="85" t="s">
        <v>334</v>
      </c>
      <c r="F45" s="86" t="s">
        <v>2939</v>
      </c>
      <c r="G45" s="82" t="s">
        <v>1348</v>
      </c>
      <c r="H45" s="94" t="s">
        <v>2093</v>
      </c>
      <c r="I45" s="94" t="s">
        <v>2940</v>
      </c>
      <c r="J45" s="94" t="s">
        <v>2941</v>
      </c>
      <c r="K45" s="94" t="s">
        <v>2165</v>
      </c>
      <c r="L45" s="93" t="s">
        <v>1852</v>
      </c>
      <c r="M45" s="99"/>
      <c r="N45" s="99"/>
      <c r="O45" s="93" t="s">
        <v>2942</v>
      </c>
      <c r="P45" s="94" t="s">
        <v>2943</v>
      </c>
      <c r="Q45" s="89" t="s">
        <v>2692</v>
      </c>
      <c r="R45" s="94"/>
      <c r="S45" s="94" t="s">
        <v>992</v>
      </c>
      <c r="T45" s="93"/>
      <c r="U45" s="93" t="s">
        <v>2944</v>
      </c>
      <c r="V45" s="90" t="s">
        <v>2945</v>
      </c>
      <c r="W45" s="227"/>
      <c r="X45" s="94" t="s">
        <v>2946</v>
      </c>
      <c r="Y45" s="94"/>
      <c r="Z45" s="94" t="s">
        <v>2947</v>
      </c>
      <c r="AA45" s="94" t="s">
        <v>2043</v>
      </c>
      <c r="AB45" s="94" t="s">
        <v>2948</v>
      </c>
      <c r="AC45" s="94" t="s">
        <v>2949</v>
      </c>
      <c r="AD45" s="94" t="s">
        <v>2950</v>
      </c>
      <c r="AE45" s="94"/>
      <c r="AF45" s="94" t="s">
        <v>810</v>
      </c>
      <c r="AG45" s="94" t="s">
        <v>2951</v>
      </c>
      <c r="AH45" s="94" t="s">
        <v>2952</v>
      </c>
      <c r="AI45" s="94"/>
      <c r="AJ45" s="94" t="s">
        <v>2210</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1877</v>
      </c>
      <c r="AV45" s="94" t="s">
        <v>877</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1772</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738</v>
      </c>
      <c r="DB45" s="94" t="s">
        <v>2986</v>
      </c>
      <c r="DC45" s="94" t="s">
        <v>2398</v>
      </c>
      <c r="DD45" s="98" t="str">
        <f>HYPERLINK("https://youtu.be/BJNJgSLnXTM","1:18.10")</f>
        <v>1:18.10</v>
      </c>
      <c r="DE45" s="94" t="s">
        <v>2987</v>
      </c>
      <c r="DF45" s="93" t="s">
        <v>2930</v>
      </c>
      <c r="DG45" s="98" t="s">
        <v>1986</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1258</v>
      </c>
      <c r="D46" s="106" t="s">
        <v>1258</v>
      </c>
      <c r="E46" s="107" t="s">
        <v>1258</v>
      </c>
      <c r="F46" s="108" t="s">
        <v>2996</v>
      </c>
      <c r="G46" s="104" t="s">
        <v>2997</v>
      </c>
      <c r="H46" s="167" t="s">
        <v>2998</v>
      </c>
      <c r="I46" s="167" t="s">
        <v>2758</v>
      </c>
      <c r="J46" s="167" t="s">
        <v>2999</v>
      </c>
      <c r="K46" s="112" t="s">
        <v>1954</v>
      </c>
      <c r="L46" s="293" t="s">
        <v>345</v>
      </c>
      <c r="M46" s="112" t="s">
        <v>946</v>
      </c>
      <c r="N46" s="112" t="s">
        <v>3000</v>
      </c>
      <c r="O46" s="112" t="s">
        <v>2690</v>
      </c>
      <c r="P46" s="112" t="s">
        <v>1562</v>
      </c>
      <c r="Q46" s="409" t="s">
        <v>3001</v>
      </c>
      <c r="R46" s="410" t="s">
        <v>1304</v>
      </c>
      <c r="S46" s="112" t="s">
        <v>112</v>
      </c>
      <c r="T46" s="293" t="s">
        <v>1743</v>
      </c>
      <c r="U46" s="167" t="s">
        <v>1234</v>
      </c>
      <c r="V46" s="167" t="s">
        <v>3002</v>
      </c>
      <c r="W46" s="92"/>
      <c r="X46" s="116" t="s">
        <v>1416</v>
      </c>
      <c r="Y46" s="198"/>
      <c r="Z46" s="198" t="s">
        <v>722</v>
      </c>
      <c r="AA46" s="295" t="s">
        <v>3003</v>
      </c>
      <c r="AB46" s="295" t="s">
        <v>3004</v>
      </c>
      <c r="AC46" s="198" t="s">
        <v>1581</v>
      </c>
      <c r="AD46" s="116" t="s">
        <v>3005</v>
      </c>
      <c r="AE46" s="198" t="s">
        <v>3006</v>
      </c>
      <c r="AF46" s="198" t="s">
        <v>3007</v>
      </c>
      <c r="AG46" s="116" t="s">
        <v>2477</v>
      </c>
      <c r="AH46" s="198" t="s">
        <v>1560</v>
      </c>
      <c r="AI46" s="198" t="s">
        <v>3008</v>
      </c>
      <c r="AJ46" s="198" t="s">
        <v>2884</v>
      </c>
      <c r="AK46" s="198" t="s">
        <v>2481</v>
      </c>
      <c r="AL46" s="97"/>
      <c r="AM46" s="168" t="s">
        <v>850</v>
      </c>
      <c r="AN46" s="121" t="s">
        <v>2919</v>
      </c>
      <c r="AO46" s="168" t="s">
        <v>3009</v>
      </c>
      <c r="AP46" s="168" t="s">
        <v>3010</v>
      </c>
      <c r="AQ46" s="168" t="s">
        <v>3011</v>
      </c>
      <c r="AR46" s="411" t="s">
        <v>3012</v>
      </c>
      <c r="AS46" s="168" t="s">
        <v>3013</v>
      </c>
      <c r="AT46" s="121" t="s">
        <v>1311</v>
      </c>
      <c r="AU46" s="168" t="s">
        <v>1575</v>
      </c>
      <c r="AV46" s="168" t="s">
        <v>1053</v>
      </c>
      <c r="AW46" s="168" t="s">
        <v>3014</v>
      </c>
      <c r="AX46" s="168" t="s">
        <v>1522</v>
      </c>
      <c r="AY46" s="168" t="s">
        <v>992</v>
      </c>
      <c r="AZ46" s="411" t="s">
        <v>3015</v>
      </c>
      <c r="BA46" s="411"/>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1615</v>
      </c>
      <c r="BT46" s="129" t="s">
        <v>2506</v>
      </c>
      <c r="BU46" s="129" t="s">
        <v>895</v>
      </c>
      <c r="BV46" s="129" t="s">
        <v>3026</v>
      </c>
      <c r="BW46" s="129" t="s">
        <v>2258</v>
      </c>
      <c r="BX46" s="253"/>
      <c r="BY46" s="175" t="s">
        <v>1994</v>
      </c>
      <c r="BZ46" s="306" t="s">
        <v>3027</v>
      </c>
      <c r="CA46" s="175" t="s">
        <v>3028</v>
      </c>
      <c r="CB46" s="129" t="s">
        <v>3029</v>
      </c>
      <c r="CC46" s="175" t="s">
        <v>3030</v>
      </c>
      <c r="CD46" s="129" t="s">
        <v>1206</v>
      </c>
      <c r="CE46" s="129" t="s">
        <v>3031</v>
      </c>
      <c r="CF46" s="175"/>
      <c r="CG46" s="412" t="s">
        <v>3032</v>
      </c>
      <c r="CH46" s="177" t="s">
        <v>3033</v>
      </c>
      <c r="CI46" s="177" t="s">
        <v>3034</v>
      </c>
      <c r="CJ46" s="177" t="s">
        <v>3035</v>
      </c>
      <c r="CK46" s="177"/>
      <c r="CL46" s="177" t="s">
        <v>3036</v>
      </c>
      <c r="CM46" s="177" t="s">
        <v>3037</v>
      </c>
      <c r="CN46" s="135" t="s">
        <v>1782</v>
      </c>
      <c r="CO46" s="177" t="s">
        <v>3038</v>
      </c>
      <c r="CP46" s="177" t="s">
        <v>3039</v>
      </c>
      <c r="CQ46" s="135" t="s">
        <v>3040</v>
      </c>
      <c r="CR46" s="256"/>
      <c r="CS46" s="177" t="s">
        <v>3041</v>
      </c>
      <c r="CT46" s="177" t="s">
        <v>3042</v>
      </c>
      <c r="CU46" s="92"/>
      <c r="CV46" s="204" t="s">
        <v>3043</v>
      </c>
      <c r="CW46" s="204" t="s">
        <v>2249</v>
      </c>
      <c r="CX46" s="204" t="s">
        <v>970</v>
      </c>
      <c r="CY46" s="140" t="s">
        <v>604</v>
      </c>
      <c r="CZ46" s="204" t="s">
        <v>3044</v>
      </c>
      <c r="DA46" s="204" t="s">
        <v>1042</v>
      </c>
      <c r="DB46" s="140" t="s">
        <v>3045</v>
      </c>
      <c r="DC46" s="204" t="s">
        <v>3046</v>
      </c>
      <c r="DD46" s="204" t="s">
        <v>1776</v>
      </c>
      <c r="DE46" s="204" t="s">
        <v>1750</v>
      </c>
      <c r="DF46" s="204" t="s">
        <v>3047</v>
      </c>
      <c r="DG46" s="204" t="s">
        <v>3048</v>
      </c>
      <c r="DH46" s="204"/>
      <c r="DI46" s="205" t="s">
        <v>998</v>
      </c>
      <c r="DJ46" s="259"/>
      <c r="DK46" s="259"/>
      <c r="DL46" s="205"/>
      <c r="DM46" s="145" t="s">
        <v>3049</v>
      </c>
      <c r="DN46" s="205" t="s">
        <v>3050</v>
      </c>
      <c r="DO46" s="205" t="s">
        <v>3051</v>
      </c>
      <c r="DP46" s="205" t="s">
        <v>3052</v>
      </c>
      <c r="DQ46" s="205" t="s">
        <v>3053</v>
      </c>
      <c r="DR46" s="205" t="s">
        <v>1351</v>
      </c>
      <c r="DS46" s="145" t="s">
        <v>3054</v>
      </c>
      <c r="DT46" s="205" t="s">
        <v>3055</v>
      </c>
      <c r="DU46" s="205" t="s">
        <v>2645</v>
      </c>
      <c r="DV46" s="205" t="s">
        <v>3056</v>
      </c>
      <c r="DW46" s="205" t="s">
        <v>3057</v>
      </c>
      <c r="DX46" s="205" t="s">
        <v>3058</v>
      </c>
      <c r="DY46" s="205" t="s">
        <v>1080</v>
      </c>
      <c r="DZ46" s="145" t="s">
        <v>3059</v>
      </c>
      <c r="EA46" s="205" t="s">
        <v>2327</v>
      </c>
      <c r="EB46" s="205" t="s">
        <v>1515</v>
      </c>
      <c r="EC46" s="205" t="s">
        <v>933</v>
      </c>
      <c r="ED46" s="287" t="s">
        <v>3060</v>
      </c>
    </row>
    <row r="47">
      <c r="A47" s="413" t="s">
        <v>3061</v>
      </c>
      <c r="B47" s="82" t="s">
        <v>3062</v>
      </c>
      <c r="C47" s="83" t="s">
        <v>1258</v>
      </c>
      <c r="D47" s="84" t="s">
        <v>546</v>
      </c>
      <c r="E47" s="85" t="s">
        <v>546</v>
      </c>
      <c r="F47" s="86" t="s">
        <v>3063</v>
      </c>
      <c r="G47" s="82" t="s">
        <v>1415</v>
      </c>
      <c r="H47" s="317" t="s">
        <v>101</v>
      </c>
      <c r="I47" s="317" t="s">
        <v>3064</v>
      </c>
      <c r="J47" s="317" t="s">
        <v>1556</v>
      </c>
      <c r="K47" s="317" t="s">
        <v>1557</v>
      </c>
      <c r="L47" s="317" t="s">
        <v>346</v>
      </c>
      <c r="M47" s="317" t="s">
        <v>3065</v>
      </c>
      <c r="N47" s="317" t="s">
        <v>3066</v>
      </c>
      <c r="O47" s="317" t="s">
        <v>3067</v>
      </c>
      <c r="P47" s="316" t="s">
        <v>343</v>
      </c>
      <c r="Q47" s="317"/>
      <c r="R47" s="317"/>
      <c r="S47" s="317"/>
      <c r="T47" s="317"/>
      <c r="U47" s="317"/>
      <c r="V47" s="317"/>
      <c r="W47" s="154"/>
      <c r="X47" s="317" t="s">
        <v>3068</v>
      </c>
      <c r="Y47" s="414"/>
      <c r="Z47" s="316" t="s">
        <v>1891</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1790</v>
      </c>
      <c r="AV47" s="316" t="s">
        <v>259</v>
      </c>
      <c r="AW47" s="317"/>
      <c r="AX47" s="317"/>
      <c r="AY47" s="317" t="s">
        <v>3075</v>
      </c>
      <c r="AZ47" s="317"/>
      <c r="BA47" s="317"/>
      <c r="BB47" s="317" t="s">
        <v>1193</v>
      </c>
      <c r="BC47" s="317" t="s">
        <v>3076</v>
      </c>
      <c r="BD47" s="316" t="s">
        <v>145</v>
      </c>
      <c r="BE47" s="316" t="s">
        <v>3077</v>
      </c>
      <c r="BF47" s="317" t="s">
        <v>1212</v>
      </c>
      <c r="BG47" s="317" t="s">
        <v>1889</v>
      </c>
      <c r="BH47" s="317"/>
      <c r="BI47" s="317" t="s">
        <v>1586</v>
      </c>
      <c r="BJ47" s="317"/>
      <c r="BK47" s="317" t="s">
        <v>3078</v>
      </c>
      <c r="BL47" s="317" t="s">
        <v>3079</v>
      </c>
      <c r="BM47" s="317"/>
      <c r="BN47" s="267" t="s">
        <v>3080</v>
      </c>
      <c r="BO47" s="317"/>
      <c r="BP47" s="317"/>
      <c r="BQ47" s="322"/>
      <c r="BR47" s="317"/>
      <c r="BS47" s="317" t="s">
        <v>2902</v>
      </c>
      <c r="BT47" s="317" t="s">
        <v>3081</v>
      </c>
      <c r="BU47" s="317" t="s">
        <v>3082</v>
      </c>
      <c r="BV47" s="317" t="s">
        <v>1982</v>
      </c>
      <c r="BW47" s="317" t="s">
        <v>3083</v>
      </c>
      <c r="BX47" s="317" t="s">
        <v>3084</v>
      </c>
      <c r="BY47" s="317" t="s">
        <v>3085</v>
      </c>
      <c r="BZ47" s="317" t="s">
        <v>3086</v>
      </c>
      <c r="CA47" s="317" t="s">
        <v>941</v>
      </c>
      <c r="CB47" s="317"/>
      <c r="CC47" s="317"/>
      <c r="CD47" s="317"/>
      <c r="CE47" s="317"/>
      <c r="CF47" s="322"/>
      <c r="CG47" s="317" t="s">
        <v>3087</v>
      </c>
      <c r="CH47" s="321" t="s">
        <v>139</v>
      </c>
      <c r="CI47" s="319" t="s">
        <v>3088</v>
      </c>
      <c r="CJ47" s="317" t="s">
        <v>3089</v>
      </c>
      <c r="CK47" s="317"/>
      <c r="CL47" s="317"/>
      <c r="CM47" s="317" t="s">
        <v>2232</v>
      </c>
      <c r="CN47" s="317" t="s">
        <v>2560</v>
      </c>
      <c r="CO47" s="316" t="s">
        <v>2676</v>
      </c>
      <c r="CP47" s="317"/>
      <c r="CQ47" s="317" t="s">
        <v>1925</v>
      </c>
      <c r="CR47" s="317"/>
      <c r="CS47" s="317" t="s">
        <v>3090</v>
      </c>
      <c r="CT47" s="317"/>
      <c r="CU47" s="154"/>
      <c r="CV47" s="317" t="s">
        <v>3091</v>
      </c>
      <c r="CW47" s="317" t="s">
        <v>880</v>
      </c>
      <c r="CX47" s="223" t="s">
        <v>3092</v>
      </c>
      <c r="CY47" s="317" t="s">
        <v>2921</v>
      </c>
      <c r="CZ47" s="317"/>
      <c r="DA47" s="317"/>
      <c r="DB47" s="316" t="s">
        <v>3093</v>
      </c>
      <c r="DC47" s="317" t="s">
        <v>1790</v>
      </c>
      <c r="DD47" s="317"/>
      <c r="DE47" s="317"/>
      <c r="DF47" s="317"/>
      <c r="DG47" s="317"/>
      <c r="DH47" s="322"/>
      <c r="DI47" s="317"/>
      <c r="DJ47" s="317"/>
      <c r="DK47" s="317"/>
      <c r="DL47" s="317"/>
      <c r="DM47" s="317" t="s">
        <v>3049</v>
      </c>
      <c r="DN47" s="317" t="s">
        <v>967</v>
      </c>
      <c r="DO47" s="317" t="s">
        <v>3094</v>
      </c>
      <c r="DP47" s="317" t="s">
        <v>3095</v>
      </c>
      <c r="DQ47" s="317"/>
      <c r="DR47" s="317" t="s">
        <v>2967</v>
      </c>
      <c r="DS47" s="317"/>
      <c r="DT47" s="317" t="s">
        <v>247</v>
      </c>
      <c r="DU47" s="317"/>
      <c r="DV47" s="317"/>
      <c r="DW47" s="317" t="s">
        <v>3096</v>
      </c>
      <c r="DX47" s="317"/>
      <c r="DY47" s="317"/>
      <c r="DZ47" s="316" t="s">
        <v>933</v>
      </c>
      <c r="EA47" s="317"/>
      <c r="EB47" s="317"/>
      <c r="EC47" s="317" t="s">
        <v>3097</v>
      </c>
      <c r="ED47" s="317" t="s">
        <v>3098</v>
      </c>
    </row>
    <row r="48">
      <c r="A48" s="415" t="s">
        <v>3099</v>
      </c>
      <c r="B48" s="104" t="s">
        <v>3100</v>
      </c>
      <c r="C48" s="105" t="s">
        <v>1258</v>
      </c>
      <c r="D48" s="106" t="s">
        <v>546</v>
      </c>
      <c r="E48" s="107" t="s">
        <v>546</v>
      </c>
      <c r="F48" s="108" t="s">
        <v>3101</v>
      </c>
      <c r="G48" s="104" t="s">
        <v>2433</v>
      </c>
      <c r="H48" s="243"/>
      <c r="I48" s="112" t="s">
        <v>3102</v>
      </c>
      <c r="J48" s="112" t="s">
        <v>3103</v>
      </c>
      <c r="K48" s="112" t="s">
        <v>443</v>
      </c>
      <c r="L48" s="112" t="s">
        <v>3104</v>
      </c>
      <c r="M48" s="112" t="s">
        <v>3105</v>
      </c>
      <c r="N48" s="112" t="s">
        <v>3106</v>
      </c>
      <c r="O48" s="112" t="s">
        <v>2690</v>
      </c>
      <c r="P48" s="167" t="s">
        <v>3107</v>
      </c>
      <c r="Q48" s="243"/>
      <c r="R48" s="243"/>
      <c r="S48" s="243"/>
      <c r="T48" s="243"/>
      <c r="U48" s="243"/>
      <c r="V48" s="243"/>
      <c r="W48" s="92"/>
      <c r="X48" s="116" t="s">
        <v>3108</v>
      </c>
      <c r="Y48" s="198"/>
      <c r="Z48" s="198" t="s">
        <v>3109</v>
      </c>
      <c r="AA48" s="116" t="s">
        <v>3110</v>
      </c>
      <c r="AB48" s="116" t="s">
        <v>2044</v>
      </c>
      <c r="AC48" s="244" t="s">
        <v>3111</v>
      </c>
      <c r="AD48" s="271" t="s">
        <v>3112</v>
      </c>
      <c r="AE48" s="246"/>
      <c r="AF48" s="271" t="s">
        <v>3113</v>
      </c>
      <c r="AG48" s="116" t="s">
        <v>1431</v>
      </c>
      <c r="AH48" s="246"/>
      <c r="AI48" s="246"/>
      <c r="AJ48" s="246"/>
      <c r="AK48" s="246"/>
      <c r="AL48" s="97"/>
      <c r="AM48" s="247"/>
      <c r="AN48" s="121" t="s">
        <v>3114</v>
      </c>
      <c r="AO48" s="247"/>
      <c r="AP48" s="247"/>
      <c r="AQ48" s="247"/>
      <c r="AR48" s="247"/>
      <c r="AS48" s="247"/>
      <c r="AT48" s="247"/>
      <c r="AU48" s="168" t="s">
        <v>1877</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1726</v>
      </c>
      <c r="BT48" s="129" t="s">
        <v>126</v>
      </c>
      <c r="BU48" s="306" t="s">
        <v>1766</v>
      </c>
      <c r="BV48" s="176" t="s">
        <v>3123</v>
      </c>
      <c r="BW48" s="129" t="s">
        <v>1710</v>
      </c>
      <c r="BX48" s="253"/>
      <c r="BY48" s="129" t="s">
        <v>3124</v>
      </c>
      <c r="BZ48" s="129" t="s">
        <v>3125</v>
      </c>
      <c r="CA48" s="129" t="s">
        <v>3126</v>
      </c>
      <c r="CB48" s="253"/>
      <c r="CC48" s="253"/>
      <c r="CD48" s="253"/>
      <c r="CE48" s="253"/>
      <c r="CF48" s="254"/>
      <c r="CG48" s="417" t="s">
        <v>1922</v>
      </c>
      <c r="CH48" s="135" t="s">
        <v>1854</v>
      </c>
      <c r="CI48" s="135" t="s">
        <v>3127</v>
      </c>
      <c r="CJ48" s="232" t="s">
        <v>3128</v>
      </c>
      <c r="CK48" s="136"/>
      <c r="CL48" s="136"/>
      <c r="CM48" s="135" t="s">
        <v>1177</v>
      </c>
      <c r="CN48" s="135" t="s">
        <v>3129</v>
      </c>
      <c r="CO48" s="135" t="s">
        <v>797</v>
      </c>
      <c r="CP48" s="256"/>
      <c r="CQ48" s="256"/>
      <c r="CR48" s="256"/>
      <c r="CS48" s="256"/>
      <c r="CT48" s="256"/>
      <c r="CU48" s="92"/>
      <c r="CV48" s="140" t="s">
        <v>3130</v>
      </c>
      <c r="CW48" s="257"/>
      <c r="CX48" s="140" t="s">
        <v>1093</v>
      </c>
      <c r="CY48" s="140" t="s">
        <v>3131</v>
      </c>
      <c r="CZ48" s="300" t="s">
        <v>3132</v>
      </c>
      <c r="DA48" s="140" t="str">
        <f>HYPERLINK("https://clips.twitch.tv/ComfortableBadOctopusSeemsGood-tMvOD8fMvPQ1BZUe", "26.50")</f>
        <v>26.50</v>
      </c>
      <c r="DB48" s="140" t="s">
        <v>3133</v>
      </c>
      <c r="DC48" s="140" t="s">
        <v>2216</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1258</v>
      </c>
      <c r="D49" s="84" t="s">
        <v>1258</v>
      </c>
      <c r="E49" s="85" t="s">
        <v>1258</v>
      </c>
      <c r="F49" s="86" t="s">
        <v>546</v>
      </c>
      <c r="G49" s="82" t="s">
        <v>743</v>
      </c>
      <c r="H49" s="94" t="s">
        <v>3137</v>
      </c>
      <c r="I49" s="94" t="s">
        <v>102</v>
      </c>
      <c r="J49" s="93" t="s">
        <v>3138</v>
      </c>
      <c r="K49" s="93" t="s">
        <v>1954</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2337</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1050</v>
      </c>
      <c r="BD49" s="94" t="s">
        <v>3163</v>
      </c>
      <c r="BE49" s="93" t="s">
        <v>2618</v>
      </c>
      <c r="BF49" s="94" t="s">
        <v>3164</v>
      </c>
      <c r="BG49" s="94" t="s">
        <v>263</v>
      </c>
      <c r="BH49" s="94" t="s">
        <v>3165</v>
      </c>
      <c r="BI49" s="94" t="s">
        <v>1038</v>
      </c>
      <c r="BJ49" s="94" t="s">
        <v>3166</v>
      </c>
      <c r="BK49" s="94"/>
      <c r="BL49" s="94" t="s">
        <v>3167</v>
      </c>
      <c r="BM49" s="99"/>
      <c r="BN49" s="94" t="s">
        <v>261</v>
      </c>
      <c r="BO49" s="94" t="s">
        <v>2503</v>
      </c>
      <c r="BP49" s="99"/>
      <c r="BQ49" s="236"/>
      <c r="BR49" s="94"/>
      <c r="BS49" s="94" t="s">
        <v>1778</v>
      </c>
      <c r="BT49" s="94" t="s">
        <v>2709</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2217</v>
      </c>
      <c r="CI49" s="94" t="s">
        <v>3176</v>
      </c>
      <c r="CJ49" s="94" t="s">
        <v>3177</v>
      </c>
      <c r="CK49" s="94"/>
      <c r="CL49" s="94" t="s">
        <v>3178</v>
      </c>
      <c r="CM49" s="319" t="s">
        <v>3179</v>
      </c>
      <c r="CN49" s="93" t="s">
        <v>2474</v>
      </c>
      <c r="CO49" s="94" t="s">
        <v>2150</v>
      </c>
      <c r="CP49" s="99"/>
      <c r="CQ49" s="94" t="s">
        <v>1782</v>
      </c>
      <c r="CR49" s="94"/>
      <c r="CS49" s="94" t="s">
        <v>3180</v>
      </c>
      <c r="CT49" s="99"/>
      <c r="CU49" s="92"/>
      <c r="CV49" s="94" t="s">
        <v>3181</v>
      </c>
      <c r="CW49" s="94" t="s">
        <v>3182</v>
      </c>
      <c r="CX49" s="94" t="s">
        <v>3183</v>
      </c>
      <c r="CY49" s="94" t="s">
        <v>3184</v>
      </c>
      <c r="CZ49" s="94" t="s">
        <v>2969</v>
      </c>
      <c r="DA49" s="94" t="s">
        <v>3129</v>
      </c>
      <c r="DB49" s="261" t="s">
        <v>960</v>
      </c>
      <c r="DC49" s="94" t="s">
        <v>919</v>
      </c>
      <c r="DD49" s="94" t="s">
        <v>3185</v>
      </c>
      <c r="DE49" s="99"/>
      <c r="DF49" s="99"/>
      <c r="DG49" s="99"/>
      <c r="DH49" s="236"/>
      <c r="DI49" s="99"/>
      <c r="DJ49" s="99"/>
      <c r="DK49" s="99"/>
      <c r="DL49" s="94"/>
      <c r="DM49" s="94" t="s">
        <v>3186</v>
      </c>
      <c r="DN49" s="94" t="s">
        <v>2565</v>
      </c>
      <c r="DO49" s="94" t="s">
        <v>3187</v>
      </c>
      <c r="DP49" s="94" t="s">
        <v>3188</v>
      </c>
      <c r="DQ49" s="94" t="s">
        <v>3189</v>
      </c>
      <c r="DR49" s="94" t="s">
        <v>3190</v>
      </c>
      <c r="DS49" s="94"/>
      <c r="DT49" s="94" t="s">
        <v>1245</v>
      </c>
      <c r="DU49" s="94" t="s">
        <v>1715</v>
      </c>
      <c r="DV49" s="94" t="s">
        <v>3191</v>
      </c>
      <c r="DW49" s="94" t="s">
        <v>1716</v>
      </c>
      <c r="DX49" s="94" t="s">
        <v>3033</v>
      </c>
      <c r="DY49" s="94" t="s">
        <v>3192</v>
      </c>
      <c r="DZ49" s="99"/>
      <c r="EA49" s="94" t="s">
        <v>3193</v>
      </c>
      <c r="EB49" s="94" t="s">
        <v>3194</v>
      </c>
      <c r="EC49" s="94" t="s">
        <v>1157</v>
      </c>
      <c r="ED49" s="261" t="s">
        <v>3195</v>
      </c>
    </row>
    <row r="50">
      <c r="A50" s="418" t="s">
        <v>3196</v>
      </c>
      <c r="B50" s="104" t="s">
        <v>3197</v>
      </c>
      <c r="C50" s="105" t="s">
        <v>1258</v>
      </c>
      <c r="D50" s="106" t="s">
        <v>1258</v>
      </c>
      <c r="E50" s="107" t="s">
        <v>1258</v>
      </c>
      <c r="F50" s="108" t="s">
        <v>2091</v>
      </c>
      <c r="G50" s="104" t="s">
        <v>547</v>
      </c>
      <c r="H50" s="112" t="s">
        <v>3198</v>
      </c>
      <c r="I50" s="324" t="s">
        <v>2304</v>
      </c>
      <c r="J50" s="112" t="s">
        <v>992</v>
      </c>
      <c r="K50" s="293" t="s">
        <v>2879</v>
      </c>
      <c r="L50" s="293" t="s">
        <v>2531</v>
      </c>
      <c r="M50" s="112" t="s">
        <v>3199</v>
      </c>
      <c r="N50" s="419" t="s">
        <v>3200</v>
      </c>
      <c r="O50" s="293" t="s">
        <v>3201</v>
      </c>
      <c r="P50" s="112" t="s">
        <v>3202</v>
      </c>
      <c r="Q50" s="293" t="s">
        <v>3203</v>
      </c>
      <c r="R50" s="112" t="s">
        <v>3204</v>
      </c>
      <c r="S50" s="112" t="s">
        <v>3205</v>
      </c>
      <c r="T50" s="243"/>
      <c r="U50" s="293" t="s">
        <v>1220</v>
      </c>
      <c r="V50" s="293" t="s">
        <v>3206</v>
      </c>
      <c r="W50" s="92"/>
      <c r="X50" s="116" t="s">
        <v>1615</v>
      </c>
      <c r="Y50" s="271"/>
      <c r="Z50" s="116" t="s">
        <v>3207</v>
      </c>
      <c r="AA50" s="295" t="s">
        <v>404</v>
      </c>
      <c r="AB50" s="116" t="s">
        <v>3208</v>
      </c>
      <c r="AC50" s="116" t="s">
        <v>425</v>
      </c>
      <c r="AD50" s="116" t="s">
        <v>2901</v>
      </c>
      <c r="AE50" s="246"/>
      <c r="AF50" s="116" t="s">
        <v>1213</v>
      </c>
      <c r="AG50" s="116" t="s">
        <v>2477</v>
      </c>
      <c r="AH50" s="246"/>
      <c r="AI50" s="246"/>
      <c r="AJ50" s="116" t="s">
        <v>3209</v>
      </c>
      <c r="AK50" s="116" t="s">
        <v>3210</v>
      </c>
      <c r="AL50" s="97"/>
      <c r="AM50" s="280" t="s">
        <v>1445</v>
      </c>
      <c r="AN50" s="121" t="s">
        <v>3211</v>
      </c>
      <c r="AO50" s="280" t="s">
        <v>3212</v>
      </c>
      <c r="AP50" s="121" t="s">
        <v>3213</v>
      </c>
      <c r="AQ50" s="168" t="s">
        <v>3214</v>
      </c>
      <c r="AR50" s="168" t="s">
        <v>1916</v>
      </c>
      <c r="AS50" s="168" t="s">
        <v>3215</v>
      </c>
      <c r="AT50" s="247"/>
      <c r="AU50" s="121" t="s">
        <v>2578</v>
      </c>
      <c r="AV50" s="280" t="s">
        <v>178</v>
      </c>
      <c r="AW50" s="280" t="s">
        <v>3040</v>
      </c>
      <c r="AX50" s="247"/>
      <c r="AY50" s="121" t="s">
        <v>1330</v>
      </c>
      <c r="AZ50" s="121" t="s">
        <v>3216</v>
      </c>
      <c r="BA50" s="247"/>
      <c r="BB50" s="353" t="s">
        <v>2386</v>
      </c>
      <c r="BC50" s="126" t="s">
        <v>2780</v>
      </c>
      <c r="BD50" s="353" t="s">
        <v>2756</v>
      </c>
      <c r="BE50" s="353" t="s">
        <v>3217</v>
      </c>
      <c r="BF50" s="126" t="s">
        <v>147</v>
      </c>
      <c r="BG50" s="353" t="s">
        <v>3218</v>
      </c>
      <c r="BH50" s="173"/>
      <c r="BI50" s="353" t="s">
        <v>3092</v>
      </c>
      <c r="BJ50" s="126" t="s">
        <v>276</v>
      </c>
      <c r="BK50" s="353"/>
      <c r="BL50" s="126" t="s">
        <v>3020</v>
      </c>
      <c r="BM50" s="174" t="s">
        <v>3219</v>
      </c>
      <c r="BN50" s="174" t="s">
        <v>2230</v>
      </c>
      <c r="BO50" s="353" t="s">
        <v>1986</v>
      </c>
      <c r="BP50" s="126" t="s">
        <v>3220</v>
      </c>
      <c r="BQ50" s="249"/>
      <c r="BR50" s="131" t="s">
        <v>2556</v>
      </c>
      <c r="BS50" s="131" t="s">
        <v>3221</v>
      </c>
      <c r="BT50" s="131" t="s">
        <v>3222</v>
      </c>
      <c r="BU50" s="129" t="s">
        <v>379</v>
      </c>
      <c r="BV50" s="131" t="s">
        <v>3223</v>
      </c>
      <c r="BW50" s="129" t="s">
        <v>3224</v>
      </c>
      <c r="BX50" s="129" t="s">
        <v>3225</v>
      </c>
      <c r="BY50" s="129" t="s">
        <v>3226</v>
      </c>
      <c r="BZ50" s="131"/>
      <c r="CA50" s="129" t="s">
        <v>1797</v>
      </c>
      <c r="CB50" s="129" t="s">
        <v>3227</v>
      </c>
      <c r="CC50" s="129" t="s">
        <v>3228</v>
      </c>
      <c r="CD50" s="129" t="s">
        <v>3229</v>
      </c>
      <c r="CE50" s="129" t="s">
        <v>3230</v>
      </c>
      <c r="CF50" s="254"/>
      <c r="CG50" s="135" t="s">
        <v>3231</v>
      </c>
      <c r="CH50" s="412" t="s">
        <v>3232</v>
      </c>
      <c r="CI50" s="135" t="s">
        <v>3233</v>
      </c>
      <c r="CJ50" s="135" t="s">
        <v>3234</v>
      </c>
      <c r="CK50" s="264"/>
      <c r="CL50" s="136" t="s">
        <v>1649</v>
      </c>
      <c r="CM50" s="135" t="s">
        <v>3235</v>
      </c>
      <c r="CN50" s="135" t="s">
        <v>3236</v>
      </c>
      <c r="CO50" s="135" t="s">
        <v>3237</v>
      </c>
      <c r="CP50" s="412" t="s">
        <v>3238</v>
      </c>
      <c r="CQ50" s="135" t="s">
        <v>2373</v>
      </c>
      <c r="CR50" s="256"/>
      <c r="CS50" s="135" t="s">
        <v>3239</v>
      </c>
      <c r="CT50" s="412" t="s">
        <v>3240</v>
      </c>
      <c r="CU50" s="92"/>
      <c r="CV50" s="285" t="s">
        <v>3241</v>
      </c>
      <c r="CW50" s="285" t="s">
        <v>3242</v>
      </c>
      <c r="CX50" s="300" t="s">
        <v>3243</v>
      </c>
      <c r="CY50" s="140" t="s">
        <v>3244</v>
      </c>
      <c r="CZ50" s="285" t="s">
        <v>3245</v>
      </c>
      <c r="DA50" s="300" t="s">
        <v>851</v>
      </c>
      <c r="DB50" s="300" t="s">
        <v>837</v>
      </c>
      <c r="DC50" s="140" t="s">
        <v>2817</v>
      </c>
      <c r="DD50" s="204" t="s">
        <v>3246</v>
      </c>
      <c r="DE50" s="140" t="s">
        <v>3247</v>
      </c>
      <c r="DF50" s="204" t="s">
        <v>1117</v>
      </c>
      <c r="DG50" s="140" t="s">
        <v>3248</v>
      </c>
      <c r="DH50" s="258"/>
      <c r="DI50" s="206" t="s">
        <v>3249</v>
      </c>
      <c r="DJ50" s="259"/>
      <c r="DK50" s="259"/>
      <c r="DL50" s="206"/>
      <c r="DM50" s="206" t="s">
        <v>2070</v>
      </c>
      <c r="DN50" s="206" t="s">
        <v>3250</v>
      </c>
      <c r="DO50" s="205" t="s">
        <v>3251</v>
      </c>
      <c r="DP50" s="205" t="s">
        <v>3252</v>
      </c>
      <c r="DQ50" s="259"/>
      <c r="DR50" s="145" t="s">
        <v>3253</v>
      </c>
      <c r="DS50" s="206" t="s">
        <v>3254</v>
      </c>
      <c r="DT50" s="145" t="s">
        <v>3255</v>
      </c>
      <c r="DU50" s="420" t="s">
        <v>1361</v>
      </c>
      <c r="DV50" s="145" t="s">
        <v>2351</v>
      </c>
      <c r="DW50" s="205" t="s">
        <v>2932</v>
      </c>
      <c r="DX50" s="205" t="s">
        <v>2427</v>
      </c>
      <c r="DY50" s="205" t="s">
        <v>3256</v>
      </c>
      <c r="DZ50" s="205" t="s">
        <v>3257</v>
      </c>
      <c r="EA50" s="420" t="s">
        <v>3258</v>
      </c>
      <c r="EB50" s="205" t="s">
        <v>1190</v>
      </c>
      <c r="EC50" s="145" t="s">
        <v>1494</v>
      </c>
      <c r="ED50" s="287" t="s">
        <v>3259</v>
      </c>
    </row>
    <row r="51">
      <c r="A51" s="288" t="s">
        <v>3260</v>
      </c>
      <c r="B51" s="82" t="s">
        <v>3261</v>
      </c>
      <c r="C51" s="83" t="s">
        <v>1258</v>
      </c>
      <c r="D51" s="84" t="s">
        <v>1258</v>
      </c>
      <c r="E51" s="85" t="s">
        <v>546</v>
      </c>
      <c r="F51" s="86" t="s">
        <v>222</v>
      </c>
      <c r="G51" s="82" t="s">
        <v>2092</v>
      </c>
      <c r="H51" s="94" t="s">
        <v>1680</v>
      </c>
      <c r="I51" s="162" t="s">
        <v>3262</v>
      </c>
      <c r="J51" s="162" t="s">
        <v>3263</v>
      </c>
      <c r="K51" s="88" t="s">
        <v>2719</v>
      </c>
      <c r="L51" s="162" t="s">
        <v>1852</v>
      </c>
      <c r="M51" s="94" t="s">
        <v>3264</v>
      </c>
      <c r="N51" s="88" t="s">
        <v>3265</v>
      </c>
      <c r="O51" s="88" t="s">
        <v>3266</v>
      </c>
      <c r="P51" s="88" t="s">
        <v>3267</v>
      </c>
      <c r="Q51" s="99"/>
      <c r="R51" s="99"/>
      <c r="S51" s="99"/>
      <c r="T51" s="99"/>
      <c r="U51" s="99"/>
      <c r="V51" s="99"/>
      <c r="W51" s="92"/>
      <c r="X51" s="261" t="s">
        <v>1615</v>
      </c>
      <c r="Y51" s="94"/>
      <c r="Z51" s="94" t="s">
        <v>3268</v>
      </c>
      <c r="AA51" s="162" t="s">
        <v>3269</v>
      </c>
      <c r="AB51" s="94" t="s">
        <v>3270</v>
      </c>
      <c r="AC51" s="94" t="s">
        <v>2474</v>
      </c>
      <c r="AD51" s="88" t="s">
        <v>3271</v>
      </c>
      <c r="AE51" s="94" t="s">
        <v>3272</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2501</v>
      </c>
      <c r="BM51" s="99"/>
      <c r="BN51" s="99"/>
      <c r="BO51" s="99"/>
      <c r="BP51" s="99"/>
      <c r="BQ51" s="236"/>
      <c r="BR51" s="94" t="s">
        <v>3278</v>
      </c>
      <c r="BS51" s="94" t="s">
        <v>777</v>
      </c>
      <c r="BT51" s="88" t="s">
        <v>3279</v>
      </c>
      <c r="BU51" s="88" t="s">
        <v>1798</v>
      </c>
      <c r="BV51" s="94" t="s">
        <v>3280</v>
      </c>
      <c r="BW51" s="272" t="s">
        <v>3281</v>
      </c>
      <c r="BX51" s="94" t="s">
        <v>453</v>
      </c>
      <c r="BY51" s="267" t="s">
        <v>3282</v>
      </c>
      <c r="BZ51" s="162" t="s">
        <v>3283</v>
      </c>
      <c r="CA51" s="162" t="s">
        <v>790</v>
      </c>
      <c r="CB51" s="99"/>
      <c r="CC51" s="99"/>
      <c r="CD51" s="94" t="s">
        <v>2960</v>
      </c>
      <c r="CE51" s="99"/>
      <c r="CF51" s="236"/>
      <c r="CG51" s="94" t="s">
        <v>3284</v>
      </c>
      <c r="CH51" s="88" t="s">
        <v>2791</v>
      </c>
      <c r="CI51" s="162" t="s">
        <v>3285</v>
      </c>
      <c r="CJ51" s="94" t="s">
        <v>3286</v>
      </c>
      <c r="CK51" s="94"/>
      <c r="CL51" s="421" t="s">
        <v>3287</v>
      </c>
      <c r="CM51" s="88" t="s">
        <v>1450</v>
      </c>
      <c r="CN51" s="88" t="s">
        <v>2319</v>
      </c>
      <c r="CO51" s="94" t="s">
        <v>3003</v>
      </c>
      <c r="CP51" s="99"/>
      <c r="CQ51" s="99"/>
      <c r="CR51" s="99"/>
      <c r="CS51" s="99"/>
      <c r="CT51" s="99"/>
      <c r="CU51" s="92"/>
      <c r="CV51" s="94" t="s">
        <v>3288</v>
      </c>
      <c r="CW51" s="162" t="s">
        <v>1535</v>
      </c>
      <c r="CX51" s="94" t="s">
        <v>611</v>
      </c>
      <c r="CY51" s="162" t="s">
        <v>3289</v>
      </c>
      <c r="CZ51" s="94" t="s">
        <v>2497</v>
      </c>
      <c r="DA51" s="94" t="s">
        <v>1075</v>
      </c>
      <c r="DB51" s="162" t="s">
        <v>2270</v>
      </c>
      <c r="DC51" s="88" t="s">
        <v>1399</v>
      </c>
      <c r="DD51" s="99"/>
      <c r="DE51" s="99"/>
      <c r="DF51" s="99"/>
      <c r="DG51" s="99"/>
      <c r="DH51" s="236"/>
      <c r="DI51" s="94" t="s">
        <v>1289</v>
      </c>
      <c r="DJ51" s="94" t="s">
        <v>527</v>
      </c>
      <c r="DK51" s="99"/>
      <c r="DL51" s="99"/>
      <c r="DM51" s="88" t="s">
        <v>3290</v>
      </c>
      <c r="DN51" s="94" t="s">
        <v>1118</v>
      </c>
      <c r="DO51" s="94" t="s">
        <v>2334</v>
      </c>
      <c r="DP51" s="88" t="s">
        <v>632</v>
      </c>
      <c r="DQ51" s="99"/>
      <c r="DR51" s="88" t="s">
        <v>688</v>
      </c>
      <c r="DS51" s="267" t="s">
        <v>3291</v>
      </c>
      <c r="DT51" s="99"/>
      <c r="DU51" s="94" t="s">
        <v>595</v>
      </c>
      <c r="DV51" s="99"/>
      <c r="DW51" s="94" t="s">
        <v>210</v>
      </c>
      <c r="DX51" s="99"/>
      <c r="DY51" s="99"/>
      <c r="DZ51" s="99"/>
      <c r="EA51" s="99"/>
      <c r="EB51" s="94" t="s">
        <v>729</v>
      </c>
      <c r="EC51" s="94" t="s">
        <v>1194</v>
      </c>
      <c r="ED51" s="91" t="s">
        <v>3292</v>
      </c>
    </row>
    <row r="52">
      <c r="A52" s="422" t="s">
        <v>3293</v>
      </c>
      <c r="B52" s="104" t="s">
        <v>3294</v>
      </c>
      <c r="C52" s="105" t="s">
        <v>1258</v>
      </c>
      <c r="D52" s="106" t="s">
        <v>1258</v>
      </c>
      <c r="E52" s="107" t="s">
        <v>546</v>
      </c>
      <c r="F52" s="108" t="s">
        <v>1198</v>
      </c>
      <c r="G52" s="104" t="s">
        <v>3295</v>
      </c>
      <c r="H52" s="167" t="s">
        <v>3296</v>
      </c>
      <c r="I52" s="167" t="s">
        <v>3297</v>
      </c>
      <c r="J52" s="167" t="s">
        <v>1752</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3116</v>
      </c>
      <c r="V52" s="167" t="s">
        <v>3304</v>
      </c>
      <c r="W52" s="92"/>
      <c r="X52" s="198" t="s">
        <v>3305</v>
      </c>
      <c r="Y52" s="198"/>
      <c r="Z52" s="198" t="s">
        <v>3306</v>
      </c>
      <c r="AA52" s="198" t="s">
        <v>2283</v>
      </c>
      <c r="AB52" s="198" t="s">
        <v>2921</v>
      </c>
      <c r="AC52" s="198" t="s">
        <v>1965</v>
      </c>
      <c r="AD52" s="198" t="s">
        <v>570</v>
      </c>
      <c r="AE52" s="116" t="s">
        <v>3307</v>
      </c>
      <c r="AF52" s="198" t="s">
        <v>3308</v>
      </c>
      <c r="AG52" s="198" t="s">
        <v>3309</v>
      </c>
      <c r="AH52" s="116" t="s">
        <v>1629</v>
      </c>
      <c r="AI52" s="325"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3158</v>
      </c>
      <c r="AV52" s="168" t="s">
        <v>2124</v>
      </c>
      <c r="AW52" s="168" t="s">
        <v>1178</v>
      </c>
      <c r="AX52" s="168" t="s">
        <v>928</v>
      </c>
      <c r="AY52" s="168" t="s">
        <v>2942</v>
      </c>
      <c r="AZ52" s="168" t="s">
        <v>3319</v>
      </c>
      <c r="BA52" s="247"/>
      <c r="BB52" s="174" t="s">
        <v>3320</v>
      </c>
      <c r="BC52" s="174" t="s">
        <v>1159</v>
      </c>
      <c r="BD52" s="174" t="s">
        <v>1012</v>
      </c>
      <c r="BE52" s="174" t="s">
        <v>3321</v>
      </c>
      <c r="BF52" s="174" t="s">
        <v>3322</v>
      </c>
      <c r="BG52" s="174" t="s">
        <v>3323</v>
      </c>
      <c r="BH52" s="174" t="s">
        <v>939</v>
      </c>
      <c r="BI52" s="174" t="s">
        <v>1174</v>
      </c>
      <c r="BJ52" s="173"/>
      <c r="BK52" s="174" t="s">
        <v>3324</v>
      </c>
      <c r="BL52" s="174" t="s">
        <v>3325</v>
      </c>
      <c r="BM52" s="173"/>
      <c r="BN52" s="173"/>
      <c r="BO52" s="173"/>
      <c r="BP52" s="173"/>
      <c r="BQ52" s="249"/>
      <c r="BR52" s="175" t="s">
        <v>3326</v>
      </c>
      <c r="BS52" s="175" t="s">
        <v>3327</v>
      </c>
      <c r="BT52" s="175" t="s">
        <v>3328</v>
      </c>
      <c r="BU52" s="175" t="s">
        <v>3329</v>
      </c>
      <c r="BV52" s="175" t="s">
        <v>3330</v>
      </c>
      <c r="BW52" s="175" t="s">
        <v>895</v>
      </c>
      <c r="BX52" s="175" t="s">
        <v>3331</v>
      </c>
      <c r="BY52" s="175" t="s">
        <v>3332</v>
      </c>
      <c r="BZ52" s="175" t="s">
        <v>3333</v>
      </c>
      <c r="CA52" s="175" t="s">
        <v>1766</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1192</v>
      </c>
      <c r="CY52" s="204" t="s">
        <v>3343</v>
      </c>
      <c r="CZ52" s="204" t="s">
        <v>3344</v>
      </c>
      <c r="DA52" s="204" t="s">
        <v>2337</v>
      </c>
      <c r="DB52" s="233" t="s">
        <v>2251</v>
      </c>
      <c r="DC52" s="204" t="s">
        <v>3345</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1258</v>
      </c>
      <c r="D53" s="84" t="s">
        <v>1258</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6" t="s">
        <v>2787</v>
      </c>
      <c r="Y53" s="93"/>
      <c r="Z53" s="88" t="s">
        <v>2724</v>
      </c>
      <c r="AA53" s="94" t="s">
        <v>247</v>
      </c>
      <c r="AB53" s="88" t="s">
        <v>3358</v>
      </c>
      <c r="AC53" s="88" t="s">
        <v>3359</v>
      </c>
      <c r="AD53" s="88" t="s">
        <v>3360</v>
      </c>
      <c r="AE53" s="99"/>
      <c r="AF53" s="94" t="s">
        <v>418</v>
      </c>
      <c r="AG53" s="94" t="s">
        <v>2728</v>
      </c>
      <c r="AH53" s="99"/>
      <c r="AI53" s="99"/>
      <c r="AJ53" s="99"/>
      <c r="AK53" s="99"/>
      <c r="AL53" s="97"/>
      <c r="AM53" s="94" t="s">
        <v>3361</v>
      </c>
      <c r="AN53" s="88" t="s">
        <v>3362</v>
      </c>
      <c r="AO53" s="99"/>
      <c r="AP53" s="99"/>
      <c r="AQ53" s="99"/>
      <c r="AR53" s="99"/>
      <c r="AS53" s="99"/>
      <c r="AT53" s="99"/>
      <c r="AU53" s="94" t="s">
        <v>1751</v>
      </c>
      <c r="AV53" s="88" t="s">
        <v>2560</v>
      </c>
      <c r="AW53" s="99"/>
      <c r="AX53" s="99"/>
      <c r="AY53" s="99"/>
      <c r="AZ53" s="99"/>
      <c r="BA53" s="99"/>
      <c r="BB53" s="88" t="s">
        <v>1357</v>
      </c>
      <c r="BC53" s="88" t="s">
        <v>682</v>
      </c>
      <c r="BD53" s="88" t="s">
        <v>847</v>
      </c>
      <c r="BE53" s="267" t="s">
        <v>3363</v>
      </c>
      <c r="BF53" s="94" t="s">
        <v>3364</v>
      </c>
      <c r="BG53" s="99"/>
      <c r="BH53" s="99"/>
      <c r="BI53" s="88" t="s">
        <v>1410</v>
      </c>
      <c r="BJ53" s="99"/>
      <c r="BK53" s="88" t="s">
        <v>152</v>
      </c>
      <c r="BL53" s="94" t="s">
        <v>3338</v>
      </c>
      <c r="BM53" s="99"/>
      <c r="BN53" s="99"/>
      <c r="BO53" s="99"/>
      <c r="BP53" s="99"/>
      <c r="BQ53" s="236"/>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3036</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2433</v>
      </c>
      <c r="H54" s="112" t="s">
        <v>492</v>
      </c>
      <c r="I54" s="112" t="s">
        <v>3385</v>
      </c>
      <c r="J54" s="112" t="s">
        <v>3386</v>
      </c>
      <c r="K54" s="110" t="s">
        <v>2112</v>
      </c>
      <c r="L54" s="226" t="s">
        <v>1402</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568</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3175</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2676</v>
      </c>
      <c r="CP55" s="99"/>
      <c r="CQ55" s="99"/>
      <c r="CR55" s="99"/>
      <c r="CS55" s="94" t="s">
        <v>3180</v>
      </c>
      <c r="CT55" s="99"/>
      <c r="CU55" s="92"/>
      <c r="CV55" s="88" t="s">
        <v>3131</v>
      </c>
      <c r="CW55" s="94" t="s">
        <v>2183</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3295</v>
      </c>
      <c r="H56" s="419" t="s">
        <v>3444</v>
      </c>
      <c r="I56" s="427" t="s">
        <v>3445</v>
      </c>
      <c r="J56" s="419" t="s">
        <v>3446</v>
      </c>
      <c r="K56" s="419" t="s">
        <v>1954</v>
      </c>
      <c r="L56" s="112" t="s">
        <v>2880</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2728</v>
      </c>
      <c r="AB56" s="116" t="s">
        <v>3453</v>
      </c>
      <c r="AC56" s="117" t="s">
        <v>2416</v>
      </c>
      <c r="AD56" s="117" t="s">
        <v>3454</v>
      </c>
      <c r="AE56" s="246"/>
      <c r="AF56" s="117" t="s">
        <v>3455</v>
      </c>
      <c r="AG56" s="117" t="s">
        <v>2070</v>
      </c>
      <c r="AH56" s="198" t="s">
        <v>3456</v>
      </c>
      <c r="AI56" s="246"/>
      <c r="AJ56" s="117" t="s">
        <v>3457</v>
      </c>
      <c r="AK56" s="198" t="s">
        <v>3458</v>
      </c>
      <c r="AL56" s="97"/>
      <c r="AM56" s="124" t="s">
        <v>3153</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3163</v>
      </c>
      <c r="BE56" s="353" t="s">
        <v>929</v>
      </c>
      <c r="BF56" s="353" t="s">
        <v>3276</v>
      </c>
      <c r="BG56" s="353" t="s">
        <v>3341</v>
      </c>
      <c r="BH56" s="173"/>
      <c r="BI56" s="353" t="s">
        <v>877</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2645</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891</v>
      </c>
      <c r="CY56" s="285" t="s">
        <v>3289</v>
      </c>
      <c r="CZ56" s="285" t="s">
        <v>3486</v>
      </c>
      <c r="DA56" s="285" t="s">
        <v>1916</v>
      </c>
      <c r="DB56" s="430" t="s">
        <v>2923</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546</v>
      </c>
      <c r="E57" s="85" t="s">
        <v>1258</v>
      </c>
      <c r="F57" s="86" t="s">
        <v>2775</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3006</v>
      </c>
      <c r="AF57" s="94" t="s">
        <v>3308</v>
      </c>
      <c r="AG57" s="261" t="s">
        <v>568</v>
      </c>
      <c r="AH57" s="261" t="s">
        <v>3366</v>
      </c>
      <c r="AI57" s="99"/>
      <c r="AJ57" s="94" t="s">
        <v>1655</v>
      </c>
      <c r="AK57" s="99"/>
      <c r="AL57" s="97"/>
      <c r="AM57" s="94" t="s">
        <v>3249</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3076</v>
      </c>
      <c r="BD57" s="94" t="s">
        <v>3335</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3037</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2643</v>
      </c>
      <c r="DZ57" s="88" t="s">
        <v>952</v>
      </c>
      <c r="EA57" s="99"/>
      <c r="EB57" s="94" t="s">
        <v>2768</v>
      </c>
      <c r="EC57" s="94" t="s">
        <v>687</v>
      </c>
      <c r="ED57" s="95" t="s">
        <v>3537</v>
      </c>
    </row>
    <row r="58">
      <c r="A58" s="433" t="s">
        <v>3538</v>
      </c>
      <c r="B58" s="104" t="s">
        <v>3539</v>
      </c>
      <c r="C58" s="105" t="s">
        <v>546</v>
      </c>
      <c r="D58" s="106" t="s">
        <v>546</v>
      </c>
      <c r="E58" s="107" t="s">
        <v>1258</v>
      </c>
      <c r="F58" s="108" t="s">
        <v>438</v>
      </c>
      <c r="G58" s="104" t="s">
        <v>3540</v>
      </c>
      <c r="H58" s="167" t="s">
        <v>2214</v>
      </c>
      <c r="I58" s="167" t="s">
        <v>1377</v>
      </c>
      <c r="J58" s="167" t="s">
        <v>3541</v>
      </c>
      <c r="K58" s="112" t="s">
        <v>989</v>
      </c>
      <c r="L58" s="167" t="s">
        <v>462</v>
      </c>
      <c r="M58" s="243"/>
      <c r="N58" s="167" t="s">
        <v>3542</v>
      </c>
      <c r="O58" s="112" t="s">
        <v>3543</v>
      </c>
      <c r="P58" s="167" t="s">
        <v>109</v>
      </c>
      <c r="Q58" s="243"/>
      <c r="R58" s="243"/>
      <c r="S58" s="243"/>
      <c r="T58" s="243"/>
      <c r="U58" s="243"/>
      <c r="V58" s="243"/>
      <c r="W58" s="92"/>
      <c r="X58" s="116" t="s">
        <v>2126</v>
      </c>
      <c r="Y58" s="198"/>
      <c r="Z58" s="198" t="s">
        <v>1271</v>
      </c>
      <c r="AA58" s="198" t="s">
        <v>1828</v>
      </c>
      <c r="AB58" s="198" t="s">
        <v>3069</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3163</v>
      </c>
      <c r="AW58" s="247"/>
      <c r="AX58" s="247"/>
      <c r="AY58" s="168" t="s">
        <v>752</v>
      </c>
      <c r="AZ58" s="247"/>
      <c r="BA58" s="247"/>
      <c r="BB58" s="174" t="s">
        <v>3549</v>
      </c>
      <c r="BC58" s="174" t="s">
        <v>2161</v>
      </c>
      <c r="BD58" s="174" t="s">
        <v>3163</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3360</v>
      </c>
      <c r="CH58" s="177" t="s">
        <v>1106</v>
      </c>
      <c r="CI58" s="177" t="s">
        <v>2000</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3296</v>
      </c>
      <c r="I59" s="88" t="s">
        <v>3575</v>
      </c>
      <c r="J59" s="88" t="s">
        <v>3576</v>
      </c>
      <c r="K59" s="88" t="s">
        <v>1419</v>
      </c>
      <c r="L59" s="88" t="s">
        <v>410</v>
      </c>
      <c r="M59" s="267" t="s">
        <v>1264</v>
      </c>
      <c r="N59" s="88" t="s">
        <v>3577</v>
      </c>
      <c r="O59" s="88" t="s">
        <v>3388</v>
      </c>
      <c r="P59" s="88" t="s">
        <v>3578</v>
      </c>
      <c r="Q59" s="99"/>
      <c r="R59" s="99"/>
      <c r="S59" s="267" t="s">
        <v>3205</v>
      </c>
      <c r="T59" s="99"/>
      <c r="U59" s="94" t="s">
        <v>3579</v>
      </c>
      <c r="V59" s="99"/>
      <c r="W59" s="92"/>
      <c r="X59" s="267" t="s">
        <v>3580</v>
      </c>
      <c r="Y59" s="93" t="s">
        <v>2307</v>
      </c>
      <c r="Z59" s="267" t="s">
        <v>3146</v>
      </c>
      <c r="AA59" s="88" t="s">
        <v>3581</v>
      </c>
      <c r="AB59" s="267" t="s">
        <v>286</v>
      </c>
      <c r="AC59" s="267" t="s">
        <v>2175</v>
      </c>
      <c r="AD59" s="88" t="s">
        <v>3582</v>
      </c>
      <c r="AE59" s="99"/>
      <c r="AF59" s="88" t="s">
        <v>3583</v>
      </c>
      <c r="AG59" s="88" t="s">
        <v>3584</v>
      </c>
      <c r="AH59" s="99"/>
      <c r="AI59" s="99"/>
      <c r="AJ59" s="94" t="s">
        <v>1733</v>
      </c>
      <c r="AK59" s="99"/>
      <c r="AL59" s="97"/>
      <c r="AM59" s="94" t="s">
        <v>384</v>
      </c>
      <c r="AN59" s="267" t="s">
        <v>3211</v>
      </c>
      <c r="AO59" s="335" t="s">
        <v>3585</v>
      </c>
      <c r="AP59" s="94" t="s">
        <v>3586</v>
      </c>
      <c r="AQ59" s="99"/>
      <c r="AR59" s="99"/>
      <c r="AS59" s="99"/>
      <c r="AT59" s="99"/>
      <c r="AU59" s="267" t="s">
        <v>1877</v>
      </c>
      <c r="AV59" s="267" t="s">
        <v>2474</v>
      </c>
      <c r="AW59" s="94" t="s">
        <v>533</v>
      </c>
      <c r="AX59" s="99"/>
      <c r="AY59" s="267" t="s">
        <v>836</v>
      </c>
      <c r="AZ59" s="88" t="s">
        <v>3587</v>
      </c>
      <c r="BA59" s="99"/>
      <c r="BB59" s="88" t="s">
        <v>3588</v>
      </c>
      <c r="BC59" s="88" t="s">
        <v>3589</v>
      </c>
      <c r="BD59" s="88" t="s">
        <v>3590</v>
      </c>
      <c r="BE59" s="267" t="s">
        <v>3543</v>
      </c>
      <c r="BF59" s="88" t="s">
        <v>2475</v>
      </c>
      <c r="BG59" s="94" t="s">
        <v>441</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2918</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2959</v>
      </c>
      <c r="CY59" s="267" t="s">
        <v>3614</v>
      </c>
      <c r="CZ59" s="94" t="s">
        <v>3615</v>
      </c>
      <c r="DA59" s="267" t="s">
        <v>512</v>
      </c>
      <c r="DB59" s="434" t="s">
        <v>3616</v>
      </c>
      <c r="DC59" s="88" t="s">
        <v>1659</v>
      </c>
      <c r="DD59" s="99"/>
      <c r="DE59" s="267" t="s">
        <v>3457</v>
      </c>
      <c r="DF59" s="94" t="s">
        <v>3617</v>
      </c>
      <c r="DG59" s="99"/>
      <c r="DH59" s="236"/>
      <c r="DI59" s="94" t="s">
        <v>857</v>
      </c>
      <c r="DJ59" s="99"/>
      <c r="DK59" s="94"/>
      <c r="DL59" s="99"/>
      <c r="DM59" s="88" t="s">
        <v>510</v>
      </c>
      <c r="DN59" s="94" t="s">
        <v>2086</v>
      </c>
      <c r="DO59" s="267" t="s">
        <v>3618</v>
      </c>
      <c r="DP59" s="94" t="s">
        <v>961</v>
      </c>
      <c r="DQ59" s="99"/>
      <c r="DR59" s="94" t="s">
        <v>3619</v>
      </c>
      <c r="DS59" s="94" t="s">
        <v>3620</v>
      </c>
      <c r="DT59" s="94" t="s">
        <v>422</v>
      </c>
      <c r="DU59" s="88" t="s">
        <v>3621</v>
      </c>
      <c r="DV59" s="94" t="s">
        <v>777</v>
      </c>
      <c r="DW59" s="162" t="s">
        <v>3536</v>
      </c>
      <c r="DX59" s="99"/>
      <c r="DY59" s="162" t="s">
        <v>301</v>
      </c>
      <c r="DZ59" s="94" t="s">
        <v>2907</v>
      </c>
      <c r="EA59" s="94" t="s">
        <v>3622</v>
      </c>
      <c r="EB59" s="267" t="s">
        <v>496</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2830</v>
      </c>
      <c r="M60" s="112" t="s">
        <v>3631</v>
      </c>
      <c r="N60" s="112" t="s">
        <v>3632</v>
      </c>
      <c r="O60" s="112" t="s">
        <v>3633</v>
      </c>
      <c r="P60" s="112" t="s">
        <v>3634</v>
      </c>
      <c r="Q60" s="167" t="s">
        <v>3635</v>
      </c>
      <c r="R60" s="243"/>
      <c r="S60" s="112" t="s">
        <v>2274</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2944</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3342</v>
      </c>
      <c r="CX60" s="140" t="s">
        <v>970</v>
      </c>
      <c r="CY60" s="140" t="s">
        <v>3672</v>
      </c>
      <c r="CZ60" s="140" t="s">
        <v>3673</v>
      </c>
      <c r="DA60" s="204" t="s">
        <v>3674</v>
      </c>
      <c r="DB60" s="140" t="s">
        <v>3675</v>
      </c>
      <c r="DC60" s="140" t="s">
        <v>1904</v>
      </c>
      <c r="DD60" s="257"/>
      <c r="DE60" s="257"/>
      <c r="DF60" s="257"/>
      <c r="DG60" s="204" t="s">
        <v>3676</v>
      </c>
      <c r="DH60" s="204"/>
      <c r="DI60" s="145" t="s">
        <v>2880</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2879</v>
      </c>
      <c r="L61" s="88" t="s">
        <v>1263</v>
      </c>
      <c r="M61" s="94" t="s">
        <v>3687</v>
      </c>
      <c r="N61" s="88" t="s">
        <v>3688</v>
      </c>
      <c r="O61" s="94" t="s">
        <v>3650</v>
      </c>
      <c r="P61" s="94" t="s">
        <v>3301</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3117</v>
      </c>
      <c r="AJ61" s="94" t="s">
        <v>3044</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3308</v>
      </c>
      <c r="BQ61" s="94"/>
      <c r="BR61" s="88" t="s">
        <v>3716</v>
      </c>
      <c r="BS61" s="94" t="s">
        <v>3717</v>
      </c>
      <c r="BT61" s="94" t="s">
        <v>3718</v>
      </c>
      <c r="BU61" s="94" t="s">
        <v>3329</v>
      </c>
      <c r="BV61" s="94" t="s">
        <v>1924</v>
      </c>
      <c r="BW61" s="94" t="s">
        <v>3719</v>
      </c>
      <c r="BX61" s="94" t="s">
        <v>3517</v>
      </c>
      <c r="BY61" s="94" t="s">
        <v>3720</v>
      </c>
      <c r="BZ61" s="94" t="s">
        <v>3125</v>
      </c>
      <c r="CA61" s="94" t="s">
        <v>3721</v>
      </c>
      <c r="CB61" s="94" t="s">
        <v>2413</v>
      </c>
      <c r="CC61" s="94" t="s">
        <v>1269</v>
      </c>
      <c r="CD61" s="94" t="s">
        <v>1732</v>
      </c>
      <c r="CE61" s="94" t="s">
        <v>3722</v>
      </c>
      <c r="CF61" s="94"/>
      <c r="CG61" s="94" t="s">
        <v>3723</v>
      </c>
      <c r="CH61" s="162" t="s">
        <v>296</v>
      </c>
      <c r="CI61" s="94" t="s">
        <v>1916</v>
      </c>
      <c r="CJ61" s="94" t="s">
        <v>3025</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3112</v>
      </c>
      <c r="DW61" s="94" t="s">
        <v>1809</v>
      </c>
      <c r="DX61" s="94" t="s">
        <v>3746</v>
      </c>
      <c r="DY61" s="94" t="s">
        <v>2814</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3179</v>
      </c>
      <c r="Y62" s="197"/>
      <c r="Z62" s="197" t="s">
        <v>1047</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2664</v>
      </c>
      <c r="AN62" s="199" t="s">
        <v>3038</v>
      </c>
      <c r="AO62" s="199" t="s">
        <v>3767</v>
      </c>
      <c r="AP62" s="199" t="s">
        <v>3768</v>
      </c>
      <c r="AQ62" s="199" t="s">
        <v>3769</v>
      </c>
      <c r="AR62" s="199" t="s">
        <v>3770</v>
      </c>
      <c r="AS62" s="199" t="s">
        <v>3338</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2901</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1092</v>
      </c>
      <c r="CW62" s="430" t="s">
        <v>2587</v>
      </c>
      <c r="CX62" s="430" t="s">
        <v>533</v>
      </c>
      <c r="CY62" s="430" t="s">
        <v>3798</v>
      </c>
      <c r="CZ62" s="430" t="s">
        <v>3799</v>
      </c>
      <c r="DA62" s="430" t="s">
        <v>2560</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2587</v>
      </c>
      <c r="DU62" s="207" t="s">
        <v>3809</v>
      </c>
      <c r="DV62" s="207" t="s">
        <v>3810</v>
      </c>
      <c r="DW62" s="207" t="s">
        <v>3811</v>
      </c>
      <c r="DX62" s="207" t="s">
        <v>1848</v>
      </c>
      <c r="DY62" s="207" t="s">
        <v>2814</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2878</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3069</v>
      </c>
      <c r="AC63" s="94" t="s">
        <v>3070</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2879</v>
      </c>
      <c r="L64" s="167" t="s">
        <v>604</v>
      </c>
      <c r="M64" s="324" t="s">
        <v>3848</v>
      </c>
      <c r="N64" s="167" t="s">
        <v>675</v>
      </c>
      <c r="O64" s="167" t="s">
        <v>3849</v>
      </c>
      <c r="P64" s="167" t="s">
        <v>1780</v>
      </c>
      <c r="Q64" s="243"/>
      <c r="R64" s="243"/>
      <c r="S64" s="243"/>
      <c r="T64" s="243"/>
      <c r="U64" s="243"/>
      <c r="V64" s="243"/>
      <c r="W64" s="92"/>
      <c r="X64" s="198" t="s">
        <v>2887</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2917</v>
      </c>
      <c r="CN64" s="177" t="s">
        <v>1624</v>
      </c>
      <c r="CO64" s="132" t="str">
        <f>HYPERLINK("https://www.youtube.com/watch?v=LpklkoraHfQ","15.53")</f>
        <v>15.53</v>
      </c>
      <c r="CP64" s="256"/>
      <c r="CQ64" s="177"/>
      <c r="CR64" s="256"/>
      <c r="CS64" s="256"/>
      <c r="CT64" s="256"/>
      <c r="CU64" s="92"/>
      <c r="CV64" s="204" t="s">
        <v>2554</v>
      </c>
      <c r="CW64" s="204" t="s">
        <v>3342</v>
      </c>
      <c r="CX64" s="204" t="s">
        <v>3864</v>
      </c>
      <c r="CY64" s="140" t="s">
        <v>3865</v>
      </c>
      <c r="CZ64" s="283" t="s">
        <v>3866</v>
      </c>
      <c r="DA64" s="283" t="s">
        <v>3867</v>
      </c>
      <c r="DB64" s="204" t="s">
        <v>3868</v>
      </c>
      <c r="DC64" s="204" t="s">
        <v>1077</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3116</v>
      </c>
      <c r="V65" s="99"/>
      <c r="W65" s="92"/>
      <c r="X65" s="94" t="s">
        <v>1764</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877</v>
      </c>
      <c r="AW65" s="94" t="s">
        <v>3884</v>
      </c>
      <c r="AX65" s="99"/>
      <c r="AY65" s="94" t="s">
        <v>3067</v>
      </c>
      <c r="AZ65" s="99"/>
      <c r="BA65" s="99"/>
      <c r="BB65" s="94" t="s">
        <v>2787</v>
      </c>
      <c r="BC65" s="94" t="s">
        <v>3885</v>
      </c>
      <c r="BD65" s="94" t="s">
        <v>3649</v>
      </c>
      <c r="BE65" s="88" t="s">
        <v>3886</v>
      </c>
      <c r="BF65" s="88" t="s">
        <v>1922</v>
      </c>
      <c r="BG65" s="94" t="s">
        <v>1524</v>
      </c>
      <c r="BH65" s="99"/>
      <c r="BI65" s="94" t="s">
        <v>2741</v>
      </c>
      <c r="BJ65" s="99"/>
      <c r="BK65" s="94" t="s">
        <v>3887</v>
      </c>
      <c r="BL65" s="94" t="s">
        <v>3167</v>
      </c>
      <c r="BM65" s="99"/>
      <c r="BN65" s="88" t="s">
        <v>1744</v>
      </c>
      <c r="BO65" s="94" t="s">
        <v>3594</v>
      </c>
      <c r="BP65" s="99"/>
      <c r="BQ65" s="236"/>
      <c r="BR65" s="94"/>
      <c r="BS65" s="94" t="s">
        <v>2408</v>
      </c>
      <c r="BT65" s="94" t="s">
        <v>3888</v>
      </c>
      <c r="BU65" s="94" t="s">
        <v>3889</v>
      </c>
      <c r="BV65" s="94" t="s">
        <v>459</v>
      </c>
      <c r="BW65" s="94" t="s">
        <v>3890</v>
      </c>
      <c r="BX65" s="99"/>
      <c r="BY65" s="99"/>
      <c r="BZ65" s="94" t="s">
        <v>3891</v>
      </c>
      <c r="CA65" s="94" t="s">
        <v>968</v>
      </c>
      <c r="CB65" s="94" t="s">
        <v>3892</v>
      </c>
      <c r="CC65" s="94" t="s">
        <v>3041</v>
      </c>
      <c r="CD65" s="94" t="s">
        <v>144</v>
      </c>
      <c r="CE65" s="99"/>
      <c r="CF65" s="236"/>
      <c r="CG65" s="94" t="s">
        <v>3893</v>
      </c>
      <c r="CH65" s="94" t="s">
        <v>3016</v>
      </c>
      <c r="CI65" s="94" t="s">
        <v>3894</v>
      </c>
      <c r="CJ65" s="94" t="s">
        <v>3895</v>
      </c>
      <c r="CK65" s="94"/>
      <c r="CL65" s="94"/>
      <c r="CM65" s="94" t="s">
        <v>1982</v>
      </c>
      <c r="CN65" s="94" t="s">
        <v>817</v>
      </c>
      <c r="CO65" s="94" t="s">
        <v>2676</v>
      </c>
      <c r="CP65" s="99"/>
      <c r="CQ65" s="99"/>
      <c r="CR65" s="94"/>
      <c r="CS65" s="94" t="s">
        <v>2316</v>
      </c>
      <c r="CT65" s="99"/>
      <c r="CU65" s="92"/>
      <c r="CV65" s="94" t="s">
        <v>3896</v>
      </c>
      <c r="CW65" s="94" t="s">
        <v>2587</v>
      </c>
      <c r="CX65" s="94" t="s">
        <v>3897</v>
      </c>
      <c r="CY65" s="94" t="s">
        <v>3898</v>
      </c>
      <c r="CZ65" s="94" t="s">
        <v>3899</v>
      </c>
      <c r="DA65" s="94" t="s">
        <v>3900</v>
      </c>
      <c r="DB65" s="88" t="s">
        <v>3440</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3063</v>
      </c>
      <c r="G66" s="104" t="s">
        <v>2997</v>
      </c>
      <c r="H66" s="112" t="s">
        <v>3444</v>
      </c>
      <c r="I66" s="167" t="s">
        <v>2304</v>
      </c>
      <c r="J66" s="167" t="s">
        <v>3907</v>
      </c>
      <c r="K66" s="167" t="s">
        <v>3908</v>
      </c>
      <c r="L66" s="167" t="s">
        <v>3909</v>
      </c>
      <c r="M66" s="167" t="s">
        <v>2187</v>
      </c>
      <c r="N66" s="167" t="s">
        <v>3910</v>
      </c>
      <c r="O66" s="167" t="s">
        <v>3911</v>
      </c>
      <c r="P66" s="167" t="s">
        <v>3107</v>
      </c>
      <c r="Q66" s="167" t="s">
        <v>3912</v>
      </c>
      <c r="R66" s="324" t="s">
        <v>3913</v>
      </c>
      <c r="S66" s="112" t="s">
        <v>1728</v>
      </c>
      <c r="T66" s="243"/>
      <c r="U66" s="167" t="s">
        <v>519</v>
      </c>
      <c r="V66" s="167" t="s">
        <v>3914</v>
      </c>
      <c r="W66" s="92"/>
      <c r="X66" s="116" t="s">
        <v>3145</v>
      </c>
      <c r="Y66" s="198"/>
      <c r="Z66" s="198" t="s">
        <v>3915</v>
      </c>
      <c r="AA66" s="198" t="s">
        <v>3916</v>
      </c>
      <c r="AB66" s="198" t="s">
        <v>3917</v>
      </c>
      <c r="AC66" s="198" t="s">
        <v>3918</v>
      </c>
      <c r="AD66" s="198" t="s">
        <v>3919</v>
      </c>
      <c r="AE66" s="198" t="s">
        <v>124</v>
      </c>
      <c r="AF66" s="198" t="s">
        <v>3150</v>
      </c>
      <c r="AG66" s="198" t="s">
        <v>1431</v>
      </c>
      <c r="AH66" s="198" t="s">
        <v>3920</v>
      </c>
      <c r="AI66" s="198"/>
      <c r="AJ66" s="198" t="s">
        <v>3344</v>
      </c>
      <c r="AK66" s="198" t="s">
        <v>3921</v>
      </c>
      <c r="AL66" s="97"/>
      <c r="AM66" s="168" t="s">
        <v>994</v>
      </c>
      <c r="AN66" s="168" t="s">
        <v>3922</v>
      </c>
      <c r="AO66" s="168" t="s">
        <v>3923</v>
      </c>
      <c r="AP66" s="168" t="s">
        <v>987</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940</v>
      </c>
      <c r="BF66" s="174" t="s">
        <v>2985</v>
      </c>
      <c r="BG66" s="174" t="s">
        <v>3932</v>
      </c>
      <c r="BH66" s="174" t="s">
        <v>3933</v>
      </c>
      <c r="BI66" s="174" t="s">
        <v>2515</v>
      </c>
      <c r="BJ66" s="174" t="s">
        <v>3021</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915</v>
      </c>
      <c r="CD66" s="175" t="s">
        <v>3942</v>
      </c>
      <c r="CE66" s="175" t="s">
        <v>3943</v>
      </c>
      <c r="CF66" s="254"/>
      <c r="CG66" s="444">
        <v>55.85</v>
      </c>
      <c r="CH66" s="177" t="s">
        <v>243</v>
      </c>
      <c r="CI66" s="177" t="s">
        <v>3944</v>
      </c>
      <c r="CJ66" s="177" t="s">
        <v>3035</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3213</v>
      </c>
      <c r="O67" s="329" t="s">
        <v>3978</v>
      </c>
      <c r="P67" s="319" t="s">
        <v>2928</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3566</v>
      </c>
      <c r="AX67" s="319" t="s">
        <v>1715</v>
      </c>
      <c r="AY67" s="319" t="s">
        <v>3994</v>
      </c>
      <c r="AZ67" s="319" t="s">
        <v>3995</v>
      </c>
      <c r="BA67" s="319"/>
      <c r="BB67" s="319" t="s">
        <v>3996</v>
      </c>
      <c r="BC67" s="316" t="s">
        <v>2780</v>
      </c>
      <c r="BD67" s="319" t="s">
        <v>1392</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3160</v>
      </c>
      <c r="CI67" s="319" t="s">
        <v>4012</v>
      </c>
      <c r="CJ67" s="316" t="s">
        <v>4013</v>
      </c>
      <c r="CK67" s="452"/>
      <c r="CL67" s="452" t="s">
        <v>4014</v>
      </c>
      <c r="CM67" s="319" t="s">
        <v>4015</v>
      </c>
      <c r="CN67" s="316" t="s">
        <v>3243</v>
      </c>
      <c r="CO67" s="316" t="s">
        <v>4016</v>
      </c>
      <c r="CP67" s="319" t="s">
        <v>4017</v>
      </c>
      <c r="CQ67" s="319" t="s">
        <v>4018</v>
      </c>
      <c r="CR67" s="319"/>
      <c r="CS67" s="319" t="s">
        <v>1433</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2300</v>
      </c>
      <c r="DF67" s="319" t="s">
        <v>2524</v>
      </c>
      <c r="DG67" s="319" t="s">
        <v>3459</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3101</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3584</v>
      </c>
      <c r="AH68" s="246"/>
      <c r="AI68" s="117"/>
      <c r="AJ68" s="116" t="s">
        <v>4044</v>
      </c>
      <c r="AK68" s="246"/>
      <c r="AL68" s="97"/>
      <c r="AM68" s="247"/>
      <c r="AN68" s="121" t="s">
        <v>1745</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1002</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3184</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1006</v>
      </c>
      <c r="AA69" s="94" t="s">
        <v>4066</v>
      </c>
      <c r="AB69" s="88" t="s">
        <v>3760</v>
      </c>
      <c r="AC69" s="88" t="s">
        <v>4067</v>
      </c>
      <c r="AD69" s="94" t="s">
        <v>4068</v>
      </c>
      <c r="AE69" s="94"/>
      <c r="AF69" s="94" t="s">
        <v>4069</v>
      </c>
      <c r="AG69" s="94" t="s">
        <v>2283</v>
      </c>
      <c r="AH69" s="94" t="s">
        <v>4070</v>
      </c>
      <c r="AI69" s="94"/>
      <c r="AJ69" s="94" t="s">
        <v>3235</v>
      </c>
      <c r="AK69" s="88" t="s">
        <v>702</v>
      </c>
      <c r="AL69" s="97"/>
      <c r="AM69" s="94" t="s">
        <v>3510</v>
      </c>
      <c r="AN69" s="88" t="s">
        <v>3883</v>
      </c>
      <c r="AO69" s="94" t="s">
        <v>4071</v>
      </c>
      <c r="AP69" s="94" t="s">
        <v>4072</v>
      </c>
      <c r="AQ69" s="94" t="s">
        <v>4073</v>
      </c>
      <c r="AR69" s="94" t="s">
        <v>2703</v>
      </c>
      <c r="AS69" s="99"/>
      <c r="AT69" s="99"/>
      <c r="AU69" s="94" t="s">
        <v>1877</v>
      </c>
      <c r="AV69" s="94" t="s">
        <v>1053</v>
      </c>
      <c r="AW69" s="94" t="s">
        <v>2152</v>
      </c>
      <c r="AX69" s="99"/>
      <c r="AY69" s="88" t="s">
        <v>4074</v>
      </c>
      <c r="AZ69" s="94" t="s">
        <v>4075</v>
      </c>
      <c r="BA69" s="94"/>
      <c r="BB69" s="88" t="s">
        <v>2096</v>
      </c>
      <c r="BC69" s="94" t="s">
        <v>1475</v>
      </c>
      <c r="BD69" s="88" t="s">
        <v>1392</v>
      </c>
      <c r="BE69" s="88" t="s">
        <v>3543</v>
      </c>
      <c r="BF69" s="162" t="s">
        <v>4076</v>
      </c>
      <c r="BG69" s="94" t="s">
        <v>2277</v>
      </c>
      <c r="BH69" s="94" t="s">
        <v>1982</v>
      </c>
      <c r="BI69" s="94" t="s">
        <v>3092</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848</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3176</v>
      </c>
      <c r="DT69" s="99"/>
      <c r="DU69" s="94" t="s">
        <v>3204</v>
      </c>
      <c r="DV69" s="94" t="s">
        <v>4111</v>
      </c>
      <c r="DW69" s="94" t="s">
        <v>889</v>
      </c>
      <c r="DX69" s="94" t="s">
        <v>2586</v>
      </c>
      <c r="DY69" s="94" t="s">
        <v>1053</v>
      </c>
      <c r="DZ69" s="94" t="s">
        <v>2608</v>
      </c>
      <c r="EA69" s="94" t="s">
        <v>1493</v>
      </c>
      <c r="EB69" s="94" t="s">
        <v>4112</v>
      </c>
      <c r="EC69" s="88" t="s">
        <v>3256</v>
      </c>
      <c r="ED69" s="261" t="s">
        <v>4113</v>
      </c>
    </row>
    <row r="70">
      <c r="A70" s="103" t="s">
        <v>4114</v>
      </c>
      <c r="B70" s="453" t="s">
        <v>4115</v>
      </c>
      <c r="C70" s="454" t="s">
        <v>1258</v>
      </c>
      <c r="D70" s="455" t="s">
        <v>546</v>
      </c>
      <c r="E70" s="456" t="s">
        <v>546</v>
      </c>
      <c r="F70" s="457" t="s">
        <v>4116</v>
      </c>
      <c r="G70" s="453" t="s">
        <v>1498</v>
      </c>
      <c r="H70" s="458" t="s">
        <v>4117</v>
      </c>
      <c r="I70" s="458" t="s">
        <v>3064</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4068</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3211</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3295</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2944</v>
      </c>
      <c r="BC71" s="88" t="s">
        <v>310</v>
      </c>
      <c r="BD71" s="88" t="s">
        <v>1012</v>
      </c>
      <c r="BE71" s="88" t="s">
        <v>4147</v>
      </c>
      <c r="BF71" s="88" t="s">
        <v>4148</v>
      </c>
      <c r="BG71" s="88" t="s">
        <v>3181</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3167</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364</v>
      </c>
      <c r="AR72" s="168"/>
      <c r="AS72" s="168" t="s">
        <v>338</v>
      </c>
      <c r="AT72" s="168" t="s">
        <v>4189</v>
      </c>
      <c r="AU72" s="168" t="s">
        <v>815</v>
      </c>
      <c r="AV72" s="168" t="s">
        <v>913</v>
      </c>
      <c r="AW72" s="168" t="s">
        <v>4190</v>
      </c>
      <c r="AX72" s="247"/>
      <c r="AY72" s="247"/>
      <c r="AZ72" s="168" t="s">
        <v>4191</v>
      </c>
      <c r="BA72" s="168"/>
      <c r="BB72" s="174" t="s">
        <v>4130</v>
      </c>
      <c r="BC72" s="174" t="s">
        <v>2926</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3273</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2939</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529</v>
      </c>
      <c r="DN75" s="99"/>
      <c r="DO75" s="94" t="s">
        <v>1026</v>
      </c>
      <c r="DP75" s="94" t="s">
        <v>4282</v>
      </c>
      <c r="DQ75" s="99"/>
      <c r="DR75" s="99"/>
      <c r="DS75" s="88" t="s">
        <v>2245</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1383</v>
      </c>
      <c r="CR76" s="177"/>
      <c r="CS76" s="177" t="s">
        <v>4333</v>
      </c>
      <c r="CT76" s="177" t="s">
        <v>4334</v>
      </c>
      <c r="CU76" s="92"/>
      <c r="CV76" s="204" t="s">
        <v>3043</v>
      </c>
      <c r="CW76" s="204" t="s">
        <v>4335</v>
      </c>
      <c r="CX76" s="204" t="s">
        <v>4336</v>
      </c>
      <c r="CY76" s="204" t="s">
        <v>1546</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1601</v>
      </c>
      <c r="BG77" s="99"/>
      <c r="BH77" s="99"/>
      <c r="BI77" s="94" t="s">
        <v>1326</v>
      </c>
      <c r="BJ77" s="94"/>
      <c r="BK77" s="94"/>
      <c r="BL77" s="94" t="s">
        <v>2057</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2906</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2950</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922</v>
      </c>
      <c r="BW78" s="175" t="s">
        <v>4392</v>
      </c>
      <c r="BX78" s="175" t="s">
        <v>4393</v>
      </c>
      <c r="BY78" s="175" t="s">
        <v>4394</v>
      </c>
      <c r="BZ78" s="175" t="s">
        <v>4395</v>
      </c>
      <c r="CA78" s="175" t="s">
        <v>3719</v>
      </c>
      <c r="CB78" s="253"/>
      <c r="CC78" s="253"/>
      <c r="CD78" s="253"/>
      <c r="CE78" s="253"/>
      <c r="CF78" s="254"/>
      <c r="CG78" s="177" t="s">
        <v>2206</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864</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3152</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2775</v>
      </c>
      <c r="G80" s="104" t="s">
        <v>1951</v>
      </c>
      <c r="H80" s="112" t="s">
        <v>2851</v>
      </c>
      <c r="I80" s="293" t="s">
        <v>4443</v>
      </c>
      <c r="J80" s="167" t="s">
        <v>108</v>
      </c>
      <c r="K80" s="167" t="s">
        <v>4444</v>
      </c>
      <c r="L80" s="167" t="s">
        <v>4445</v>
      </c>
      <c r="M80" s="167" t="s">
        <v>4446</v>
      </c>
      <c r="N80" s="167" t="s">
        <v>4447</v>
      </c>
      <c r="O80" s="167" t="s">
        <v>371</v>
      </c>
      <c r="P80" s="167" t="s">
        <v>2981</v>
      </c>
      <c r="Q80" s="112" t="s">
        <v>4448</v>
      </c>
      <c r="R80" s="167" t="s">
        <v>2515</v>
      </c>
      <c r="S80" s="275" t="s">
        <v>3017</v>
      </c>
      <c r="T80" s="167" t="s">
        <v>3008</v>
      </c>
      <c r="U80" s="167" t="s">
        <v>1911</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1770</v>
      </c>
      <c r="BZ80" s="176" t="s">
        <v>3661</v>
      </c>
      <c r="CA80" s="175" t="s">
        <v>4285</v>
      </c>
      <c r="CB80" s="175" t="s">
        <v>4474</v>
      </c>
      <c r="CC80" s="175" t="s">
        <v>4475</v>
      </c>
      <c r="CD80" s="175" t="s">
        <v>3229</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9"/>
      <c r="DJ80" s="259"/>
      <c r="DK80" s="205" t="s">
        <v>4493</v>
      </c>
      <c r="DL80" s="259"/>
      <c r="DM80" s="145" t="s">
        <v>3290</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3237</v>
      </c>
      <c r="CP81" s="99"/>
      <c r="CQ81" s="99"/>
      <c r="CR81" s="99"/>
      <c r="CS81" s="99"/>
      <c r="CT81" s="99"/>
      <c r="CU81" s="92"/>
      <c r="CV81" s="94" t="s">
        <v>4516</v>
      </c>
      <c r="CW81" s="99"/>
      <c r="CX81" s="93" t="s">
        <v>757</v>
      </c>
      <c r="CY81" s="94" t="s">
        <v>3270</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2948</v>
      </c>
      <c r="M82" s="112" t="s">
        <v>4522</v>
      </c>
      <c r="N82" s="293" t="s">
        <v>4523</v>
      </c>
      <c r="O82" s="293" t="s">
        <v>3878</v>
      </c>
      <c r="P82" s="293" t="s">
        <v>3107</v>
      </c>
      <c r="Q82" s="492"/>
      <c r="R82" s="492"/>
      <c r="S82" s="492"/>
      <c r="T82" s="492"/>
      <c r="U82" s="492"/>
      <c r="V82" s="492"/>
      <c r="W82" s="493"/>
      <c r="X82" s="295" t="s">
        <v>1915</v>
      </c>
      <c r="Y82" s="295"/>
      <c r="Z82" s="295" t="s">
        <v>3074</v>
      </c>
      <c r="AA82" s="295" t="s">
        <v>2204</v>
      </c>
      <c r="AB82" s="295" t="s">
        <v>3898</v>
      </c>
      <c r="AC82" s="295" t="s">
        <v>1696</v>
      </c>
      <c r="AD82" s="295" t="s">
        <v>3071</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2736</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3331</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3095</v>
      </c>
      <c r="DQ83" s="94" t="s">
        <v>4223</v>
      </c>
      <c r="DR83" s="88" t="s">
        <v>4600</v>
      </c>
      <c r="DS83" s="88" t="s">
        <v>3513</v>
      </c>
      <c r="DT83" s="88" t="s">
        <v>3795</v>
      </c>
      <c r="DU83" s="94" t="s">
        <v>2116</v>
      </c>
      <c r="DV83" s="94" t="s">
        <v>4601</v>
      </c>
      <c r="DW83" s="88" t="s">
        <v>2932</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4066</v>
      </c>
      <c r="Q84" s="243"/>
      <c r="R84" s="167" t="s">
        <v>3756</v>
      </c>
      <c r="S84" s="167" t="s">
        <v>1504</v>
      </c>
      <c r="T84" s="243"/>
      <c r="U84" s="243"/>
      <c r="V84" s="243"/>
      <c r="W84" s="92"/>
      <c r="X84" s="198" t="s">
        <v>3588</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3101</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3150</v>
      </c>
      <c r="AG87" s="99"/>
      <c r="AH87" s="99"/>
      <c r="AI87" s="94"/>
      <c r="AJ87" s="94" t="s">
        <v>3144</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989</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3142</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2996</v>
      </c>
      <c r="G90" s="515" t="s">
        <v>1349</v>
      </c>
      <c r="H90" s="520" t="s">
        <v>4735</v>
      </c>
      <c r="I90" s="521" t="s">
        <v>4736</v>
      </c>
      <c r="J90" s="520" t="s">
        <v>4737</v>
      </c>
      <c r="K90" s="520" t="s">
        <v>2165</v>
      </c>
      <c r="L90" s="520" t="s">
        <v>2944</v>
      </c>
      <c r="M90" s="520" t="s">
        <v>4738</v>
      </c>
      <c r="N90" s="521" t="s">
        <v>4739</v>
      </c>
      <c r="O90" s="520" t="s">
        <v>371</v>
      </c>
      <c r="P90" s="522" t="s">
        <v>4740</v>
      </c>
      <c r="Q90" s="522" t="s">
        <v>4741</v>
      </c>
      <c r="R90" s="522" t="s">
        <v>2525</v>
      </c>
      <c r="S90" s="522" t="s">
        <v>3612</v>
      </c>
      <c r="T90" s="522" t="s">
        <v>1267</v>
      </c>
      <c r="U90" s="522" t="s">
        <v>4742</v>
      </c>
      <c r="V90" s="520" t="s">
        <v>4743</v>
      </c>
      <c r="W90" s="523"/>
      <c r="X90" s="524" t="s">
        <v>2969</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3000</v>
      </c>
      <c r="AQ90" s="530" t="s">
        <v>134</v>
      </c>
      <c r="AR90" s="530" t="s">
        <v>1932</v>
      </c>
      <c r="AS90" s="529" t="s">
        <v>4750</v>
      </c>
      <c r="AT90" s="530" t="s">
        <v>4751</v>
      </c>
      <c r="AU90" s="530" t="s">
        <v>3158</v>
      </c>
      <c r="AV90" s="531" t="s">
        <v>2538</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3279</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3352</v>
      </c>
      <c r="DU90" s="555" t="s">
        <v>4779</v>
      </c>
      <c r="DV90" s="559"/>
      <c r="DW90" s="557" t="s">
        <v>1626</v>
      </c>
      <c r="DX90" s="556"/>
      <c r="DY90" s="557" t="s">
        <v>3129</v>
      </c>
      <c r="DZ90" s="555" t="s">
        <v>2829</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2877</v>
      </c>
      <c r="DS91" s="88" t="s">
        <v>2536</v>
      </c>
      <c r="DT91" s="99"/>
      <c r="DU91" s="99"/>
      <c r="DV91" s="99"/>
      <c r="DW91" s="99"/>
      <c r="DX91" s="99"/>
      <c r="DY91" s="99"/>
      <c r="DZ91" s="99"/>
      <c r="EA91" s="94" t="s">
        <v>4800</v>
      </c>
      <c r="EB91" s="88" t="s">
        <v>2805</v>
      </c>
      <c r="EC91" s="99"/>
      <c r="ED91" s="98" t="s">
        <v>1722</v>
      </c>
    </row>
    <row r="92">
      <c r="A92" s="166" t="s">
        <v>4801</v>
      </c>
      <c r="B92" s="104" t="s">
        <v>4802</v>
      </c>
      <c r="C92" s="105" t="s">
        <v>1258</v>
      </c>
      <c r="D92" s="106" t="s">
        <v>1258</v>
      </c>
      <c r="E92" s="107" t="s">
        <v>1258</v>
      </c>
      <c r="F92" s="108" t="s">
        <v>3872</v>
      </c>
      <c r="G92" s="104" t="s">
        <v>1813</v>
      </c>
      <c r="H92" s="167" t="s">
        <v>3469</v>
      </c>
      <c r="I92" s="167" t="s">
        <v>4803</v>
      </c>
      <c r="J92" s="167" t="s">
        <v>1364</v>
      </c>
      <c r="K92" s="167" t="s">
        <v>4608</v>
      </c>
      <c r="L92" s="167" t="s">
        <v>4804</v>
      </c>
      <c r="M92" s="243"/>
      <c r="N92" s="167" t="s">
        <v>2244</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3356</v>
      </c>
      <c r="BO92" s="174" t="s">
        <v>2303</v>
      </c>
      <c r="BP92" s="174" t="s">
        <v>4822</v>
      </c>
      <c r="BQ92" s="174"/>
      <c r="BR92" s="253"/>
      <c r="BS92" s="253"/>
      <c r="BT92" s="175" t="s">
        <v>4823</v>
      </c>
      <c r="BU92" s="175" t="s">
        <v>2169</v>
      </c>
      <c r="BV92" s="175" t="s">
        <v>4824</v>
      </c>
      <c r="BW92" s="175" t="s">
        <v>2993</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3242</v>
      </c>
      <c r="CM92" s="256"/>
      <c r="CN92" s="177" t="s">
        <v>4829</v>
      </c>
      <c r="CO92" s="177" t="s">
        <v>3420</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3188</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997</v>
      </c>
      <c r="L93" s="94" t="s">
        <v>4846</v>
      </c>
      <c r="M93" s="94" t="s">
        <v>4847</v>
      </c>
      <c r="N93" s="94" t="s">
        <v>4848</v>
      </c>
      <c r="O93" s="94" t="s">
        <v>2800</v>
      </c>
      <c r="P93" s="88" t="s">
        <v>3107</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3279</v>
      </c>
      <c r="BO93" s="94" t="s">
        <v>4493</v>
      </c>
      <c r="BP93" s="99"/>
      <c r="BQ93" s="236"/>
      <c r="BR93" s="99"/>
      <c r="BS93" s="94" t="s">
        <v>2238</v>
      </c>
      <c r="BT93" s="98" t="s">
        <v>3690</v>
      </c>
      <c r="BU93" s="94" t="s">
        <v>2087</v>
      </c>
      <c r="BV93" s="94" t="s">
        <v>4856</v>
      </c>
      <c r="BW93" s="94" t="s">
        <v>2993</v>
      </c>
      <c r="BX93" s="99"/>
      <c r="BY93" s="99"/>
      <c r="BZ93" s="99"/>
      <c r="CA93" s="88" t="s">
        <v>4763</v>
      </c>
      <c r="CB93" s="88" t="s">
        <v>4857</v>
      </c>
      <c r="CC93" s="99"/>
      <c r="CD93" s="88" t="s">
        <v>3175</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3063</v>
      </c>
      <c r="G94" s="104" t="s">
        <v>4683</v>
      </c>
      <c r="H94" s="419" t="s">
        <v>4131</v>
      </c>
      <c r="I94" s="427" t="s">
        <v>4872</v>
      </c>
      <c r="J94" s="112" t="s">
        <v>4873</v>
      </c>
      <c r="K94" s="112" t="s">
        <v>2879</v>
      </c>
      <c r="L94" s="419" t="s">
        <v>280</v>
      </c>
      <c r="M94" s="419"/>
      <c r="N94" s="419"/>
      <c r="O94" s="419" t="s">
        <v>3229</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3003</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2898</v>
      </c>
      <c r="BO94" s="353"/>
      <c r="BP94" s="173"/>
      <c r="BQ94" s="249"/>
      <c r="BR94" s="129" t="s">
        <v>156</v>
      </c>
      <c r="BS94" s="129" t="s">
        <v>373</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3118</v>
      </c>
      <c r="DT94" s="259"/>
      <c r="DU94" s="206"/>
      <c r="DV94" s="205" t="s">
        <v>1389</v>
      </c>
      <c r="DW94" s="259"/>
      <c r="DX94" s="259"/>
      <c r="DY94" s="259"/>
      <c r="DZ94" s="259"/>
      <c r="EA94" s="206"/>
      <c r="EB94" s="259"/>
      <c r="EC94" s="259"/>
      <c r="ED94" s="287"/>
    </row>
    <row r="95">
      <c r="A95" s="81" t="s">
        <v>4884</v>
      </c>
      <c r="B95" s="82" t="s">
        <v>4885</v>
      </c>
      <c r="C95" s="83" t="s">
        <v>1258</v>
      </c>
      <c r="D95" s="84" t="s">
        <v>1258</v>
      </c>
      <c r="E95" s="85" t="s">
        <v>1258</v>
      </c>
      <c r="F95" s="86" t="s">
        <v>3872</v>
      </c>
      <c r="G95" s="82" t="s">
        <v>1812</v>
      </c>
      <c r="H95" s="99"/>
      <c r="I95" s="99"/>
      <c r="J95" s="99"/>
      <c r="K95" s="88" t="s">
        <v>2879</v>
      </c>
      <c r="L95" s="94" t="s">
        <v>4647</v>
      </c>
      <c r="M95" s="88" t="s">
        <v>4886</v>
      </c>
      <c r="N95" s="99"/>
      <c r="O95" s="94" t="s">
        <v>928</v>
      </c>
      <c r="P95" s="94" t="s">
        <v>2553</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1376</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1341</v>
      </c>
      <c r="BX95" s="99"/>
      <c r="BY95" s="94" t="s">
        <v>3332</v>
      </c>
      <c r="BZ95" s="94" t="s">
        <v>4892</v>
      </c>
      <c r="CA95" s="94" t="s">
        <v>4893</v>
      </c>
      <c r="CB95" s="99"/>
      <c r="CC95" s="99"/>
      <c r="CD95" s="99"/>
      <c r="CE95" s="99"/>
      <c r="CF95" s="236"/>
      <c r="CG95" s="88" t="s">
        <v>171</v>
      </c>
      <c r="CH95" s="94" t="s">
        <v>891</v>
      </c>
      <c r="CI95" s="99"/>
      <c r="CJ95" s="88" t="s">
        <v>4894</v>
      </c>
      <c r="CK95" s="93"/>
      <c r="CL95" s="93"/>
      <c r="CM95" s="94" t="s">
        <v>3712</v>
      </c>
      <c r="CN95" s="94" t="s">
        <v>1055</v>
      </c>
      <c r="CO95" s="99"/>
      <c r="CP95" s="88" t="s">
        <v>4895</v>
      </c>
      <c r="CQ95" s="99"/>
      <c r="CR95" s="99"/>
      <c r="CS95" s="99"/>
      <c r="CT95" s="99"/>
      <c r="CU95" s="92"/>
      <c r="CV95" s="94" t="s">
        <v>1788</v>
      </c>
      <c r="CW95" s="99"/>
      <c r="CX95" s="94" t="s">
        <v>2175</v>
      </c>
      <c r="CY95" s="99"/>
      <c r="CZ95" s="94" t="s">
        <v>4896</v>
      </c>
      <c r="DA95" s="94" t="s">
        <v>1912</v>
      </c>
      <c r="DB95" s="94" t="s">
        <v>2251</v>
      </c>
      <c r="DC95" s="94" t="s">
        <v>1512</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1258</v>
      </c>
      <c r="D96" s="106" t="s">
        <v>546</v>
      </c>
      <c r="E96" s="107" t="s">
        <v>1258</v>
      </c>
      <c r="F96" s="108" t="s">
        <v>4900</v>
      </c>
      <c r="G96" s="104" t="s">
        <v>2092</v>
      </c>
      <c r="H96" s="167" t="s">
        <v>793</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1661</v>
      </c>
      <c r="Y96" s="246"/>
      <c r="Z96" s="246"/>
      <c r="AA96" s="116" t="s">
        <v>1070</v>
      </c>
      <c r="AB96" s="197" t="s">
        <v>4908</v>
      </c>
      <c r="AC96" s="116" t="s">
        <v>1481</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2093</v>
      </c>
      <c r="BC96" s="174" t="s">
        <v>2830</v>
      </c>
      <c r="BD96" s="174" t="s">
        <v>1906</v>
      </c>
      <c r="BE96" s="126" t="s">
        <v>2423</v>
      </c>
      <c r="BF96" s="126" t="s">
        <v>4642</v>
      </c>
      <c r="BG96" s="173"/>
      <c r="BH96" s="173"/>
      <c r="BI96" s="126" t="s">
        <v>2933</v>
      </c>
      <c r="BJ96" s="173"/>
      <c r="BK96" s="126" t="s">
        <v>4914</v>
      </c>
      <c r="BL96" s="126" t="s">
        <v>2771</v>
      </c>
      <c r="BM96" s="173"/>
      <c r="BN96" s="126" t="s">
        <v>2491</v>
      </c>
      <c r="BO96" s="173"/>
      <c r="BP96" s="173"/>
      <c r="BQ96" s="249"/>
      <c r="BR96" s="129" t="s">
        <v>4915</v>
      </c>
      <c r="BS96" s="253"/>
      <c r="BT96" s="175" t="s">
        <v>4916</v>
      </c>
      <c r="BU96" s="129" t="s">
        <v>4536</v>
      </c>
      <c r="BV96" s="253"/>
      <c r="BW96" s="253"/>
      <c r="BX96" s="253"/>
      <c r="BY96" s="175" t="s">
        <v>4917</v>
      </c>
      <c r="BZ96" s="252" t="s">
        <v>804</v>
      </c>
      <c r="CA96" s="129" t="s">
        <v>4918</v>
      </c>
      <c r="CB96" s="129" t="s">
        <v>4919</v>
      </c>
      <c r="CC96" s="175" t="s">
        <v>4703</v>
      </c>
      <c r="CD96" s="129" t="s">
        <v>4074</v>
      </c>
      <c r="CE96" s="253"/>
      <c r="CF96" s="254"/>
      <c r="CG96" s="135" t="s">
        <v>4920</v>
      </c>
      <c r="CH96" s="135" t="s">
        <v>1394</v>
      </c>
      <c r="CI96" s="177" t="s">
        <v>4921</v>
      </c>
      <c r="CJ96" s="135" t="s">
        <v>4922</v>
      </c>
      <c r="CK96" s="136"/>
      <c r="CL96" s="135" t="s">
        <v>4923</v>
      </c>
      <c r="CM96" s="135" t="s">
        <v>4512</v>
      </c>
      <c r="CN96" s="177" t="s">
        <v>4924</v>
      </c>
      <c r="CO96" s="135" t="s">
        <v>233</v>
      </c>
      <c r="CP96" s="256"/>
      <c r="CQ96" s="256"/>
      <c r="CR96" s="136"/>
      <c r="CS96" s="135" t="s">
        <v>1267</v>
      </c>
      <c r="CT96" s="256"/>
      <c r="CU96" s="92"/>
      <c r="CV96" s="430" t="s">
        <v>1863</v>
      </c>
      <c r="CW96" s="257"/>
      <c r="CX96" s="204" t="s">
        <v>1603</v>
      </c>
      <c r="CY96" s="140" t="s">
        <v>4925</v>
      </c>
      <c r="CZ96" s="257"/>
      <c r="DA96" s="204" t="s">
        <v>4926</v>
      </c>
      <c r="DB96" s="204" t="s">
        <v>4927</v>
      </c>
      <c r="DC96" s="140" t="s">
        <v>2328</v>
      </c>
      <c r="DD96" s="257"/>
      <c r="DE96" s="204" t="s">
        <v>4928</v>
      </c>
      <c r="DF96" s="140" t="s">
        <v>4929</v>
      </c>
      <c r="DG96" s="257"/>
      <c r="DH96" s="258"/>
      <c r="DI96" s="259"/>
      <c r="DJ96" s="259"/>
      <c r="DK96" s="259"/>
      <c r="DL96" s="259"/>
      <c r="DM96" s="259"/>
      <c r="DN96" s="259"/>
      <c r="DO96" s="145" t="s">
        <v>1190</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1258</v>
      </c>
      <c r="D97" s="84" t="s">
        <v>546</v>
      </c>
      <c r="E97" s="85" t="s">
        <v>546</v>
      </c>
      <c r="F97" s="86" t="s">
        <v>2996</v>
      </c>
      <c r="G97" s="82" t="s">
        <v>1634</v>
      </c>
      <c r="H97" s="94" t="s">
        <v>3280</v>
      </c>
      <c r="I97" s="94" t="s">
        <v>4934</v>
      </c>
      <c r="J97" s="94" t="s">
        <v>4935</v>
      </c>
      <c r="K97" s="267" t="s">
        <v>2879</v>
      </c>
      <c r="L97" s="88" t="s">
        <v>4936</v>
      </c>
      <c r="M97" s="99"/>
      <c r="N97" s="99"/>
      <c r="O97" s="99"/>
      <c r="P97" s="88" t="s">
        <v>2553</v>
      </c>
      <c r="Q97" s="99"/>
      <c r="R97" s="99"/>
      <c r="S97" s="88" t="s">
        <v>4937</v>
      </c>
      <c r="T97" s="99"/>
      <c r="U97" s="99"/>
      <c r="V97" s="88" t="s">
        <v>4938</v>
      </c>
      <c r="W97" s="92"/>
      <c r="X97" s="88" t="s">
        <v>4640</v>
      </c>
      <c r="Y97" s="102"/>
      <c r="Z97" s="88" t="s">
        <v>2203</v>
      </c>
      <c r="AA97" s="88" t="s">
        <v>4383</v>
      </c>
      <c r="AB97" s="88" t="s">
        <v>4939</v>
      </c>
      <c r="AC97" s="88" t="s">
        <v>2175</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1874</v>
      </c>
      <c r="DX97" s="99"/>
      <c r="DY97" s="99"/>
      <c r="DZ97" s="99"/>
      <c r="EA97" s="99"/>
      <c r="EB97" s="99"/>
      <c r="EC97" s="99"/>
      <c r="ED97" s="261"/>
    </row>
    <row r="98">
      <c r="A98" s="566" t="s">
        <v>4954</v>
      </c>
      <c r="B98" s="104" t="s">
        <v>4955</v>
      </c>
      <c r="C98" s="105" t="s">
        <v>1258</v>
      </c>
      <c r="D98" s="106" t="s">
        <v>546</v>
      </c>
      <c r="E98" s="107" t="s">
        <v>1258</v>
      </c>
      <c r="F98" s="108" t="s">
        <v>4956</v>
      </c>
      <c r="G98" s="104" t="s">
        <v>901</v>
      </c>
      <c r="H98" s="112" t="s">
        <v>3717</v>
      </c>
      <c r="I98" s="293" t="s">
        <v>3653</v>
      </c>
      <c r="J98" s="293" t="s">
        <v>2116</v>
      </c>
      <c r="K98" s="112" t="s">
        <v>1954</v>
      </c>
      <c r="L98" s="293" t="s">
        <v>1092</v>
      </c>
      <c r="M98" s="112" t="s">
        <v>4957</v>
      </c>
      <c r="N98" s="293" t="s">
        <v>4958</v>
      </c>
      <c r="O98" s="293" t="s">
        <v>2423</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957</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1501</v>
      </c>
      <c r="AZ98" s="247"/>
      <c r="BA98" s="247"/>
      <c r="BB98" s="304" t="s">
        <v>364</v>
      </c>
      <c r="BC98" s="126" t="s">
        <v>4973</v>
      </c>
      <c r="BD98" s="304" t="s">
        <v>2795</v>
      </c>
      <c r="BE98" s="304" t="s">
        <v>4974</v>
      </c>
      <c r="BF98" s="126" t="s">
        <v>3310</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1435</v>
      </c>
      <c r="CO98" s="135" t="s">
        <v>3611</v>
      </c>
      <c r="CP98" s="256"/>
      <c r="CQ98" s="256"/>
      <c r="CR98" s="256"/>
      <c r="CS98" s="256"/>
      <c r="CT98" s="135" t="s">
        <v>4992</v>
      </c>
      <c r="CU98" s="92"/>
      <c r="CV98" s="140" t="s">
        <v>1890</v>
      </c>
      <c r="CW98" s="300" t="s">
        <v>4019</v>
      </c>
      <c r="CX98" s="300" t="s">
        <v>4362</v>
      </c>
      <c r="CY98" s="300" t="s">
        <v>2946</v>
      </c>
      <c r="CZ98" s="140" t="s">
        <v>4993</v>
      </c>
      <c r="DA98" s="300" t="s">
        <v>2164</v>
      </c>
      <c r="DB98" s="300" t="s">
        <v>4994</v>
      </c>
      <c r="DC98" s="300" t="s">
        <v>2895</v>
      </c>
      <c r="DD98" s="257"/>
      <c r="DE98" s="257"/>
      <c r="DF98" s="257"/>
      <c r="DG98" s="140" t="s">
        <v>477</v>
      </c>
      <c r="DH98" s="140"/>
      <c r="DI98" s="205" t="s">
        <v>1893</v>
      </c>
      <c r="DJ98" s="259"/>
      <c r="DK98" s="259"/>
      <c r="DL98" s="259"/>
      <c r="DM98" s="179" t="s">
        <v>179</v>
      </c>
      <c r="DN98" s="145" t="s">
        <v>4222</v>
      </c>
      <c r="DO98" s="259"/>
      <c r="DP98" s="259"/>
      <c r="DQ98" s="259"/>
      <c r="DR98" s="205" t="s">
        <v>2858</v>
      </c>
      <c r="DS98" s="205" t="s">
        <v>2934</v>
      </c>
      <c r="DT98" s="259"/>
      <c r="DU98" s="145" t="s">
        <v>2160</v>
      </c>
      <c r="DV98" s="259"/>
      <c r="DW98" s="205" t="s">
        <v>897</v>
      </c>
      <c r="DX98" s="259"/>
      <c r="DY98" s="145" t="s">
        <v>3033</v>
      </c>
      <c r="DZ98" s="205" t="s">
        <v>2035</v>
      </c>
      <c r="EA98" s="259"/>
      <c r="EB98" s="259"/>
      <c r="EC98" s="259"/>
      <c r="ED98" s="142" t="s">
        <v>2544</v>
      </c>
    </row>
    <row r="99">
      <c r="A99" s="568" t="s">
        <v>4995</v>
      </c>
      <c r="B99" s="447" t="s">
        <v>4996</v>
      </c>
      <c r="C99" s="448" t="s">
        <v>1258</v>
      </c>
      <c r="D99" s="449" t="s">
        <v>1258</v>
      </c>
      <c r="E99" s="450" t="s">
        <v>1258</v>
      </c>
      <c r="F99" s="451" t="s">
        <v>3872</v>
      </c>
      <c r="G99" s="447" t="s">
        <v>3384</v>
      </c>
      <c r="H99" s="317"/>
      <c r="I99" s="317"/>
      <c r="J99" s="317"/>
      <c r="K99" s="452" t="s">
        <v>1639</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0" t="s">
        <v>3280</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1258</v>
      </c>
      <c r="D100" s="106" t="s">
        <v>1258</v>
      </c>
      <c r="E100" s="107" t="s">
        <v>1258</v>
      </c>
      <c r="F100" s="108" t="s">
        <v>334</v>
      </c>
      <c r="G100" s="104" t="s">
        <v>1060</v>
      </c>
      <c r="H100" s="243"/>
      <c r="I100" s="167" t="s">
        <v>2940</v>
      </c>
      <c r="J100" s="167" t="s">
        <v>3410</v>
      </c>
      <c r="K100" s="167" t="s">
        <v>1557</v>
      </c>
      <c r="L100" s="342" t="s">
        <v>5004</v>
      </c>
      <c r="M100" s="243"/>
      <c r="N100" s="167" t="s">
        <v>5005</v>
      </c>
      <c r="O100" s="167" t="s">
        <v>5006</v>
      </c>
      <c r="P100" s="167" t="s">
        <v>3107</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1258</v>
      </c>
      <c r="D101" s="84" t="s">
        <v>1258</v>
      </c>
      <c r="E101" s="85" t="s">
        <v>1258</v>
      </c>
      <c r="F101" s="86" t="s">
        <v>546</v>
      </c>
      <c r="G101" s="82" t="s">
        <v>1634</v>
      </c>
      <c r="H101" s="261"/>
      <c r="I101" s="261" t="s">
        <v>1297</v>
      </c>
      <c r="J101" s="261" t="s">
        <v>2219</v>
      </c>
      <c r="K101" s="261" t="s">
        <v>3495</v>
      </c>
      <c r="L101" s="261" t="s">
        <v>5019</v>
      </c>
      <c r="M101" s="261"/>
      <c r="N101" s="261" t="s">
        <v>2920</v>
      </c>
      <c r="O101" s="261" t="s">
        <v>1447</v>
      </c>
      <c r="P101" s="261" t="s">
        <v>2928</v>
      </c>
      <c r="Q101" s="572"/>
      <c r="R101" s="572"/>
      <c r="S101" s="572"/>
      <c r="T101" s="572"/>
      <c r="U101" s="572"/>
      <c r="V101" s="572"/>
      <c r="W101" s="92"/>
      <c r="X101" s="261" t="s">
        <v>3984</v>
      </c>
      <c r="Y101" s="261"/>
      <c r="Z101" s="261" t="s">
        <v>362</v>
      </c>
      <c r="AA101" s="261" t="s">
        <v>2243</v>
      </c>
      <c r="AB101" s="261" t="s">
        <v>1069</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847</v>
      </c>
      <c r="BJ101" s="574" t="s">
        <v>1795</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1625</v>
      </c>
      <c r="CY101" s="261" t="s">
        <v>995</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2952</v>
      </c>
      <c r="M102" s="167" t="s">
        <v>5039</v>
      </c>
      <c r="N102" s="167" t="s">
        <v>5040</v>
      </c>
      <c r="O102" s="167" t="s">
        <v>1968</v>
      </c>
      <c r="P102" s="167" t="s">
        <v>5041</v>
      </c>
      <c r="Q102" s="243"/>
      <c r="R102" s="243"/>
      <c r="S102" s="167" t="s">
        <v>3204</v>
      </c>
      <c r="T102" s="243"/>
      <c r="U102" s="167" t="s">
        <v>638</v>
      </c>
      <c r="V102" s="243"/>
      <c r="W102" s="92"/>
      <c r="X102" s="198" t="s">
        <v>2074</v>
      </c>
      <c r="Y102" s="198"/>
      <c r="Z102" s="198" t="s">
        <v>1969</v>
      </c>
      <c r="AA102" s="198" t="s">
        <v>5042</v>
      </c>
      <c r="AB102" s="198" t="s">
        <v>3692</v>
      </c>
      <c r="AC102" s="581" t="s">
        <v>4237</v>
      </c>
      <c r="AD102" s="198" t="s">
        <v>4477</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4212</v>
      </c>
      <c r="AX102" s="247"/>
      <c r="AY102" s="168" t="s">
        <v>5045</v>
      </c>
      <c r="AZ102" s="168" t="s">
        <v>5046</v>
      </c>
      <c r="BA102" s="168"/>
      <c r="BB102" s="174" t="s">
        <v>5047</v>
      </c>
      <c r="BC102" s="174" t="s">
        <v>5048</v>
      </c>
      <c r="BD102" s="174" t="s">
        <v>1042</v>
      </c>
      <c r="BE102" s="174" t="s">
        <v>1021</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2239</v>
      </c>
      <c r="BV102" s="253"/>
      <c r="BW102" s="175" t="s">
        <v>3558</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4631</v>
      </c>
      <c r="CN102" s="582" t="s">
        <v>1405</v>
      </c>
      <c r="CO102" s="177" t="s">
        <v>3154</v>
      </c>
      <c r="CP102" s="256"/>
      <c r="CQ102" s="256"/>
      <c r="CR102" s="177"/>
      <c r="CS102" s="177" t="s">
        <v>5057</v>
      </c>
      <c r="CT102" s="256"/>
      <c r="CU102" s="92"/>
      <c r="CV102" s="204" t="s">
        <v>5058</v>
      </c>
      <c r="CW102" s="204" t="s">
        <v>2587</v>
      </c>
      <c r="CX102" s="204" t="s">
        <v>5059</v>
      </c>
      <c r="CY102" s="204" t="s">
        <v>4417</v>
      </c>
      <c r="CZ102" s="257"/>
      <c r="DA102" s="204" t="s">
        <v>389</v>
      </c>
      <c r="DB102" s="204" t="s">
        <v>5060</v>
      </c>
      <c r="DC102" s="204" t="s">
        <v>4272</v>
      </c>
      <c r="DD102" s="257"/>
      <c r="DE102" s="257"/>
      <c r="DF102" s="204" t="s">
        <v>3532</v>
      </c>
      <c r="DG102" s="204" t="s">
        <v>1539</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1258</v>
      </c>
      <c r="D103" s="84" t="s">
        <v>546</v>
      </c>
      <c r="E103" s="85" t="s">
        <v>1258</v>
      </c>
      <c r="F103" s="86" t="s">
        <v>332</v>
      </c>
      <c r="G103" s="82" t="s">
        <v>1634</v>
      </c>
      <c r="H103" s="102" t="s">
        <v>171</v>
      </c>
      <c r="I103" s="95" t="s">
        <v>5066</v>
      </c>
      <c r="J103" s="267" t="s">
        <v>2784</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1566</v>
      </c>
      <c r="AA103" s="102" t="s">
        <v>5069</v>
      </c>
      <c r="AB103" s="267" t="s">
        <v>3091</v>
      </c>
      <c r="AC103" s="102" t="s">
        <v>2949</v>
      </c>
      <c r="AD103" s="102" t="s">
        <v>1362</v>
      </c>
      <c r="AE103" s="99"/>
      <c r="AF103" s="88" t="s">
        <v>3150</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2708</v>
      </c>
      <c r="BE103" s="102" t="s">
        <v>5071</v>
      </c>
      <c r="BF103" s="102"/>
      <c r="BG103" s="102" t="s">
        <v>2351</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4984</v>
      </c>
      <c r="BX103" s="99"/>
      <c r="BY103" s="102" t="s">
        <v>5074</v>
      </c>
      <c r="BZ103" s="102"/>
      <c r="CA103" s="102"/>
      <c r="CB103" s="99"/>
      <c r="CC103" s="99"/>
      <c r="CD103" s="94" t="s">
        <v>5075</v>
      </c>
      <c r="CE103" s="99"/>
      <c r="CF103" s="236"/>
      <c r="CG103" s="102" t="s">
        <v>5076</v>
      </c>
      <c r="CH103" s="102" t="s">
        <v>1547</v>
      </c>
      <c r="CI103" s="102" t="s">
        <v>5077</v>
      </c>
      <c r="CJ103" s="102"/>
      <c r="CK103" s="102"/>
      <c r="CL103" s="102" t="s">
        <v>5078</v>
      </c>
      <c r="CM103" s="102" t="s">
        <v>5079</v>
      </c>
      <c r="CN103" s="88" t="s">
        <v>2416</v>
      </c>
      <c r="CO103" s="102" t="s">
        <v>3158</v>
      </c>
      <c r="CP103" s="583" t="s">
        <v>5080</v>
      </c>
      <c r="CQ103" s="99"/>
      <c r="CR103" s="99"/>
      <c r="CS103" s="99"/>
      <c r="CT103" s="99"/>
      <c r="CU103" s="92"/>
      <c r="CV103" s="102" t="s">
        <v>5081</v>
      </c>
      <c r="CW103" s="102" t="s">
        <v>4214</v>
      </c>
      <c r="CX103" s="102" t="s">
        <v>669</v>
      </c>
      <c r="CY103" s="102" t="s">
        <v>5082</v>
      </c>
      <c r="CZ103" s="102"/>
      <c r="DA103" s="102" t="s">
        <v>5083</v>
      </c>
      <c r="DB103" s="102" t="s">
        <v>4545</v>
      </c>
      <c r="DC103" s="102" t="s">
        <v>896</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1258</v>
      </c>
      <c r="D104" s="106" t="s">
        <v>1258</v>
      </c>
      <c r="E104" s="107" t="s">
        <v>1258</v>
      </c>
      <c r="F104" s="108" t="s">
        <v>333</v>
      </c>
      <c r="G104" s="104" t="s">
        <v>5087</v>
      </c>
      <c r="H104" s="112" t="s">
        <v>5088</v>
      </c>
      <c r="I104" s="112" t="s">
        <v>3023</v>
      </c>
      <c r="J104" s="112" t="s">
        <v>4010</v>
      </c>
      <c r="K104" s="167" t="s">
        <v>1272</v>
      </c>
      <c r="L104" s="167" t="s">
        <v>5089</v>
      </c>
      <c r="M104" s="167" t="s">
        <v>5090</v>
      </c>
      <c r="N104" s="167" t="s">
        <v>5091</v>
      </c>
      <c r="O104" s="167" t="s">
        <v>5092</v>
      </c>
      <c r="P104" s="112" t="s">
        <v>4066</v>
      </c>
      <c r="Q104" s="167" t="s">
        <v>5093</v>
      </c>
      <c r="R104" s="243"/>
      <c r="S104" s="167" t="s">
        <v>1383</v>
      </c>
      <c r="T104" s="243"/>
      <c r="U104" s="167" t="s">
        <v>235</v>
      </c>
      <c r="V104" s="324" t="s">
        <v>5094</v>
      </c>
      <c r="W104" s="227"/>
      <c r="X104" s="198" t="s">
        <v>1601</v>
      </c>
      <c r="Y104" s="271"/>
      <c r="Z104" s="271" t="s">
        <v>3726</v>
      </c>
      <c r="AA104" s="198" t="s">
        <v>5095</v>
      </c>
      <c r="AB104" s="198" t="s">
        <v>5096</v>
      </c>
      <c r="AC104" s="198" t="s">
        <v>2259</v>
      </c>
      <c r="AD104" s="198" t="s">
        <v>5097</v>
      </c>
      <c r="AE104" s="246"/>
      <c r="AF104" s="198" t="s">
        <v>5098</v>
      </c>
      <c r="AG104" s="198" t="s">
        <v>1115</v>
      </c>
      <c r="AH104" s="198" t="s">
        <v>2762</v>
      </c>
      <c r="AI104" s="198"/>
      <c r="AJ104" s="198" t="s">
        <v>5099</v>
      </c>
      <c r="AK104" s="302" t="s">
        <v>5100</v>
      </c>
      <c r="AL104" s="97"/>
      <c r="AM104" s="168" t="s">
        <v>1862</v>
      </c>
      <c r="AN104" s="168" t="s">
        <v>5101</v>
      </c>
      <c r="AO104" s="168" t="s">
        <v>5102</v>
      </c>
      <c r="AP104" s="168" t="s">
        <v>1500</v>
      </c>
      <c r="AQ104" s="168" t="s">
        <v>3769</v>
      </c>
      <c r="AR104" s="168" t="s">
        <v>1355</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2646</v>
      </c>
      <c r="BF104" s="174" t="s">
        <v>5097</v>
      </c>
      <c r="BG104" s="174" t="s">
        <v>3713</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9"/>
      <c r="BR104" s="175" t="s">
        <v>5110</v>
      </c>
      <c r="BS104" s="175"/>
      <c r="BT104" s="175" t="s">
        <v>4471</v>
      </c>
      <c r="BU104" s="175" t="s">
        <v>1908</v>
      </c>
      <c r="BV104" s="253"/>
      <c r="BW104" s="176" t="s">
        <v>430</v>
      </c>
      <c r="BX104" s="253"/>
      <c r="BY104" s="253"/>
      <c r="BZ104" s="175" t="s">
        <v>3822</v>
      </c>
      <c r="CA104" s="175" t="s">
        <v>641</v>
      </c>
      <c r="CB104" s="129" t="s">
        <v>5111</v>
      </c>
      <c r="CC104" s="175" t="s">
        <v>5112</v>
      </c>
      <c r="CD104" s="175" t="s">
        <v>3664</v>
      </c>
      <c r="CE104" s="175" t="s">
        <v>5113</v>
      </c>
      <c r="CF104" s="298"/>
      <c r="CG104" s="177" t="s">
        <v>1329</v>
      </c>
      <c r="CH104" s="177" t="s">
        <v>2572</v>
      </c>
      <c r="CI104" s="177" t="s">
        <v>3161</v>
      </c>
      <c r="CJ104" s="177" t="s">
        <v>5114</v>
      </c>
      <c r="CK104" s="177"/>
      <c r="CL104" s="177" t="s">
        <v>5115</v>
      </c>
      <c r="CM104" s="256"/>
      <c r="CN104" s="177" t="s">
        <v>2991</v>
      </c>
      <c r="CO104" s="177" t="s">
        <v>1543</v>
      </c>
      <c r="CP104" s="177" t="s">
        <v>5116</v>
      </c>
      <c r="CQ104" s="177" t="s">
        <v>5117</v>
      </c>
      <c r="CR104" s="177"/>
      <c r="CS104" s="177" t="s">
        <v>5118</v>
      </c>
      <c r="CT104" s="177" t="s">
        <v>5119</v>
      </c>
      <c r="CU104" s="92"/>
      <c r="CV104" s="204" t="s">
        <v>5120</v>
      </c>
      <c r="CW104" s="204" t="s">
        <v>3916</v>
      </c>
      <c r="CX104" s="140" t="s">
        <v>5121</v>
      </c>
      <c r="CY104" s="204" t="s">
        <v>1917</v>
      </c>
      <c r="CZ104" s="257"/>
      <c r="DA104" s="204" t="s">
        <v>4330</v>
      </c>
      <c r="DB104" s="204" t="s">
        <v>5122</v>
      </c>
      <c r="DC104" s="204" t="s">
        <v>3611</v>
      </c>
      <c r="DD104" s="204" t="s">
        <v>5123</v>
      </c>
      <c r="DE104" s="204" t="s">
        <v>3437</v>
      </c>
      <c r="DF104" s="204" t="s">
        <v>1558</v>
      </c>
      <c r="DG104" s="204" t="s">
        <v>5124</v>
      </c>
      <c r="DH104" s="309"/>
      <c r="DI104" s="259"/>
      <c r="DJ104" s="259"/>
      <c r="DK104" s="259"/>
      <c r="DL104" s="259"/>
      <c r="DM104" s="205" t="s">
        <v>5069</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1318</v>
      </c>
      <c r="DZ104" s="205" t="s">
        <v>5131</v>
      </c>
      <c r="EA104" s="205" t="s">
        <v>5001</v>
      </c>
      <c r="EB104" s="205" t="s">
        <v>641</v>
      </c>
      <c r="EC104" s="205" t="s">
        <v>2560</v>
      </c>
      <c r="ED104" s="287" t="s">
        <v>5132</v>
      </c>
    </row>
    <row r="105">
      <c r="A105" s="81" t="s">
        <v>5133</v>
      </c>
      <c r="B105" s="82" t="s">
        <v>5134</v>
      </c>
      <c r="C105" s="83" t="s">
        <v>1258</v>
      </c>
      <c r="D105" s="84" t="s">
        <v>1258</v>
      </c>
      <c r="E105" s="85" t="s">
        <v>1258</v>
      </c>
      <c r="F105" s="86" t="s">
        <v>437</v>
      </c>
      <c r="G105" s="82" t="s">
        <v>3101</v>
      </c>
      <c r="H105" s="94" t="s">
        <v>993</v>
      </c>
      <c r="I105" s="99"/>
      <c r="J105" s="94" t="s">
        <v>5135</v>
      </c>
      <c r="K105" s="94" t="s">
        <v>5038</v>
      </c>
      <c r="L105" s="94" t="s">
        <v>1614</v>
      </c>
      <c r="M105" s="94" t="s">
        <v>5136</v>
      </c>
      <c r="N105" s="94" t="s">
        <v>1577</v>
      </c>
      <c r="O105" s="94" t="s">
        <v>5137</v>
      </c>
      <c r="P105" s="94" t="s">
        <v>1077</v>
      </c>
      <c r="Q105" s="99"/>
      <c r="R105" s="99"/>
      <c r="S105" s="99"/>
      <c r="T105" s="99"/>
      <c r="U105" s="99"/>
      <c r="V105" s="99"/>
      <c r="W105" s="92"/>
      <c r="X105" s="99"/>
      <c r="Y105" s="94"/>
      <c r="Z105" s="94" t="s">
        <v>3109</v>
      </c>
      <c r="AA105" s="94" t="s">
        <v>1694</v>
      </c>
      <c r="AB105" s="93" t="s">
        <v>2073</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6"/>
      <c r="BR105" s="99"/>
      <c r="BS105" s="94" t="s">
        <v>5140</v>
      </c>
      <c r="BT105" s="94" t="s">
        <v>5141</v>
      </c>
      <c r="BU105" s="94" t="s">
        <v>4392</v>
      </c>
      <c r="BV105" s="99"/>
      <c r="BW105" s="94" t="s">
        <v>3083</v>
      </c>
      <c r="BX105" s="99"/>
      <c r="BY105" s="94" t="s">
        <v>5142</v>
      </c>
      <c r="BZ105" s="99"/>
      <c r="CA105" s="94" t="s">
        <v>2749</v>
      </c>
      <c r="CB105" s="94" t="s">
        <v>5143</v>
      </c>
      <c r="CC105" s="99"/>
      <c r="CD105" s="99"/>
      <c r="CE105" s="99"/>
      <c r="CF105" s="236"/>
      <c r="CG105" s="94" t="s">
        <v>5144</v>
      </c>
      <c r="CH105" s="93" t="s">
        <v>1662</v>
      </c>
      <c r="CI105" s="94"/>
      <c r="CJ105" s="99"/>
      <c r="CK105" s="99"/>
      <c r="CL105" s="99" t="s">
        <v>551</v>
      </c>
      <c r="CM105" s="99"/>
      <c r="CN105" s="93" t="s">
        <v>4094</v>
      </c>
      <c r="CO105" s="94" t="s">
        <v>5145</v>
      </c>
      <c r="CP105" s="99"/>
      <c r="CQ105" s="99"/>
      <c r="CR105" s="99"/>
      <c r="CS105" s="99"/>
      <c r="CT105" s="99"/>
      <c r="CU105" s="92"/>
      <c r="CV105" s="94" t="s">
        <v>5146</v>
      </c>
      <c r="CW105" s="94"/>
      <c r="CX105" s="94" t="s">
        <v>2561</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1258</v>
      </c>
      <c r="D106" s="106" t="s">
        <v>1258</v>
      </c>
      <c r="E106" s="107" t="s">
        <v>1258</v>
      </c>
      <c r="F106" s="108" t="s">
        <v>332</v>
      </c>
      <c r="G106" s="104" t="s">
        <v>4683</v>
      </c>
      <c r="H106" s="167" t="s">
        <v>2750</v>
      </c>
      <c r="I106" s="167" t="s">
        <v>4026</v>
      </c>
      <c r="J106" s="167" t="s">
        <v>5150</v>
      </c>
      <c r="K106" s="167" t="s">
        <v>3976</v>
      </c>
      <c r="L106" s="167" t="s">
        <v>5151</v>
      </c>
      <c r="M106" s="167" t="s">
        <v>5152</v>
      </c>
      <c r="N106" s="167" t="s">
        <v>5153</v>
      </c>
      <c r="O106" s="167" t="s">
        <v>5154</v>
      </c>
      <c r="P106" s="167" t="s">
        <v>2783</v>
      </c>
      <c r="Q106" s="243"/>
      <c r="R106" s="243"/>
      <c r="S106" s="243"/>
      <c r="T106" s="243"/>
      <c r="U106" s="243"/>
      <c r="V106" s="243"/>
      <c r="W106" s="92"/>
      <c r="X106" s="198" t="s">
        <v>3545</v>
      </c>
      <c r="Y106" s="198"/>
      <c r="Z106" s="198" t="s">
        <v>3505</v>
      </c>
      <c r="AA106" s="198" t="s">
        <v>4909</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1429</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918</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1258</v>
      </c>
      <c r="D107" s="84" t="s">
        <v>1258</v>
      </c>
      <c r="E107" s="85" t="s">
        <v>1258</v>
      </c>
      <c r="F107" s="86" t="s">
        <v>649</v>
      </c>
      <c r="G107" s="82" t="s">
        <v>5168</v>
      </c>
      <c r="H107" s="94" t="s">
        <v>2917</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4908</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5009</v>
      </c>
      <c r="BF107" s="88" t="s">
        <v>4148</v>
      </c>
      <c r="BG107" s="94" t="s">
        <v>1340</v>
      </c>
      <c r="BH107" s="99"/>
      <c r="BI107" s="94" t="s">
        <v>2708</v>
      </c>
      <c r="BJ107" s="94" t="s">
        <v>5176</v>
      </c>
      <c r="BK107" s="94"/>
      <c r="BL107" s="99"/>
      <c r="BM107" s="99"/>
      <c r="BN107" s="99"/>
      <c r="BO107" s="99"/>
      <c r="BP107" s="99"/>
      <c r="BQ107" s="236"/>
      <c r="BR107" s="94" t="s">
        <v>3794</v>
      </c>
      <c r="BS107" s="99"/>
      <c r="BT107" s="94" t="s">
        <v>2647</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1258</v>
      </c>
      <c r="D108" s="106" t="s">
        <v>1258</v>
      </c>
      <c r="E108" s="107" t="s">
        <v>1258</v>
      </c>
      <c r="F108" s="108" t="s">
        <v>546</v>
      </c>
      <c r="G108" s="104" t="s">
        <v>1812</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2409</v>
      </c>
      <c r="V108" s="167" t="s">
        <v>5189</v>
      </c>
      <c r="W108" s="92"/>
      <c r="X108" s="198" t="s">
        <v>5190</v>
      </c>
      <c r="Y108" s="271"/>
      <c r="Z108" s="271" t="s">
        <v>2785</v>
      </c>
      <c r="AA108" s="198" t="s">
        <v>2951</v>
      </c>
      <c r="AB108" s="198" t="s">
        <v>5191</v>
      </c>
      <c r="AC108" s="198" t="s">
        <v>891</v>
      </c>
      <c r="AD108" s="198" t="s">
        <v>4361</v>
      </c>
      <c r="AE108" s="198" t="s">
        <v>5192</v>
      </c>
      <c r="AF108" s="198" t="s">
        <v>1382</v>
      </c>
      <c r="AG108" s="271" t="s">
        <v>5193</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909</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1258</v>
      </c>
      <c r="D109" s="84" t="s">
        <v>1258</v>
      </c>
      <c r="E109" s="85" t="s">
        <v>1258</v>
      </c>
      <c r="F109" s="86" t="s">
        <v>1258</v>
      </c>
      <c r="G109" s="82" t="s">
        <v>5168</v>
      </c>
      <c r="H109" s="99"/>
      <c r="I109" s="94" t="s">
        <v>2502</v>
      </c>
      <c r="J109" s="94" t="s">
        <v>5202</v>
      </c>
      <c r="K109" s="94" t="s">
        <v>997</v>
      </c>
      <c r="L109" s="94" t="s">
        <v>5203</v>
      </c>
      <c r="M109" s="99"/>
      <c r="N109" s="94" t="s">
        <v>4991</v>
      </c>
      <c r="O109" s="94" t="s">
        <v>2423</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6"/>
      <c r="BR109" s="94" t="s">
        <v>5208</v>
      </c>
      <c r="BS109" s="94" t="s">
        <v>4300</v>
      </c>
      <c r="BT109" s="94" t="s">
        <v>1205</v>
      </c>
      <c r="BU109" s="94" t="s">
        <v>5209</v>
      </c>
      <c r="BV109" s="94" t="s">
        <v>5210</v>
      </c>
      <c r="BW109" s="94" t="s">
        <v>5211</v>
      </c>
      <c r="BX109" s="99"/>
      <c r="BY109" s="94" t="s">
        <v>5212</v>
      </c>
      <c r="BZ109" s="99"/>
      <c r="CA109" s="99"/>
      <c r="CB109" s="99"/>
      <c r="CC109" s="99"/>
      <c r="CD109" s="99"/>
      <c r="CE109" s="99"/>
      <c r="CF109" s="236"/>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1258</v>
      </c>
      <c r="D110" s="106" t="s">
        <v>1258</v>
      </c>
      <c r="E110" s="107" t="s">
        <v>1258</v>
      </c>
      <c r="F110" s="108" t="s">
        <v>1812</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1258</v>
      </c>
      <c r="D111" s="84" t="s">
        <v>1258</v>
      </c>
      <c r="E111" s="85" t="s">
        <v>1258</v>
      </c>
      <c r="F111" s="86" t="s">
        <v>3973</v>
      </c>
      <c r="G111" s="82" t="s">
        <v>1061</v>
      </c>
      <c r="H111" s="88" t="s">
        <v>5227</v>
      </c>
      <c r="I111" s="88" t="s">
        <v>5228</v>
      </c>
      <c r="J111" s="88" t="s">
        <v>4935</v>
      </c>
      <c r="K111" s="88" t="s">
        <v>4058</v>
      </c>
      <c r="L111" s="88" t="s">
        <v>4117</v>
      </c>
      <c r="M111" s="94" t="s">
        <v>866</v>
      </c>
      <c r="N111" s="94" t="s">
        <v>5229</v>
      </c>
      <c r="O111" s="267" t="s">
        <v>155</v>
      </c>
      <c r="P111" s="88" t="s">
        <v>2783</v>
      </c>
      <c r="Q111" s="99"/>
      <c r="R111" s="99"/>
      <c r="S111" s="94" t="s">
        <v>3291</v>
      </c>
      <c r="T111" s="99"/>
      <c r="U111" s="88" t="s">
        <v>5230</v>
      </c>
      <c r="V111" s="99"/>
      <c r="W111" s="92"/>
      <c r="X111" s="267" t="s">
        <v>4811</v>
      </c>
      <c r="Y111" s="267"/>
      <c r="Z111" s="267" t="s">
        <v>3826</v>
      </c>
      <c r="AA111" s="88" t="s">
        <v>5231</v>
      </c>
      <c r="AB111" s="94" t="s">
        <v>5232</v>
      </c>
      <c r="AC111" s="88" t="s">
        <v>2629</v>
      </c>
      <c r="AD111" s="267" t="s">
        <v>5233</v>
      </c>
      <c r="AE111" s="99"/>
      <c r="AF111" s="94" t="s">
        <v>5234</v>
      </c>
      <c r="AG111" s="267" t="s">
        <v>5193</v>
      </c>
      <c r="AH111" s="94" t="s">
        <v>1697</v>
      </c>
      <c r="AI111" s="99"/>
      <c r="AJ111" s="88" t="s">
        <v>3723</v>
      </c>
      <c r="AK111" s="99"/>
      <c r="AL111" s="97"/>
      <c r="AM111" s="94" t="s">
        <v>4462</v>
      </c>
      <c r="AN111" s="94" t="s">
        <v>1051</v>
      </c>
      <c r="AO111" s="99"/>
      <c r="AP111" s="94" t="s">
        <v>5235</v>
      </c>
      <c r="AQ111" s="94" t="s">
        <v>5236</v>
      </c>
      <c r="AR111" s="94" t="s">
        <v>2549</v>
      </c>
      <c r="AS111" s="88" t="s">
        <v>1749</v>
      </c>
      <c r="AT111" s="99"/>
      <c r="AU111" s="261" t="s">
        <v>3708</v>
      </c>
      <c r="AV111" s="267" t="s">
        <v>4711</v>
      </c>
      <c r="AW111" s="88" t="s">
        <v>4063</v>
      </c>
      <c r="AX111" s="99"/>
      <c r="AY111" s="94" t="s">
        <v>5237</v>
      </c>
      <c r="AZ111" s="99"/>
      <c r="BA111" s="99"/>
      <c r="BB111" s="94" t="s">
        <v>4370</v>
      </c>
      <c r="BC111" s="94" t="s">
        <v>1187</v>
      </c>
      <c r="BD111" s="88" t="s">
        <v>4680</v>
      </c>
      <c r="BE111" s="94" t="s">
        <v>3116</v>
      </c>
      <c r="BF111" s="94" t="s">
        <v>4358</v>
      </c>
      <c r="BG111" s="94" t="s">
        <v>2539</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7" t="s">
        <v>1408</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5226</v>
      </c>
      <c r="C112" s="105" t="s">
        <v>1258</v>
      </c>
      <c r="D112" s="106" t="s">
        <v>1258</v>
      </c>
      <c r="E112" s="107" t="s">
        <v>1258</v>
      </c>
      <c r="F112" s="108" t="s">
        <v>546</v>
      </c>
      <c r="G112" s="104" t="s">
        <v>3348</v>
      </c>
      <c r="H112" s="243"/>
      <c r="I112" s="167" t="s">
        <v>5263</v>
      </c>
      <c r="J112" s="112" t="s">
        <v>5264</v>
      </c>
      <c r="K112" s="167" t="s">
        <v>4506</v>
      </c>
      <c r="L112" s="293" t="s">
        <v>565</v>
      </c>
      <c r="M112" s="243"/>
      <c r="N112" s="167" t="s">
        <v>5265</v>
      </c>
      <c r="O112" s="167" t="s">
        <v>1021</v>
      </c>
      <c r="P112" s="167" t="s">
        <v>3634</v>
      </c>
      <c r="Q112" s="243"/>
      <c r="R112" s="243"/>
      <c r="S112" s="243"/>
      <c r="T112" s="243"/>
      <c r="U112" s="243"/>
      <c r="V112" s="243"/>
      <c r="W112" s="92"/>
      <c r="X112" s="198" t="s">
        <v>2641</v>
      </c>
      <c r="Y112" s="198"/>
      <c r="Z112" s="198" t="s">
        <v>1006</v>
      </c>
      <c r="AA112" s="198" t="s">
        <v>3267</v>
      </c>
      <c r="AB112" s="198" t="s">
        <v>5266</v>
      </c>
      <c r="AC112" s="198" t="s">
        <v>425</v>
      </c>
      <c r="AD112" s="198" t="s">
        <v>5267</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1200</v>
      </c>
      <c r="BC112" s="174" t="s">
        <v>371</v>
      </c>
      <c r="BD112" s="174" t="s">
        <v>4680</v>
      </c>
      <c r="BE112" s="174" t="s">
        <v>2423</v>
      </c>
      <c r="BF112" s="174" t="s">
        <v>1655</v>
      </c>
      <c r="BG112" s="173"/>
      <c r="BH112" s="173"/>
      <c r="BI112" s="174" t="s">
        <v>2052</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1258</v>
      </c>
      <c r="D113" s="84" t="s">
        <v>1258</v>
      </c>
      <c r="E113" s="85" t="s">
        <v>1258</v>
      </c>
      <c r="F113" s="86" t="s">
        <v>546</v>
      </c>
      <c r="G113" s="82" t="s">
        <v>4956</v>
      </c>
      <c r="H113" s="94"/>
      <c r="I113" s="94" t="s">
        <v>5277</v>
      </c>
      <c r="J113" s="94" t="s">
        <v>5278</v>
      </c>
      <c r="K113" s="94" t="s">
        <v>3563</v>
      </c>
      <c r="L113" s="94" t="s">
        <v>5279</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5280</v>
      </c>
      <c r="AA113" s="94" t="s">
        <v>510</v>
      </c>
      <c r="AB113" s="94" t="s">
        <v>5191</v>
      </c>
      <c r="AC113" s="94" t="s">
        <v>4329</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2184</v>
      </c>
      <c r="BE113" s="94" t="s">
        <v>4508</v>
      </c>
      <c r="BF113" s="94" t="s">
        <v>4421</v>
      </c>
      <c r="BG113" s="94"/>
      <c r="BH113" s="94"/>
      <c r="BI113" s="94" t="s">
        <v>5013</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5287</v>
      </c>
      <c r="CW113" s="94" t="s">
        <v>3003</v>
      </c>
      <c r="CX113" s="94" t="s">
        <v>5023</v>
      </c>
      <c r="CY113" s="94" t="s">
        <v>1145</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1258</v>
      </c>
      <c r="D114" s="106" t="s">
        <v>1258</v>
      </c>
      <c r="E114" s="107" t="s">
        <v>1258</v>
      </c>
      <c r="F114" s="108" t="s">
        <v>332</v>
      </c>
      <c r="G114" s="104" t="s">
        <v>3574</v>
      </c>
      <c r="H114" s="167" t="s">
        <v>779</v>
      </c>
      <c r="I114" s="196" t="s">
        <v>3608</v>
      </c>
      <c r="J114" s="167" t="s">
        <v>5292</v>
      </c>
      <c r="K114" s="112" t="s">
        <v>2879</v>
      </c>
      <c r="L114" s="167" t="s">
        <v>4881</v>
      </c>
      <c r="M114" s="243"/>
      <c r="N114" s="243"/>
      <c r="O114" s="167" t="s">
        <v>261</v>
      </c>
      <c r="P114" s="167" t="s">
        <v>109</v>
      </c>
      <c r="Q114" s="243"/>
      <c r="R114" s="243"/>
      <c r="S114" s="167" t="s">
        <v>2645</v>
      </c>
      <c r="T114" s="243"/>
      <c r="U114" s="243"/>
      <c r="V114" s="243"/>
      <c r="W114" s="92"/>
      <c r="X114" s="116" t="s">
        <v>3087</v>
      </c>
      <c r="Y114" s="271"/>
      <c r="Z114" s="271" t="s">
        <v>2578</v>
      </c>
      <c r="AA114" s="271" t="s">
        <v>4099</v>
      </c>
      <c r="AB114" s="271" t="s">
        <v>2098</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1667</v>
      </c>
      <c r="BE114" s="174" t="s">
        <v>761</v>
      </c>
      <c r="BF114" s="174" t="s">
        <v>5274</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5298</v>
      </c>
      <c r="CD114" s="175"/>
      <c r="CE114" s="253"/>
      <c r="CF114" s="254"/>
      <c r="CG114" s="177" t="s">
        <v>5299</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5291</v>
      </c>
      <c r="C115" s="590" t="s">
        <v>1258</v>
      </c>
      <c r="D115" s="591" t="s">
        <v>1258</v>
      </c>
      <c r="E115" s="592" t="s">
        <v>1258</v>
      </c>
      <c r="F115" s="593" t="s">
        <v>438</v>
      </c>
      <c r="G115" s="589" t="s">
        <v>3846</v>
      </c>
      <c r="H115" s="261" t="s">
        <v>951</v>
      </c>
      <c r="I115" s="261" t="s">
        <v>5302</v>
      </c>
      <c r="J115" s="98" t="s">
        <v>5303</v>
      </c>
      <c r="K115" s="261" t="s">
        <v>4949</v>
      </c>
      <c r="L115" s="261" t="s">
        <v>5304</v>
      </c>
      <c r="M115" s="261" t="s">
        <v>5305</v>
      </c>
      <c r="N115" s="261" t="s">
        <v>5306</v>
      </c>
      <c r="O115" s="261" t="s">
        <v>5307</v>
      </c>
      <c r="P115" s="261" t="s">
        <v>5308</v>
      </c>
      <c r="Q115" s="572"/>
      <c r="R115" s="572"/>
      <c r="S115" s="98" t="s">
        <v>5309</v>
      </c>
      <c r="T115" s="572"/>
      <c r="U115" s="574" t="s">
        <v>5310</v>
      </c>
      <c r="V115" s="572"/>
      <c r="W115" s="579"/>
      <c r="X115" s="261" t="s">
        <v>5311</v>
      </c>
      <c r="Y115" s="261"/>
      <c r="Z115" s="261"/>
      <c r="AA115" s="261" t="s">
        <v>5145</v>
      </c>
      <c r="AB115" s="261"/>
      <c r="AC115" s="98" t="s">
        <v>5312</v>
      </c>
      <c r="AD115" s="261" t="s">
        <v>5313</v>
      </c>
      <c r="AE115" s="572"/>
      <c r="AF115" s="261"/>
      <c r="AG115" s="261"/>
      <c r="AH115" s="572"/>
      <c r="AI115" s="572"/>
      <c r="AJ115" s="261" t="s">
        <v>5314</v>
      </c>
      <c r="AK115" s="572"/>
      <c r="AL115" s="573"/>
      <c r="AM115" s="261"/>
      <c r="AN115" s="261"/>
      <c r="AO115" s="574" t="s">
        <v>5315</v>
      </c>
      <c r="AP115" s="574"/>
      <c r="AQ115" s="574"/>
      <c r="AR115" s="574"/>
      <c r="AS115" s="572"/>
      <c r="AT115" s="572"/>
      <c r="AU115" s="261"/>
      <c r="AV115" s="261" t="s">
        <v>5316</v>
      </c>
      <c r="AW115" s="261"/>
      <c r="AX115" s="572"/>
      <c r="AY115" s="574" t="s">
        <v>836</v>
      </c>
      <c r="AZ115" s="572"/>
      <c r="BA115" s="572"/>
      <c r="BB115" s="261"/>
      <c r="BC115" s="261" t="s">
        <v>3869</v>
      </c>
      <c r="BD115" s="261"/>
      <c r="BE115" s="261" t="s">
        <v>5317</v>
      </c>
      <c r="BF115" s="261" t="s">
        <v>5318</v>
      </c>
      <c r="BG115" s="261"/>
      <c r="BH115" s="572"/>
      <c r="BI115" s="261" t="s">
        <v>5319</v>
      </c>
      <c r="BJ115" s="572"/>
      <c r="BK115" s="261" t="s">
        <v>5320</v>
      </c>
      <c r="BL115" s="261"/>
      <c r="BM115" s="572"/>
      <c r="BN115" s="574" t="s">
        <v>3656</v>
      </c>
      <c r="BO115" s="261" t="s">
        <v>2967</v>
      </c>
      <c r="BP115" s="572"/>
      <c r="BQ115" s="576"/>
      <c r="BR115" s="261"/>
      <c r="BS115" s="261" t="s">
        <v>5321</v>
      </c>
      <c r="BT115" s="261" t="s">
        <v>3948</v>
      </c>
      <c r="BU115" s="261" t="s">
        <v>1494</v>
      </c>
      <c r="BV115" s="98" t="s">
        <v>5322</v>
      </c>
      <c r="BW115" s="261" t="s">
        <v>5323</v>
      </c>
      <c r="BX115" s="572"/>
      <c r="BY115" s="261"/>
      <c r="BZ115" s="261"/>
      <c r="CA115" s="261"/>
      <c r="CB115" s="574" t="s">
        <v>5324</v>
      </c>
      <c r="CC115" s="574" t="s">
        <v>5325</v>
      </c>
      <c r="CD115" s="574" t="s">
        <v>2317</v>
      </c>
      <c r="CE115" s="572"/>
      <c r="CF115" s="576"/>
      <c r="CG115" s="261" t="s">
        <v>5326</v>
      </c>
      <c r="CH115" s="261" t="s">
        <v>5327</v>
      </c>
      <c r="CI115" s="261" t="s">
        <v>5328</v>
      </c>
      <c r="CJ115" s="98" t="s">
        <v>5329</v>
      </c>
      <c r="CK115" s="261" t="s">
        <v>5330</v>
      </c>
      <c r="CL115" s="261"/>
      <c r="CM115" s="261"/>
      <c r="CN115" s="261" t="s">
        <v>5331</v>
      </c>
      <c r="CO115" s="594">
        <v>19.7</v>
      </c>
      <c r="CP115" s="578"/>
      <c r="CQ115" s="574" t="s">
        <v>5332</v>
      </c>
      <c r="CR115" s="572"/>
      <c r="CS115" s="572"/>
      <c r="CT115" s="572"/>
      <c r="CU115" s="579"/>
      <c r="CV115" s="98" t="s">
        <v>5333</v>
      </c>
      <c r="CW115" s="261" t="s">
        <v>4552</v>
      </c>
      <c r="CX115" s="261" t="s">
        <v>5334</v>
      </c>
      <c r="CY115" s="261" t="s">
        <v>5335</v>
      </c>
      <c r="CZ115" s="261"/>
      <c r="DA115" s="261"/>
      <c r="DB115" s="261"/>
      <c r="DC115" s="261"/>
      <c r="DD115" s="572"/>
      <c r="DE115" s="574" t="s">
        <v>4148</v>
      </c>
      <c r="DF115" s="574" t="s">
        <v>1132</v>
      </c>
      <c r="DG115" s="572"/>
      <c r="DH115" s="576"/>
      <c r="DI115" s="261" t="s">
        <v>5336</v>
      </c>
      <c r="DJ115" s="572"/>
      <c r="DK115" s="572"/>
      <c r="DL115" s="261"/>
      <c r="DM115" s="261"/>
      <c r="DN115" s="261"/>
      <c r="DO115" s="572"/>
      <c r="DP115" s="572"/>
      <c r="DQ115" s="572"/>
      <c r="DR115" s="261" t="s">
        <v>5337</v>
      </c>
      <c r="DS115" s="261" t="s">
        <v>5338</v>
      </c>
      <c r="DT115" s="572"/>
      <c r="DU115" s="261"/>
      <c r="DV115" s="574" t="s">
        <v>5339</v>
      </c>
      <c r="DW115" s="572"/>
      <c r="DX115" s="572"/>
      <c r="DY115" s="572"/>
      <c r="DZ115" s="572"/>
      <c r="EA115" s="261" t="s">
        <v>5340</v>
      </c>
      <c r="EB115" s="572"/>
      <c r="EC115" s="574" t="s">
        <v>5341</v>
      </c>
      <c r="ED115" s="261"/>
    </row>
    <row r="116">
      <c r="A116" s="166" t="s">
        <v>5342</v>
      </c>
      <c r="B116" s="104" t="s">
        <v>5343</v>
      </c>
      <c r="C116" s="595" t="s">
        <v>1258</v>
      </c>
      <c r="D116" s="596" t="s">
        <v>1258</v>
      </c>
      <c r="E116" s="597" t="s">
        <v>1258</v>
      </c>
      <c r="F116" s="108" t="s">
        <v>983</v>
      </c>
      <c r="G116" s="598" t="s">
        <v>5344</v>
      </c>
      <c r="H116" s="243"/>
      <c r="I116" s="599" t="s">
        <v>5345</v>
      </c>
      <c r="J116" s="167" t="s">
        <v>5346</v>
      </c>
      <c r="K116" s="600" t="s">
        <v>5347</v>
      </c>
      <c r="L116" s="599" t="s">
        <v>5348</v>
      </c>
      <c r="M116" s="167" t="s">
        <v>1923</v>
      </c>
      <c r="N116" s="167" t="s">
        <v>4694</v>
      </c>
      <c r="O116" s="601" t="s">
        <v>3117</v>
      </c>
      <c r="P116" s="601" t="s">
        <v>4883</v>
      </c>
      <c r="Q116" s="243"/>
      <c r="R116" s="243"/>
      <c r="S116" s="601" t="s">
        <v>5349</v>
      </c>
      <c r="T116" s="243"/>
      <c r="U116" s="243"/>
      <c r="V116" s="243"/>
      <c r="W116" s="92"/>
      <c r="X116" s="602" t="s">
        <v>1980</v>
      </c>
      <c r="Y116" s="271"/>
      <c r="Z116" s="603" t="s">
        <v>2749</v>
      </c>
      <c r="AA116" s="198" t="s">
        <v>455</v>
      </c>
      <c r="AB116" s="604" t="s">
        <v>3316</v>
      </c>
      <c r="AC116" s="602" t="s">
        <v>5350</v>
      </c>
      <c r="AD116" s="198" t="s">
        <v>5351</v>
      </c>
      <c r="AE116" s="246"/>
      <c r="AF116" s="246"/>
      <c r="AG116" s="604" t="s">
        <v>5352</v>
      </c>
      <c r="AH116" s="246"/>
      <c r="AI116" s="246"/>
      <c r="AJ116" s="198" t="s">
        <v>4667</v>
      </c>
      <c r="AK116" s="604" t="s">
        <v>5353</v>
      </c>
      <c r="AL116" s="97"/>
      <c r="AM116" s="247"/>
      <c r="AN116" s="605" t="s">
        <v>530</v>
      </c>
      <c r="AO116" s="605" t="s">
        <v>5354</v>
      </c>
      <c r="AP116" s="247"/>
      <c r="AQ116" s="605" t="s">
        <v>2254</v>
      </c>
      <c r="AR116" s="168"/>
      <c r="AS116" s="247"/>
      <c r="AT116" s="247"/>
      <c r="AU116" s="605" t="s">
        <v>5215</v>
      </c>
      <c r="AV116" s="605" t="s">
        <v>5355</v>
      </c>
      <c r="AW116" s="247"/>
      <c r="AX116" s="247"/>
      <c r="AY116" s="605" t="s">
        <v>5356</v>
      </c>
      <c r="AZ116" s="247"/>
      <c r="BA116" s="247"/>
      <c r="BB116" s="296" t="s">
        <v>5357</v>
      </c>
      <c r="BC116" s="296" t="s">
        <v>2128</v>
      </c>
      <c r="BD116" s="296" t="s">
        <v>4680</v>
      </c>
      <c r="BE116" s="606" t="s">
        <v>2146</v>
      </c>
      <c r="BF116" s="174" t="s">
        <v>4297</v>
      </c>
      <c r="BG116" s="173"/>
      <c r="BH116" s="173"/>
      <c r="BI116" s="296" t="s">
        <v>1965</v>
      </c>
      <c r="BJ116" s="607"/>
      <c r="BK116" s="296" t="s">
        <v>5358</v>
      </c>
      <c r="BL116" s="296" t="s">
        <v>5359</v>
      </c>
      <c r="BM116" s="174"/>
      <c r="BN116" s="126" t="s">
        <v>3279</v>
      </c>
      <c r="BO116" s="173"/>
      <c r="BP116" s="173"/>
      <c r="BQ116" s="249"/>
      <c r="BR116" s="298" t="s">
        <v>5360</v>
      </c>
      <c r="BS116" s="175" t="s">
        <v>5361</v>
      </c>
      <c r="BT116" s="298" t="s">
        <v>992</v>
      </c>
      <c r="BU116" s="253"/>
      <c r="BV116" s="175" t="s">
        <v>4572</v>
      </c>
      <c r="BW116" s="608" t="s">
        <v>5362</v>
      </c>
      <c r="BX116" s="298" t="s">
        <v>5363</v>
      </c>
      <c r="BY116" s="609" t="s">
        <v>445</v>
      </c>
      <c r="BZ116" s="609" t="s">
        <v>5364</v>
      </c>
      <c r="CA116" s="129" t="s">
        <v>3372</v>
      </c>
      <c r="CB116" s="253"/>
      <c r="CC116" s="253"/>
      <c r="CD116" s="298" t="s">
        <v>2690</v>
      </c>
      <c r="CE116" s="253"/>
      <c r="CF116" s="254"/>
      <c r="CG116" s="610" t="s">
        <v>5365</v>
      </c>
      <c r="CH116" s="610" t="s">
        <v>5366</v>
      </c>
      <c r="CI116" s="256"/>
      <c r="CJ116" s="256"/>
      <c r="CK116" s="256"/>
      <c r="CL116" s="256"/>
      <c r="CM116" s="256"/>
      <c r="CN116" s="610" t="s">
        <v>416</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529</v>
      </c>
      <c r="DN116" s="613" t="s">
        <v>5371</v>
      </c>
      <c r="DO116" s="613" t="s">
        <v>1190</v>
      </c>
      <c r="DP116" s="613" t="s">
        <v>5372</v>
      </c>
      <c r="DQ116" s="259"/>
      <c r="DR116" s="259"/>
      <c r="DS116" s="259"/>
      <c r="DT116" s="259"/>
      <c r="DU116" s="259"/>
      <c r="DV116" s="259"/>
      <c r="DW116" s="259"/>
      <c r="DX116" s="259"/>
      <c r="DY116" s="259"/>
      <c r="DZ116" s="614" t="s">
        <v>3513</v>
      </c>
      <c r="EA116" s="613" t="s">
        <v>3118</v>
      </c>
      <c r="EB116" s="259"/>
      <c r="EC116" s="259"/>
      <c r="ED116" s="287"/>
    </row>
    <row r="117">
      <c r="A117" s="615" t="s">
        <v>5373</v>
      </c>
      <c r="B117" s="82" t="s">
        <v>5374</v>
      </c>
      <c r="C117" s="83" t="s">
        <v>1258</v>
      </c>
      <c r="D117" s="84" t="s">
        <v>1258</v>
      </c>
      <c r="E117" s="85" t="s">
        <v>1258</v>
      </c>
      <c r="F117" s="86" t="s">
        <v>2683</v>
      </c>
      <c r="G117" s="82" t="s">
        <v>5087</v>
      </c>
      <c r="H117" s="94" t="s">
        <v>3360</v>
      </c>
      <c r="I117" s="94" t="s">
        <v>5375</v>
      </c>
      <c r="J117" s="94" t="s">
        <v>5376</v>
      </c>
      <c r="K117" s="94" t="s">
        <v>755</v>
      </c>
      <c r="L117" s="94" t="s">
        <v>830</v>
      </c>
      <c r="M117" s="99"/>
      <c r="N117" s="94" t="s">
        <v>5377</v>
      </c>
      <c r="O117" s="94" t="s">
        <v>4525</v>
      </c>
      <c r="P117" s="88" t="s">
        <v>556</v>
      </c>
      <c r="Q117" s="94" t="s">
        <v>2442</v>
      </c>
      <c r="R117" s="99"/>
      <c r="S117" s="88" t="s">
        <v>2703</v>
      </c>
      <c r="T117" s="99"/>
      <c r="U117" s="94" t="s">
        <v>5378</v>
      </c>
      <c r="V117" s="88" t="s">
        <v>5379</v>
      </c>
      <c r="W117" s="92"/>
      <c r="X117" s="94" t="s">
        <v>4274</v>
      </c>
      <c r="Y117" s="94"/>
      <c r="Z117" s="94" t="s">
        <v>1575</v>
      </c>
      <c r="AA117" s="94" t="s">
        <v>1512</v>
      </c>
      <c r="AB117" s="94" t="s">
        <v>610</v>
      </c>
      <c r="AC117" s="94" t="s">
        <v>3829</v>
      </c>
      <c r="AD117" s="94" t="s">
        <v>5380</v>
      </c>
      <c r="AE117" s="94"/>
      <c r="AF117" s="94" t="s">
        <v>4001</v>
      </c>
      <c r="AG117" s="88" t="s">
        <v>2070</v>
      </c>
      <c r="AH117" s="94" t="s">
        <v>2807</v>
      </c>
      <c r="AI117" s="102"/>
      <c r="AJ117" s="88" t="s">
        <v>3071</v>
      </c>
      <c r="AK117" s="94" t="s">
        <v>5381</v>
      </c>
      <c r="AL117" s="97"/>
      <c r="AM117" s="94" t="s">
        <v>3579</v>
      </c>
      <c r="AN117" s="94" t="s">
        <v>1305</v>
      </c>
      <c r="AO117" s="99"/>
      <c r="AP117" s="88" t="s">
        <v>5382</v>
      </c>
      <c r="AQ117" s="94" t="s">
        <v>969</v>
      </c>
      <c r="AR117" s="94"/>
      <c r="AS117" s="94" t="s">
        <v>5383</v>
      </c>
      <c r="AT117" s="94" t="s">
        <v>5384</v>
      </c>
      <c r="AU117" s="88" t="s">
        <v>3345</v>
      </c>
      <c r="AV117" s="94" t="s">
        <v>5385</v>
      </c>
      <c r="AW117" s="94" t="s">
        <v>5386</v>
      </c>
      <c r="AX117" s="99"/>
      <c r="AY117" s="88" t="s">
        <v>1752</v>
      </c>
      <c r="AZ117" s="94" t="s">
        <v>5387</v>
      </c>
      <c r="BA117" s="94"/>
      <c r="BB117" s="99"/>
      <c r="BC117" s="94" t="s">
        <v>5388</v>
      </c>
      <c r="BD117" s="94" t="s">
        <v>3544</v>
      </c>
      <c r="BE117" s="94" t="s">
        <v>838</v>
      </c>
      <c r="BF117" s="94" t="s">
        <v>2610</v>
      </c>
      <c r="BG117" s="94" t="s">
        <v>3276</v>
      </c>
      <c r="BH117" s="99"/>
      <c r="BI117" s="94" t="s">
        <v>5389</v>
      </c>
      <c r="BJ117" s="94" t="s">
        <v>1144</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3125</v>
      </c>
      <c r="BZ117" s="99"/>
      <c r="CA117" s="88" t="s">
        <v>3833</v>
      </c>
      <c r="CB117" s="88" t="s">
        <v>5395</v>
      </c>
      <c r="CC117" s="88" t="s">
        <v>5396</v>
      </c>
      <c r="CD117" s="94" t="s">
        <v>2907</v>
      </c>
      <c r="CE117" s="94" t="s">
        <v>5397</v>
      </c>
      <c r="CF117" s="94"/>
      <c r="CG117" s="94" t="s">
        <v>2754</v>
      </c>
      <c r="CH117" s="94" t="s">
        <v>3460</v>
      </c>
      <c r="CI117" s="94" t="s">
        <v>481</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3328</v>
      </c>
      <c r="CY117" s="94" t="s">
        <v>661</v>
      </c>
      <c r="CZ117" s="99"/>
      <c r="DA117" s="99"/>
      <c r="DB117" s="88" t="s">
        <v>5402</v>
      </c>
      <c r="DC117" s="88" t="s">
        <v>2420</v>
      </c>
      <c r="DD117" s="94" t="s">
        <v>5403</v>
      </c>
      <c r="DE117" s="94" t="s">
        <v>5279</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2864</v>
      </c>
      <c r="EA117" s="94" t="s">
        <v>3982</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4041</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2988</v>
      </c>
      <c r="BP118" s="173"/>
      <c r="BQ118" s="249"/>
      <c r="BR118" s="175"/>
      <c r="BS118" s="175" t="s">
        <v>5432</v>
      </c>
      <c r="BT118" s="175" t="s">
        <v>2934</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3114</v>
      </c>
      <c r="CP118" s="177" t="s">
        <v>5442</v>
      </c>
      <c r="CQ118" s="177" t="s">
        <v>550</v>
      </c>
      <c r="CR118" s="177"/>
      <c r="CS118" s="177" t="s">
        <v>5250</v>
      </c>
      <c r="CT118" s="256"/>
      <c r="CU118" s="92"/>
      <c r="CV118" s="204" t="s">
        <v>5443</v>
      </c>
      <c r="CW118" s="204" t="s">
        <v>5444</v>
      </c>
      <c r="CX118" s="204" t="s">
        <v>3401</v>
      </c>
      <c r="CY118" s="204" t="s">
        <v>1924</v>
      </c>
      <c r="CZ118" s="204" t="s">
        <v>5445</v>
      </c>
      <c r="DA118" s="204" t="s">
        <v>4031</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3109</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4969</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3036</v>
      </c>
      <c r="CX119" s="94" t="s">
        <v>4226</v>
      </c>
      <c r="CY119" s="94" t="s">
        <v>5279</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479</v>
      </c>
      <c r="P120" s="167" t="s">
        <v>5352</v>
      </c>
      <c r="Q120" s="243"/>
      <c r="R120" s="243"/>
      <c r="S120" s="167" t="s">
        <v>3040</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3868</v>
      </c>
      <c r="BZ120" s="175" t="s">
        <v>5502</v>
      </c>
      <c r="CA120" s="175" t="s">
        <v>5503</v>
      </c>
      <c r="CB120" s="253"/>
      <c r="CC120" s="253"/>
      <c r="CD120" s="253"/>
      <c r="CE120" s="253"/>
      <c r="CF120" s="254"/>
      <c r="CG120" s="177" t="s">
        <v>5504</v>
      </c>
      <c r="CH120" s="177" t="s">
        <v>5130</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510</v>
      </c>
      <c r="DN120" s="205" t="s">
        <v>5514</v>
      </c>
      <c r="DO120" s="205" t="s">
        <v>5515</v>
      </c>
      <c r="DP120" s="205" t="s">
        <v>5516</v>
      </c>
      <c r="DQ120" s="205" t="s">
        <v>5517</v>
      </c>
      <c r="DR120" s="205" t="s">
        <v>5518</v>
      </c>
      <c r="DS120" s="205" t="s">
        <v>1065</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3963</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5217</v>
      </c>
      <c r="AW121" s="99"/>
      <c r="AX121" s="99"/>
      <c r="AY121" s="99"/>
      <c r="AZ121" s="99"/>
      <c r="BA121" s="99"/>
      <c r="BB121" s="94" t="s">
        <v>5539</v>
      </c>
      <c r="BC121" s="267" t="s">
        <v>924</v>
      </c>
      <c r="BD121" s="267" t="s">
        <v>617</v>
      </c>
      <c r="BE121" s="94" t="s">
        <v>661</v>
      </c>
      <c r="BF121" s="94" t="s">
        <v>3011</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3182</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3090</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5344</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3094</v>
      </c>
      <c r="AA122" s="116" t="s">
        <v>5573</v>
      </c>
      <c r="AB122" s="116" t="s">
        <v>5574</v>
      </c>
      <c r="AC122" s="116" t="s">
        <v>1517</v>
      </c>
      <c r="AD122" s="116" t="s">
        <v>3762</v>
      </c>
      <c r="AE122" s="116" t="s">
        <v>3113</v>
      </c>
      <c r="AF122" s="116" t="s">
        <v>2727</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3366</v>
      </c>
      <c r="BC122" s="126" t="s">
        <v>353</v>
      </c>
      <c r="BD122" s="126" t="s">
        <v>3258</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5049</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5102</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5081</v>
      </c>
      <c r="M124" s="243"/>
      <c r="N124" s="167" t="s">
        <v>5599</v>
      </c>
      <c r="O124" s="167" t="s">
        <v>1206</v>
      </c>
      <c r="P124" s="112" t="s">
        <v>4179</v>
      </c>
      <c r="Q124" s="243"/>
      <c r="R124" s="243"/>
      <c r="S124" s="243"/>
      <c r="T124" s="243"/>
      <c r="U124" s="243"/>
      <c r="V124" s="243"/>
      <c r="W124" s="92"/>
      <c r="X124" s="198" t="s">
        <v>3008</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5322</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3112</v>
      </c>
      <c r="BT124" s="175" t="s">
        <v>4916</v>
      </c>
      <c r="BU124" s="175" t="s">
        <v>5243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5029</v>
      </c>
      <c r="CP124" s="256"/>
      <c r="CQ124" s="256"/>
      <c r="CR124" s="256"/>
      <c r="CS124" s="256"/>
      <c r="CT124" s="256"/>
      <c r="CU124" s="92"/>
      <c r="CV124" s="204" t="s">
        <v>5617</v>
      </c>
      <c r="CW124" s="204" t="s">
        <v>4099</v>
      </c>
      <c r="CX124" s="204" t="s">
        <v>3279</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5292</v>
      </c>
      <c r="K125" s="94" t="s">
        <v>352</v>
      </c>
      <c r="L125" s="94" t="s">
        <v>4962</v>
      </c>
      <c r="M125" s="94" t="s">
        <v>5626</v>
      </c>
      <c r="N125" s="94" t="s">
        <v>5627</v>
      </c>
      <c r="O125" s="94" t="s">
        <v>3080</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3154</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3138</v>
      </c>
      <c r="BJ125" s="99"/>
      <c r="BK125" s="94" t="s">
        <v>5636</v>
      </c>
      <c r="BL125" s="94" t="s">
        <v>5637</v>
      </c>
      <c r="BM125" s="99"/>
      <c r="BN125" s="99"/>
      <c r="BO125" s="99"/>
      <c r="BP125" s="99"/>
      <c r="BQ125" s="236"/>
      <c r="BR125" s="94" t="s">
        <v>5638</v>
      </c>
      <c r="BS125" s="94" t="s">
        <v>5156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1009</v>
      </c>
      <c r="CW125" s="94" t="s">
        <v>5042</v>
      </c>
      <c r="CX125" s="94" t="s">
        <v>3257</v>
      </c>
      <c r="CY125" s="94" t="s">
        <v>4557</v>
      </c>
      <c r="CZ125" s="94" t="s">
        <v>5269</v>
      </c>
      <c r="DA125" s="94" t="s">
        <v>4786</v>
      </c>
      <c r="DB125" s="94" t="s">
        <v>5648</v>
      </c>
      <c r="DC125" s="94" t="s">
        <v>3883</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5650</v>
      </c>
      <c r="B126" s="104" t="s">
        <v>5651</v>
      </c>
      <c r="C126" s="105" t="s">
        <v>1258</v>
      </c>
      <c r="D126" s="106" t="s">
        <v>1258</v>
      </c>
      <c r="E126" s="107" t="s">
        <v>1258</v>
      </c>
      <c r="F126" s="108" t="s">
        <v>332</v>
      </c>
      <c r="G126" s="104" t="s">
        <v>2377</v>
      </c>
      <c r="H126" s="167"/>
      <c r="I126" s="167" t="s">
        <v>5652</v>
      </c>
      <c r="J126" s="167" t="s">
        <v>5270</v>
      </c>
      <c r="K126" s="167" t="s">
        <v>5653</v>
      </c>
      <c r="L126" s="112" t="s">
        <v>5654</v>
      </c>
      <c r="M126" s="243"/>
      <c r="N126" s="243"/>
      <c r="O126" s="243"/>
      <c r="P126" s="167" t="s">
        <v>5655</v>
      </c>
      <c r="Q126" s="243"/>
      <c r="R126" s="243"/>
      <c r="S126" s="167" t="s">
        <v>4184</v>
      </c>
      <c r="T126" s="243"/>
      <c r="U126" s="167" t="s">
        <v>3217</v>
      </c>
      <c r="V126" s="243"/>
      <c r="W126" s="92"/>
      <c r="X126" s="198" t="s">
        <v>5106</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2935</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1"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2"/>
      <c r="BI127" s="94" t="s">
        <v>757</v>
      </c>
      <c r="BJ127" s="94" t="s">
        <v>5686</v>
      </c>
      <c r="BK127" s="99"/>
      <c r="BL127" s="94" t="s">
        <v>4539</v>
      </c>
      <c r="BM127" s="99"/>
      <c r="BN127" s="99"/>
      <c r="BO127" s="99"/>
      <c r="BP127" s="99"/>
      <c r="BQ127" s="236"/>
      <c r="BR127" s="94" t="s">
        <v>5495</v>
      </c>
      <c r="BS127" s="94" t="s">
        <v>4448</v>
      </c>
      <c r="BT127" s="94" t="s">
        <v>4902</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3114</v>
      </c>
      <c r="CP127" s="99"/>
      <c r="CQ127" s="99"/>
      <c r="CR127" s="99"/>
      <c r="CS127" s="99"/>
      <c r="CT127" s="99"/>
      <c r="CU127" s="92"/>
      <c r="CV127" s="94" t="s">
        <v>3652</v>
      </c>
      <c r="CW127" s="94" t="s">
        <v>2838</v>
      </c>
      <c r="CX127" s="94" t="s">
        <v>5130</v>
      </c>
      <c r="CY127" s="94" t="s">
        <v>910</v>
      </c>
      <c r="CZ127" s="94" t="s">
        <v>1677</v>
      </c>
      <c r="DA127" s="99"/>
      <c r="DB127" s="94" t="s">
        <v>5033</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3" t="s">
        <v>5692</v>
      </c>
      <c r="B128" s="104" t="s">
        <v>5693</v>
      </c>
      <c r="C128" s="105" t="s">
        <v>1258</v>
      </c>
      <c r="D128" s="106" t="s">
        <v>546</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3191</v>
      </c>
      <c r="Y128" s="117"/>
      <c r="Z128" s="116" t="s">
        <v>2483</v>
      </c>
      <c r="AA128" s="295" t="s">
        <v>5699</v>
      </c>
      <c r="AB128" s="198" t="s">
        <v>5700</v>
      </c>
      <c r="AC128" s="116" t="s">
        <v>3888</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5702</v>
      </c>
      <c r="BC128" s="304" t="s">
        <v>4236</v>
      </c>
      <c r="BD128" s="304" t="s">
        <v>5614</v>
      </c>
      <c r="BE128" s="126" t="s">
        <v>3357</v>
      </c>
      <c r="BF128" s="126" t="s">
        <v>5703</v>
      </c>
      <c r="BG128" s="173"/>
      <c r="BH128" s="173"/>
      <c r="BI128" s="126" t="s">
        <v>4018</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5041</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624"/>
    </row>
    <row r="129">
      <c r="A129" s="625" t="s">
        <v>5726</v>
      </c>
      <c r="B129" s="82" t="s">
        <v>5727</v>
      </c>
      <c r="C129" s="83" t="s">
        <v>1258</v>
      </c>
      <c r="D129" s="84" t="s">
        <v>1258</v>
      </c>
      <c r="E129" s="85" t="s">
        <v>1258</v>
      </c>
      <c r="F129" s="86" t="s">
        <v>2775</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2991</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5310</v>
      </c>
      <c r="BF129" s="102" t="s">
        <v>5735</v>
      </c>
      <c r="BG129" s="102" t="s">
        <v>708</v>
      </c>
      <c r="BH129" s="94"/>
      <c r="BI129" s="102" t="s">
        <v>3070</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2819</v>
      </c>
      <c r="CL129" s="102" t="s">
        <v>5585</v>
      </c>
      <c r="CM129" s="102" t="s">
        <v>3315</v>
      </c>
      <c r="CN129" s="102" t="s">
        <v>1582</v>
      </c>
      <c r="CO129" s="102" t="s">
        <v>3362</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5041</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546</v>
      </c>
      <c r="G130" s="104" t="s">
        <v>1950</v>
      </c>
      <c r="H130" s="243"/>
      <c r="I130" s="243"/>
      <c r="J130" s="167" t="s">
        <v>5755</v>
      </c>
      <c r="K130" s="167" t="s">
        <v>4608</v>
      </c>
      <c r="L130" s="167" t="s">
        <v>838</v>
      </c>
      <c r="M130" s="243"/>
      <c r="N130" s="167" t="s">
        <v>4958</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5761</v>
      </c>
      <c r="B131" s="82" t="s">
        <v>5762</v>
      </c>
      <c r="C131" s="83" t="s">
        <v>1258</v>
      </c>
      <c r="D131" s="84" t="s">
        <v>1258</v>
      </c>
      <c r="E131" s="85" t="s">
        <v>1258</v>
      </c>
      <c r="F131" s="86" t="s">
        <v>1198</v>
      </c>
      <c r="G131" s="82" t="s">
        <v>2874</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4055</v>
      </c>
      <c r="H132" s="243"/>
      <c r="I132" s="167" t="s">
        <v>5770</v>
      </c>
      <c r="J132" s="243"/>
      <c r="K132" s="243"/>
      <c r="L132" s="167" t="s">
        <v>3527</v>
      </c>
      <c r="M132" s="243"/>
      <c r="N132" s="167" t="s">
        <v>5451</v>
      </c>
      <c r="O132" s="167" t="s">
        <v>853</v>
      </c>
      <c r="P132" s="167" t="s">
        <v>3267</v>
      </c>
      <c r="Q132" s="243"/>
      <c r="R132" s="243"/>
      <c r="S132" s="243"/>
      <c r="T132" s="243"/>
      <c r="U132" s="167" t="s">
        <v>3217</v>
      </c>
      <c r="V132" s="243"/>
      <c r="W132" s="92"/>
      <c r="X132" s="246"/>
      <c r="Y132" s="198"/>
      <c r="Z132" s="198" t="s">
        <v>579</v>
      </c>
      <c r="AA132" s="198" t="s">
        <v>1532</v>
      </c>
      <c r="AB132" s="246"/>
      <c r="AC132" s="198" t="s">
        <v>4913</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3189</v>
      </c>
      <c r="AV132" s="247"/>
      <c r="AW132" s="247"/>
      <c r="AX132" s="247"/>
      <c r="AY132" s="168" t="s">
        <v>5458</v>
      </c>
      <c r="AZ132" s="247"/>
      <c r="BA132" s="247"/>
      <c r="BB132" s="173"/>
      <c r="BC132" s="173"/>
      <c r="BD132" s="173"/>
      <c r="BE132" s="174" t="s">
        <v>5092</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5777</v>
      </c>
      <c r="B133" s="82" t="s">
        <v>5778</v>
      </c>
      <c r="C133" s="83" t="s">
        <v>1258</v>
      </c>
      <c r="D133" s="84" t="s">
        <v>1258</v>
      </c>
      <c r="E133" s="85" t="s">
        <v>1258</v>
      </c>
      <c r="F133" s="86" t="s">
        <v>1258</v>
      </c>
      <c r="G133" s="82" t="s">
        <v>985</v>
      </c>
      <c r="H133" s="629" t="s">
        <v>4580</v>
      </c>
      <c r="I133" s="261" t="s">
        <v>5779</v>
      </c>
      <c r="J133" s="261" t="s">
        <v>5780</v>
      </c>
      <c r="K133" s="261" t="s">
        <v>2659</v>
      </c>
      <c r="L133" s="261" t="s">
        <v>2101</v>
      </c>
      <c r="M133" s="261" t="s">
        <v>5781</v>
      </c>
      <c r="N133" s="261" t="s">
        <v>5782</v>
      </c>
      <c r="O133" s="261" t="s">
        <v>3958</v>
      </c>
      <c r="P133" s="261" t="s">
        <v>4965</v>
      </c>
      <c r="Q133" s="94" t="s">
        <v>5783</v>
      </c>
      <c r="R133" s="99"/>
      <c r="S133" s="94" t="s">
        <v>3811</v>
      </c>
      <c r="T133" s="99"/>
      <c r="U133" s="94" t="s">
        <v>1266</v>
      </c>
      <c r="V133" s="94" t="s">
        <v>5784</v>
      </c>
      <c r="W133" s="92"/>
      <c r="X133" s="261" t="s">
        <v>5015</v>
      </c>
      <c r="Y133" s="261"/>
      <c r="Z133" s="261" t="s">
        <v>3598</v>
      </c>
      <c r="AA133" s="261" t="s">
        <v>1441</v>
      </c>
      <c r="AB133" s="267" t="s">
        <v>5785</v>
      </c>
      <c r="AC133" s="261" t="s">
        <v>1848</v>
      </c>
      <c r="AD133" s="261" t="s">
        <v>4988</v>
      </c>
      <c r="AE133" s="99"/>
      <c r="AF133" s="261" t="s">
        <v>2424</v>
      </c>
      <c r="AG133" s="261" t="s">
        <v>5457</v>
      </c>
      <c r="AH133" s="94" t="s">
        <v>1747</v>
      </c>
      <c r="AI133" s="99"/>
      <c r="AJ133" s="261" t="s">
        <v>2439</v>
      </c>
      <c r="AK133" s="94" t="s">
        <v>5786</v>
      </c>
      <c r="AL133" s="97"/>
      <c r="AM133" s="261" t="s">
        <v>1371</v>
      </c>
      <c r="AN133" s="261" t="s">
        <v>1011</v>
      </c>
      <c r="AO133" s="99"/>
      <c r="AP133" s="99"/>
      <c r="AQ133" s="94" t="s">
        <v>5787</v>
      </c>
      <c r="AR133" s="94" t="s">
        <v>1027</v>
      </c>
      <c r="AS133" s="94" t="s">
        <v>1140</v>
      </c>
      <c r="AT133" s="99"/>
      <c r="AU133" s="261" t="s">
        <v>5575</v>
      </c>
      <c r="AV133" s="261" t="s">
        <v>4731</v>
      </c>
      <c r="AW133" s="102"/>
      <c r="AX133" s="99"/>
      <c r="AY133" s="94" t="s">
        <v>952</v>
      </c>
      <c r="AZ133" s="94" t="s">
        <v>5788</v>
      </c>
      <c r="BA133" s="99"/>
      <c r="BB133" s="261" t="s">
        <v>5789</v>
      </c>
      <c r="BC133" s="261" t="s">
        <v>5790</v>
      </c>
      <c r="BD133" s="261" t="s">
        <v>5791</v>
      </c>
      <c r="BE133" s="261" t="s">
        <v>2439</v>
      </c>
      <c r="BF133" s="261" t="s">
        <v>5792</v>
      </c>
      <c r="BG133" s="261" t="s">
        <v>4341</v>
      </c>
      <c r="BH133" s="94" t="s">
        <v>5793</v>
      </c>
      <c r="BI133" s="261" t="s">
        <v>4438</v>
      </c>
      <c r="BJ133" s="99"/>
      <c r="BK133" s="261" t="s">
        <v>5794</v>
      </c>
      <c r="BL133" s="261" t="s">
        <v>2859</v>
      </c>
      <c r="BM133" s="99"/>
      <c r="BN133" s="99"/>
      <c r="BO133" s="102"/>
      <c r="BP133" s="99"/>
      <c r="BQ133" s="236"/>
      <c r="BR133" s="261" t="s">
        <v>5795</v>
      </c>
      <c r="BS133" s="261" t="s">
        <v>5796</v>
      </c>
      <c r="BT133" s="261" t="s">
        <v>5797</v>
      </c>
      <c r="BU133" s="261" t="s">
        <v>5798</v>
      </c>
      <c r="BV133" s="261" t="s">
        <v>5459</v>
      </c>
      <c r="BW133" s="261" t="s">
        <v>328</v>
      </c>
      <c r="BX133" s="94" t="s">
        <v>5799</v>
      </c>
      <c r="BY133" s="102"/>
      <c r="BZ133" s="261" t="s">
        <v>5800</v>
      </c>
      <c r="CA133" s="261" t="s">
        <v>5801</v>
      </c>
      <c r="CB133" s="94" t="s">
        <v>5802</v>
      </c>
      <c r="CC133" s="99"/>
      <c r="CD133" s="99"/>
      <c r="CE133" s="94" t="s">
        <v>5803</v>
      </c>
      <c r="CF133" s="236"/>
      <c r="CG133" s="261" t="s">
        <v>3448</v>
      </c>
      <c r="CH133" s="261" t="s">
        <v>5338</v>
      </c>
      <c r="CI133" s="261" t="s">
        <v>1050</v>
      </c>
      <c r="CJ133" s="261" t="s">
        <v>5804</v>
      </c>
      <c r="CK133" s="261" t="s">
        <v>5805</v>
      </c>
      <c r="CL133" s="261" t="s">
        <v>5806</v>
      </c>
      <c r="CM133" s="261" t="s">
        <v>5807</v>
      </c>
      <c r="CN133" s="261" t="s">
        <v>1014</v>
      </c>
      <c r="CO133" s="261" t="s">
        <v>1411</v>
      </c>
      <c r="CP133" s="222"/>
      <c r="CQ133" s="99"/>
      <c r="CR133" s="99"/>
      <c r="CS133" s="99"/>
      <c r="CT133" s="94" t="s">
        <v>5808</v>
      </c>
      <c r="CU133" s="92"/>
      <c r="CV133" s="261" t="s">
        <v>2620</v>
      </c>
      <c r="CW133" s="261" t="s">
        <v>5809</v>
      </c>
      <c r="CX133" s="575" t="s">
        <v>5810</v>
      </c>
      <c r="CY133" s="261" t="s">
        <v>3330</v>
      </c>
      <c r="CZ133" s="261" t="s">
        <v>5811</v>
      </c>
      <c r="DA133" s="261" t="s">
        <v>4057</v>
      </c>
      <c r="DB133" s="261" t="s">
        <v>5812</v>
      </c>
      <c r="DC133" s="261" t="s">
        <v>5813</v>
      </c>
      <c r="DD133" s="94" t="s">
        <v>5814</v>
      </c>
      <c r="DE133" s="99"/>
      <c r="DF133" s="99"/>
      <c r="DG133" s="94" t="s">
        <v>5815</v>
      </c>
      <c r="DH133" s="236"/>
      <c r="DI133" s="261" t="s">
        <v>569</v>
      </c>
      <c r="DJ133" s="99"/>
      <c r="DK133" s="94" t="s">
        <v>4026</v>
      </c>
      <c r="DL133" s="261" t="s">
        <v>5816</v>
      </c>
      <c r="DM133" s="261" t="s">
        <v>3985</v>
      </c>
      <c r="DN133" s="261" t="s">
        <v>3163</v>
      </c>
      <c r="DO133" s="94" t="s">
        <v>5817</v>
      </c>
      <c r="DP133" s="94" t="s">
        <v>5818</v>
      </c>
      <c r="DQ133" s="94" t="s">
        <v>5819</v>
      </c>
      <c r="DR133" s="261" t="s">
        <v>5820</v>
      </c>
      <c r="DS133" s="102"/>
      <c r="DT133" s="99"/>
      <c r="DU133" s="261" t="s">
        <v>5821</v>
      </c>
      <c r="DV133" s="99"/>
      <c r="DW133" s="99"/>
      <c r="DX133" s="99"/>
      <c r="DY133" s="99"/>
      <c r="DZ133" s="94" t="s">
        <v>5822</v>
      </c>
      <c r="EA133" s="261" t="s">
        <v>5823</v>
      </c>
      <c r="EB133" s="99"/>
      <c r="EC133" s="94" t="s">
        <v>3952</v>
      </c>
      <c r="ED133" s="261" t="s">
        <v>5824</v>
      </c>
    </row>
    <row r="134">
      <c r="A134" s="630" t="s">
        <v>5825</v>
      </c>
      <c r="B134" s="104" t="s">
        <v>5826</v>
      </c>
      <c r="C134" s="105" t="s">
        <v>1258</v>
      </c>
      <c r="D134" s="106" t="s">
        <v>1258</v>
      </c>
      <c r="E134" s="107" t="s">
        <v>1258</v>
      </c>
      <c r="F134" s="108" t="s">
        <v>3973</v>
      </c>
      <c r="G134" s="104" t="s">
        <v>3973</v>
      </c>
      <c r="H134" s="112" t="s">
        <v>5827</v>
      </c>
      <c r="I134" s="112" t="s">
        <v>5828</v>
      </c>
      <c r="J134" s="112" t="s">
        <v>4666</v>
      </c>
      <c r="K134" s="243"/>
      <c r="L134" s="112" t="s">
        <v>5829</v>
      </c>
      <c r="M134" s="112" t="s">
        <v>5830</v>
      </c>
      <c r="N134" s="243"/>
      <c r="O134" s="243"/>
      <c r="P134" s="112" t="s">
        <v>3634</v>
      </c>
      <c r="Q134" s="243"/>
      <c r="R134" s="243"/>
      <c r="S134" s="243"/>
      <c r="T134" s="243"/>
      <c r="U134" s="243"/>
      <c r="V134" s="243"/>
      <c r="W134" s="92"/>
      <c r="X134" s="116" t="s">
        <v>2302</v>
      </c>
      <c r="Y134" s="271"/>
      <c r="Z134" s="116" t="s">
        <v>5831</v>
      </c>
      <c r="AA134" s="116" t="s">
        <v>663</v>
      </c>
      <c r="AB134" s="246"/>
      <c r="AC134" s="246"/>
      <c r="AD134" s="246"/>
      <c r="AE134" s="246"/>
      <c r="AF134" s="116" t="s">
        <v>5832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5833</v>
      </c>
      <c r="BS134" s="253"/>
      <c r="BT134" s="129" t="s">
        <v>4063</v>
      </c>
      <c r="BU134" s="253"/>
      <c r="BV134" s="253"/>
      <c r="BW134" s="253"/>
      <c r="BX134" s="253"/>
      <c r="BY134" s="253"/>
      <c r="BZ134" s="253"/>
      <c r="CA134" s="129" t="s">
        <v>5834</v>
      </c>
      <c r="CB134" s="253"/>
      <c r="CC134" s="253"/>
      <c r="CD134" s="253"/>
      <c r="CE134" s="253"/>
      <c r="CF134" s="254"/>
      <c r="CG134" s="135" t="s">
        <v>5835</v>
      </c>
      <c r="CH134" s="135" t="s">
        <v>2372</v>
      </c>
      <c r="CI134" s="256"/>
      <c r="CJ134" s="135" t="s">
        <v>4672</v>
      </c>
      <c r="CK134" s="264"/>
      <c r="CL134" s="264"/>
      <c r="CM134" s="135" t="s">
        <v>5313</v>
      </c>
      <c r="CN134" s="135" t="s">
        <v>1624</v>
      </c>
      <c r="CO134" s="256"/>
      <c r="CP134" s="256"/>
      <c r="CQ134" s="256"/>
      <c r="CR134" s="256"/>
      <c r="CS134" s="256"/>
      <c r="CT134" s="256"/>
      <c r="CU134" s="92"/>
      <c r="CV134" s="257"/>
      <c r="CW134" s="257"/>
      <c r="CX134" s="257"/>
      <c r="CY134" s="257"/>
      <c r="CZ134" s="257"/>
      <c r="DA134" s="257"/>
      <c r="DB134" s="140" t="s">
        <v>5836</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5837</v>
      </c>
      <c r="B135" s="82" t="s">
        <v>5838</v>
      </c>
      <c r="C135" s="83" t="s">
        <v>1258</v>
      </c>
      <c r="D135" s="84" t="s">
        <v>1258</v>
      </c>
      <c r="E135" s="85" t="s">
        <v>1258</v>
      </c>
      <c r="F135" s="86" t="s">
        <v>1258</v>
      </c>
      <c r="G135" s="82" t="s">
        <v>2996</v>
      </c>
      <c r="H135" s="94" t="s">
        <v>5839</v>
      </c>
      <c r="I135" s="94" t="s">
        <v>5840</v>
      </c>
      <c r="J135" s="94" t="s">
        <v>918</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5847</v>
      </c>
      <c r="BD135" s="94" t="s">
        <v>4158</v>
      </c>
      <c r="BE135" s="99"/>
      <c r="BF135" s="99"/>
      <c r="BG135" s="99"/>
      <c r="BH135" s="99"/>
      <c r="BI135" s="94" t="s">
        <v>913</v>
      </c>
      <c r="BJ135" s="99"/>
      <c r="BK135" s="99"/>
      <c r="BL135" s="99"/>
      <c r="BM135" s="99"/>
      <c r="BN135" s="99"/>
      <c r="BO135" s="99"/>
      <c r="BP135" s="99"/>
      <c r="BQ135" s="236"/>
      <c r="BR135" s="94"/>
      <c r="BS135" s="94" t="s">
        <v>3274</v>
      </c>
      <c r="BT135" s="94" t="s">
        <v>4823</v>
      </c>
      <c r="BU135" s="94" t="s">
        <v>1912</v>
      </c>
      <c r="BV135" s="94" t="s">
        <v>5671</v>
      </c>
      <c r="BW135" s="94" t="s">
        <v>5663</v>
      </c>
      <c r="BX135" s="99"/>
      <c r="BY135" s="99"/>
      <c r="BZ135" s="99"/>
      <c r="CA135" s="99"/>
      <c r="CB135" s="99"/>
      <c r="CC135" s="99"/>
      <c r="CD135" s="99"/>
      <c r="CE135" s="99"/>
      <c r="CF135" s="236"/>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2647</v>
      </c>
      <c r="CY135" s="99"/>
      <c r="CZ135" s="99"/>
      <c r="DA135" s="99"/>
      <c r="DB135" s="94" t="s">
        <v>5850</v>
      </c>
      <c r="DC135" s="99"/>
      <c r="DD135" s="99"/>
      <c r="DE135" s="99"/>
      <c r="DF135" s="99"/>
      <c r="DG135" s="99"/>
      <c r="DH135" s="236"/>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61"/>
    </row>
    <row r="136">
      <c r="A136" s="584" t="s">
        <v>5852</v>
      </c>
      <c r="B136" s="104" t="s">
        <v>5853</v>
      </c>
      <c r="C136" s="105" t="s">
        <v>1258</v>
      </c>
      <c r="D136" s="106" t="s">
        <v>1258</v>
      </c>
      <c r="E136" s="107" t="s">
        <v>1258</v>
      </c>
      <c r="F136" s="108" t="s">
        <v>437</v>
      </c>
      <c r="G136" s="104" t="s">
        <v>3384</v>
      </c>
      <c r="H136" s="167" t="s">
        <v>3836</v>
      </c>
      <c r="I136" s="167" t="s">
        <v>5183</v>
      </c>
      <c r="J136" s="167" t="s">
        <v>1266</v>
      </c>
      <c r="K136" s="167" t="s">
        <v>3976</v>
      </c>
      <c r="L136" s="226" t="s">
        <v>5854</v>
      </c>
      <c r="M136" s="243"/>
      <c r="N136" s="243"/>
      <c r="O136" s="226" t="s">
        <v>1370</v>
      </c>
      <c r="P136" s="631" t="s">
        <v>5855</v>
      </c>
      <c r="Q136" s="243"/>
      <c r="R136" s="167"/>
      <c r="S136" s="167"/>
      <c r="T136" s="243"/>
      <c r="U136" s="243"/>
      <c r="V136" s="243"/>
      <c r="W136" s="92"/>
      <c r="X136" s="198" t="s">
        <v>3164</v>
      </c>
      <c r="Y136" s="246"/>
      <c r="Z136" s="246"/>
      <c r="AA136" s="198" t="s">
        <v>5856</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5857</v>
      </c>
      <c r="BK136" s="174"/>
      <c r="BL136" s="173"/>
      <c r="BM136" s="173"/>
      <c r="BN136" s="173"/>
      <c r="BO136" s="173"/>
      <c r="BP136" s="173"/>
      <c r="BQ136" s="249"/>
      <c r="BR136" s="253"/>
      <c r="BS136" s="176" t="s">
        <v>3919</v>
      </c>
      <c r="BT136" s="175" t="s">
        <v>5349</v>
      </c>
      <c r="BU136" s="253"/>
      <c r="BV136" s="253"/>
      <c r="BW136" s="175" t="s">
        <v>5858</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5859</v>
      </c>
      <c r="B137" s="82" t="s">
        <v>5860</v>
      </c>
      <c r="C137" s="83" t="s">
        <v>1258</v>
      </c>
      <c r="D137" s="84" t="s">
        <v>1258</v>
      </c>
      <c r="E137" s="85" t="s">
        <v>1258</v>
      </c>
      <c r="F137" s="86" t="s">
        <v>546</v>
      </c>
      <c r="G137" s="82" t="s">
        <v>3101</v>
      </c>
      <c r="H137" s="94" t="s">
        <v>4207</v>
      </c>
      <c r="I137" s="94" t="s">
        <v>5861</v>
      </c>
      <c r="J137" s="94" t="s">
        <v>3363</v>
      </c>
      <c r="K137" s="94" t="s">
        <v>2279</v>
      </c>
      <c r="L137" s="94" t="s">
        <v>5310</v>
      </c>
      <c r="M137" s="94" t="s">
        <v>5862</v>
      </c>
      <c r="N137" s="94" t="s">
        <v>5863</v>
      </c>
      <c r="O137" s="94" t="s">
        <v>5864</v>
      </c>
      <c r="P137" s="94" t="s">
        <v>1209</v>
      </c>
      <c r="Q137" s="94"/>
      <c r="R137" s="99"/>
      <c r="S137" s="99"/>
      <c r="T137" s="99"/>
      <c r="U137" s="99"/>
      <c r="V137" s="99"/>
      <c r="W137" s="92"/>
      <c r="X137" s="94" t="s">
        <v>5865</v>
      </c>
      <c r="Y137" s="94"/>
      <c r="Z137" s="94" t="s">
        <v>5866</v>
      </c>
      <c r="AA137" s="94" t="s">
        <v>2070</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1012</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5869</v>
      </c>
      <c r="BX137" s="99"/>
      <c r="BY137" s="99"/>
      <c r="BZ137" s="99"/>
      <c r="CA137" s="94" t="s">
        <v>824</v>
      </c>
      <c r="CB137" s="99"/>
      <c r="CC137" s="99"/>
      <c r="CD137" s="99"/>
      <c r="CE137" s="99"/>
      <c r="CF137" s="236"/>
      <c r="CG137" s="94" t="s">
        <v>5870</v>
      </c>
      <c r="CH137" s="94" t="s">
        <v>4281</v>
      </c>
      <c r="CI137" s="94" t="s">
        <v>2609</v>
      </c>
      <c r="CJ137" s="99"/>
      <c r="CK137" s="99"/>
      <c r="CL137" s="99"/>
      <c r="CM137" s="99"/>
      <c r="CN137" s="99"/>
      <c r="CO137" s="94" t="s">
        <v>5871</v>
      </c>
      <c r="CP137" s="99"/>
      <c r="CQ137" s="99"/>
      <c r="CR137" s="99"/>
      <c r="CS137" s="99"/>
      <c r="CT137" s="99"/>
      <c r="CU137" s="92"/>
      <c r="CV137" s="94" t="s">
        <v>5872</v>
      </c>
      <c r="CW137" s="94" t="s">
        <v>5873</v>
      </c>
      <c r="CX137" s="94" t="s">
        <v>1840</v>
      </c>
      <c r="CY137" s="94" t="s">
        <v>5058</v>
      </c>
      <c r="CZ137" s="99"/>
      <c r="DA137" s="99"/>
      <c r="DB137" s="99"/>
      <c r="DC137" s="94"/>
      <c r="DD137" s="99"/>
      <c r="DE137" s="99"/>
      <c r="DF137" s="99"/>
      <c r="DG137" s="99"/>
      <c r="DH137" s="236"/>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2703</v>
      </c>
      <c r="ED137" s="261" t="s">
        <v>5875</v>
      </c>
    </row>
    <row r="138">
      <c r="A138" s="632" t="s">
        <v>5876</v>
      </c>
      <c r="B138" s="453" t="s">
        <v>5877</v>
      </c>
      <c r="C138" s="454" t="s">
        <v>1258</v>
      </c>
      <c r="D138" s="455" t="s">
        <v>1258</v>
      </c>
      <c r="E138" s="456" t="s">
        <v>1258</v>
      </c>
      <c r="F138" s="457" t="s">
        <v>983</v>
      </c>
      <c r="G138" s="453" t="s">
        <v>5878</v>
      </c>
      <c r="H138" s="459"/>
      <c r="I138" s="459" t="s">
        <v>5879</v>
      </c>
      <c r="J138" s="459"/>
      <c r="K138" s="459" t="s">
        <v>3110</v>
      </c>
      <c r="L138" s="458" t="s">
        <v>5216</v>
      </c>
      <c r="M138" s="459"/>
      <c r="N138" s="410" t="s">
        <v>5880</v>
      </c>
      <c r="O138" s="410" t="s">
        <v>5763</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3438</v>
      </c>
      <c r="AW138" s="466" t="s">
        <v>5473</v>
      </c>
      <c r="AX138" s="466"/>
      <c r="AY138" s="466" t="s">
        <v>4501</v>
      </c>
      <c r="AZ138" s="466"/>
      <c r="BA138" s="466"/>
      <c r="BB138" s="468" t="s">
        <v>5881</v>
      </c>
      <c r="BC138" s="468"/>
      <c r="BD138" s="468"/>
      <c r="BE138" s="468" t="s">
        <v>5882</v>
      </c>
      <c r="BF138" s="468" t="s">
        <v>5883</v>
      </c>
      <c r="BG138" s="468"/>
      <c r="BH138" s="468"/>
      <c r="BI138" s="126" t="s">
        <v>5884</v>
      </c>
      <c r="BJ138" s="468"/>
      <c r="BK138" s="467" t="s">
        <v>5885</v>
      </c>
      <c r="BL138" s="468"/>
      <c r="BM138" s="468"/>
      <c r="BN138" s="468"/>
      <c r="BO138" s="468"/>
      <c r="BP138" s="468"/>
      <c r="BQ138" s="635"/>
      <c r="BR138" s="469"/>
      <c r="BS138" s="469"/>
      <c r="BT138" s="469" t="s">
        <v>5886</v>
      </c>
      <c r="BU138" s="469"/>
      <c r="BV138" s="129" t="s">
        <v>2601</v>
      </c>
      <c r="BW138" s="129" t="s">
        <v>5501</v>
      </c>
      <c r="BX138" s="469"/>
      <c r="BY138" s="469"/>
      <c r="BZ138" s="469"/>
      <c r="CA138" s="129" t="s">
        <v>3740</v>
      </c>
      <c r="CB138" s="469" t="s">
        <v>5887</v>
      </c>
      <c r="CC138" s="469"/>
      <c r="CD138" s="469"/>
      <c r="CE138" s="469"/>
      <c r="CF138" s="636"/>
      <c r="CG138" s="472" t="s">
        <v>769</v>
      </c>
      <c r="CH138" s="472"/>
      <c r="CI138" s="472"/>
      <c r="CJ138" s="472" t="s">
        <v>5888</v>
      </c>
      <c r="CK138" s="472"/>
      <c r="CL138" s="472"/>
      <c r="CM138" s="637" t="s">
        <v>5889</v>
      </c>
      <c r="CN138" s="177" t="s">
        <v>5249</v>
      </c>
      <c r="CO138" s="472"/>
      <c r="CP138" s="472"/>
      <c r="CQ138" s="472"/>
      <c r="CR138" s="472"/>
      <c r="CS138" s="472"/>
      <c r="CT138" s="472" t="s">
        <v>5890</v>
      </c>
      <c r="CU138" s="460"/>
      <c r="CV138" s="473"/>
      <c r="CW138" s="473"/>
      <c r="CX138" s="638" t="s">
        <v>3422</v>
      </c>
      <c r="CY138" s="473" t="s">
        <v>5891</v>
      </c>
      <c r="CZ138" s="638" t="s">
        <v>5892</v>
      </c>
      <c r="DA138" s="474" t="s">
        <v>1925</v>
      </c>
      <c r="DB138" s="474" t="s">
        <v>5893</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5894</v>
      </c>
      <c r="EB138" s="476"/>
      <c r="EC138" s="476"/>
      <c r="ED138" s="476"/>
    </row>
    <row r="139">
      <c r="A139" s="625" t="s">
        <v>5895</v>
      </c>
      <c r="B139" s="82" t="s">
        <v>5896</v>
      </c>
      <c r="C139" s="83" t="s">
        <v>1258</v>
      </c>
      <c r="D139" s="84" t="s">
        <v>1258</v>
      </c>
      <c r="E139" s="85" t="s">
        <v>1258</v>
      </c>
      <c r="F139" s="86" t="s">
        <v>649</v>
      </c>
      <c r="G139" s="82" t="s">
        <v>5897</v>
      </c>
      <c r="H139" s="261" t="s">
        <v>3785</v>
      </c>
      <c r="I139" s="267" t="s">
        <v>5898</v>
      </c>
      <c r="J139" s="267" t="s">
        <v>1732</v>
      </c>
      <c r="K139" s="261" t="s">
        <v>352</v>
      </c>
      <c r="L139" s="261" t="s">
        <v>610</v>
      </c>
      <c r="M139" s="261" t="s">
        <v>5899</v>
      </c>
      <c r="N139" s="261" t="s">
        <v>5900</v>
      </c>
      <c r="O139" s="93" t="s">
        <v>242</v>
      </c>
      <c r="P139" s="261" t="s">
        <v>4883</v>
      </c>
      <c r="Q139" s="94" t="s">
        <v>5901</v>
      </c>
      <c r="R139" s="99"/>
      <c r="S139" s="94" t="s">
        <v>4102</v>
      </c>
      <c r="T139" s="99"/>
      <c r="U139" s="94" t="s">
        <v>2099</v>
      </c>
      <c r="V139" s="94" t="s">
        <v>5902</v>
      </c>
      <c r="W139" s="92"/>
      <c r="X139" s="434" t="s">
        <v>5012</v>
      </c>
      <c r="Y139" s="162"/>
      <c r="Z139" s="162" t="s">
        <v>5513</v>
      </c>
      <c r="AA139" s="88" t="s">
        <v>414</v>
      </c>
      <c r="AB139" s="267" t="s">
        <v>2733</v>
      </c>
      <c r="AC139" s="267" t="s">
        <v>3884</v>
      </c>
      <c r="AD139" s="261" t="s">
        <v>1572</v>
      </c>
      <c r="AE139" s="99"/>
      <c r="AF139" s="93" t="s">
        <v>5903</v>
      </c>
      <c r="AG139" s="261" t="s">
        <v>5904</v>
      </c>
      <c r="AH139" s="99"/>
      <c r="AI139" s="99"/>
      <c r="AJ139" s="102"/>
      <c r="AK139" s="99"/>
      <c r="AL139" s="97"/>
      <c r="AM139" s="261" t="s">
        <v>3528</v>
      </c>
      <c r="AN139" s="261" t="s">
        <v>5905</v>
      </c>
      <c r="AO139" s="94" t="s">
        <v>5906</v>
      </c>
      <c r="AP139" s="94" t="s">
        <v>102</v>
      </c>
      <c r="AQ139" s="94" t="s">
        <v>5907</v>
      </c>
      <c r="AR139" s="94" t="s">
        <v>5135</v>
      </c>
      <c r="AS139" s="94" t="s">
        <v>5908</v>
      </c>
      <c r="AT139" s="94" t="s">
        <v>5909</v>
      </c>
      <c r="AU139" s="261" t="s">
        <v>4306</v>
      </c>
      <c r="AV139" s="261" t="s">
        <v>3543</v>
      </c>
      <c r="AW139" s="261" t="s">
        <v>4190</v>
      </c>
      <c r="AX139" s="99"/>
      <c r="AY139" s="99"/>
      <c r="AZ139" s="99"/>
      <c r="BA139" s="99"/>
      <c r="BB139" s="261" t="s">
        <v>5910</v>
      </c>
      <c r="BC139" s="261" t="s">
        <v>2064</v>
      </c>
      <c r="BD139" s="261" t="s">
        <v>1075</v>
      </c>
      <c r="BE139" s="261" t="s">
        <v>5911</v>
      </c>
      <c r="BF139" s="102"/>
      <c r="BG139" s="261" t="s">
        <v>5912</v>
      </c>
      <c r="BH139" s="99"/>
      <c r="BI139" s="261" t="s">
        <v>1084</v>
      </c>
      <c r="BJ139" s="99"/>
      <c r="BK139" s="102"/>
      <c r="BL139" s="261" t="s">
        <v>5913</v>
      </c>
      <c r="BM139" s="99"/>
      <c r="BN139" s="99"/>
      <c r="BO139" s="102"/>
      <c r="BP139" s="99"/>
      <c r="BQ139" s="236"/>
      <c r="BR139" s="261" t="s">
        <v>5914</v>
      </c>
      <c r="BS139" s="261" t="s">
        <v>5915</v>
      </c>
      <c r="BT139" s="261" t="s">
        <v>3869</v>
      </c>
      <c r="BU139" s="261" t="s">
        <v>5791</v>
      </c>
      <c r="BV139" s="261" t="s">
        <v>5916</v>
      </c>
      <c r="BW139" s="261" t="s">
        <v>4598</v>
      </c>
      <c r="BX139" s="99"/>
      <c r="BY139" s="261" t="s">
        <v>5917</v>
      </c>
      <c r="BZ139" s="102"/>
      <c r="CA139" s="261" t="s">
        <v>976</v>
      </c>
      <c r="CB139" s="99"/>
      <c r="CC139" s="99"/>
      <c r="CD139" s="99"/>
      <c r="CE139" s="99"/>
      <c r="CF139" s="236"/>
      <c r="CG139" s="261" t="s">
        <v>5918</v>
      </c>
      <c r="CH139" s="261" t="s">
        <v>5919</v>
      </c>
      <c r="CI139" s="261" t="s">
        <v>4420</v>
      </c>
      <c r="CJ139" s="102"/>
      <c r="CK139" s="102"/>
      <c r="CL139" s="261" t="s">
        <v>2144</v>
      </c>
      <c r="CM139" s="102"/>
      <c r="CN139" s="102"/>
      <c r="CO139" s="102"/>
      <c r="CP139" s="222"/>
      <c r="CQ139" s="99"/>
      <c r="CR139" s="99"/>
      <c r="CS139" s="99"/>
      <c r="CT139" s="99"/>
      <c r="CU139" s="92"/>
      <c r="CV139" s="261" t="s">
        <v>5920</v>
      </c>
      <c r="CW139" s="261" t="s">
        <v>5921</v>
      </c>
      <c r="CX139" s="434" t="s">
        <v>5922</v>
      </c>
      <c r="CY139" s="88" t="s">
        <v>4512</v>
      </c>
      <c r="CZ139" s="261" t="s">
        <v>3405</v>
      </c>
      <c r="DA139" s="261" t="s">
        <v>4033</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1258</v>
      </c>
      <c r="D140" s="106" t="s">
        <v>1258</v>
      </c>
      <c r="E140" s="107" t="s">
        <v>1258</v>
      </c>
      <c r="F140" s="108" t="s">
        <v>1258</v>
      </c>
      <c r="G140" s="104" t="s">
        <v>221</v>
      </c>
      <c r="H140" s="226" t="s">
        <v>5928</v>
      </c>
      <c r="I140" s="342" t="s">
        <v>5929</v>
      </c>
      <c r="J140" s="226" t="s">
        <v>2829</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5930</v>
      </c>
      <c r="B141" s="82" t="s">
        <v>5931</v>
      </c>
      <c r="C141" s="83" t="s">
        <v>1258</v>
      </c>
      <c r="D141" s="84" t="s">
        <v>1258</v>
      </c>
      <c r="E141" s="85" t="s">
        <v>1258</v>
      </c>
      <c r="F141" s="86" t="s">
        <v>437</v>
      </c>
      <c r="G141" s="82" t="s">
        <v>4783</v>
      </c>
      <c r="H141" s="94"/>
      <c r="I141" s="94" t="s">
        <v>5932</v>
      </c>
      <c r="J141" s="94" t="s">
        <v>4147</v>
      </c>
      <c r="K141" s="88" t="s">
        <v>2279</v>
      </c>
      <c r="L141" s="94" t="s">
        <v>2478</v>
      </c>
      <c r="M141" s="94" t="s">
        <v>5933</v>
      </c>
      <c r="N141" s="94" t="s">
        <v>5934</v>
      </c>
      <c r="O141" s="94" t="s">
        <v>5156</v>
      </c>
      <c r="P141" s="94" t="s">
        <v>563</v>
      </c>
      <c r="Q141" s="99"/>
      <c r="R141" s="99"/>
      <c r="S141" s="99"/>
      <c r="T141" s="99"/>
      <c r="U141" s="99"/>
      <c r="V141" s="99"/>
      <c r="W141" s="92"/>
      <c r="X141" s="94" t="s">
        <v>4624</v>
      </c>
      <c r="Y141" s="94"/>
      <c r="Z141" s="94" t="s">
        <v>5846</v>
      </c>
      <c r="AA141" s="94" t="s">
        <v>2243</v>
      </c>
      <c r="AB141" s="94" t="s">
        <v>5935</v>
      </c>
      <c r="AC141" s="94" t="s">
        <v>4970</v>
      </c>
      <c r="AD141" s="94" t="s">
        <v>5936</v>
      </c>
      <c r="AE141" s="99"/>
      <c r="AF141" s="94" t="s">
        <v>5937</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5938</v>
      </c>
      <c r="BF141" s="99"/>
      <c r="BG141" s="94" t="s">
        <v>2922</v>
      </c>
      <c r="BH141" s="99"/>
      <c r="BI141" s="94" t="s">
        <v>902</v>
      </c>
      <c r="BJ141" s="99"/>
      <c r="BK141" s="99"/>
      <c r="BL141" s="99"/>
      <c r="BM141" s="99"/>
      <c r="BN141" s="99"/>
      <c r="BO141" s="99"/>
      <c r="BP141" s="99"/>
      <c r="BQ141" s="236"/>
      <c r="BR141" s="94" t="s">
        <v>5939</v>
      </c>
      <c r="BS141" s="94" t="s">
        <v>5940</v>
      </c>
      <c r="BT141" s="94" t="s">
        <v>495</v>
      </c>
      <c r="BU141" s="267" t="s">
        <v>3096</v>
      </c>
      <c r="BV141" s="94" t="s">
        <v>4015</v>
      </c>
      <c r="BW141" s="94" t="s">
        <v>5941</v>
      </c>
      <c r="BX141" s="94" t="s">
        <v>5942</v>
      </c>
      <c r="BY141" s="99"/>
      <c r="BZ141" s="94" t="s">
        <v>5943</v>
      </c>
      <c r="CA141" s="94" t="s">
        <v>5944</v>
      </c>
      <c r="CB141" s="99"/>
      <c r="CC141" s="99"/>
      <c r="CD141" s="99"/>
      <c r="CE141" s="99"/>
      <c r="CF141" s="236"/>
      <c r="CG141" s="88" t="s">
        <v>5945</v>
      </c>
      <c r="CH141" s="94" t="s">
        <v>5946</v>
      </c>
      <c r="CI141" s="94" t="s">
        <v>5947</v>
      </c>
      <c r="CJ141" s="94" t="s">
        <v>5948</v>
      </c>
      <c r="CK141" s="94"/>
      <c r="CL141" s="267" t="s">
        <v>2387</v>
      </c>
      <c r="CM141" s="94" t="s">
        <v>5949</v>
      </c>
      <c r="CN141" s="94" t="s">
        <v>2531</v>
      </c>
      <c r="CO141" s="94" t="s">
        <v>3708</v>
      </c>
      <c r="CP141" s="99"/>
      <c r="CQ141" s="99"/>
      <c r="CR141" s="99"/>
      <c r="CS141" s="99"/>
      <c r="CT141" s="99"/>
      <c r="CU141" s="92"/>
      <c r="CV141" s="94" t="s">
        <v>2917</v>
      </c>
      <c r="CW141" s="94" t="s">
        <v>3671</v>
      </c>
      <c r="CX141" s="94" t="s">
        <v>2809</v>
      </c>
      <c r="CY141" s="94" t="s">
        <v>5950</v>
      </c>
      <c r="CZ141" s="94" t="s">
        <v>3728</v>
      </c>
      <c r="DA141" s="94" t="s">
        <v>1816</v>
      </c>
      <c r="DB141" s="94" t="s">
        <v>5951</v>
      </c>
      <c r="DC141" s="94" t="s">
        <v>3843</v>
      </c>
      <c r="DD141" s="99"/>
      <c r="DE141" s="99"/>
      <c r="DF141" s="99"/>
      <c r="DG141" s="99"/>
      <c r="DH141" s="236"/>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0"/>
    </row>
    <row r="142">
      <c r="A142" s="433" t="s">
        <v>5953</v>
      </c>
      <c r="B142" s="104" t="s">
        <v>5931</v>
      </c>
      <c r="C142" s="105" t="s">
        <v>1258</v>
      </c>
      <c r="D142" s="106" t="s">
        <v>1258</v>
      </c>
      <c r="E142" s="107" t="s">
        <v>1258</v>
      </c>
      <c r="F142" s="108" t="s">
        <v>437</v>
      </c>
      <c r="G142" s="104" t="s">
        <v>2684</v>
      </c>
      <c r="H142" s="167" t="s">
        <v>5954</v>
      </c>
      <c r="I142" s="293" t="s">
        <v>1590</v>
      </c>
      <c r="J142" s="167" t="s">
        <v>5955</v>
      </c>
      <c r="K142" s="167" t="s">
        <v>5956</v>
      </c>
      <c r="L142" s="167" t="s">
        <v>5957</v>
      </c>
      <c r="M142" s="243"/>
      <c r="N142" s="167" t="s">
        <v>5958</v>
      </c>
      <c r="O142" s="167" t="s">
        <v>3589</v>
      </c>
      <c r="P142" s="167" t="s">
        <v>1077</v>
      </c>
      <c r="Q142" s="243"/>
      <c r="R142" s="167" t="s">
        <v>324</v>
      </c>
      <c r="S142" s="167" t="s">
        <v>2218</v>
      </c>
      <c r="T142" s="243"/>
      <c r="U142" s="167" t="s">
        <v>3229</v>
      </c>
      <c r="V142" s="243"/>
      <c r="W142" s="92"/>
      <c r="X142" s="198" t="s">
        <v>5959</v>
      </c>
      <c r="Y142" s="117"/>
      <c r="Z142" s="116" t="s">
        <v>2395</v>
      </c>
      <c r="AA142" s="198" t="s">
        <v>4524</v>
      </c>
      <c r="AB142" s="198" t="s">
        <v>1680</v>
      </c>
      <c r="AC142" s="198" t="s">
        <v>3886</v>
      </c>
      <c r="AD142" s="198" t="s">
        <v>2393</v>
      </c>
      <c r="AE142" s="246"/>
      <c r="AF142" s="198" t="s">
        <v>5960</v>
      </c>
      <c r="AG142" s="198" t="s">
        <v>193</v>
      </c>
      <c r="AH142" s="246"/>
      <c r="AI142" s="246"/>
      <c r="AJ142" s="246"/>
      <c r="AK142" s="246"/>
      <c r="AL142" s="97"/>
      <c r="AM142" s="247"/>
      <c r="AN142" s="168" t="s">
        <v>322</v>
      </c>
      <c r="AO142" s="247"/>
      <c r="AP142" s="247"/>
      <c r="AQ142" s="168" t="s">
        <v>5961</v>
      </c>
      <c r="AR142" s="168"/>
      <c r="AS142" s="247"/>
      <c r="AT142" s="247"/>
      <c r="AU142" s="168" t="s">
        <v>703</v>
      </c>
      <c r="AV142" s="247"/>
      <c r="AW142" s="247"/>
      <c r="AX142" s="247"/>
      <c r="AY142" s="247"/>
      <c r="AZ142" s="247"/>
      <c r="BA142" s="247"/>
      <c r="BB142" s="173"/>
      <c r="BC142" s="174" t="s">
        <v>1961</v>
      </c>
      <c r="BD142" s="174" t="s">
        <v>5962</v>
      </c>
      <c r="BE142" s="174" t="s">
        <v>3579</v>
      </c>
      <c r="BF142" s="174" t="s">
        <v>5773</v>
      </c>
      <c r="BG142" s="173"/>
      <c r="BH142" s="173"/>
      <c r="BI142" s="174" t="s">
        <v>4022</v>
      </c>
      <c r="BJ142" s="174" t="s">
        <v>5963</v>
      </c>
      <c r="BK142" s="174"/>
      <c r="BL142" s="174" t="s">
        <v>2628</v>
      </c>
      <c r="BM142" s="173"/>
      <c r="BN142" s="174" t="s">
        <v>4228</v>
      </c>
      <c r="BO142" s="173"/>
      <c r="BP142" s="173"/>
      <c r="BQ142" s="249"/>
      <c r="BR142" s="175" t="s">
        <v>5964</v>
      </c>
      <c r="BS142" s="175" t="s">
        <v>4247</v>
      </c>
      <c r="BT142" s="175" t="s">
        <v>3410</v>
      </c>
      <c r="BU142" s="175" t="s">
        <v>5965</v>
      </c>
      <c r="BV142" s="175" t="s">
        <v>5966</v>
      </c>
      <c r="BW142" s="175" t="s">
        <v>5209</v>
      </c>
      <c r="BX142" s="253"/>
      <c r="BY142" s="175" t="s">
        <v>2881</v>
      </c>
      <c r="BZ142" s="253"/>
      <c r="CA142" s="175" t="s">
        <v>5967</v>
      </c>
      <c r="CB142" s="253"/>
      <c r="CC142" s="253"/>
      <c r="CD142" s="253"/>
      <c r="CE142" s="253"/>
      <c r="CF142" s="254"/>
      <c r="CG142" s="177" t="s">
        <v>5968</v>
      </c>
      <c r="CH142" s="177" t="s">
        <v>4484</v>
      </c>
      <c r="CI142" s="177" t="s">
        <v>2220</v>
      </c>
      <c r="CJ142" s="177" t="s">
        <v>5969</v>
      </c>
      <c r="CK142" s="177"/>
      <c r="CL142" s="177" t="s">
        <v>5970</v>
      </c>
      <c r="CM142" s="177" t="s">
        <v>5971</v>
      </c>
      <c r="CN142" s="177" t="s">
        <v>1732</v>
      </c>
      <c r="CO142" s="177" t="s">
        <v>4306</v>
      </c>
      <c r="CP142" s="256"/>
      <c r="CQ142" s="256"/>
      <c r="CR142" s="256"/>
      <c r="CS142" s="256"/>
      <c r="CT142" s="256"/>
      <c r="CU142" s="92"/>
      <c r="CV142" s="204" t="s">
        <v>5972</v>
      </c>
      <c r="CW142" s="204" t="s">
        <v>2838</v>
      </c>
      <c r="CX142" s="204" t="s">
        <v>3756</v>
      </c>
      <c r="CY142" s="204" t="s">
        <v>5973</v>
      </c>
      <c r="CZ142" s="257"/>
      <c r="DA142" s="204" t="s">
        <v>5974</v>
      </c>
      <c r="DB142" s="140" t="s">
        <v>5975</v>
      </c>
      <c r="DC142" s="204" t="s">
        <v>4482</v>
      </c>
      <c r="DD142" s="257"/>
      <c r="DE142" s="257"/>
      <c r="DF142" s="257"/>
      <c r="DG142" s="257"/>
      <c r="DH142" s="258"/>
      <c r="DI142" s="205" t="s">
        <v>5976</v>
      </c>
      <c r="DJ142" s="259"/>
      <c r="DK142" s="259"/>
      <c r="DL142" s="259"/>
      <c r="DM142" s="259"/>
      <c r="DN142" s="259"/>
      <c r="DO142" s="259"/>
      <c r="DP142" s="259"/>
      <c r="DQ142" s="259"/>
      <c r="DR142" s="259"/>
      <c r="DS142" s="259"/>
      <c r="DT142" s="259"/>
      <c r="DU142" s="259"/>
      <c r="DV142" s="205" t="s">
        <v>5977</v>
      </c>
      <c r="DW142" s="205" t="s">
        <v>4102</v>
      </c>
      <c r="DX142" s="205" t="s">
        <v>5978</v>
      </c>
      <c r="DY142" s="205" t="s">
        <v>206</v>
      </c>
      <c r="DZ142" s="205" t="s">
        <v>5979</v>
      </c>
      <c r="EA142" s="205" t="s">
        <v>3446</v>
      </c>
      <c r="EB142" s="259"/>
      <c r="EC142" s="259"/>
      <c r="ED142" s="287" t="s">
        <v>5980</v>
      </c>
    </row>
    <row r="143">
      <c r="A143" s="643" t="s">
        <v>5981</v>
      </c>
      <c r="B143" s="82" t="s">
        <v>5982</v>
      </c>
      <c r="C143" s="83" t="s">
        <v>1258</v>
      </c>
      <c r="D143" s="84" t="s">
        <v>1258</v>
      </c>
      <c r="E143" s="85" t="s">
        <v>1258</v>
      </c>
      <c r="F143" s="86" t="s">
        <v>546</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2928</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3142</v>
      </c>
      <c r="P144" s="324" t="s">
        <v>251</v>
      </c>
      <c r="Q144" s="644"/>
      <c r="R144" s="644"/>
      <c r="S144" s="645">
        <v>37.85</v>
      </c>
      <c r="T144" s="644"/>
      <c r="U144" s="167" t="s">
        <v>1840</v>
      </c>
      <c r="V144" s="645" t="s">
        <v>5998</v>
      </c>
      <c r="W144" s="646"/>
      <c r="X144" s="647"/>
      <c r="Y144" s="647"/>
      <c r="Z144" s="647"/>
      <c r="AA144" s="117" t="s">
        <v>3038</v>
      </c>
      <c r="AB144" s="648"/>
      <c r="AC144" s="302" t="s">
        <v>3523</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5846</v>
      </c>
      <c r="AV144" s="654" t="s">
        <v>5952</v>
      </c>
      <c r="AW144" s="654" t="s">
        <v>481</v>
      </c>
      <c r="AX144" s="652"/>
      <c r="AY144" s="652"/>
      <c r="AZ144" s="652"/>
      <c r="BA144" s="652"/>
      <c r="BB144" s="655"/>
      <c r="BC144" s="655"/>
      <c r="BD144" s="353" t="s">
        <v>1651</v>
      </c>
      <c r="BE144" s="201" t="s">
        <v>371</v>
      </c>
      <c r="BF144" s="655"/>
      <c r="BG144" s="655"/>
      <c r="BH144" s="656"/>
      <c r="BI144" s="201" t="s">
        <v>3070</v>
      </c>
      <c r="BJ144" s="656"/>
      <c r="BK144" s="353" t="s">
        <v>5999</v>
      </c>
      <c r="BL144" s="201" t="s">
        <v>3781</v>
      </c>
      <c r="BM144" s="656"/>
      <c r="BN144" s="657">
        <v>35.32</v>
      </c>
      <c r="BO144" s="655"/>
      <c r="BP144" s="656"/>
      <c r="BQ144" s="658"/>
      <c r="BR144" s="659"/>
      <c r="BS144" s="659"/>
      <c r="BT144" s="345" t="s">
        <v>2778</v>
      </c>
      <c r="BU144" s="345" t="s">
        <v>6000</v>
      </c>
      <c r="BV144" s="659"/>
      <c r="BW144" s="345" t="s">
        <v>3119</v>
      </c>
      <c r="BX144" s="660"/>
      <c r="BY144" s="659"/>
      <c r="BZ144" s="659"/>
      <c r="CA144" s="131" t="s">
        <v>5561</v>
      </c>
      <c r="CB144" s="661" t="s">
        <v>6001</v>
      </c>
      <c r="CC144" s="660"/>
      <c r="CD144" s="661">
        <v>37.19</v>
      </c>
      <c r="CE144" s="661" t="s">
        <v>6002</v>
      </c>
      <c r="CF144" s="662"/>
      <c r="CG144" s="663"/>
      <c r="CH144" s="663"/>
      <c r="CI144" s="663"/>
      <c r="CJ144" s="663"/>
      <c r="CK144" s="663"/>
      <c r="CL144" s="663"/>
      <c r="CM144" s="338" t="s">
        <v>6003</v>
      </c>
      <c r="CN144" s="338" t="s">
        <v>914</v>
      </c>
      <c r="CO144" s="663"/>
      <c r="CP144" s="664"/>
      <c r="CQ144" s="665"/>
      <c r="CR144" s="665"/>
      <c r="CS144" s="666">
        <v>52.7</v>
      </c>
      <c r="CT144" s="665"/>
      <c r="CU144" s="646"/>
      <c r="CV144" s="667"/>
      <c r="CW144" s="284" t="s">
        <v>3309</v>
      </c>
      <c r="CX144" s="285" t="s">
        <v>2991</v>
      </c>
      <c r="CY144" s="667"/>
      <c r="CZ144" s="667"/>
      <c r="DA144" s="284" t="s">
        <v>2368</v>
      </c>
      <c r="DB144" s="668" t="s">
        <v>6004</v>
      </c>
      <c r="DC144" s="667"/>
      <c r="DD144" s="669"/>
      <c r="DE144" s="669"/>
      <c r="DF144" s="669"/>
      <c r="DG144" s="669"/>
      <c r="DH144" s="670"/>
      <c r="DI144" s="671"/>
      <c r="DJ144" s="672"/>
      <c r="DK144" s="672"/>
      <c r="DL144" s="671"/>
      <c r="DM144" s="671"/>
      <c r="DN144" s="287" t="s">
        <v>3918</v>
      </c>
      <c r="DO144" s="672"/>
      <c r="DP144" s="672"/>
      <c r="DQ144" s="672"/>
      <c r="DR144" s="287" t="s">
        <v>6005</v>
      </c>
      <c r="DS144" s="287" t="s">
        <v>4546</v>
      </c>
      <c r="DT144" s="672"/>
      <c r="DU144" s="671"/>
      <c r="DV144" s="672"/>
      <c r="DW144" s="672"/>
      <c r="DX144" s="672"/>
      <c r="DY144" s="672"/>
      <c r="DZ144" s="672"/>
      <c r="EA144" s="671"/>
      <c r="EB144" s="672"/>
      <c r="EC144" s="672"/>
      <c r="ED144" s="673"/>
    </row>
    <row r="145">
      <c r="A145" s="615" t="s">
        <v>6006</v>
      </c>
      <c r="B145" s="82" t="s">
        <v>6007</v>
      </c>
      <c r="C145" s="83" t="s">
        <v>1258</v>
      </c>
      <c r="D145" s="84" t="s">
        <v>1258</v>
      </c>
      <c r="E145" s="85" t="s">
        <v>1258</v>
      </c>
      <c r="F145" s="86" t="s">
        <v>1258</v>
      </c>
      <c r="G145" s="82" t="s">
        <v>5878</v>
      </c>
      <c r="H145" s="94" t="s">
        <v>1922</v>
      </c>
      <c r="I145" s="94" t="s">
        <v>3716</v>
      </c>
      <c r="J145" s="94" t="s">
        <v>573</v>
      </c>
      <c r="K145" s="94" t="s">
        <v>2659</v>
      </c>
      <c r="L145" s="94" t="s">
        <v>4117</v>
      </c>
      <c r="M145" s="94" t="s">
        <v>6008</v>
      </c>
      <c r="N145" s="94" t="s">
        <v>6009</v>
      </c>
      <c r="O145" s="94" t="s">
        <v>444</v>
      </c>
      <c r="P145" s="94" t="s">
        <v>3956</v>
      </c>
      <c r="Q145" s="99"/>
      <c r="R145" s="99"/>
      <c r="S145" s="99"/>
      <c r="T145" s="99"/>
      <c r="U145" s="99"/>
      <c r="V145" s="99"/>
      <c r="W145" s="92"/>
      <c r="X145" s="94" t="s">
        <v>5015</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509</v>
      </c>
      <c r="BE145" s="94" t="s">
        <v>286</v>
      </c>
      <c r="BF145" s="99"/>
      <c r="BG145" s="94" t="s">
        <v>3274</v>
      </c>
      <c r="BH145" s="99"/>
      <c r="BI145" s="94" t="s">
        <v>1782</v>
      </c>
      <c r="BJ145" s="99"/>
      <c r="BK145" s="99"/>
      <c r="BL145" s="99"/>
      <c r="BM145" s="99"/>
      <c r="BN145" s="99"/>
      <c r="BO145" s="99"/>
      <c r="BP145" s="99"/>
      <c r="BQ145" s="236"/>
      <c r="BR145" s="99"/>
      <c r="BS145" s="99"/>
      <c r="BT145" s="94" t="s">
        <v>5037</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3884</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5798</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6024</v>
      </c>
      <c r="B147" s="82" t="s">
        <v>6025</v>
      </c>
      <c r="C147" s="83" t="s">
        <v>1258</v>
      </c>
      <c r="D147" s="84" t="s">
        <v>1258</v>
      </c>
      <c r="E147" s="85" t="s">
        <v>1258</v>
      </c>
      <c r="F147" s="86" t="s">
        <v>437</v>
      </c>
      <c r="G147" s="82" t="s">
        <v>220</v>
      </c>
      <c r="H147" s="675"/>
      <c r="I147" s="94" t="s">
        <v>5728</v>
      </c>
      <c r="J147" s="94" t="s">
        <v>6026</v>
      </c>
      <c r="K147" s="94" t="s">
        <v>5921</v>
      </c>
      <c r="L147" s="94" t="s">
        <v>2958</v>
      </c>
      <c r="M147" s="99"/>
      <c r="N147" s="99"/>
      <c r="O147" s="99"/>
      <c r="P147" s="88" t="s">
        <v>6027</v>
      </c>
      <c r="Q147" s="99"/>
      <c r="R147" s="99"/>
      <c r="S147" s="99"/>
      <c r="T147" s="99"/>
      <c r="U147" s="99"/>
      <c r="V147" s="99"/>
      <c r="W147" s="92"/>
      <c r="X147" s="94" t="s">
        <v>6028</v>
      </c>
      <c r="Y147" s="93"/>
      <c r="Z147" s="88" t="s">
        <v>362</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5884</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5973</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2874</v>
      </c>
      <c r="G148" s="104" t="s">
        <v>2874</v>
      </c>
      <c r="H148" s="243"/>
      <c r="I148" s="243"/>
      <c r="J148" s="243"/>
      <c r="K148" s="243"/>
      <c r="L148" s="243"/>
      <c r="M148" s="243"/>
      <c r="N148" s="243"/>
      <c r="O148" s="112" t="s">
        <v>6036</v>
      </c>
      <c r="P148" s="112" t="s">
        <v>6037</v>
      </c>
      <c r="Q148" s="243"/>
      <c r="R148" s="243"/>
      <c r="S148" s="243"/>
      <c r="T148" s="243"/>
      <c r="U148" s="243"/>
      <c r="V148" s="243"/>
      <c r="W148" s="92"/>
      <c r="X148" s="246"/>
      <c r="Y148" s="246"/>
      <c r="Z148" s="246"/>
      <c r="AA148" s="116" t="s">
        <v>1858</v>
      </c>
      <c r="AB148" s="271"/>
      <c r="AC148" s="116" t="s">
        <v>5421</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6038</v>
      </c>
      <c r="BE148" s="173"/>
      <c r="BF148" s="173"/>
      <c r="BG148" s="173"/>
      <c r="BH148" s="173"/>
      <c r="BI148" s="126" t="s">
        <v>4045</v>
      </c>
      <c r="BJ148" s="173"/>
      <c r="BK148" s="173"/>
      <c r="BL148" s="126" t="s">
        <v>2112</v>
      </c>
      <c r="BM148" s="173"/>
      <c r="BN148" s="173"/>
      <c r="BO148" s="173"/>
      <c r="BP148" s="173"/>
      <c r="BQ148" s="249"/>
      <c r="BR148" s="253"/>
      <c r="BS148" s="253"/>
      <c r="BT148" s="253"/>
      <c r="BU148" s="129" t="s">
        <v>1007</v>
      </c>
      <c r="BV148" s="253"/>
      <c r="BW148" s="129" t="s">
        <v>3170</v>
      </c>
      <c r="BX148" s="253"/>
      <c r="BY148" s="253"/>
      <c r="BZ148" s="253"/>
      <c r="CA148" s="129" t="s">
        <v>6039</v>
      </c>
      <c r="CB148" s="253"/>
      <c r="CC148" s="253"/>
      <c r="CD148" s="253"/>
      <c r="CE148" s="253"/>
      <c r="CF148" s="254"/>
      <c r="CG148" s="256"/>
      <c r="CH148" s="256"/>
      <c r="CI148" s="256"/>
      <c r="CJ148" s="135" t="s">
        <v>6040</v>
      </c>
      <c r="CK148" s="264"/>
      <c r="CL148" s="135" t="s">
        <v>6041</v>
      </c>
      <c r="CM148" s="256"/>
      <c r="CN148" s="256"/>
      <c r="CO148" s="135" t="s">
        <v>3618</v>
      </c>
      <c r="CP148" s="256"/>
      <c r="CQ148" s="256"/>
      <c r="CR148" s="256"/>
      <c r="CS148" s="256"/>
      <c r="CT148" s="256"/>
      <c r="CU148" s="92"/>
      <c r="CV148" s="140" t="s">
        <v>3241</v>
      </c>
      <c r="CW148" s="140" t="s">
        <v>5717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6042</v>
      </c>
      <c r="B149" s="82" t="s">
        <v>6043</v>
      </c>
      <c r="C149" s="83" t="s">
        <v>1258</v>
      </c>
      <c r="D149" s="84" t="s">
        <v>1258</v>
      </c>
      <c r="E149" s="85" t="s">
        <v>1258</v>
      </c>
      <c r="F149" s="86" t="s">
        <v>1258</v>
      </c>
      <c r="G149" s="82" t="s">
        <v>6044</v>
      </c>
      <c r="H149" s="94" t="s">
        <v>3933</v>
      </c>
      <c r="I149" s="94" t="s">
        <v>4082</v>
      </c>
      <c r="J149" s="94" t="s">
        <v>679</v>
      </c>
      <c r="K149" s="94" t="s">
        <v>6029</v>
      </c>
      <c r="L149" s="94" t="s">
        <v>6045</v>
      </c>
      <c r="M149" s="94" t="s">
        <v>6046</v>
      </c>
      <c r="N149" s="94" t="s">
        <v>6047</v>
      </c>
      <c r="O149" s="94" t="s">
        <v>3137</v>
      </c>
      <c r="P149" s="94" t="s">
        <v>4160</v>
      </c>
      <c r="Q149" s="94" t="s">
        <v>6048</v>
      </c>
      <c r="R149" s="99"/>
      <c r="S149" s="94" t="s">
        <v>974</v>
      </c>
      <c r="T149" s="99"/>
      <c r="U149" s="94" t="s">
        <v>6049</v>
      </c>
      <c r="V149" s="94" t="s">
        <v>6050</v>
      </c>
      <c r="W149" s="92"/>
      <c r="X149" s="94" t="s">
        <v>6051</v>
      </c>
      <c r="Y149" s="94"/>
      <c r="Z149" s="94" t="s">
        <v>2088</v>
      </c>
      <c r="AA149" s="94" t="s">
        <v>3638</v>
      </c>
      <c r="AB149" s="94" t="s">
        <v>3685</v>
      </c>
      <c r="AC149" s="94" t="s">
        <v>5946</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2059</v>
      </c>
      <c r="AQ149" s="94" t="s">
        <v>6059</v>
      </c>
      <c r="AR149" s="94" t="s">
        <v>6060</v>
      </c>
      <c r="AS149" s="94" t="s">
        <v>6061</v>
      </c>
      <c r="AT149" s="94" t="s">
        <v>6062</v>
      </c>
      <c r="AU149" s="94" t="s">
        <v>601</v>
      </c>
      <c r="AV149" s="94" t="s">
        <v>1582</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6"/>
      <c r="BR149" s="94" t="s">
        <v>6074</v>
      </c>
      <c r="BS149" s="94" t="s">
        <v>1158</v>
      </c>
      <c r="BT149" s="94" t="s">
        <v>951</v>
      </c>
      <c r="BU149" s="94" t="s">
        <v>2356</v>
      </c>
      <c r="BV149" s="94" t="s">
        <v>6075</v>
      </c>
      <c r="BW149" s="94" t="s">
        <v>6076</v>
      </c>
      <c r="BX149" s="94" t="s">
        <v>1583</v>
      </c>
      <c r="BY149" s="94" t="s">
        <v>1250</v>
      </c>
      <c r="BZ149" s="99"/>
      <c r="CA149" s="94" t="s">
        <v>6077</v>
      </c>
      <c r="CB149" s="94" t="s">
        <v>6078</v>
      </c>
      <c r="CC149" s="94" t="s">
        <v>452</v>
      </c>
      <c r="CD149" s="94" t="s">
        <v>181</v>
      </c>
      <c r="CE149" s="94" t="s">
        <v>6079</v>
      </c>
      <c r="CF149" s="236"/>
      <c r="CG149" s="94" t="s">
        <v>6080</v>
      </c>
      <c r="CH149" s="94" t="s">
        <v>1447</v>
      </c>
      <c r="CI149" s="94" t="s">
        <v>488</v>
      </c>
      <c r="CJ149" s="94" t="s">
        <v>6081</v>
      </c>
      <c r="CK149" s="94"/>
      <c r="CL149" s="94" t="s">
        <v>5042</v>
      </c>
      <c r="CM149" s="94" t="s">
        <v>6082</v>
      </c>
      <c r="CN149" s="94" t="s">
        <v>3812</v>
      </c>
      <c r="CO149" s="94" t="s">
        <v>2123</v>
      </c>
      <c r="CP149" s="94" t="s">
        <v>6083</v>
      </c>
      <c r="CQ149" s="94" t="s">
        <v>6084</v>
      </c>
      <c r="CR149" s="99"/>
      <c r="CS149" s="94" t="s">
        <v>5068</v>
      </c>
      <c r="CT149" s="94" t="s">
        <v>6085</v>
      </c>
      <c r="CU149" s="92"/>
      <c r="CV149" s="94" t="s">
        <v>2901</v>
      </c>
      <c r="CW149" s="94" t="s">
        <v>6086</v>
      </c>
      <c r="CX149" s="94" t="s">
        <v>2443</v>
      </c>
      <c r="CY149" s="94" t="s">
        <v>6087</v>
      </c>
      <c r="CZ149" s="94" t="s">
        <v>1430</v>
      </c>
      <c r="DA149" s="94" t="s">
        <v>4216</v>
      </c>
      <c r="DB149" s="94" t="s">
        <v>6088</v>
      </c>
      <c r="DC149" s="94" t="s">
        <v>6089</v>
      </c>
      <c r="DD149" s="94" t="s">
        <v>6090</v>
      </c>
      <c r="DE149" s="94" t="s">
        <v>4178</v>
      </c>
      <c r="DF149" s="94" t="s">
        <v>1823</v>
      </c>
      <c r="DG149" s="94" t="s">
        <v>6091</v>
      </c>
      <c r="DH149" s="236"/>
      <c r="DI149" s="94" t="s">
        <v>4046</v>
      </c>
      <c r="DJ149" s="99"/>
      <c r="DK149" s="94" t="s">
        <v>2799</v>
      </c>
      <c r="DL149" s="94" t="s">
        <v>2114</v>
      </c>
      <c r="DM149" s="94" t="s">
        <v>3701</v>
      </c>
      <c r="DN149" s="94" t="s">
        <v>2418</v>
      </c>
      <c r="DO149" s="94" t="s">
        <v>4132</v>
      </c>
      <c r="DP149" s="94" t="s">
        <v>6092</v>
      </c>
      <c r="DQ149" s="94" t="s">
        <v>179</v>
      </c>
      <c r="DR149" s="94" t="s">
        <v>6093</v>
      </c>
      <c r="DS149" s="94" t="s">
        <v>3138</v>
      </c>
      <c r="DT149" s="94" t="s">
        <v>4833</v>
      </c>
      <c r="DU149" s="94" t="s">
        <v>6094</v>
      </c>
      <c r="DV149" s="94" t="s">
        <v>6095</v>
      </c>
      <c r="DW149" s="94" t="s">
        <v>1122</v>
      </c>
      <c r="DX149" s="94" t="s">
        <v>3886</v>
      </c>
      <c r="DY149" s="94" t="s">
        <v>6096</v>
      </c>
      <c r="DZ149" s="94" t="s">
        <v>4462</v>
      </c>
      <c r="EA149" s="94" t="s">
        <v>2585</v>
      </c>
      <c r="EB149" s="94" t="s">
        <v>5023</v>
      </c>
      <c r="EC149" s="94" t="s">
        <v>2320</v>
      </c>
      <c r="ED149" s="574" t="s">
        <v>4440</v>
      </c>
    </row>
    <row r="150">
      <c r="A150" s="677" t="s">
        <v>6097</v>
      </c>
      <c r="B150" s="104" t="s">
        <v>6098</v>
      </c>
      <c r="C150" s="105" t="s">
        <v>1258</v>
      </c>
      <c r="D150" s="106" t="s">
        <v>546</v>
      </c>
      <c r="E150" s="107" t="s">
        <v>1258</v>
      </c>
      <c r="F150" s="108" t="s">
        <v>984</v>
      </c>
      <c r="G150" s="104" t="s">
        <v>1060</v>
      </c>
      <c r="H150" s="243"/>
      <c r="I150" s="167" t="s">
        <v>6099</v>
      </c>
      <c r="J150" s="167" t="s">
        <v>4357</v>
      </c>
      <c r="K150" s="112" t="s">
        <v>664</v>
      </c>
      <c r="L150" s="112" t="s">
        <v>6100</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3394</v>
      </c>
      <c r="AW150" s="121" t="s">
        <v>3014</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2991</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846</v>
      </c>
      <c r="CP150" s="256"/>
      <c r="CQ150" s="256"/>
      <c r="CR150" s="256"/>
      <c r="CS150" s="256"/>
      <c r="CT150" s="256"/>
      <c r="CU150" s="92"/>
      <c r="CV150" s="204" t="s">
        <v>6101</v>
      </c>
      <c r="CW150" s="257"/>
      <c r="CX150" s="140" t="s">
        <v>6102</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6103</v>
      </c>
      <c r="DT150" s="259"/>
      <c r="DU150" s="259"/>
      <c r="DV150" s="259"/>
      <c r="DW150" s="259"/>
      <c r="DX150" s="259"/>
      <c r="DY150" s="259"/>
      <c r="DZ150" s="259"/>
      <c r="EA150" s="259"/>
      <c r="EB150" s="259"/>
      <c r="EC150" s="259"/>
      <c r="ED150" s="678" t="s">
        <v>6104</v>
      </c>
    </row>
    <row r="151">
      <c r="A151" s="676" t="s">
        <v>6105</v>
      </c>
      <c r="B151" s="82" t="s">
        <v>6106</v>
      </c>
      <c r="C151" s="83" t="s">
        <v>1258</v>
      </c>
      <c r="D151" s="84" t="s">
        <v>1258</v>
      </c>
      <c r="E151" s="85" t="s">
        <v>1258</v>
      </c>
      <c r="F151" s="86" t="s">
        <v>222</v>
      </c>
      <c r="G151" s="82" t="s">
        <v>5878</v>
      </c>
      <c r="H151" s="93"/>
      <c r="I151" s="98" t="s">
        <v>6107</v>
      </c>
      <c r="J151" s="88" t="s">
        <v>4737</v>
      </c>
      <c r="K151" s="88" t="s">
        <v>6108</v>
      </c>
      <c r="L151" s="88" t="s">
        <v>2101</v>
      </c>
      <c r="M151" s="102"/>
      <c r="N151" s="88" t="s">
        <v>714</v>
      </c>
      <c r="O151" s="267" t="s">
        <v>6109</v>
      </c>
      <c r="P151" s="88" t="s">
        <v>1866</v>
      </c>
      <c r="Q151" s="99"/>
      <c r="R151" s="99"/>
      <c r="S151" s="99"/>
      <c r="T151" s="99"/>
      <c r="U151" s="99"/>
      <c r="V151" s="99"/>
      <c r="W151" s="92"/>
      <c r="X151" s="88" t="s">
        <v>5571</v>
      </c>
      <c r="Y151" s="102"/>
      <c r="Z151" s="102" t="s">
        <v>6110</v>
      </c>
      <c r="AA151" s="102" t="s">
        <v>6111</v>
      </c>
      <c r="AB151" s="267"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7" t="s">
        <v>6115</v>
      </c>
      <c r="BD151" s="102"/>
      <c r="BE151" s="88" t="s">
        <v>1538</v>
      </c>
      <c r="BF151" s="88" t="s">
        <v>4572</v>
      </c>
      <c r="BG151" s="102"/>
      <c r="BH151" s="99"/>
      <c r="BI151" s="88" t="s">
        <v>3058</v>
      </c>
      <c r="BJ151" s="267" t="s">
        <v>6116</v>
      </c>
      <c r="BK151" s="102"/>
      <c r="BL151" s="102"/>
      <c r="BM151" s="99"/>
      <c r="BN151" s="99"/>
      <c r="BO151" s="102"/>
      <c r="BP151" s="99"/>
      <c r="BQ151" s="236"/>
      <c r="BR151" s="102" t="s">
        <v>2509</v>
      </c>
      <c r="BS151" s="102" t="s">
        <v>6117</v>
      </c>
      <c r="BT151" s="102"/>
      <c r="BU151" s="102" t="s">
        <v>3111</v>
      </c>
      <c r="BV151" s="102" t="s">
        <v>6118</v>
      </c>
      <c r="BW151" s="102"/>
      <c r="BX151" s="99"/>
      <c r="BY151" s="102"/>
      <c r="BZ151" s="102"/>
      <c r="CA151" s="102"/>
      <c r="CB151" s="99"/>
      <c r="CC151" s="99"/>
      <c r="CD151" s="99"/>
      <c r="CE151" s="99"/>
      <c r="CF151" s="236"/>
      <c r="CG151" s="102" t="s">
        <v>6119</v>
      </c>
      <c r="CH151" s="102" t="s">
        <v>1936</v>
      </c>
      <c r="CI151" s="102" t="s">
        <v>3504</v>
      </c>
      <c r="CJ151" s="102" t="s">
        <v>6120</v>
      </c>
      <c r="CK151" s="102"/>
      <c r="CL151" s="102"/>
      <c r="CM151" s="102" t="s">
        <v>6121</v>
      </c>
      <c r="CN151" s="88" t="s">
        <v>2656</v>
      </c>
      <c r="CO151" s="102"/>
      <c r="CP151" s="222"/>
      <c r="CQ151" s="99"/>
      <c r="CR151" s="99"/>
      <c r="CS151" s="99"/>
      <c r="CT151" s="99"/>
      <c r="CU151" s="92"/>
      <c r="CV151" s="88" t="s">
        <v>5232</v>
      </c>
      <c r="CW151" s="102"/>
      <c r="CX151" s="267" t="s">
        <v>6122</v>
      </c>
      <c r="CY151" s="102"/>
      <c r="CZ151" s="88" t="s">
        <v>6123</v>
      </c>
      <c r="DA151" s="102"/>
      <c r="DB151" s="88" t="s">
        <v>6124</v>
      </c>
      <c r="DC151" s="102"/>
      <c r="DD151" s="99"/>
      <c r="DE151" s="99"/>
      <c r="DF151" s="99"/>
      <c r="DG151" s="99"/>
      <c r="DH151" s="236"/>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61"/>
    </row>
    <row r="152">
      <c r="A152" s="166" t="s">
        <v>6126</v>
      </c>
      <c r="B152" s="104" t="s">
        <v>6127</v>
      </c>
      <c r="C152" s="105" t="s">
        <v>1258</v>
      </c>
      <c r="D152" s="106" t="s">
        <v>1258</v>
      </c>
      <c r="E152" s="107" t="s">
        <v>1258</v>
      </c>
      <c r="F152" s="108" t="s">
        <v>546</v>
      </c>
      <c r="G152" s="104" t="s">
        <v>3063</v>
      </c>
      <c r="H152" s="243"/>
      <c r="I152" s="243"/>
      <c r="J152" s="167" t="s">
        <v>6128</v>
      </c>
      <c r="K152" s="167" t="s">
        <v>664</v>
      </c>
      <c r="L152" s="167" t="s">
        <v>6129</v>
      </c>
      <c r="M152" s="243"/>
      <c r="N152" s="167" t="s">
        <v>2602</v>
      </c>
      <c r="O152" s="167" t="s">
        <v>6130</v>
      </c>
      <c r="P152" s="243"/>
      <c r="Q152" s="243"/>
      <c r="R152" s="243"/>
      <c r="S152" s="243"/>
      <c r="T152" s="243"/>
      <c r="U152" s="243"/>
      <c r="V152" s="243"/>
      <c r="W152" s="92"/>
      <c r="X152" s="246"/>
      <c r="Y152" s="246"/>
      <c r="Z152" s="246"/>
      <c r="AA152" s="198" t="s">
        <v>6131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6132</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6133</v>
      </c>
      <c r="B153" s="82" t="s">
        <v>6134</v>
      </c>
      <c r="C153" s="83" t="s">
        <v>1258</v>
      </c>
      <c r="D153" s="84" t="s">
        <v>1258</v>
      </c>
      <c r="E153" s="85" t="s">
        <v>1258</v>
      </c>
      <c r="F153" s="86" t="s">
        <v>332</v>
      </c>
      <c r="G153" s="82" t="s">
        <v>2939</v>
      </c>
      <c r="H153" s="261"/>
      <c r="I153" s="261" t="s">
        <v>2819</v>
      </c>
      <c r="J153" s="98" t="s">
        <v>6135</v>
      </c>
      <c r="K153" s="261" t="s">
        <v>6136</v>
      </c>
      <c r="L153" s="102" t="s">
        <v>4148</v>
      </c>
      <c r="M153" s="102" t="s">
        <v>6137</v>
      </c>
      <c r="N153" s="102" t="s">
        <v>5832</v>
      </c>
      <c r="O153" s="102" t="s">
        <v>6138</v>
      </c>
      <c r="P153" s="102" t="s">
        <v>3107</v>
      </c>
      <c r="Q153" s="99"/>
      <c r="R153" s="99"/>
      <c r="S153" s="99"/>
      <c r="T153" s="99"/>
      <c r="U153" s="99"/>
      <c r="V153" s="99"/>
      <c r="W153" s="92"/>
      <c r="X153" s="102"/>
      <c r="Y153" s="93"/>
      <c r="Z153" s="88" t="s">
        <v>2841</v>
      </c>
      <c r="AA153" s="102" t="s">
        <v>5145</v>
      </c>
      <c r="AB153" s="267"/>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6"/>
      <c r="BR153" s="102" t="s">
        <v>6141</v>
      </c>
      <c r="BS153" s="102"/>
      <c r="BT153" s="102"/>
      <c r="BU153" s="88" t="s">
        <v>1075</v>
      </c>
      <c r="BV153" s="102"/>
      <c r="BW153" s="102" t="s">
        <v>6012</v>
      </c>
      <c r="BX153" s="99"/>
      <c r="BY153" s="102"/>
      <c r="BZ153" s="102" t="s">
        <v>6142</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5464</v>
      </c>
      <c r="CY153" s="680" t="s">
        <v>6143</v>
      </c>
      <c r="CZ153" s="102"/>
      <c r="DA153" s="102" t="s">
        <v>6144</v>
      </c>
      <c r="DB153" s="102" t="s">
        <v>6145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6146</v>
      </c>
      <c r="B154" s="104" t="s">
        <v>6147</v>
      </c>
      <c r="C154" s="105" t="s">
        <v>1258</v>
      </c>
      <c r="D154" s="106" t="s">
        <v>1258</v>
      </c>
      <c r="E154" s="107" t="s">
        <v>1258</v>
      </c>
      <c r="F154" s="108" t="s">
        <v>1258</v>
      </c>
      <c r="G154" s="104" t="s">
        <v>4683</v>
      </c>
      <c r="H154" s="682"/>
      <c r="I154" s="324"/>
      <c r="J154" s="324" t="s">
        <v>1180</v>
      </c>
      <c r="K154" s="324" t="s">
        <v>352</v>
      </c>
      <c r="L154" s="324" t="s">
        <v>661</v>
      </c>
      <c r="M154" s="324"/>
      <c r="N154" s="324"/>
      <c r="O154" s="324" t="s">
        <v>6148</v>
      </c>
      <c r="P154" s="324" t="s">
        <v>6149</v>
      </c>
      <c r="Q154" s="683"/>
      <c r="R154" s="683"/>
      <c r="S154" s="276" t="s">
        <v>3016</v>
      </c>
      <c r="T154" s="683"/>
      <c r="U154" s="683"/>
      <c r="V154" s="683"/>
      <c r="W154" s="579"/>
      <c r="X154" s="302" t="s">
        <v>6150</v>
      </c>
      <c r="Y154" s="302"/>
      <c r="Z154" s="302" t="s">
        <v>2841</v>
      </c>
      <c r="AA154" s="302" t="s">
        <v>131</v>
      </c>
      <c r="AB154" s="302" t="s">
        <v>6151</v>
      </c>
      <c r="AC154" s="302" t="s">
        <v>3884</v>
      </c>
      <c r="AD154" s="302" t="s">
        <v>6152</v>
      </c>
      <c r="AE154" s="684"/>
      <c r="AF154" s="302" t="s">
        <v>6153</v>
      </c>
      <c r="AG154" s="302" t="s">
        <v>4747</v>
      </c>
      <c r="AH154" s="684"/>
      <c r="AI154" s="684"/>
      <c r="AJ154" s="302"/>
      <c r="AK154" s="685"/>
      <c r="AL154" s="573"/>
      <c r="AM154" s="654"/>
      <c r="AN154" s="654" t="s">
        <v>1616</v>
      </c>
      <c r="AO154" s="686"/>
      <c r="AP154" s="686"/>
      <c r="AQ154" s="687"/>
      <c r="AR154" s="687"/>
      <c r="AS154" s="686"/>
      <c r="AT154" s="686"/>
      <c r="AU154" s="654" t="s">
        <v>3642</v>
      </c>
      <c r="AV154" s="654" t="s">
        <v>772</v>
      </c>
      <c r="AW154" s="654"/>
      <c r="AX154" s="686"/>
      <c r="AY154" s="686"/>
      <c r="AZ154" s="686"/>
      <c r="BA154" s="686"/>
      <c r="BB154" s="201"/>
      <c r="BC154" s="201" t="s">
        <v>6154</v>
      </c>
      <c r="BD154" s="201" t="s">
        <v>3340</v>
      </c>
      <c r="BE154" s="201" t="s">
        <v>6155</v>
      </c>
      <c r="BF154" s="201" t="s">
        <v>2425</v>
      </c>
      <c r="BG154" s="201" t="s">
        <v>6156</v>
      </c>
      <c r="BH154" s="688"/>
      <c r="BI154" s="201" t="s">
        <v>2823</v>
      </c>
      <c r="BJ154" s="688"/>
      <c r="BK154" s="201" t="s">
        <v>6157</v>
      </c>
      <c r="BL154" s="201" t="s">
        <v>4214</v>
      </c>
      <c r="BM154" s="688"/>
      <c r="BN154" s="688"/>
      <c r="BO154" s="201"/>
      <c r="BP154" s="688"/>
      <c r="BQ154" s="689"/>
      <c r="BR154" s="345"/>
      <c r="BS154" s="345" t="s">
        <v>6158</v>
      </c>
      <c r="BT154" s="345" t="s">
        <v>4233</v>
      </c>
      <c r="BU154" s="345" t="s">
        <v>6159</v>
      </c>
      <c r="BV154" s="345" t="s">
        <v>6160</v>
      </c>
      <c r="BW154" s="345" t="s">
        <v>1397</v>
      </c>
      <c r="BX154" s="690"/>
      <c r="BY154" s="345"/>
      <c r="BZ154" s="345" t="s">
        <v>6161</v>
      </c>
      <c r="CA154" s="345" t="s">
        <v>6162</v>
      </c>
      <c r="CB154" s="313"/>
      <c r="CC154" s="690"/>
      <c r="CD154" s="690"/>
      <c r="CE154" s="690"/>
      <c r="CF154" s="691"/>
      <c r="CG154" s="338" t="s">
        <v>5977</v>
      </c>
      <c r="CH154" s="338" t="s">
        <v>6163</v>
      </c>
      <c r="CI154" s="338"/>
      <c r="CJ154" s="338"/>
      <c r="CK154" s="338" t="s">
        <v>6164</v>
      </c>
      <c r="CL154" s="338"/>
      <c r="CM154" s="338"/>
      <c r="CN154" s="338" t="s">
        <v>2656</v>
      </c>
      <c r="CO154" s="338" t="s">
        <v>6165</v>
      </c>
      <c r="CP154" s="692"/>
      <c r="CQ154" s="693"/>
      <c r="CR154" s="693"/>
      <c r="CS154" s="693"/>
      <c r="CT154" s="693"/>
      <c r="CU154" s="579"/>
      <c r="CV154" s="284" t="s">
        <v>2078</v>
      </c>
      <c r="CW154" s="284"/>
      <c r="CX154" s="284" t="s">
        <v>3944</v>
      </c>
      <c r="CY154" s="284"/>
      <c r="CZ154" s="284"/>
      <c r="DA154" s="284"/>
      <c r="DB154" s="284" t="s">
        <v>6166</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6167</v>
      </c>
      <c r="B155" s="82" t="s">
        <v>6168</v>
      </c>
      <c r="C155" s="83" t="s">
        <v>1258</v>
      </c>
      <c r="D155" s="84" t="s">
        <v>1258</v>
      </c>
      <c r="E155" s="85" t="s">
        <v>1258</v>
      </c>
      <c r="F155" s="86" t="s">
        <v>1258</v>
      </c>
      <c r="G155" s="82" t="s">
        <v>2547</v>
      </c>
      <c r="H155" s="102"/>
      <c r="I155" s="95" t="s">
        <v>5179</v>
      </c>
      <c r="J155" s="102" t="s">
        <v>6169</v>
      </c>
      <c r="K155" s="102" t="s">
        <v>6170</v>
      </c>
      <c r="L155" s="102" t="s">
        <v>5993</v>
      </c>
      <c r="M155" s="102" t="s">
        <v>6171</v>
      </c>
      <c r="N155" s="102" t="s">
        <v>1022</v>
      </c>
      <c r="O155" s="102" t="s">
        <v>480</v>
      </c>
      <c r="P155" s="102" t="s">
        <v>764</v>
      </c>
      <c r="Q155" s="99"/>
      <c r="R155" s="99"/>
      <c r="S155" s="94"/>
      <c r="T155" s="99"/>
      <c r="U155" s="99"/>
      <c r="V155" s="99"/>
      <c r="W155" s="92"/>
      <c r="X155" s="102" t="s">
        <v>4361</v>
      </c>
      <c r="Y155" s="102"/>
      <c r="Z155" s="102" t="s">
        <v>2088</v>
      </c>
      <c r="AA155" s="102" t="s">
        <v>6172</v>
      </c>
      <c r="AB155" s="267"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1075</v>
      </c>
      <c r="BE155" s="102" t="s">
        <v>6177</v>
      </c>
      <c r="BF155" s="102" t="s">
        <v>6178</v>
      </c>
      <c r="BG155" s="102"/>
      <c r="BH155" s="99"/>
      <c r="BI155" s="102" t="s">
        <v>6179</v>
      </c>
      <c r="BJ155" s="94" t="s">
        <v>6180</v>
      </c>
      <c r="BK155" s="102"/>
      <c r="BL155" s="102" t="s">
        <v>1954</v>
      </c>
      <c r="BM155" s="99"/>
      <c r="BN155" s="99"/>
      <c r="BO155" s="102"/>
      <c r="BP155" s="99"/>
      <c r="BQ155" s="236"/>
      <c r="BR155" s="697" t="s">
        <v>6181</v>
      </c>
      <c r="BS155" s="102" t="s">
        <v>1354</v>
      </c>
      <c r="BT155" s="102" t="s">
        <v>5634</v>
      </c>
      <c r="BU155" s="102" t="s">
        <v>6182</v>
      </c>
      <c r="BV155" s="102" t="s">
        <v>6183</v>
      </c>
      <c r="BW155" s="102" t="s">
        <v>1518</v>
      </c>
      <c r="BX155" s="94" t="s">
        <v>4205</v>
      </c>
      <c r="BY155" s="102" t="s">
        <v>6184</v>
      </c>
      <c r="BZ155" s="102"/>
      <c r="CA155" s="102" t="s">
        <v>1442</v>
      </c>
      <c r="CB155" s="99"/>
      <c r="CC155" s="99"/>
      <c r="CD155" s="99"/>
      <c r="CE155" s="99"/>
      <c r="CF155" s="236"/>
      <c r="CG155" s="102" t="s">
        <v>6185</v>
      </c>
      <c r="CH155" s="102" t="s">
        <v>2128</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2658</v>
      </c>
      <c r="CX155" s="102" t="s">
        <v>1793</v>
      </c>
      <c r="CY155" s="102" t="s">
        <v>4225</v>
      </c>
      <c r="CZ155" s="102" t="s">
        <v>6191</v>
      </c>
      <c r="DA155" s="102" t="s">
        <v>5313</v>
      </c>
      <c r="DB155" s="102" t="s">
        <v>6073</v>
      </c>
      <c r="DC155" s="102" t="s">
        <v>6172</v>
      </c>
      <c r="DD155" s="99"/>
      <c r="DE155" s="99"/>
      <c r="DF155" s="99"/>
      <c r="DG155" s="99"/>
      <c r="DH155" s="236"/>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61"/>
    </row>
    <row r="156">
      <c r="A156" s="166" t="s">
        <v>6193</v>
      </c>
      <c r="B156" s="104" t="s">
        <v>6194</v>
      </c>
      <c r="C156" s="105" t="s">
        <v>1258</v>
      </c>
      <c r="D156" s="106" t="s">
        <v>1258</v>
      </c>
      <c r="E156" s="107" t="s">
        <v>1258</v>
      </c>
      <c r="F156" s="108" t="s">
        <v>438</v>
      </c>
      <c r="G156" s="104" t="s">
        <v>5878</v>
      </c>
      <c r="H156" s="167"/>
      <c r="I156" s="112" t="s">
        <v>6195</v>
      </c>
      <c r="J156" s="112" t="s">
        <v>1744</v>
      </c>
      <c r="K156" s="112" t="s">
        <v>1828</v>
      </c>
      <c r="L156" s="112" t="s">
        <v>6196</v>
      </c>
      <c r="M156" s="167" t="s">
        <v>6197</v>
      </c>
      <c r="N156" s="167" t="s">
        <v>3743</v>
      </c>
      <c r="O156" s="167" t="s">
        <v>5249</v>
      </c>
      <c r="P156" s="167" t="s">
        <v>3956</v>
      </c>
      <c r="Q156" s="243"/>
      <c r="R156" s="243"/>
      <c r="S156" s="243"/>
      <c r="T156" s="243"/>
      <c r="U156" s="243"/>
      <c r="V156" s="243"/>
      <c r="W156" s="92"/>
      <c r="X156" s="198" t="s">
        <v>6198</v>
      </c>
      <c r="Y156" s="246"/>
      <c r="Z156" s="246"/>
      <c r="AA156" s="198" t="s">
        <v>677</v>
      </c>
      <c r="AB156" s="198" t="s">
        <v>5311</v>
      </c>
      <c r="AC156" s="116" t="s">
        <v>5531</v>
      </c>
      <c r="AD156" s="246"/>
      <c r="AE156" s="246"/>
      <c r="AF156" s="198" t="s">
        <v>6199</v>
      </c>
      <c r="AG156" s="198" t="s">
        <v>305</v>
      </c>
      <c r="AH156" s="246"/>
      <c r="AI156" s="246"/>
      <c r="AJ156" s="246"/>
      <c r="AK156" s="246"/>
      <c r="AL156" s="97"/>
      <c r="AM156" s="168"/>
      <c r="AN156" s="168" t="s">
        <v>5554</v>
      </c>
      <c r="AO156" s="247"/>
      <c r="AP156" s="247"/>
      <c r="AQ156" s="247"/>
      <c r="AR156" s="247"/>
      <c r="AS156" s="247"/>
      <c r="AT156" s="247"/>
      <c r="AU156" s="168" t="s">
        <v>6200</v>
      </c>
      <c r="AV156" s="247"/>
      <c r="AW156" s="168" t="s">
        <v>384</v>
      </c>
      <c r="AX156" s="247"/>
      <c r="AY156" s="247"/>
      <c r="AZ156" s="247"/>
      <c r="BA156" s="247"/>
      <c r="BB156" s="173"/>
      <c r="BC156" s="174" t="s">
        <v>5874</v>
      </c>
      <c r="BD156" s="173"/>
      <c r="BE156" s="174" t="s">
        <v>6201</v>
      </c>
      <c r="BF156" s="174" t="s">
        <v>1456</v>
      </c>
      <c r="BG156" s="174" t="s">
        <v>4767</v>
      </c>
      <c r="BH156" s="173"/>
      <c r="BI156" s="126" t="s">
        <v>6202</v>
      </c>
      <c r="BJ156" s="173"/>
      <c r="BK156" s="173"/>
      <c r="BL156" s="174" t="s">
        <v>104</v>
      </c>
      <c r="BM156" s="173"/>
      <c r="BN156" s="173"/>
      <c r="BO156" s="173"/>
      <c r="BP156" s="173"/>
      <c r="BQ156" s="249"/>
      <c r="BR156" s="175"/>
      <c r="BS156" s="253"/>
      <c r="BT156" s="253"/>
      <c r="BU156" s="175" t="s">
        <v>6203</v>
      </c>
      <c r="BV156" s="253"/>
      <c r="BW156" s="175" t="s">
        <v>1905</v>
      </c>
      <c r="BX156" s="253"/>
      <c r="BY156" s="175" t="s">
        <v>6204</v>
      </c>
      <c r="BZ156" s="253"/>
      <c r="CA156" s="175" t="s">
        <v>6205</v>
      </c>
      <c r="CB156" s="253"/>
      <c r="CC156" s="253"/>
      <c r="CD156" s="253"/>
      <c r="CE156" s="253"/>
      <c r="CF156" s="254"/>
      <c r="CG156" s="256"/>
      <c r="CH156" s="177" t="s">
        <v>6206</v>
      </c>
      <c r="CI156" s="256"/>
      <c r="CJ156" s="264" t="s">
        <v>6207</v>
      </c>
      <c r="CK156" s="264"/>
      <c r="CL156" s="264" t="s">
        <v>5849</v>
      </c>
      <c r="CM156" s="256"/>
      <c r="CN156" s="256"/>
      <c r="CO156" s="256"/>
      <c r="CP156" s="256"/>
      <c r="CQ156" s="256"/>
      <c r="CR156" s="256"/>
      <c r="CS156" s="256"/>
      <c r="CT156" s="256"/>
      <c r="CU156" s="92"/>
      <c r="CV156" s="257"/>
      <c r="CW156" s="204" t="s">
        <v>5717</v>
      </c>
      <c r="CX156" s="204" t="s">
        <v>6208</v>
      </c>
      <c r="CY156" s="257"/>
      <c r="CZ156" s="257"/>
      <c r="DA156" s="204" t="s">
        <v>5499</v>
      </c>
      <c r="DB156" s="233" t="s">
        <v>5642</v>
      </c>
      <c r="DC156" s="204" t="s">
        <v>6209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6210</v>
      </c>
      <c r="B157" s="82" t="s">
        <v>6211</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6212</v>
      </c>
      <c r="B158" s="104" t="s">
        <v>6213</v>
      </c>
      <c r="C158" s="105" t="s">
        <v>1258</v>
      </c>
      <c r="D158" s="106" t="s">
        <v>1258</v>
      </c>
      <c r="E158" s="107" t="s">
        <v>1258</v>
      </c>
      <c r="F158" s="108" t="s">
        <v>437</v>
      </c>
      <c r="G158" s="104" t="s">
        <v>5694</v>
      </c>
      <c r="H158" s="243"/>
      <c r="I158" s="167" t="s">
        <v>1983</v>
      </c>
      <c r="J158" s="167" t="s">
        <v>2598</v>
      </c>
      <c r="K158" s="167" t="s">
        <v>3110</v>
      </c>
      <c r="L158" s="167" t="s">
        <v>2562</v>
      </c>
      <c r="M158" s="167" t="s">
        <v>6214</v>
      </c>
      <c r="N158" s="167" t="s">
        <v>6215</v>
      </c>
      <c r="O158" s="167" t="s">
        <v>6216</v>
      </c>
      <c r="P158" s="167" t="s">
        <v>4160</v>
      </c>
      <c r="Q158" s="243"/>
      <c r="R158" s="243"/>
      <c r="S158" s="243"/>
      <c r="T158" s="243"/>
      <c r="U158" s="243"/>
      <c r="V158" s="243"/>
      <c r="W158" s="92"/>
      <c r="X158" s="198" t="s">
        <v>5417</v>
      </c>
      <c r="Y158" s="198"/>
      <c r="Z158" s="198" t="s">
        <v>2135</v>
      </c>
      <c r="AA158" s="198" t="s">
        <v>2252</v>
      </c>
      <c r="AB158" s="198" t="s">
        <v>1924</v>
      </c>
      <c r="AC158" s="198" t="s">
        <v>6217</v>
      </c>
      <c r="AD158" s="116" t="s">
        <v>6218</v>
      </c>
      <c r="AE158" s="246"/>
      <c r="AF158" s="246"/>
      <c r="AG158" s="246"/>
      <c r="AH158" s="246"/>
      <c r="AI158" s="246"/>
      <c r="AJ158" s="246"/>
      <c r="AK158" s="246"/>
      <c r="AL158" s="97"/>
      <c r="AM158" s="247"/>
      <c r="AN158" s="247"/>
      <c r="AO158" s="247"/>
      <c r="AP158" s="247"/>
      <c r="AQ158" s="247"/>
      <c r="AR158" s="247"/>
      <c r="AS158" s="247"/>
      <c r="AT158" s="247"/>
      <c r="AU158" s="168" t="s">
        <v>6189</v>
      </c>
      <c r="AV158" s="168" t="s">
        <v>3312</v>
      </c>
      <c r="AW158" s="247"/>
      <c r="AX158" s="247"/>
      <c r="AY158" s="247"/>
      <c r="AZ158" s="247"/>
      <c r="BA158" s="247"/>
      <c r="BB158" s="173"/>
      <c r="BC158" s="174" t="s">
        <v>1211</v>
      </c>
      <c r="BD158" s="173"/>
      <c r="BE158" s="174" t="s">
        <v>1778</v>
      </c>
      <c r="BF158" s="173"/>
      <c r="BG158" s="174" t="s">
        <v>6219</v>
      </c>
      <c r="BH158" s="173"/>
      <c r="BI158" s="126" t="s">
        <v>1603</v>
      </c>
      <c r="BJ158" s="173"/>
      <c r="BK158" s="173"/>
      <c r="BL158" s="174" t="s">
        <v>5072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6220</v>
      </c>
      <c r="CY158" s="204" t="s">
        <v>4259</v>
      </c>
      <c r="CZ158" s="257"/>
      <c r="DA158" s="257"/>
      <c r="DB158" s="257"/>
      <c r="DC158" s="204" t="s">
        <v>1018</v>
      </c>
      <c r="DD158" s="257"/>
      <c r="DE158" s="257"/>
      <c r="DF158" s="257"/>
      <c r="DG158" s="257"/>
      <c r="DH158" s="258"/>
      <c r="DI158" s="205" t="s">
        <v>6221</v>
      </c>
      <c r="DJ158" s="259"/>
      <c r="DK158" s="259"/>
      <c r="DL158" s="205"/>
      <c r="DM158" s="259"/>
      <c r="DN158" s="205" t="s">
        <v>1916</v>
      </c>
      <c r="DO158" s="205" t="s">
        <v>6222</v>
      </c>
      <c r="DP158" s="259"/>
      <c r="DQ158" s="259"/>
      <c r="DR158" s="259"/>
      <c r="DS158" s="259"/>
      <c r="DT158" s="259"/>
      <c r="DU158" s="259"/>
      <c r="DV158" s="259"/>
      <c r="DW158" s="259"/>
      <c r="DX158" s="259"/>
      <c r="DY158" s="259"/>
      <c r="DZ158" s="205" t="s">
        <v>6223</v>
      </c>
      <c r="EA158" s="259"/>
      <c r="EB158" s="259"/>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1838</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4913</v>
      </c>
      <c r="AO159" s="99"/>
      <c r="AP159" s="99"/>
      <c r="AQ159" s="99"/>
      <c r="AR159" s="99"/>
      <c r="AS159" s="99"/>
      <c r="AT159" s="99"/>
      <c r="AU159" s="99"/>
      <c r="AV159" s="94" t="s">
        <v>1779</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6"/>
      <c r="BR159" s="94"/>
      <c r="BS159" s="99"/>
      <c r="BT159" s="99"/>
      <c r="BU159" s="94" t="s">
        <v>6235</v>
      </c>
      <c r="BV159" s="99"/>
      <c r="BW159" s="94" t="s">
        <v>952</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6236</v>
      </c>
      <c r="B160" s="104" t="s">
        <v>6237</v>
      </c>
      <c r="C160" s="105" t="s">
        <v>1258</v>
      </c>
      <c r="D160" s="106" t="s">
        <v>1258</v>
      </c>
      <c r="E160" s="107" t="s">
        <v>1258</v>
      </c>
      <c r="F160" s="108" t="s">
        <v>3872</v>
      </c>
      <c r="G160" s="104" t="s">
        <v>333</v>
      </c>
      <c r="H160" s="243"/>
      <c r="I160" s="243"/>
      <c r="J160" s="167" t="s">
        <v>6238</v>
      </c>
      <c r="K160" s="112" t="s">
        <v>5697</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6239</v>
      </c>
      <c r="BK160" s="173"/>
      <c r="BL160" s="173"/>
      <c r="BM160" s="173"/>
      <c r="BN160" s="173"/>
      <c r="BO160" s="173"/>
      <c r="BP160" s="173"/>
      <c r="BQ160" s="249"/>
      <c r="BR160" s="253"/>
      <c r="BS160" s="253"/>
      <c r="BT160" s="129" t="s">
        <v>1352</v>
      </c>
      <c r="BU160" s="129" t="s">
        <v>4285</v>
      </c>
      <c r="BV160" s="253"/>
      <c r="BW160" s="306" t="s">
        <v>6240</v>
      </c>
      <c r="BX160" s="253"/>
      <c r="BY160" s="253"/>
      <c r="BZ160" s="253"/>
      <c r="CA160" s="253"/>
      <c r="CB160" s="253"/>
      <c r="CC160" s="253"/>
      <c r="CD160" s="253"/>
      <c r="CE160" s="253"/>
      <c r="CF160" s="254"/>
      <c r="CG160" s="177"/>
      <c r="CH160" s="135" t="s">
        <v>6241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6242</v>
      </c>
      <c r="B161" s="82" t="s">
        <v>6243</v>
      </c>
      <c r="C161" s="83" t="s">
        <v>1258</v>
      </c>
      <c r="D161" s="84" t="s">
        <v>1258</v>
      </c>
      <c r="E161" s="85" t="s">
        <v>1258</v>
      </c>
      <c r="F161" s="86" t="s">
        <v>334</v>
      </c>
      <c r="G161" s="82" t="s">
        <v>3973</v>
      </c>
      <c r="H161" s="94" t="s">
        <v>6244</v>
      </c>
      <c r="I161" s="94" t="s">
        <v>4942</v>
      </c>
      <c r="J161" s="94" t="s">
        <v>2394</v>
      </c>
      <c r="K161" s="94" t="s">
        <v>1428</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6248</v>
      </c>
      <c r="BT161" s="94" t="s">
        <v>6249</v>
      </c>
      <c r="BU161" s="99"/>
      <c r="BV161" s="99"/>
      <c r="BW161" s="94" t="s">
        <v>6250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6251</v>
      </c>
      <c r="B162" s="104" t="s">
        <v>6252</v>
      </c>
      <c r="C162" s="105" t="s">
        <v>1258</v>
      </c>
      <c r="D162" s="106" t="s">
        <v>1258</v>
      </c>
      <c r="E162" s="107" t="s">
        <v>1258</v>
      </c>
      <c r="F162" s="108" t="s">
        <v>437</v>
      </c>
      <c r="G162" s="104" t="s">
        <v>6253</v>
      </c>
      <c r="H162" s="419"/>
      <c r="I162" s="324" t="s">
        <v>1592</v>
      </c>
      <c r="J162" s="419"/>
      <c r="K162" s="324" t="s">
        <v>4058</v>
      </c>
      <c r="L162" s="419"/>
      <c r="M162" s="419"/>
      <c r="N162" s="419"/>
      <c r="O162" s="419"/>
      <c r="P162" s="324" t="s">
        <v>4904</v>
      </c>
      <c r="Q162" s="243"/>
      <c r="R162" s="243"/>
      <c r="S162" s="243"/>
      <c r="T162" s="243"/>
      <c r="U162" s="243"/>
      <c r="V162" s="243"/>
      <c r="W162" s="92"/>
      <c r="X162" s="302" t="s">
        <v>6254</v>
      </c>
      <c r="Y162" s="117"/>
      <c r="Z162" s="117"/>
      <c r="AA162" s="302" t="s">
        <v>1512</v>
      </c>
      <c r="AB162" s="295"/>
      <c r="AC162" s="114" t="s">
        <v>1696</v>
      </c>
      <c r="AD162" s="117"/>
      <c r="AE162" s="246"/>
      <c r="AF162" s="117"/>
      <c r="AG162" s="302" t="s">
        <v>5904</v>
      </c>
      <c r="AH162" s="246"/>
      <c r="AI162" s="246"/>
      <c r="AJ162" s="117"/>
      <c r="AK162" s="246"/>
      <c r="AL162" s="97"/>
      <c r="AM162" s="124"/>
      <c r="AN162" s="124"/>
      <c r="AO162" s="247"/>
      <c r="AP162" s="247"/>
      <c r="AQ162" s="168"/>
      <c r="AR162" s="168"/>
      <c r="AS162" s="247"/>
      <c r="AT162" s="247"/>
      <c r="AU162" s="654" t="s">
        <v>6255</v>
      </c>
      <c r="AV162" s="654" t="s">
        <v>5338</v>
      </c>
      <c r="AW162" s="124"/>
      <c r="AX162" s="247"/>
      <c r="AY162" s="247"/>
      <c r="AZ162" s="247"/>
      <c r="BA162" s="168"/>
      <c r="BB162" s="353"/>
      <c r="BC162" s="125" t="s">
        <v>998</v>
      </c>
      <c r="BD162" s="201"/>
      <c r="BE162" s="201" t="s">
        <v>6256</v>
      </c>
      <c r="BF162" s="353"/>
      <c r="BG162" s="353"/>
      <c r="BH162" s="173"/>
      <c r="BI162" s="201" t="s">
        <v>1542</v>
      </c>
      <c r="BJ162" s="173"/>
      <c r="BK162" s="353"/>
      <c r="BL162" s="201" t="s">
        <v>6257</v>
      </c>
      <c r="BM162" s="173"/>
      <c r="BN162" s="173"/>
      <c r="BO162" s="353"/>
      <c r="BP162" s="173"/>
      <c r="BQ162" s="249"/>
      <c r="BR162" s="131"/>
      <c r="BS162" s="131"/>
      <c r="BT162" s="131"/>
      <c r="BU162" s="131"/>
      <c r="BV162" s="131"/>
      <c r="BW162" s="345" t="s">
        <v>6258</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6259</v>
      </c>
      <c r="CX162" s="284" t="s">
        <v>361</v>
      </c>
      <c r="CY162" s="285"/>
      <c r="CZ162" s="285"/>
      <c r="DA162" s="285"/>
      <c r="DB162" s="284" t="s">
        <v>6260</v>
      </c>
      <c r="DC162" s="284" t="s">
        <v>6261</v>
      </c>
      <c r="DD162" s="257"/>
      <c r="DE162" s="257"/>
      <c r="DF162" s="257"/>
      <c r="DG162" s="257"/>
      <c r="DH162" s="258"/>
      <c r="DI162" s="206"/>
      <c r="DJ162" s="259"/>
      <c r="DK162" s="259"/>
      <c r="DL162" s="206"/>
      <c r="DM162" s="206"/>
      <c r="DN162" s="206"/>
      <c r="DO162" s="259"/>
      <c r="DP162" s="259"/>
      <c r="DQ162" s="259"/>
      <c r="DR162" s="206"/>
      <c r="DS162" s="287" t="s">
        <v>6262</v>
      </c>
      <c r="DT162" s="259"/>
      <c r="DU162" s="206"/>
      <c r="DV162" s="259"/>
      <c r="DW162" s="259"/>
      <c r="DX162" s="259"/>
      <c r="DY162" s="259"/>
      <c r="DZ162" s="259"/>
      <c r="EA162" s="206"/>
      <c r="EB162" s="259"/>
      <c r="EC162" s="259"/>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6265</v>
      </c>
      <c r="B164" s="104" t="s">
        <v>6266</v>
      </c>
      <c r="C164" s="105" t="s">
        <v>1258</v>
      </c>
      <c r="D164" s="106" t="s">
        <v>1258</v>
      </c>
      <c r="E164" s="107" t="s">
        <v>1258</v>
      </c>
      <c r="F164" s="108" t="s">
        <v>546</v>
      </c>
      <c r="G164" s="104" t="s">
        <v>3384</v>
      </c>
      <c r="H164" s="167" t="s">
        <v>3725</v>
      </c>
      <c r="I164" s="243"/>
      <c r="J164" s="167" t="s">
        <v>5252</v>
      </c>
      <c r="K164" s="167" t="s">
        <v>4058</v>
      </c>
      <c r="L164" s="167" t="s">
        <v>5106</v>
      </c>
      <c r="M164" s="243"/>
      <c r="N164" s="243"/>
      <c r="O164" s="167" t="s">
        <v>1863</v>
      </c>
      <c r="P164" s="243"/>
      <c r="Q164" s="243"/>
      <c r="R164" s="243"/>
      <c r="S164" s="243"/>
      <c r="T164" s="243"/>
      <c r="U164" s="243"/>
      <c r="V164" s="243"/>
      <c r="W164" s="92"/>
      <c r="X164" s="198" t="s">
        <v>6267</v>
      </c>
      <c r="Y164" s="198"/>
      <c r="Z164" s="198" t="s">
        <v>3826</v>
      </c>
      <c r="AA164" s="198" t="s">
        <v>6268</v>
      </c>
      <c r="AB164" s="246"/>
      <c r="AC164" s="198" t="s">
        <v>1373</v>
      </c>
      <c r="AD164" s="198" t="s">
        <v>5248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6269</v>
      </c>
      <c r="CH164" s="256"/>
      <c r="CI164" s="256"/>
      <c r="CJ164" s="256"/>
      <c r="CK164" s="256"/>
      <c r="CL164" s="256"/>
      <c r="CM164" s="256"/>
      <c r="CN164" s="256"/>
      <c r="CO164" s="256"/>
      <c r="CP164" s="256"/>
      <c r="CQ164" s="256"/>
      <c r="CR164" s="256"/>
      <c r="CS164" s="256"/>
      <c r="CT164" s="256"/>
      <c r="CU164" s="92"/>
      <c r="CV164" s="204" t="s">
        <v>5671</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6270</v>
      </c>
      <c r="B165" s="82" t="s">
        <v>6271</v>
      </c>
      <c r="C165" s="83" t="s">
        <v>1258</v>
      </c>
      <c r="D165" s="84" t="s">
        <v>1258</v>
      </c>
      <c r="E165" s="85" t="s">
        <v>1258</v>
      </c>
      <c r="F165" s="86" t="s">
        <v>1258</v>
      </c>
      <c r="G165" s="82" t="s">
        <v>648</v>
      </c>
      <c r="H165" s="93" t="s">
        <v>3507</v>
      </c>
      <c r="I165" s="93" t="s">
        <v>6272</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6273</v>
      </c>
      <c r="B166" s="104" t="s">
        <v>6274</v>
      </c>
      <c r="C166" s="105" t="s">
        <v>1258</v>
      </c>
      <c r="D166" s="106" t="s">
        <v>1258</v>
      </c>
      <c r="E166" s="107" t="s">
        <v>1258</v>
      </c>
      <c r="F166" s="108" t="s">
        <v>1258</v>
      </c>
      <c r="G166" s="104" t="s">
        <v>3384</v>
      </c>
      <c r="H166" s="167" t="s">
        <v>1980</v>
      </c>
      <c r="I166" s="167" t="s">
        <v>2179</v>
      </c>
      <c r="J166" s="243"/>
      <c r="K166" s="167" t="s">
        <v>2659</v>
      </c>
      <c r="L166" s="243"/>
      <c r="M166" s="243"/>
      <c r="N166" s="243"/>
      <c r="O166" s="167" t="s">
        <v>6275</v>
      </c>
      <c r="P166" s="167" t="s">
        <v>6276</v>
      </c>
      <c r="Q166" s="243"/>
      <c r="R166" s="243"/>
      <c r="S166" s="243"/>
      <c r="T166" s="243"/>
      <c r="U166" s="243"/>
      <c r="V166" s="243"/>
      <c r="W166" s="92"/>
      <c r="X166" s="198" t="s">
        <v>3545</v>
      </c>
      <c r="Y166" s="246"/>
      <c r="Z166" s="246"/>
      <c r="AA166" s="198" t="s">
        <v>4677</v>
      </c>
      <c r="AB166" s="246"/>
      <c r="AC166" s="198" t="s">
        <v>2486</v>
      </c>
      <c r="AD166" s="246"/>
      <c r="AE166" s="246"/>
      <c r="AF166" s="198" t="s">
        <v>6277</v>
      </c>
      <c r="AG166" s="246"/>
      <c r="AH166" s="246"/>
      <c r="AI166" s="246"/>
      <c r="AJ166" s="246"/>
      <c r="AK166" s="198" t="s">
        <v>6278</v>
      </c>
      <c r="AL166" s="97"/>
      <c r="AM166" s="247"/>
      <c r="AN166" s="168" t="s">
        <v>6279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6280</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6281</v>
      </c>
      <c r="EB166" s="259"/>
      <c r="EC166" s="205" t="s">
        <v>412</v>
      </c>
      <c r="ED166" s="287"/>
    </row>
    <row r="167">
      <c r="A167" s="701" t="s">
        <v>6282</v>
      </c>
      <c r="B167" s="82" t="s">
        <v>6283</v>
      </c>
      <c r="C167" s="83" t="s">
        <v>1258</v>
      </c>
      <c r="D167" s="84" t="s">
        <v>1258</v>
      </c>
      <c r="E167" s="85" t="s">
        <v>1258</v>
      </c>
      <c r="F167" s="86" t="s">
        <v>6284</v>
      </c>
      <c r="G167" s="82" t="s">
        <v>2652</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958</v>
      </c>
      <c r="BF167" s="88" t="s">
        <v>6294</v>
      </c>
      <c r="BG167" s="88" t="s">
        <v>3717</v>
      </c>
      <c r="BH167" s="94" t="s">
        <v>5040</v>
      </c>
      <c r="BI167" s="102" t="s">
        <v>6295</v>
      </c>
      <c r="BJ167" s="99"/>
      <c r="BK167" s="102"/>
      <c r="BL167" s="102"/>
      <c r="BM167" s="99"/>
      <c r="BN167" s="99"/>
      <c r="BO167" s="102"/>
      <c r="BP167" s="99"/>
      <c r="BQ167" s="236"/>
      <c r="BR167" s="88" t="s">
        <v>6296</v>
      </c>
      <c r="BS167" s="102"/>
      <c r="BT167" s="88" t="s">
        <v>6297</v>
      </c>
      <c r="BU167" s="88" t="s">
        <v>5894</v>
      </c>
      <c r="BV167" s="102"/>
      <c r="BW167" s="102"/>
      <c r="BX167" s="99"/>
      <c r="BY167" s="88" t="s">
        <v>6298</v>
      </c>
      <c r="BZ167" s="102"/>
      <c r="CA167" s="88" t="s">
        <v>1326</v>
      </c>
      <c r="CB167" s="99"/>
      <c r="CC167" s="99"/>
      <c r="CD167" s="94"/>
      <c r="CE167" s="99"/>
      <c r="CF167" s="236"/>
      <c r="CG167" s="88" t="s">
        <v>6299</v>
      </c>
      <c r="CH167" s="88" t="s">
        <v>1860</v>
      </c>
      <c r="CI167" s="88" t="s">
        <v>5508</v>
      </c>
      <c r="CJ167" s="102"/>
      <c r="CK167" s="102"/>
      <c r="CL167" s="102"/>
      <c r="CM167" s="88" t="s">
        <v>6300</v>
      </c>
      <c r="CN167" s="88" t="s">
        <v>2301</v>
      </c>
      <c r="CO167" s="88" t="s">
        <v>6301</v>
      </c>
      <c r="CP167" s="222"/>
      <c r="CQ167" s="99"/>
      <c r="CR167" s="99"/>
      <c r="CS167" s="99"/>
      <c r="CT167" s="99"/>
      <c r="CU167" s="92"/>
      <c r="CV167" s="88" t="s">
        <v>5463</v>
      </c>
      <c r="CW167" s="102"/>
      <c r="CX167" s="88" t="s">
        <v>906</v>
      </c>
      <c r="CY167" s="88" t="s">
        <v>5210</v>
      </c>
      <c r="CZ167" s="102"/>
      <c r="DA167" s="102"/>
      <c r="DB167" s="88" t="s">
        <v>6302</v>
      </c>
      <c r="DC167" s="88" t="s">
        <v>6303</v>
      </c>
      <c r="DD167" s="99"/>
      <c r="DE167" s="99"/>
      <c r="DF167" s="99"/>
      <c r="DG167" s="99"/>
      <c r="DH167" s="236"/>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1"/>
    </row>
    <row r="168">
      <c r="A168" s="702" t="s">
        <v>6306</v>
      </c>
      <c r="B168" s="104" t="s">
        <v>6307</v>
      </c>
      <c r="C168" s="105" t="s">
        <v>1258</v>
      </c>
      <c r="D168" s="106" t="s">
        <v>1258</v>
      </c>
      <c r="E168" s="107" t="s">
        <v>1258</v>
      </c>
      <c r="F168" s="108" t="s">
        <v>334</v>
      </c>
      <c r="G168" s="104" t="s">
        <v>6253</v>
      </c>
      <c r="H168" s="703" t="s">
        <v>3582</v>
      </c>
      <c r="I168" s="243" t="s">
        <v>6308</v>
      </c>
      <c r="J168" s="243" t="s">
        <v>450</v>
      </c>
      <c r="K168" s="243" t="s">
        <v>4383</v>
      </c>
      <c r="L168" s="243" t="s">
        <v>2844</v>
      </c>
      <c r="M168" s="243" t="s">
        <v>6309</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5599</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6310</v>
      </c>
      <c r="CP168" s="256"/>
      <c r="CQ168" s="264"/>
      <c r="CR168" s="256"/>
      <c r="CS168" s="256"/>
      <c r="CT168" s="256"/>
      <c r="CU168" s="92"/>
      <c r="CV168" s="257"/>
      <c r="CW168" s="257"/>
      <c r="CX168" s="257" t="s">
        <v>5202</v>
      </c>
      <c r="CY168" s="257" t="s">
        <v>3503</v>
      </c>
      <c r="CZ168" s="257"/>
      <c r="DA168" s="257"/>
      <c r="DB168" s="706" t="s">
        <v>6311</v>
      </c>
      <c r="DC168" s="233" t="s">
        <v>6172</v>
      </c>
      <c r="DD168" s="257"/>
      <c r="DE168" s="285"/>
      <c r="DF168" s="233"/>
      <c r="DG168" s="257"/>
      <c r="DH168" s="258"/>
      <c r="DI168" s="259"/>
      <c r="DJ168" s="259"/>
      <c r="DK168" s="259"/>
      <c r="DL168" s="259"/>
      <c r="DM168" s="259"/>
      <c r="DN168" s="259"/>
      <c r="DO168" s="259"/>
      <c r="DP168" s="259"/>
      <c r="DQ168" s="259"/>
      <c r="DR168" s="259"/>
      <c r="DS168" s="259" t="s">
        <v>6312</v>
      </c>
      <c r="DT168" s="259"/>
      <c r="DU168" s="259"/>
      <c r="DV168" s="259"/>
      <c r="DW168" s="259"/>
      <c r="DX168" s="259"/>
      <c r="DY168" s="259"/>
      <c r="DZ168" s="259"/>
      <c r="EA168" s="259"/>
      <c r="EB168" s="259"/>
      <c r="EC168" s="259"/>
      <c r="ED168" s="287"/>
    </row>
    <row r="169">
      <c r="A169" s="81" t="s">
        <v>6313</v>
      </c>
      <c r="B169" s="82" t="s">
        <v>6314</v>
      </c>
      <c r="C169" s="83" t="s">
        <v>1258</v>
      </c>
      <c r="D169" s="84" t="s">
        <v>1258</v>
      </c>
      <c r="E169" s="85" t="s">
        <v>1258</v>
      </c>
      <c r="F169" s="86" t="s">
        <v>546</v>
      </c>
      <c r="G169" s="82" t="s">
        <v>648</v>
      </c>
      <c r="H169" s="707"/>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5180</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6319</v>
      </c>
      <c r="B170" s="104" t="s">
        <v>6320</v>
      </c>
      <c r="C170" s="105" t="s">
        <v>1258</v>
      </c>
      <c r="D170" s="106" t="s">
        <v>1258</v>
      </c>
      <c r="E170" s="107" t="s">
        <v>1258</v>
      </c>
      <c r="F170" s="108" t="s">
        <v>546</v>
      </c>
      <c r="G170" s="104" t="s">
        <v>6321</v>
      </c>
      <c r="H170" s="243"/>
      <c r="I170" s="196" t="s">
        <v>6322</v>
      </c>
      <c r="J170" s="167" t="s">
        <v>6238</v>
      </c>
      <c r="K170" s="167" t="s">
        <v>3110</v>
      </c>
      <c r="L170" s="167" t="s">
        <v>5749</v>
      </c>
      <c r="M170" s="243"/>
      <c r="N170" s="243"/>
      <c r="O170" s="243"/>
      <c r="P170" s="167" t="s">
        <v>2724</v>
      </c>
      <c r="Q170" s="243"/>
      <c r="R170" s="243"/>
      <c r="S170" s="243"/>
      <c r="T170" s="243"/>
      <c r="U170" s="243"/>
      <c r="V170" s="243"/>
      <c r="W170" s="92"/>
      <c r="X170" s="708" t="s">
        <v>1973</v>
      </c>
      <c r="Y170" s="246"/>
      <c r="Z170" s="246"/>
      <c r="AA170" s="198" t="s">
        <v>3207</v>
      </c>
      <c r="AB170" s="114" t="str">
        <f>HYPERLINK("https://clips.twitch.tv/DeliciousHomelyChoughMingLee","53.66")</f>
        <v>53.66</v>
      </c>
      <c r="AC170" s="198" t="s">
        <v>4913</v>
      </c>
      <c r="AD170" s="198" t="s">
        <v>6152</v>
      </c>
      <c r="AE170" s="246"/>
      <c r="AF170" s="246"/>
      <c r="AG170" s="198" t="s">
        <v>2724</v>
      </c>
      <c r="AH170" s="246"/>
      <c r="AI170" s="246"/>
      <c r="AJ170" s="246"/>
      <c r="AK170" s="246"/>
      <c r="AL170" s="97"/>
      <c r="AM170" s="247"/>
      <c r="AN170" s="247"/>
      <c r="AO170" s="247"/>
      <c r="AP170" s="247"/>
      <c r="AQ170" s="247"/>
      <c r="AR170" s="247"/>
      <c r="AS170" s="247"/>
      <c r="AT170" s="247"/>
      <c r="AU170" s="168" t="s">
        <v>6323</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6324</v>
      </c>
      <c r="CX170" s="204" t="s">
        <v>5464</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6335</v>
      </c>
      <c r="B174" s="104" t="s">
        <v>6336</v>
      </c>
      <c r="C174" s="105" t="s">
        <v>1258</v>
      </c>
      <c r="D174" s="106" t="s">
        <v>1258</v>
      </c>
      <c r="E174" s="107" t="s">
        <v>1258</v>
      </c>
      <c r="F174" s="108" t="s">
        <v>1258</v>
      </c>
      <c r="G174" s="104" t="s">
        <v>4683</v>
      </c>
      <c r="H174" s="167"/>
      <c r="I174" s="167" t="s">
        <v>6337</v>
      </c>
      <c r="J174" s="167" t="s">
        <v>3022</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6255</v>
      </c>
      <c r="AB174" s="246"/>
      <c r="AC174" s="198" t="s">
        <v>6343</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3673</v>
      </c>
      <c r="BF174" s="174" t="s">
        <v>6345</v>
      </c>
      <c r="BG174" s="173"/>
      <c r="BH174" s="173"/>
      <c r="BI174" s="174" t="s">
        <v>3273</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5206</v>
      </c>
      <c r="CW174" s="257"/>
      <c r="CX174" s="204" t="s">
        <v>6349</v>
      </c>
      <c r="CY174" s="204" t="s">
        <v>3112</v>
      </c>
      <c r="CZ174" s="204" t="s">
        <v>6350</v>
      </c>
      <c r="DA174" s="204" t="s">
        <v>6188</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4055</v>
      </c>
      <c r="H175" s="707" t="s">
        <v>3008</v>
      </c>
      <c r="I175" s="707" t="s">
        <v>6355</v>
      </c>
      <c r="J175" s="707" t="s">
        <v>6356</v>
      </c>
      <c r="K175" s="707" t="s">
        <v>755</v>
      </c>
      <c r="L175" s="707" t="s">
        <v>908</v>
      </c>
      <c r="M175" s="716"/>
      <c r="N175" s="707" t="s">
        <v>6357</v>
      </c>
      <c r="O175" s="707" t="s">
        <v>5823</v>
      </c>
      <c r="P175" s="707" t="s">
        <v>5487</v>
      </c>
      <c r="Q175" s="716"/>
      <c r="R175" s="716"/>
      <c r="S175" s="716"/>
      <c r="T175" s="716"/>
      <c r="U175" s="716"/>
      <c r="V175" s="716"/>
      <c r="W175" s="717"/>
      <c r="X175" s="707" t="s">
        <v>6358</v>
      </c>
      <c r="Y175" s="707"/>
      <c r="Z175" s="718" t="s">
        <v>379</v>
      </c>
      <c r="AA175" s="718" t="s">
        <v>868</v>
      </c>
      <c r="AB175" s="718" t="s">
        <v>3900</v>
      </c>
      <c r="AC175" s="707" t="s">
        <v>6359</v>
      </c>
      <c r="AD175" s="718" t="s">
        <v>6360</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6361</v>
      </c>
      <c r="CI175" s="716"/>
      <c r="CJ175" s="716"/>
      <c r="CK175" s="716"/>
      <c r="CL175" s="716"/>
      <c r="CM175" s="716"/>
      <c r="CN175" s="716"/>
      <c r="CO175" s="716"/>
      <c r="CP175" s="716"/>
      <c r="CQ175" s="716"/>
      <c r="CR175" s="716"/>
      <c r="CS175" s="716"/>
      <c r="CT175" s="716"/>
      <c r="CU175" s="721"/>
      <c r="CV175" s="707" t="s">
        <v>5298</v>
      </c>
      <c r="CW175" s="707" t="s">
        <v>2473</v>
      </c>
      <c r="CX175" s="707" t="s">
        <v>5203</v>
      </c>
      <c r="CY175" s="716"/>
      <c r="CZ175" s="716"/>
      <c r="DA175" s="716"/>
      <c r="DB175" s="707" t="s">
        <v>6362</v>
      </c>
      <c r="DC175" s="718" t="s">
        <v>5813</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6368</v>
      </c>
      <c r="B178" s="104" t="s">
        <v>6369</v>
      </c>
      <c r="C178" s="105" t="s">
        <v>1258</v>
      </c>
      <c r="D178" s="106" t="s">
        <v>1258</v>
      </c>
      <c r="E178" s="107" t="s">
        <v>1258</v>
      </c>
      <c r="F178" s="108" t="s">
        <v>438</v>
      </c>
      <c r="G178" s="104" t="s">
        <v>438</v>
      </c>
      <c r="H178" s="419"/>
      <c r="I178" s="427"/>
      <c r="J178" s="419"/>
      <c r="K178" s="419"/>
      <c r="L178" s="419"/>
      <c r="M178" s="419"/>
      <c r="N178" s="419"/>
      <c r="O178" s="419"/>
      <c r="P178" s="112" t="s">
        <v>5487</v>
      </c>
      <c r="Q178" s="243"/>
      <c r="R178" s="243"/>
      <c r="S178" s="243"/>
      <c r="T178" s="243"/>
      <c r="U178" s="243"/>
      <c r="V178" s="243"/>
      <c r="W178" s="92"/>
      <c r="X178" s="116" t="s">
        <v>6370</v>
      </c>
      <c r="Y178" s="117"/>
      <c r="Z178" s="117"/>
      <c r="AA178" s="116" t="s">
        <v>4868</v>
      </c>
      <c r="AB178" s="295"/>
      <c r="AC178" s="117"/>
      <c r="AD178" s="117"/>
      <c r="AE178" s="246"/>
      <c r="AF178" s="117"/>
      <c r="AG178" s="116" t="s">
        <v>6371</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6372</v>
      </c>
      <c r="B179" s="82" t="s">
        <v>6373</v>
      </c>
      <c r="C179" s="83" t="s">
        <v>1258</v>
      </c>
      <c r="D179" s="84" t="s">
        <v>1258</v>
      </c>
      <c r="E179" s="85" t="s">
        <v>1258</v>
      </c>
      <c r="F179" s="86" t="s">
        <v>1258</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5137</v>
      </c>
      <c r="K180" s="167" t="s">
        <v>2388</v>
      </c>
      <c r="L180" s="167" t="s">
        <v>4106</v>
      </c>
      <c r="M180" s="167" t="s">
        <v>6381</v>
      </c>
      <c r="N180" s="243"/>
      <c r="O180" s="167" t="s">
        <v>1862</v>
      </c>
      <c r="P180" s="167" t="s">
        <v>6382</v>
      </c>
      <c r="Q180" s="243"/>
      <c r="R180" s="243"/>
      <c r="S180" s="243"/>
      <c r="T180" s="243"/>
      <c r="U180" s="243"/>
      <c r="V180" s="243"/>
      <c r="W180" s="92"/>
      <c r="X180" s="198" t="s">
        <v>4448</v>
      </c>
      <c r="Y180" s="198"/>
      <c r="Z180" s="198" t="s">
        <v>5744</v>
      </c>
      <c r="AA180" s="198" t="s">
        <v>4482</v>
      </c>
      <c r="AB180" s="198" t="s">
        <v>6383</v>
      </c>
      <c r="AC180" s="198" t="s">
        <v>6384</v>
      </c>
      <c r="AD180" s="198" t="s">
        <v>4718</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5942</v>
      </c>
      <c r="BY180" s="175" t="s">
        <v>2840</v>
      </c>
      <c r="BZ180" s="253"/>
      <c r="CA180" s="175" t="s">
        <v>2085</v>
      </c>
      <c r="CB180" s="253"/>
      <c r="CC180" s="253"/>
      <c r="CD180" s="253"/>
      <c r="CE180" s="253"/>
      <c r="CF180" s="254"/>
      <c r="CG180" s="177" t="s">
        <v>4959</v>
      </c>
      <c r="CH180" s="177" t="s">
        <v>2526</v>
      </c>
      <c r="CI180" s="177" t="s">
        <v>2626</v>
      </c>
      <c r="CJ180" s="177" t="s">
        <v>6392</v>
      </c>
      <c r="CK180" s="177"/>
      <c r="CL180" s="177" t="s">
        <v>2765</v>
      </c>
      <c r="CM180" s="256"/>
      <c r="CN180" s="177" t="s">
        <v>3280</v>
      </c>
      <c r="CO180" s="177" t="s">
        <v>3329</v>
      </c>
      <c r="CP180" s="256"/>
      <c r="CQ180" s="256"/>
      <c r="CR180" s="256"/>
      <c r="CS180" s="256"/>
      <c r="CT180" s="256"/>
      <c r="CU180" s="92"/>
      <c r="CV180" s="204" t="s">
        <v>5959</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3456</v>
      </c>
      <c r="M182" s="243"/>
      <c r="N182" s="243"/>
      <c r="O182" s="243"/>
      <c r="P182" s="167" t="s">
        <v>6400</v>
      </c>
      <c r="Q182" s="243"/>
      <c r="R182" s="243"/>
      <c r="S182" s="243"/>
      <c r="T182" s="243"/>
      <c r="U182" s="243"/>
      <c r="V182" s="243"/>
      <c r="W182" s="92"/>
      <c r="X182" s="116" t="s">
        <v>6401</v>
      </c>
      <c r="Y182" s="198"/>
      <c r="Z182" s="198" t="s">
        <v>1682</v>
      </c>
      <c r="AA182" s="116" t="s">
        <v>5300</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4703</v>
      </c>
      <c r="BH182" s="174" t="s">
        <v>6404</v>
      </c>
      <c r="BI182" s="174" t="s">
        <v>6405</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6406</v>
      </c>
      <c r="CH182" s="177" t="s">
        <v>6407</v>
      </c>
      <c r="CI182" s="256"/>
      <c r="CJ182" s="256"/>
      <c r="CK182" s="256"/>
      <c r="CL182" s="256"/>
      <c r="CM182" s="256"/>
      <c r="CN182" s="135" t="s">
        <v>5150</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2950</v>
      </c>
      <c r="M184" s="167" t="s">
        <v>6419</v>
      </c>
      <c r="N184" s="167" t="s">
        <v>6420</v>
      </c>
      <c r="O184" s="167" t="s">
        <v>849</v>
      </c>
      <c r="P184" s="167" t="s">
        <v>494</v>
      </c>
      <c r="Q184" s="167"/>
      <c r="R184" s="167"/>
      <c r="S184" s="167"/>
      <c r="T184" s="167"/>
      <c r="U184" s="167"/>
      <c r="V184" s="167"/>
      <c r="W184" s="92"/>
      <c r="X184" s="198" t="s">
        <v>6421</v>
      </c>
      <c r="Y184" s="198"/>
      <c r="Z184" s="198" t="s">
        <v>5272</v>
      </c>
      <c r="AA184" s="198" t="s">
        <v>138</v>
      </c>
      <c r="AB184" s="198" t="s">
        <v>2695</v>
      </c>
      <c r="AC184" s="198" t="s">
        <v>5995</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6"/>
      <c r="BR184" s="175"/>
      <c r="BS184" s="253"/>
      <c r="BT184" s="725" t="s">
        <v>6430</v>
      </c>
      <c r="BU184" s="175" t="s">
        <v>6431</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1566</v>
      </c>
      <c r="CX184" s="204" t="s">
        <v>6216</v>
      </c>
      <c r="CY184" s="257"/>
      <c r="CZ184" s="204" t="s">
        <v>6432</v>
      </c>
      <c r="DA184" s="257"/>
      <c r="DB184" s="257"/>
      <c r="DC184" s="257"/>
      <c r="DD184" s="257"/>
      <c r="DE184" s="257"/>
      <c r="DF184" s="257"/>
      <c r="DG184" s="257"/>
      <c r="DH184" s="258"/>
      <c r="DI184" s="205" t="s">
        <v>3289</v>
      </c>
      <c r="DJ184" s="259"/>
      <c r="DK184" s="259"/>
      <c r="DL184" s="259"/>
      <c r="DM184" s="259"/>
      <c r="DN184" s="259"/>
      <c r="DO184" s="259"/>
      <c r="DP184" s="259"/>
      <c r="DQ184" s="259"/>
      <c r="DR184" s="205" t="s">
        <v>6433</v>
      </c>
      <c r="DS184" s="205"/>
      <c r="DT184" s="726"/>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4027</v>
      </c>
      <c r="M185" s="94" t="s">
        <v>6437</v>
      </c>
      <c r="N185" s="99"/>
      <c r="O185" s="94" t="s">
        <v>3599</v>
      </c>
      <c r="P185" s="94" t="s">
        <v>1617</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5720</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3864</v>
      </c>
      <c r="CB185" s="99"/>
      <c r="CC185" s="99"/>
      <c r="CD185" s="99"/>
      <c r="CE185" s="99"/>
      <c r="CF185" s="236"/>
      <c r="CG185" s="94" t="s">
        <v>1708</v>
      </c>
      <c r="CH185" s="94" t="s">
        <v>3502</v>
      </c>
      <c r="CI185" s="94" t="s">
        <v>756</v>
      </c>
      <c r="CJ185" s="94" t="s">
        <v>6443</v>
      </c>
      <c r="CK185" s="94"/>
      <c r="CL185" s="94"/>
      <c r="CM185" s="99"/>
      <c r="CN185" s="94" t="s">
        <v>3821</v>
      </c>
      <c r="CO185" s="94" t="s">
        <v>6323</v>
      </c>
      <c r="CP185" s="99"/>
      <c r="CQ185" s="99"/>
      <c r="CR185" s="99"/>
      <c r="CS185" s="99"/>
      <c r="CT185" s="99"/>
      <c r="CU185" s="92"/>
      <c r="CV185" s="94" t="s">
        <v>5138</v>
      </c>
      <c r="CW185" s="94" t="s">
        <v>1866</v>
      </c>
      <c r="CX185" s="94" t="s">
        <v>3080</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7" t="s">
        <v>6449</v>
      </c>
      <c r="B186" s="104" t="s">
        <v>6450</v>
      </c>
      <c r="C186" s="105" t="s">
        <v>1258</v>
      </c>
      <c r="D186" s="106" t="s">
        <v>1258</v>
      </c>
      <c r="E186" s="107" t="s">
        <v>1258</v>
      </c>
      <c r="F186" s="108" t="s">
        <v>1258</v>
      </c>
      <c r="G186" s="104" t="s">
        <v>2775</v>
      </c>
      <c r="H186" s="167" t="s">
        <v>6451</v>
      </c>
      <c r="I186" s="167" t="s">
        <v>6452</v>
      </c>
      <c r="J186" s="167" t="s">
        <v>1885</v>
      </c>
      <c r="K186" s="167" t="s">
        <v>6108</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5801</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5297</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5470</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6461</v>
      </c>
      <c r="B189" s="82" t="s">
        <v>6462</v>
      </c>
      <c r="C189" s="83" t="s">
        <v>1258</v>
      </c>
      <c r="D189" s="84" t="s">
        <v>1258</v>
      </c>
      <c r="E189" s="85" t="s">
        <v>1258</v>
      </c>
      <c r="F189" s="86" t="s">
        <v>1258</v>
      </c>
      <c r="G189" s="82" t="s">
        <v>2874</v>
      </c>
      <c r="H189" s="102"/>
      <c r="I189" s="95"/>
      <c r="J189" s="102" t="s">
        <v>552</v>
      </c>
      <c r="K189" s="102" t="s">
        <v>6029</v>
      </c>
      <c r="L189" s="102" t="s">
        <v>6463</v>
      </c>
      <c r="M189" s="102"/>
      <c r="N189" s="102"/>
      <c r="O189" s="102"/>
      <c r="P189" s="102"/>
      <c r="Q189" s="99"/>
      <c r="R189" s="99"/>
      <c r="S189" s="99"/>
      <c r="T189" s="99"/>
      <c r="U189" s="99"/>
      <c r="V189" s="99"/>
      <c r="W189" s="92"/>
      <c r="X189" s="102" t="s">
        <v>5144</v>
      </c>
      <c r="Y189" s="102"/>
      <c r="Z189" s="102"/>
      <c r="AA189" s="102" t="s">
        <v>1831</v>
      </c>
      <c r="AB189" s="267" t="s">
        <v>1143</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3932</v>
      </c>
      <c r="BU189" s="102"/>
      <c r="BV189" s="102" t="s">
        <v>6466</v>
      </c>
      <c r="BW189" s="102" t="s">
        <v>5801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6474</v>
      </c>
      <c r="B192" s="104" t="s">
        <v>6475</v>
      </c>
      <c r="C192" s="105" t="s">
        <v>1258</v>
      </c>
      <c r="D192" s="106" t="s">
        <v>1258</v>
      </c>
      <c r="E192" s="107" t="s">
        <v>1258</v>
      </c>
      <c r="F192" s="108" t="s">
        <v>546</v>
      </c>
      <c r="G192" s="104" t="s">
        <v>222</v>
      </c>
      <c r="H192" s="419"/>
      <c r="I192" s="427" t="s">
        <v>6476</v>
      </c>
      <c r="J192" s="419" t="s">
        <v>144</v>
      </c>
      <c r="K192" s="112" t="s">
        <v>5956</v>
      </c>
      <c r="L192" s="419" t="s">
        <v>4142</v>
      </c>
      <c r="M192" s="419"/>
      <c r="N192" s="419"/>
      <c r="O192" s="419" t="s">
        <v>3162</v>
      </c>
      <c r="P192" s="419" t="s">
        <v>1441</v>
      </c>
      <c r="Q192" s="243"/>
      <c r="R192" s="243"/>
      <c r="S192" s="243"/>
      <c r="T192" s="243"/>
      <c r="U192" s="243"/>
      <c r="V192" s="243"/>
      <c r="W192" s="92"/>
      <c r="X192" s="117" t="s">
        <v>4574</v>
      </c>
      <c r="Y192" s="117"/>
      <c r="Z192" s="117"/>
      <c r="AA192" s="117"/>
      <c r="AB192" s="295" t="s">
        <v>6477</v>
      </c>
      <c r="AC192" s="117" t="s">
        <v>2645</v>
      </c>
      <c r="AD192" s="117"/>
      <c r="AE192" s="246"/>
      <c r="AF192" s="117"/>
      <c r="AG192" s="117" t="s">
        <v>5487</v>
      </c>
      <c r="AH192" s="246"/>
      <c r="AI192" s="246"/>
      <c r="AJ192" s="117"/>
      <c r="AK192" s="246"/>
      <c r="AL192" s="97"/>
      <c r="AM192" s="124"/>
      <c r="AN192" s="124" t="s">
        <v>3256</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6478</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2775</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3090</v>
      </c>
      <c r="AE194" s="246"/>
      <c r="AF194" s="246"/>
      <c r="AG194" s="198" t="s">
        <v>1115</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4817</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6487</v>
      </c>
      <c r="B195" s="82" t="s">
        <v>6483</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6490</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6491</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61" t="s">
        <v>6494</v>
      </c>
    </row>
    <row r="196">
      <c r="A196" s="733" t="s">
        <v>6495</v>
      </c>
      <c r="B196" s="104" t="s">
        <v>6496</v>
      </c>
      <c r="C196" s="105" t="s">
        <v>1258</v>
      </c>
      <c r="D196" s="106" t="s">
        <v>546</v>
      </c>
      <c r="E196" s="107" t="s">
        <v>1258</v>
      </c>
      <c r="F196" s="108" t="s">
        <v>649</v>
      </c>
      <c r="G196" s="104" t="s">
        <v>221</v>
      </c>
      <c r="H196" s="419"/>
      <c r="I196" s="427"/>
      <c r="J196" s="419"/>
      <c r="K196" s="419" t="s">
        <v>1960</v>
      </c>
      <c r="L196" s="419" t="s">
        <v>5759</v>
      </c>
      <c r="M196" s="419"/>
      <c r="N196" s="419"/>
      <c r="O196" s="419" t="s">
        <v>2950</v>
      </c>
      <c r="P196" s="419"/>
      <c r="Q196" s="243"/>
      <c r="R196" s="243"/>
      <c r="S196" s="243"/>
      <c r="T196" s="243"/>
      <c r="U196" s="243"/>
      <c r="V196" s="243"/>
      <c r="W196" s="92"/>
      <c r="X196" s="116" t="s">
        <v>3640</v>
      </c>
      <c r="Y196" s="117"/>
      <c r="Z196" s="117" t="s">
        <v>6497</v>
      </c>
      <c r="AA196" s="117"/>
      <c r="AB196" s="295"/>
      <c r="AC196" s="117"/>
      <c r="AD196" s="117"/>
      <c r="AE196" s="116" t="s">
        <v>2693</v>
      </c>
      <c r="AF196" s="117" t="s">
        <v>311</v>
      </c>
      <c r="AG196" s="117"/>
      <c r="AH196" s="246"/>
      <c r="AI196" s="246"/>
      <c r="AJ196" s="117"/>
      <c r="AK196" s="246"/>
      <c r="AL196" s="97"/>
      <c r="AM196" s="124"/>
      <c r="AN196" s="124" t="s">
        <v>5129</v>
      </c>
      <c r="AO196" s="247"/>
      <c r="AP196" s="247"/>
      <c r="AQ196" s="168"/>
      <c r="AR196" s="168"/>
      <c r="AS196" s="168" t="s">
        <v>6498</v>
      </c>
      <c r="AT196" s="247"/>
      <c r="AU196" s="124"/>
      <c r="AV196" s="124" t="s">
        <v>235</v>
      </c>
      <c r="AW196" s="124"/>
      <c r="AX196" s="247"/>
      <c r="AY196" s="247"/>
      <c r="AZ196" s="247"/>
      <c r="BA196" s="247"/>
      <c r="BB196" s="353"/>
      <c r="BC196" s="353"/>
      <c r="BD196" s="353" t="s">
        <v>6499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6503</v>
      </c>
      <c r="B198" s="104" t="s">
        <v>6504</v>
      </c>
      <c r="C198" s="105" t="s">
        <v>1258</v>
      </c>
      <c r="D198" s="106" t="s">
        <v>1258</v>
      </c>
      <c r="E198" s="107" t="s">
        <v>1258</v>
      </c>
      <c r="F198" s="108" t="s">
        <v>1258</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6505</v>
      </c>
      <c r="B199" s="82" t="s">
        <v>6506</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6508</v>
      </c>
      <c r="DR199" s="99"/>
      <c r="DS199" s="99"/>
      <c r="DT199" s="99"/>
      <c r="DU199" s="99"/>
      <c r="DV199" s="99"/>
      <c r="DW199" s="94" t="s">
        <v>328</v>
      </c>
      <c r="DX199" s="99"/>
      <c r="DY199" s="99"/>
      <c r="DZ199" s="99"/>
      <c r="EA199" s="99"/>
      <c r="EB199" s="99"/>
      <c r="EC199" s="99"/>
      <c r="ED199" s="261"/>
    </row>
    <row r="200">
      <c r="A200" s="362" t="s">
        <v>6509</v>
      </c>
      <c r="B200" s="104" t="s">
        <v>6510</v>
      </c>
      <c r="C200" s="105" t="s">
        <v>1258</v>
      </c>
      <c r="D200" s="106" t="s">
        <v>1258</v>
      </c>
      <c r="E200" s="107" t="s">
        <v>1258</v>
      </c>
      <c r="F200" s="108" t="s">
        <v>1258</v>
      </c>
      <c r="G200" s="104" t="s">
        <v>4605</v>
      </c>
      <c r="H200" s="167" t="s">
        <v>6511</v>
      </c>
      <c r="I200" s="167" t="s">
        <v>2481</v>
      </c>
      <c r="J200" s="167" t="s">
        <v>1208</v>
      </c>
      <c r="K200" s="167" t="s">
        <v>6512</v>
      </c>
      <c r="L200" s="167" t="s">
        <v>6513</v>
      </c>
      <c r="M200" s="167" t="s">
        <v>6514</v>
      </c>
      <c r="N200" s="167" t="s">
        <v>6515</v>
      </c>
      <c r="O200" s="167" t="s">
        <v>5076</v>
      </c>
      <c r="P200" s="167" t="s">
        <v>4146</v>
      </c>
      <c r="Q200" s="243"/>
      <c r="R200" s="243"/>
      <c r="S200" s="243"/>
      <c r="T200" s="243"/>
      <c r="U200" s="243"/>
      <c r="V200" s="243"/>
      <c r="W200" s="92"/>
      <c r="X200" s="198" t="s">
        <v>6516</v>
      </c>
      <c r="Y200" s="198"/>
      <c r="Z200" s="198" t="s">
        <v>6517</v>
      </c>
      <c r="AA200" s="198" t="s">
        <v>6518</v>
      </c>
      <c r="AB200" s="246" t="s">
        <v>6519</v>
      </c>
      <c r="AC200" s="198" t="s">
        <v>5995</v>
      </c>
      <c r="AD200" s="246" t="s">
        <v>6520</v>
      </c>
      <c r="AE200" s="246"/>
      <c r="AF200" s="246" t="s">
        <v>6521</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6522</v>
      </c>
      <c r="AX200" s="247"/>
      <c r="AY200" s="247"/>
      <c r="AZ200" s="247"/>
      <c r="BA200" s="247"/>
      <c r="BB200" s="174"/>
      <c r="BC200" s="173" t="s">
        <v>2142</v>
      </c>
      <c r="BD200" s="174" t="s">
        <v>1707</v>
      </c>
      <c r="BE200" s="173" t="s">
        <v>6523</v>
      </c>
      <c r="BF200" s="173" t="s">
        <v>6524</v>
      </c>
      <c r="BG200" s="173" t="s">
        <v>6525</v>
      </c>
      <c r="BH200" s="173" t="s">
        <v>6526</v>
      </c>
      <c r="BI200" s="174" t="s">
        <v>6527</v>
      </c>
      <c r="BJ200" s="173"/>
      <c r="BK200" s="173"/>
      <c r="BL200" s="174" t="s">
        <v>6528</v>
      </c>
      <c r="BM200" s="173"/>
      <c r="BN200" s="173"/>
      <c r="BO200" s="173"/>
      <c r="BP200" s="173"/>
      <c r="BQ200" s="249"/>
      <c r="BR200" s="253" t="s">
        <v>6529</v>
      </c>
      <c r="BS200" s="253" t="s">
        <v>2177</v>
      </c>
      <c r="BT200" s="253" t="s">
        <v>6530</v>
      </c>
      <c r="BU200" s="175" t="s">
        <v>6201</v>
      </c>
      <c r="BV200" s="253" t="s">
        <v>6531</v>
      </c>
      <c r="BW200" s="253" t="s">
        <v>6532</v>
      </c>
      <c r="BX200" s="175" t="s">
        <v>6533</v>
      </c>
      <c r="BY200" s="175" t="s">
        <v>6534</v>
      </c>
      <c r="BZ200" s="253"/>
      <c r="CA200" s="175" t="s">
        <v>4719</v>
      </c>
      <c r="CB200" s="253"/>
      <c r="CC200" s="253"/>
      <c r="CD200" s="253"/>
      <c r="CE200" s="253"/>
      <c r="CF200" s="254"/>
      <c r="CG200" s="177" t="s">
        <v>5706</v>
      </c>
      <c r="CH200" s="177" t="s">
        <v>1560</v>
      </c>
      <c r="CI200" s="177" t="s">
        <v>2480</v>
      </c>
      <c r="CJ200" s="177" t="s">
        <v>3637</v>
      </c>
      <c r="CK200" s="177"/>
      <c r="CL200" s="177" t="s">
        <v>370</v>
      </c>
      <c r="CM200" s="177" t="s">
        <v>6535</v>
      </c>
      <c r="CN200" s="177" t="s">
        <v>6536</v>
      </c>
      <c r="CO200" s="177" t="s">
        <v>3890</v>
      </c>
      <c r="CP200" s="256"/>
      <c r="CQ200" s="256"/>
      <c r="CR200" s="256"/>
      <c r="CS200" s="256"/>
      <c r="CT200" s="256"/>
      <c r="CU200" s="92"/>
      <c r="CV200" s="257" t="s">
        <v>6537</v>
      </c>
      <c r="CW200" s="257" t="s">
        <v>2188</v>
      </c>
      <c r="CX200" s="257" t="s">
        <v>1100</v>
      </c>
      <c r="CY200" s="257" t="s">
        <v>6538</v>
      </c>
      <c r="CZ200" s="257" t="s">
        <v>6539</v>
      </c>
      <c r="DA200" s="257" t="s">
        <v>4523</v>
      </c>
      <c r="DB200" s="257" t="s">
        <v>6540</v>
      </c>
      <c r="DC200" s="204" t="s">
        <v>3340</v>
      </c>
      <c r="DD200" s="257"/>
      <c r="DE200" s="257"/>
      <c r="DF200" s="257"/>
      <c r="DG200" s="257"/>
      <c r="DH200" s="258"/>
      <c r="DI200" s="259"/>
      <c r="DJ200" s="259"/>
      <c r="DK200" s="259"/>
      <c r="DL200" s="259"/>
      <c r="DM200" s="259" t="s">
        <v>5600</v>
      </c>
      <c r="DN200" s="205"/>
      <c r="DO200" s="205" t="s">
        <v>6541</v>
      </c>
      <c r="DP200" s="205" t="s">
        <v>3881</v>
      </c>
      <c r="DQ200" s="205" t="s">
        <v>3013</v>
      </c>
      <c r="DR200" s="259"/>
      <c r="DS200" s="259"/>
      <c r="DT200" s="259"/>
      <c r="DU200" s="259"/>
      <c r="DV200" s="259"/>
      <c r="DW200" s="259"/>
      <c r="DX200" s="259"/>
      <c r="DY200" s="259"/>
      <c r="DZ200" s="259"/>
      <c r="EA200" s="259"/>
      <c r="EB200" s="259"/>
      <c r="EC200" s="259"/>
      <c r="ED200" s="287"/>
    </row>
    <row r="201">
      <c r="A201" s="735" t="s">
        <v>6542</v>
      </c>
      <c r="B201" s="82" t="s">
        <v>6543</v>
      </c>
      <c r="C201" s="83" t="s">
        <v>1258</v>
      </c>
      <c r="D201" s="84" t="s">
        <v>1258</v>
      </c>
      <c r="E201" s="85" t="s">
        <v>1258</v>
      </c>
      <c r="F201" s="86" t="s">
        <v>1258</v>
      </c>
      <c r="G201" s="82" t="s">
        <v>220</v>
      </c>
      <c r="H201" s="102"/>
      <c r="I201" s="95"/>
      <c r="J201" s="102"/>
      <c r="K201" s="102"/>
      <c r="L201" s="102"/>
      <c r="M201" s="102"/>
      <c r="N201" s="102"/>
      <c r="O201" s="261" t="s">
        <v>5950</v>
      </c>
      <c r="P201" s="261" t="s">
        <v>2869</v>
      </c>
      <c r="Q201" s="99"/>
      <c r="R201" s="99"/>
      <c r="S201" s="99"/>
      <c r="T201" s="99"/>
      <c r="U201" s="99"/>
      <c r="V201" s="99"/>
      <c r="W201" s="92"/>
      <c r="X201" s="102"/>
      <c r="Y201" s="102"/>
      <c r="Z201" s="102"/>
      <c r="AA201" s="102"/>
      <c r="AB201" s="267"/>
      <c r="AC201" s="261" t="s">
        <v>1887</v>
      </c>
      <c r="AD201" s="102"/>
      <c r="AE201" s="99"/>
      <c r="AF201" s="102"/>
      <c r="AG201" s="261" t="s">
        <v>6255</v>
      </c>
      <c r="AH201" s="99"/>
      <c r="AI201" s="99"/>
      <c r="AJ201" s="102"/>
      <c r="AK201" s="94" t="s">
        <v>6544</v>
      </c>
      <c r="AL201" s="97"/>
      <c r="AM201" s="102"/>
      <c r="AN201" s="102" t="s">
        <v>6545</v>
      </c>
      <c r="AO201" s="99"/>
      <c r="AP201" s="99"/>
      <c r="AQ201" s="94"/>
      <c r="AR201" s="94"/>
      <c r="AS201" s="99"/>
      <c r="AT201" s="99"/>
      <c r="AU201" s="261" t="s">
        <v>6546</v>
      </c>
      <c r="AV201" s="102"/>
      <c r="AW201" s="102"/>
      <c r="AX201" s="99"/>
      <c r="AY201" s="99"/>
      <c r="AZ201" s="99"/>
      <c r="BA201" s="99"/>
      <c r="BB201" s="102"/>
      <c r="BC201" s="102"/>
      <c r="BD201" s="102"/>
      <c r="BE201" s="102"/>
      <c r="BF201" s="102"/>
      <c r="BG201" s="102"/>
      <c r="BH201" s="99"/>
      <c r="BI201" s="261" t="s">
        <v>6094</v>
      </c>
      <c r="BJ201" s="99"/>
      <c r="BK201" s="102"/>
      <c r="BL201" s="261" t="s">
        <v>6547</v>
      </c>
      <c r="BM201" s="99"/>
      <c r="BN201" s="99"/>
      <c r="BO201" s="102"/>
      <c r="BP201" s="99"/>
      <c r="BQ201" s="236"/>
      <c r="BR201" s="261" t="s">
        <v>6548</v>
      </c>
      <c r="BS201" s="261" t="s">
        <v>6549</v>
      </c>
      <c r="BT201" s="102"/>
      <c r="BU201" s="261" t="s">
        <v>2586</v>
      </c>
      <c r="BV201" s="261" t="s">
        <v>6550</v>
      </c>
      <c r="BW201" s="261" t="s">
        <v>1093</v>
      </c>
      <c r="BX201" s="99"/>
      <c r="BY201" s="102"/>
      <c r="BZ201" s="261" t="s">
        <v>6551</v>
      </c>
      <c r="CA201" s="261" t="s">
        <v>1854</v>
      </c>
      <c r="CB201" s="94" t="s">
        <v>6552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6553</v>
      </c>
      <c r="DD201" s="99"/>
      <c r="DE201" s="99"/>
      <c r="DF201" s="99"/>
      <c r="DG201" s="99"/>
      <c r="DH201" s="236"/>
      <c r="DI201" s="102"/>
      <c r="DJ201" s="99"/>
      <c r="DK201" s="99"/>
      <c r="DL201" s="102"/>
      <c r="DM201" s="261" t="s">
        <v>6554</v>
      </c>
      <c r="DN201" s="102"/>
      <c r="DO201" s="99"/>
      <c r="DP201" s="99"/>
      <c r="DQ201" s="99"/>
      <c r="DR201" s="102"/>
      <c r="DS201" s="102"/>
      <c r="DT201" s="94" t="s">
        <v>2088</v>
      </c>
      <c r="DU201" s="102"/>
      <c r="DV201" s="99"/>
      <c r="DW201" s="94" t="s">
        <v>278</v>
      </c>
      <c r="DX201" s="99"/>
      <c r="DY201" s="99"/>
      <c r="DZ201" s="99"/>
      <c r="EA201" s="102" t="s">
        <v>5810</v>
      </c>
      <c r="EB201" s="99"/>
      <c r="EC201" s="99"/>
      <c r="ED201" s="261"/>
    </row>
    <row r="202">
      <c r="A202" s="408" t="s">
        <v>6555</v>
      </c>
      <c r="B202" s="104" t="s">
        <v>6556</v>
      </c>
      <c r="C202" s="105" t="s">
        <v>1258</v>
      </c>
      <c r="D202" s="106" t="s">
        <v>1258</v>
      </c>
      <c r="E202" s="107" t="s">
        <v>1258</v>
      </c>
      <c r="F202" s="108" t="s">
        <v>1258</v>
      </c>
      <c r="G202" s="104" t="s">
        <v>3063</v>
      </c>
      <c r="H202" s="243"/>
      <c r="I202" s="167" t="s">
        <v>6557</v>
      </c>
      <c r="J202" s="167" t="s">
        <v>6558</v>
      </c>
      <c r="K202" s="167" t="s">
        <v>2043</v>
      </c>
      <c r="L202" s="167" t="s">
        <v>6559</v>
      </c>
      <c r="M202" s="167" t="s">
        <v>6560</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6561</v>
      </c>
      <c r="CM202" s="256"/>
      <c r="CN202" s="256"/>
      <c r="CO202" s="256"/>
      <c r="CP202" s="256"/>
      <c r="CQ202" s="256"/>
      <c r="CR202" s="256"/>
      <c r="CS202" s="256"/>
      <c r="CT202" s="256"/>
      <c r="CU202" s="92"/>
      <c r="CV202" s="257"/>
      <c r="CW202" s="257"/>
      <c r="CX202" s="257"/>
      <c r="CY202" s="257"/>
      <c r="CZ202" s="257"/>
      <c r="DA202" s="257"/>
      <c r="DB202" s="257"/>
      <c r="DC202" s="204" t="s">
        <v>6562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6563</v>
      </c>
      <c r="B203" s="82" t="s">
        <v>6564</v>
      </c>
      <c r="C203" s="83" t="s">
        <v>1258</v>
      </c>
      <c r="D203" s="84" t="s">
        <v>1258</v>
      </c>
      <c r="E203" s="85" t="s">
        <v>1258</v>
      </c>
      <c r="F203" s="86" t="s">
        <v>1258</v>
      </c>
      <c r="G203" s="82" t="s">
        <v>3540</v>
      </c>
      <c r="H203" s="99"/>
      <c r="I203" s="94" t="s">
        <v>6565</v>
      </c>
      <c r="J203" s="94" t="s">
        <v>1296</v>
      </c>
      <c r="K203" s="94" t="s">
        <v>1057</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3251</v>
      </c>
      <c r="AB203" s="94" t="s">
        <v>6570</v>
      </c>
      <c r="AC203" s="94" t="s">
        <v>6571</v>
      </c>
      <c r="AD203" s="94" t="s">
        <v>3213</v>
      </c>
      <c r="AE203" s="99"/>
      <c r="AF203" s="94" t="s">
        <v>6572</v>
      </c>
      <c r="AG203" s="94" t="s">
        <v>1355</v>
      </c>
      <c r="AH203" s="99"/>
      <c r="AI203" s="99"/>
      <c r="AJ203" s="99"/>
      <c r="AK203" s="99"/>
      <c r="AL203" s="97"/>
      <c r="AM203" s="94" t="s">
        <v>5144</v>
      </c>
      <c r="AN203" s="94" t="s">
        <v>1369</v>
      </c>
      <c r="AO203" s="94" t="s">
        <v>6573</v>
      </c>
      <c r="AP203" s="94" t="s">
        <v>6574</v>
      </c>
      <c r="AQ203" s="94" t="s">
        <v>6575</v>
      </c>
      <c r="AR203" s="94"/>
      <c r="AS203" s="94" t="s">
        <v>2180</v>
      </c>
      <c r="AT203" s="94" t="s">
        <v>6576</v>
      </c>
      <c r="AU203" s="94" t="s">
        <v>3856</v>
      </c>
      <c r="AV203" s="94" t="s">
        <v>695</v>
      </c>
      <c r="AW203" s="99"/>
      <c r="AX203" s="99"/>
      <c r="AY203" s="99"/>
      <c r="AZ203" s="99"/>
      <c r="BA203" s="99"/>
      <c r="BB203" s="94" t="s">
        <v>629</v>
      </c>
      <c r="BC203" s="94" t="s">
        <v>6577</v>
      </c>
      <c r="BD203" s="94" t="s">
        <v>6578</v>
      </c>
      <c r="BE203" s="94" t="s">
        <v>6579</v>
      </c>
      <c r="BF203" s="94" t="s">
        <v>6580</v>
      </c>
      <c r="BG203" s="94" t="s">
        <v>6527</v>
      </c>
      <c r="BH203" s="94" t="s">
        <v>6581</v>
      </c>
      <c r="BI203" s="94" t="s">
        <v>5248</v>
      </c>
      <c r="BJ203" s="94"/>
      <c r="BK203" s="94"/>
      <c r="BL203" s="94" t="s">
        <v>923</v>
      </c>
      <c r="BM203" s="99"/>
      <c r="BN203" s="99"/>
      <c r="BO203" s="99"/>
      <c r="BP203" s="99"/>
      <c r="BQ203" s="236"/>
      <c r="BR203" s="94"/>
      <c r="BS203" s="94" t="s">
        <v>6582</v>
      </c>
      <c r="BT203" s="94" t="s">
        <v>6583</v>
      </c>
      <c r="BU203" s="94" t="s">
        <v>112</v>
      </c>
      <c r="BV203" s="94" t="s">
        <v>6584</v>
      </c>
      <c r="BW203" s="94" t="s">
        <v>6585</v>
      </c>
      <c r="BX203" s="94" t="s">
        <v>6586</v>
      </c>
      <c r="BY203" s="94" t="s">
        <v>6587</v>
      </c>
      <c r="BZ203" s="99"/>
      <c r="CA203" s="94" t="s">
        <v>3586</v>
      </c>
      <c r="CB203" s="99"/>
      <c r="CC203" s="99"/>
      <c r="CD203" s="99"/>
      <c r="CE203" s="99"/>
      <c r="CF203" s="236"/>
      <c r="CG203" s="94" t="s">
        <v>6588</v>
      </c>
      <c r="CH203" s="94" t="s">
        <v>6589</v>
      </c>
      <c r="CI203" s="94" t="s">
        <v>2940</v>
      </c>
      <c r="CJ203" s="94" t="s">
        <v>6590</v>
      </c>
      <c r="CK203" s="94"/>
      <c r="CL203" s="94" t="s">
        <v>4249</v>
      </c>
      <c r="CM203" s="94" t="s">
        <v>6591</v>
      </c>
      <c r="CN203" s="94" t="s">
        <v>966</v>
      </c>
      <c r="CO203" s="94" t="s">
        <v>1429</v>
      </c>
      <c r="CP203" s="99"/>
      <c r="CQ203" s="99"/>
      <c r="CR203" s="99"/>
      <c r="CS203" s="99"/>
      <c r="CT203" s="99"/>
      <c r="CU203" s="92"/>
      <c r="CV203" s="94" t="s">
        <v>6592</v>
      </c>
      <c r="CW203" s="94" t="s">
        <v>6593</v>
      </c>
      <c r="CX203" s="94" t="s">
        <v>1650</v>
      </c>
      <c r="CY203" s="94" t="s">
        <v>6594</v>
      </c>
      <c r="CZ203" s="94" t="s">
        <v>6595</v>
      </c>
      <c r="DA203" s="94" t="s">
        <v>6596</v>
      </c>
      <c r="DB203" s="94" t="s">
        <v>1509</v>
      </c>
      <c r="DC203" s="94" t="s">
        <v>6597</v>
      </c>
      <c r="DD203" s="99"/>
      <c r="DE203" s="99"/>
      <c r="DF203" s="99"/>
      <c r="DG203" s="99"/>
      <c r="DH203" s="236"/>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1"/>
    </row>
    <row r="204">
      <c r="A204" s="736" t="s">
        <v>6599</v>
      </c>
      <c r="B204" s="104" t="s">
        <v>6600</v>
      </c>
      <c r="C204" s="105" t="s">
        <v>1258</v>
      </c>
      <c r="D204" s="106" t="s">
        <v>1258</v>
      </c>
      <c r="E204" s="107" t="s">
        <v>1258</v>
      </c>
      <c r="F204" s="108" t="s">
        <v>1258</v>
      </c>
      <c r="G204" s="104" t="s">
        <v>4055</v>
      </c>
      <c r="H204" s="167" t="s">
        <v>6601</v>
      </c>
      <c r="I204" s="167" t="s">
        <v>6602</v>
      </c>
      <c r="J204" s="167" t="s">
        <v>6603</v>
      </c>
      <c r="K204" s="167" t="s">
        <v>1617</v>
      </c>
      <c r="L204" s="167" t="s">
        <v>4073</v>
      </c>
      <c r="M204" s="167" t="s">
        <v>6604</v>
      </c>
      <c r="N204" s="167" t="s">
        <v>6605</v>
      </c>
      <c r="O204" s="167" t="s">
        <v>4434</v>
      </c>
      <c r="P204" s="167" t="s">
        <v>4677</v>
      </c>
      <c r="Q204" s="243"/>
      <c r="R204" s="243"/>
      <c r="S204" s="243"/>
      <c r="T204" s="243"/>
      <c r="U204" s="243"/>
      <c r="V204" s="243"/>
      <c r="W204" s="92"/>
      <c r="X204" s="198" t="s">
        <v>6606</v>
      </c>
      <c r="Y204" s="198"/>
      <c r="Z204" s="198" t="s">
        <v>1007</v>
      </c>
      <c r="AA204" s="246"/>
      <c r="AB204" s="246"/>
      <c r="AC204" s="198" t="s">
        <v>6607</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3987</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6608</v>
      </c>
      <c r="CH204" s="177" t="s">
        <v>5311</v>
      </c>
      <c r="CI204" s="177" t="s">
        <v>786</v>
      </c>
      <c r="CJ204" s="177" t="s">
        <v>6609</v>
      </c>
      <c r="CK204" s="177"/>
      <c r="CL204" s="177" t="s">
        <v>790</v>
      </c>
      <c r="CM204" s="177" t="s">
        <v>6610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6611</v>
      </c>
      <c r="B205" s="82" t="s">
        <v>440</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2741</v>
      </c>
      <c r="T205" s="99"/>
      <c r="U205" s="93"/>
      <c r="V205" s="99"/>
      <c r="W205" s="92"/>
      <c r="X205" s="102"/>
      <c r="Y205" s="102"/>
      <c r="Z205" s="88" t="s">
        <v>467</v>
      </c>
      <c r="AA205" s="102"/>
      <c r="AB205" s="267"/>
      <c r="AC205" s="102"/>
      <c r="AD205" s="102"/>
      <c r="AE205" s="88" t="s">
        <v>3024</v>
      </c>
      <c r="AF205" s="102"/>
      <c r="AG205" s="102"/>
      <c r="AH205" s="99"/>
      <c r="AI205" s="99"/>
      <c r="AJ205" s="88" t="s">
        <v>5950</v>
      </c>
      <c r="AK205" s="99"/>
      <c r="AL205" s="97"/>
      <c r="AM205" s="102"/>
      <c r="AN205" s="88" t="s">
        <v>6612</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6613</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6614</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5630</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6616</v>
      </c>
      <c r="B209" s="82" t="s">
        <v>4174</v>
      </c>
      <c r="C209" s="83" t="s">
        <v>1258</v>
      </c>
      <c r="D209" s="84" t="s">
        <v>1258</v>
      </c>
      <c r="E209" s="85" t="s">
        <v>1258</v>
      </c>
      <c r="F209" s="86" t="s">
        <v>1258</v>
      </c>
      <c r="G209" s="82" t="s">
        <v>2874</v>
      </c>
      <c r="H209" s="94"/>
      <c r="I209" s="94" t="s">
        <v>6617</v>
      </c>
      <c r="J209" s="94" t="s">
        <v>3289</v>
      </c>
      <c r="K209" s="94" t="s">
        <v>1960</v>
      </c>
      <c r="L209" s="99"/>
      <c r="M209" s="99"/>
      <c r="N209" s="99"/>
      <c r="O209" s="99"/>
      <c r="P209" s="94" t="s">
        <v>943</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6618</v>
      </c>
      <c r="BF209" s="99"/>
      <c r="BG209" s="99"/>
      <c r="BH209" s="99"/>
      <c r="BI209" s="94" t="s">
        <v>4445</v>
      </c>
      <c r="BJ209" s="99"/>
      <c r="BK209" s="99"/>
      <c r="BL209" s="99"/>
      <c r="BM209" s="99"/>
      <c r="BN209" s="99"/>
      <c r="BO209" s="99"/>
      <c r="BP209" s="99"/>
      <c r="BQ209" s="236"/>
      <c r="BR209" s="99"/>
      <c r="BS209" s="94" t="s">
        <v>4922</v>
      </c>
      <c r="BT209" s="94" t="s">
        <v>6619</v>
      </c>
      <c r="BU209" s="94" t="s">
        <v>5356</v>
      </c>
      <c r="BV209" s="99"/>
      <c r="BW209" s="99"/>
      <c r="BX209" s="99"/>
      <c r="BY209" s="99"/>
      <c r="BZ209" s="99"/>
      <c r="CA209" s="99"/>
      <c r="CB209" s="99"/>
      <c r="CC209" s="99"/>
      <c r="CD209" s="99"/>
      <c r="CE209" s="99"/>
      <c r="CF209" s="236"/>
      <c r="CG209" s="94" t="s">
        <v>6620</v>
      </c>
      <c r="CH209" s="94" t="s">
        <v>1636</v>
      </c>
      <c r="CI209" s="99"/>
      <c r="CJ209" s="99"/>
      <c r="CK209" s="99"/>
      <c r="CL209" s="99"/>
      <c r="CM209" s="99"/>
      <c r="CN209" s="99"/>
      <c r="CO209" s="99"/>
      <c r="CP209" s="99"/>
      <c r="CQ209" s="99"/>
      <c r="CR209" s="99"/>
      <c r="CS209" s="99"/>
      <c r="CT209" s="99"/>
      <c r="CU209" s="92"/>
      <c r="CV209" s="99"/>
      <c r="CW209" s="99"/>
      <c r="CX209" s="94" t="s">
        <v>6621</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6622</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6623</v>
      </c>
      <c r="B211" s="82" t="s">
        <v>5478</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6625</v>
      </c>
      <c r="B212" s="104" t="s">
        <v>6626</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6627</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6628</v>
      </c>
      <c r="B214" s="104" t="s">
        <v>6629</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6630</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6631</v>
      </c>
      <c r="B215" s="82" t="s">
        <v>4605</v>
      </c>
      <c r="C215" s="83" t="s">
        <v>1258</v>
      </c>
      <c r="D215" s="84" t="s">
        <v>1258</v>
      </c>
      <c r="E215" s="85" t="s">
        <v>1258</v>
      </c>
      <c r="F215" s="86" t="s">
        <v>2775</v>
      </c>
      <c r="G215" s="82" t="s">
        <v>2775</v>
      </c>
      <c r="H215" s="425" t="s">
        <v>6632</v>
      </c>
      <c r="I215" s="94"/>
      <c r="J215" s="99"/>
      <c r="K215" s="421" t="s">
        <v>4298</v>
      </c>
      <c r="L215" s="94"/>
      <c r="M215" s="99"/>
      <c r="N215" s="99"/>
      <c r="O215" s="94"/>
      <c r="P215" s="99"/>
      <c r="Q215" s="99"/>
      <c r="R215" s="99"/>
      <c r="S215" s="99"/>
      <c r="T215" s="99"/>
      <c r="U215" s="99"/>
      <c r="V215" s="99"/>
      <c r="W215" s="92"/>
      <c r="X215" s="99"/>
      <c r="Y215" s="99"/>
      <c r="Z215" s="425" t="s">
        <v>5744</v>
      </c>
      <c r="AA215" s="99"/>
      <c r="AB215" s="99"/>
      <c r="AC215" s="99"/>
      <c r="AD215" s="99"/>
      <c r="AE215" s="99"/>
      <c r="AF215" s="99"/>
      <c r="AG215" s="99"/>
      <c r="AH215" s="99"/>
      <c r="AI215" s="99"/>
      <c r="AJ215" s="99"/>
      <c r="AK215" s="99"/>
      <c r="AL215" s="97"/>
      <c r="AM215" s="99"/>
      <c r="AN215" s="425" t="s">
        <v>3159</v>
      </c>
      <c r="AO215" s="99"/>
      <c r="AP215" s="425" t="s">
        <v>6633</v>
      </c>
      <c r="AQ215" s="99"/>
      <c r="AR215" s="99"/>
      <c r="AS215" s="99"/>
      <c r="AT215" s="99"/>
      <c r="AU215" s="99"/>
      <c r="AV215" s="99"/>
      <c r="AW215" s="99"/>
      <c r="AX215" s="99"/>
      <c r="AY215" s="425" t="s">
        <v>520</v>
      </c>
      <c r="AZ215" s="99"/>
      <c r="BA215" s="99"/>
      <c r="BB215" s="425" t="s">
        <v>6634</v>
      </c>
      <c r="BC215" s="99"/>
      <c r="BD215" s="425" t="s">
        <v>4778</v>
      </c>
      <c r="BE215" s="99"/>
      <c r="BF215" s="99"/>
      <c r="BG215" s="99"/>
      <c r="BH215" s="99"/>
      <c r="BI215" s="99"/>
      <c r="BJ215" s="99"/>
      <c r="BK215" s="99"/>
      <c r="BL215" s="99"/>
      <c r="BM215" s="99"/>
      <c r="BN215" s="425" t="s">
        <v>6635</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5589</v>
      </c>
      <c r="DQ215" s="425" t="s">
        <v>6636</v>
      </c>
      <c r="DR215" s="99"/>
      <c r="DS215" s="99"/>
      <c r="DT215" s="99"/>
      <c r="DU215" s="99"/>
      <c r="DV215" s="99"/>
      <c r="DW215" s="99"/>
      <c r="DX215" s="99"/>
      <c r="DY215" s="99"/>
      <c r="DZ215" s="99"/>
      <c r="EA215" s="99"/>
      <c r="EB215" s="99"/>
      <c r="EC215" s="99"/>
      <c r="ED215" s="713" t="s">
        <v>1843</v>
      </c>
    </row>
    <row r="216">
      <c r="A216" s="103" t="s">
        <v>6637</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6638</v>
      </c>
      <c r="B217" s="82" t="s">
        <v>4037</v>
      </c>
      <c r="C217" s="83" t="s">
        <v>1258</v>
      </c>
      <c r="D217" s="84" t="s">
        <v>1258</v>
      </c>
      <c r="E217" s="85" t="s">
        <v>1258</v>
      </c>
      <c r="F217" s="86" t="s">
        <v>1258</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5976</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6641</v>
      </c>
      <c r="B219" s="82" t="s">
        <v>2652</v>
      </c>
      <c r="C219" s="83" t="s">
        <v>1258</v>
      </c>
      <c r="D219" s="84" t="s">
        <v>1258</v>
      </c>
      <c r="E219" s="85" t="s">
        <v>1258</v>
      </c>
      <c r="F219" s="86" t="s">
        <v>1258</v>
      </c>
      <c r="G219" s="82" t="s">
        <v>649</v>
      </c>
      <c r="H219" s="99"/>
      <c r="I219" s="94"/>
      <c r="J219" s="99"/>
      <c r="K219" s="94" t="s">
        <v>4998</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6643</v>
      </c>
      <c r="B220" s="104" t="s">
        <v>1060</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6644</v>
      </c>
      <c r="CH220" s="177" t="s">
        <v>4689</v>
      </c>
      <c r="CI220" s="177" t="s">
        <v>1770</v>
      </c>
      <c r="CJ220" s="256"/>
      <c r="CK220" s="256"/>
      <c r="CL220" s="256" t="s">
        <v>6645</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6646</v>
      </c>
      <c r="DN220" s="205"/>
      <c r="DO220" s="259"/>
      <c r="DP220" s="259"/>
      <c r="DQ220" s="259"/>
      <c r="DR220" s="259"/>
      <c r="DS220" s="259"/>
      <c r="DT220" s="259"/>
      <c r="DU220" s="259"/>
      <c r="DV220" s="259"/>
      <c r="DW220" s="259"/>
      <c r="DX220" s="259"/>
      <c r="DY220" s="259"/>
      <c r="DZ220" s="259"/>
      <c r="EA220" s="259"/>
      <c r="EB220" s="259"/>
      <c r="EC220" s="259"/>
      <c r="ED220" s="624"/>
    </row>
    <row r="221">
      <c r="A221" s="81" t="s">
        <v>6647</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2874</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6650</v>
      </c>
      <c r="B224" s="104" t="s">
        <v>222</v>
      </c>
      <c r="C224" s="105" t="s">
        <v>1258</v>
      </c>
      <c r="D224" s="106" t="s">
        <v>1258</v>
      </c>
      <c r="E224" s="107" t="s">
        <v>1258</v>
      </c>
      <c r="F224" s="108" t="s">
        <v>437</v>
      </c>
      <c r="G224" s="104" t="s">
        <v>437</v>
      </c>
      <c r="H224" s="112" t="s">
        <v>6651</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6653</v>
      </c>
      <c r="B225" s="82" t="s">
        <v>983</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6654</v>
      </c>
      <c r="B226" s="104" t="s">
        <v>983</v>
      </c>
      <c r="C226" s="105" t="s">
        <v>1258</v>
      </c>
      <c r="D226" s="106" t="s">
        <v>1258</v>
      </c>
      <c r="E226" s="107" t="s">
        <v>1258</v>
      </c>
      <c r="F226" s="108" t="s">
        <v>1258</v>
      </c>
      <c r="G226" s="104" t="s">
        <v>332</v>
      </c>
      <c r="H226" s="243"/>
      <c r="I226" s="243"/>
      <c r="J226" s="243"/>
      <c r="K226" s="167" t="s">
        <v>2947</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6655</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6656</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6657</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6659</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E205"/>
    <hyperlink r:id="rId4086" ref="AJ205"/>
    <hyperlink r:id="rId4087" ref="AN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6661</v>
      </c>
      <c r="H2" s="757" t="s">
        <v>47</v>
      </c>
      <c r="I2" s="757" t="s">
        <v>48</v>
      </c>
      <c r="J2" s="757" t="s">
        <v>6662</v>
      </c>
      <c r="K2" s="757" t="s">
        <v>54</v>
      </c>
      <c r="N2" s="757" t="s">
        <v>6663</v>
      </c>
      <c r="P2" s="758"/>
      <c r="Q2" s="759" t="s">
        <v>47</v>
      </c>
      <c r="R2" s="759" t="s">
        <v>6664</v>
      </c>
      <c r="S2" s="759" t="s">
        <v>52</v>
      </c>
      <c r="T2" s="759" t="s">
        <v>53</v>
      </c>
      <c r="U2" s="759" t="s">
        <v>54</v>
      </c>
      <c r="V2" s="759" t="s">
        <v>6665</v>
      </c>
      <c r="W2" s="758"/>
      <c r="X2" s="760" t="s">
        <v>47</v>
      </c>
      <c r="Y2" s="760" t="s">
        <v>48</v>
      </c>
      <c r="Z2" s="760" t="s">
        <v>49</v>
      </c>
      <c r="AA2" s="760" t="s">
        <v>50</v>
      </c>
      <c r="AC2" s="760" t="s">
        <v>52</v>
      </c>
      <c r="AD2" s="760" t="s">
        <v>53</v>
      </c>
      <c r="AE2" s="760" t="s">
        <v>54</v>
      </c>
      <c r="AF2" s="760" t="s">
        <v>6666</v>
      </c>
      <c r="AG2" s="760" t="s">
        <v>6663</v>
      </c>
      <c r="AI2" s="758"/>
      <c r="AJ2" s="761" t="s">
        <v>47</v>
      </c>
      <c r="AK2" s="761" t="s">
        <v>48</v>
      </c>
      <c r="AM2" s="761" t="s">
        <v>49</v>
      </c>
      <c r="AP2" s="761" t="s">
        <v>51</v>
      </c>
      <c r="AR2" s="761" t="s">
        <v>52</v>
      </c>
      <c r="AV2" s="761" t="s">
        <v>52</v>
      </c>
      <c r="AW2" s="761" t="s">
        <v>53</v>
      </c>
      <c r="AX2" s="761" t="s">
        <v>6665</v>
      </c>
      <c r="AZ2" s="762"/>
      <c r="BA2" s="763" t="s">
        <v>47</v>
      </c>
      <c r="BB2" s="763" t="s">
        <v>52</v>
      </c>
      <c r="BC2" s="763" t="s">
        <v>53</v>
      </c>
      <c r="BD2" s="763" t="s">
        <v>54</v>
      </c>
      <c r="BE2" s="763" t="s">
        <v>6663</v>
      </c>
      <c r="BF2" s="762"/>
      <c r="BG2" s="764" t="s">
        <v>47</v>
      </c>
      <c r="BH2" s="764" t="s">
        <v>48</v>
      </c>
      <c r="BI2" s="764" t="s">
        <v>50</v>
      </c>
      <c r="BK2" s="764" t="s">
        <v>52</v>
      </c>
      <c r="BL2" s="764" t="s">
        <v>6663</v>
      </c>
      <c r="BN2" s="758"/>
      <c r="BO2" s="765" t="s">
        <v>49</v>
      </c>
      <c r="BP2" s="765" t="s">
        <v>50</v>
      </c>
      <c r="BQ2" s="765" t="s">
        <v>51</v>
      </c>
      <c r="BR2" s="765" t="s">
        <v>52</v>
      </c>
      <c r="BT2" s="765" t="s">
        <v>53</v>
      </c>
      <c r="BU2" s="765" t="s">
        <v>54</v>
      </c>
      <c r="BW2" s="765" t="s">
        <v>6665</v>
      </c>
      <c r="BX2" s="762"/>
      <c r="BY2" s="766" t="s">
        <v>6667</v>
      </c>
      <c r="BZ2" s="767" t="s">
        <v>75</v>
      </c>
      <c r="CA2" s="766" t="s">
        <v>80</v>
      </c>
      <c r="CD2" s="766" t="s">
        <v>77</v>
      </c>
      <c r="CE2" s="766" t="s">
        <v>6668</v>
      </c>
      <c r="CF2" s="766" t="s">
        <v>6669</v>
      </c>
      <c r="CG2" s="768" t="s">
        <v>68</v>
      </c>
      <c r="CH2" s="766" t="s">
        <v>76</v>
      </c>
      <c r="CI2" s="766" t="s">
        <v>66</v>
      </c>
      <c r="CJ2" s="767" t="s">
        <v>78</v>
      </c>
    </row>
    <row r="3" ht="23.25" customHeight="1">
      <c r="J3" s="769" t="s">
        <v>6670</v>
      </c>
      <c r="K3" s="769" t="s">
        <v>6671</v>
      </c>
      <c r="L3" s="770" t="s">
        <v>6672</v>
      </c>
      <c r="M3" s="770" t="s">
        <v>6673</v>
      </c>
      <c r="N3" s="770" t="s">
        <v>6674</v>
      </c>
      <c r="O3" s="769" t="s">
        <v>6675</v>
      </c>
      <c r="P3" s="758"/>
      <c r="W3" s="758"/>
      <c r="AA3" s="771" t="s">
        <v>6676</v>
      </c>
      <c r="AB3" s="772" t="s">
        <v>92</v>
      </c>
      <c r="AF3" s="772" t="s">
        <v>6677</v>
      </c>
      <c r="AG3" s="771" t="s">
        <v>52</v>
      </c>
      <c r="AH3" s="773" t="s">
        <v>49</v>
      </c>
      <c r="AI3" s="758"/>
      <c r="AK3" s="774" t="s">
        <v>6678</v>
      </c>
      <c r="AL3" s="774" t="s">
        <v>6679</v>
      </c>
      <c r="AM3" s="775" t="s">
        <v>6674</v>
      </c>
      <c r="AN3" s="775" t="s">
        <v>6680</v>
      </c>
      <c r="AO3" s="775" t="s">
        <v>6681</v>
      </c>
      <c r="AP3" s="775" t="s">
        <v>6674</v>
      </c>
      <c r="AQ3" s="776" t="s">
        <v>6682</v>
      </c>
      <c r="AR3" s="775" t="s">
        <v>6683</v>
      </c>
      <c r="AS3" s="775" t="s">
        <v>6684</v>
      </c>
      <c r="AT3" s="775" t="s">
        <v>6685</v>
      </c>
      <c r="AU3" s="775" t="s">
        <v>6686</v>
      </c>
      <c r="AX3" s="775" t="s">
        <v>6687</v>
      </c>
      <c r="AY3" s="775" t="s">
        <v>6688</v>
      </c>
      <c r="AZ3" s="762"/>
      <c r="BF3" s="777"/>
      <c r="BI3" s="764" t="s">
        <v>6689</v>
      </c>
      <c r="BJ3" s="764" t="s">
        <v>6690</v>
      </c>
      <c r="BL3" s="778" t="s">
        <v>88</v>
      </c>
      <c r="BM3" s="778" t="s">
        <v>6691</v>
      </c>
      <c r="BN3" s="758"/>
      <c r="BR3" s="779" t="s">
        <v>6681</v>
      </c>
      <c r="BS3" s="779" t="s">
        <v>6692</v>
      </c>
      <c r="BU3" s="779" t="s">
        <v>6674</v>
      </c>
      <c r="BV3" s="779" t="s">
        <v>6681</v>
      </c>
      <c r="BX3" s="762"/>
      <c r="CA3" s="780" t="s">
        <v>6693</v>
      </c>
      <c r="CB3" s="780" t="s">
        <v>6694</v>
      </c>
      <c r="CC3" s="780" t="s">
        <v>6695</v>
      </c>
      <c r="CJ3" s="780" t="s">
        <v>6696</v>
      </c>
      <c r="CK3" s="780" t="s">
        <v>6697</v>
      </c>
    </row>
    <row r="4">
      <c r="A4" s="781" t="s">
        <v>6698</v>
      </c>
      <c r="B4" s="782" t="s">
        <v>6699</v>
      </c>
      <c r="C4" s="783" t="s">
        <v>4116</v>
      </c>
      <c r="D4" s="784" t="s">
        <v>438</v>
      </c>
      <c r="E4" s="785" t="s">
        <v>1258</v>
      </c>
      <c r="F4" s="786" t="s">
        <v>1634</v>
      </c>
      <c r="G4" s="787" t="s">
        <v>2547</v>
      </c>
      <c r="H4" s="788" t="s">
        <v>2998</v>
      </c>
      <c r="I4" s="789"/>
      <c r="J4" s="790" t="s">
        <v>2032</v>
      </c>
      <c r="K4" s="790" t="s">
        <v>6700</v>
      </c>
      <c r="L4" s="790" t="s">
        <v>6701</v>
      </c>
      <c r="M4" s="791" t="s">
        <v>3228</v>
      </c>
      <c r="N4" s="789"/>
      <c r="O4" s="792" t="s">
        <v>6702</v>
      </c>
      <c r="P4" s="793"/>
      <c r="Q4" s="794" t="s">
        <v>6703</v>
      </c>
      <c r="R4" s="795" t="s">
        <v>1738</v>
      </c>
      <c r="S4" s="796" t="s">
        <v>5098</v>
      </c>
      <c r="T4" s="796" t="s">
        <v>5683</v>
      </c>
      <c r="U4" s="796"/>
      <c r="V4" s="794" t="s">
        <v>6704</v>
      </c>
      <c r="W4" s="793"/>
      <c r="X4" s="797" t="s">
        <v>2382</v>
      </c>
      <c r="Y4" s="798" t="s">
        <v>6705</v>
      </c>
      <c r="Z4" s="798" t="s">
        <v>6706</v>
      </c>
      <c r="AA4" s="798" t="s">
        <v>5040</v>
      </c>
      <c r="AB4" s="799" t="s">
        <v>6707</v>
      </c>
      <c r="AC4" s="798" t="s">
        <v>749</v>
      </c>
      <c r="AD4" s="800" t="s">
        <v>4272</v>
      </c>
      <c r="AE4" s="800" t="s">
        <v>2531</v>
      </c>
      <c r="AF4" s="801"/>
      <c r="AG4" s="799" t="s">
        <v>6708</v>
      </c>
      <c r="AH4" s="802"/>
      <c r="AI4" s="803"/>
      <c r="AJ4" s="804"/>
      <c r="AK4" s="805"/>
      <c r="AL4" s="805"/>
      <c r="AM4" s="806" t="s">
        <v>6709</v>
      </c>
      <c r="AN4" s="804"/>
      <c r="AO4" s="805"/>
      <c r="AP4" s="806" t="s">
        <v>908</v>
      </c>
      <c r="AQ4" s="804" t="s">
        <v>6710</v>
      </c>
      <c r="AR4" s="805"/>
      <c r="AS4" s="805"/>
      <c r="AT4" s="805"/>
      <c r="AU4" s="805"/>
      <c r="AV4" s="805"/>
      <c r="AW4" s="807" t="s">
        <v>4747</v>
      </c>
      <c r="AX4" s="806" t="s">
        <v>6711</v>
      </c>
      <c r="AY4" s="806" t="s">
        <v>1679</v>
      </c>
      <c r="AZ4" s="808"/>
      <c r="BA4" s="809" t="s">
        <v>6712</v>
      </c>
      <c r="BB4" s="810" t="s">
        <v>6713</v>
      </c>
      <c r="BC4" s="811" t="s">
        <v>294</v>
      </c>
      <c r="BD4" s="809" t="s">
        <v>4278</v>
      </c>
      <c r="BE4" s="809" t="s">
        <v>6714</v>
      </c>
      <c r="BF4" s="808"/>
      <c r="BG4" s="812" t="s">
        <v>6715</v>
      </c>
      <c r="BH4" s="813" t="s">
        <v>696</v>
      </c>
      <c r="BI4" s="814" t="s">
        <v>6716</v>
      </c>
      <c r="BJ4" s="815" t="s">
        <v>6717</v>
      </c>
      <c r="BK4" s="812" t="s">
        <v>6718</v>
      </c>
      <c r="BL4" s="816"/>
      <c r="BM4" s="817" t="s">
        <v>6719</v>
      </c>
      <c r="BN4" s="803"/>
      <c r="BO4" s="818" t="s">
        <v>6720</v>
      </c>
      <c r="BP4" s="819"/>
      <c r="BQ4" s="820" t="s">
        <v>6721</v>
      </c>
      <c r="BR4" s="818" t="s">
        <v>6722</v>
      </c>
      <c r="BS4" s="821"/>
      <c r="BT4" s="820" t="s">
        <v>1108</v>
      </c>
      <c r="BU4" s="818" t="s">
        <v>6438</v>
      </c>
      <c r="BV4" s="822"/>
      <c r="BW4" s="818" t="s">
        <v>6723</v>
      </c>
      <c r="BX4" s="793"/>
      <c r="BY4" s="823" t="s">
        <v>3394</v>
      </c>
      <c r="BZ4" s="824" t="s">
        <v>6179</v>
      </c>
      <c r="CA4" s="794" t="s">
        <v>6724</v>
      </c>
      <c r="CB4" s="825"/>
      <c r="CC4" s="826"/>
      <c r="CD4" s="794" t="s">
        <v>6725</v>
      </c>
      <c r="CE4" s="827" t="s">
        <v>6726</v>
      </c>
      <c r="CF4" s="794" t="s">
        <v>1591</v>
      </c>
      <c r="CG4" s="795" t="s">
        <v>5129</v>
      </c>
      <c r="CH4" s="828" t="s">
        <v>6727</v>
      </c>
      <c r="CI4" s="794" t="s">
        <v>1019</v>
      </c>
      <c r="CJ4" s="794" t="s">
        <v>2217</v>
      </c>
      <c r="CK4" s="794" t="s">
        <v>3876</v>
      </c>
    </row>
    <row r="5">
      <c r="A5" s="829" t="s">
        <v>6728</v>
      </c>
      <c r="B5" s="787" t="s">
        <v>6729</v>
      </c>
      <c r="C5" s="783" t="s">
        <v>649</v>
      </c>
      <c r="D5" s="784" t="s">
        <v>334</v>
      </c>
      <c r="E5" s="785" t="s">
        <v>332</v>
      </c>
      <c r="F5" s="786" t="s">
        <v>3384</v>
      </c>
      <c r="G5" s="787" t="s">
        <v>4683</v>
      </c>
      <c r="H5" s="830"/>
      <c r="I5" s="831" t="s">
        <v>1260</v>
      </c>
      <c r="J5" s="831"/>
      <c r="K5" s="832" t="s">
        <v>6730</v>
      </c>
      <c r="L5" s="831" t="s">
        <v>6731</v>
      </c>
      <c r="M5" s="830"/>
      <c r="N5" s="830"/>
      <c r="O5" s="833" t="s">
        <v>6732</v>
      </c>
      <c r="P5" s="808"/>
      <c r="Q5" s="834" t="s">
        <v>6733</v>
      </c>
      <c r="R5" s="835"/>
      <c r="S5" s="835"/>
      <c r="T5" s="836" t="s">
        <v>6734</v>
      </c>
      <c r="U5" s="837"/>
      <c r="V5" s="838" t="s">
        <v>6735</v>
      </c>
      <c r="W5" s="808"/>
      <c r="X5" s="839" t="s">
        <v>141</v>
      </c>
      <c r="Y5" s="839" t="s">
        <v>6736</v>
      </c>
      <c r="Z5" s="799" t="s">
        <v>4447</v>
      </c>
      <c r="AA5" s="800" t="s">
        <v>5680</v>
      </c>
      <c r="AB5" s="840" t="s">
        <v>793</v>
      </c>
      <c r="AC5" s="840" t="s">
        <v>2982</v>
      </c>
      <c r="AD5" s="798" t="s">
        <v>1215</v>
      </c>
      <c r="AE5" s="840" t="s">
        <v>2677</v>
      </c>
      <c r="AF5" s="801"/>
      <c r="AG5" s="798" t="s">
        <v>6737</v>
      </c>
      <c r="AH5" s="802"/>
      <c r="AI5" s="808"/>
      <c r="AJ5" s="841"/>
      <c r="AK5" s="841" t="s">
        <v>4077</v>
      </c>
      <c r="AL5" s="842"/>
      <c r="AM5" s="841" t="s">
        <v>4640</v>
      </c>
      <c r="AN5" s="841"/>
      <c r="AO5" s="843" t="s">
        <v>2389</v>
      </c>
      <c r="AP5" s="842"/>
      <c r="AQ5" s="844" t="s">
        <v>6738</v>
      </c>
      <c r="AR5" s="841" t="s">
        <v>6739</v>
      </c>
      <c r="AS5" s="841" t="s">
        <v>6740</v>
      </c>
      <c r="AT5" s="842"/>
      <c r="AU5" s="842"/>
      <c r="AV5" s="842"/>
      <c r="AW5" s="845" t="s">
        <v>4235</v>
      </c>
      <c r="AX5" s="846" t="s">
        <v>3763</v>
      </c>
      <c r="AY5" s="841" t="s">
        <v>6741</v>
      </c>
      <c r="AZ5" s="808"/>
      <c r="BA5" s="847"/>
      <c r="BB5" s="848" t="s">
        <v>6742</v>
      </c>
      <c r="BC5" s="849" t="s">
        <v>6743</v>
      </c>
      <c r="BD5" s="847"/>
      <c r="BE5" s="850" t="s">
        <v>6744</v>
      </c>
      <c r="BF5" s="808"/>
      <c r="BG5" s="851" t="s">
        <v>6745</v>
      </c>
      <c r="BH5" s="852" t="s">
        <v>1875</v>
      </c>
      <c r="BI5" s="852"/>
      <c r="BJ5" s="852"/>
      <c r="BK5" s="853" t="s">
        <v>2051</v>
      </c>
      <c r="BL5" s="854"/>
      <c r="BM5" s="852" t="s">
        <v>6746</v>
      </c>
      <c r="BN5" s="808"/>
      <c r="BO5" s="855" t="s">
        <v>5076</v>
      </c>
      <c r="BP5" s="856"/>
      <c r="BQ5" s="856"/>
      <c r="BR5" s="857" t="s">
        <v>6747</v>
      </c>
      <c r="BS5" s="856"/>
      <c r="BT5" s="858" t="s">
        <v>1616</v>
      </c>
      <c r="BU5" s="856"/>
      <c r="BV5" s="859" t="s">
        <v>3863</v>
      </c>
      <c r="BW5" s="858" t="s">
        <v>6145</v>
      </c>
      <c r="BX5" s="808"/>
      <c r="BY5" s="860" t="s">
        <v>2813</v>
      </c>
      <c r="BZ5" s="861" t="s">
        <v>4212</v>
      </c>
      <c r="CA5" s="862"/>
      <c r="CB5" s="862"/>
      <c r="CC5" s="862"/>
      <c r="CD5" s="861" t="s">
        <v>1396</v>
      </c>
      <c r="CE5" s="863" t="s">
        <v>4741</v>
      </c>
      <c r="CF5" s="861" t="s">
        <v>6748</v>
      </c>
      <c r="CG5" s="862"/>
      <c r="CH5" s="862"/>
      <c r="CI5" s="862"/>
      <c r="CJ5" s="862"/>
      <c r="CK5" s="862"/>
    </row>
    <row r="6">
      <c r="A6" s="864" t="s">
        <v>435</v>
      </c>
      <c r="B6" s="787" t="s">
        <v>6749</v>
      </c>
      <c r="C6" s="783" t="s">
        <v>437</v>
      </c>
      <c r="D6" s="784" t="s">
        <v>3872</v>
      </c>
      <c r="E6" s="785" t="s">
        <v>332</v>
      </c>
      <c r="F6" s="786" t="s">
        <v>4055</v>
      </c>
      <c r="G6" s="787" t="s">
        <v>1498</v>
      </c>
      <c r="H6" s="832" t="s">
        <v>1606</v>
      </c>
      <c r="I6" s="865" t="s">
        <v>3121</v>
      </c>
      <c r="J6" s="833" t="s">
        <v>6750</v>
      </c>
      <c r="K6" s="866" t="s">
        <v>5977</v>
      </c>
      <c r="L6" s="832" t="s">
        <v>5534</v>
      </c>
      <c r="M6" s="830"/>
      <c r="N6" s="830"/>
      <c r="O6" s="867" t="s">
        <v>6751</v>
      </c>
      <c r="P6" s="793"/>
      <c r="Q6" s="868" t="s">
        <v>6752</v>
      </c>
      <c r="R6" s="868" t="s">
        <v>2814</v>
      </c>
      <c r="S6" s="835"/>
      <c r="T6" s="869" t="s">
        <v>233</v>
      </c>
      <c r="U6" s="870"/>
      <c r="V6" s="836" t="s">
        <v>6753</v>
      </c>
      <c r="W6" s="793"/>
      <c r="X6" s="800" t="s">
        <v>148</v>
      </c>
      <c r="Y6" s="800" t="s">
        <v>6754</v>
      </c>
      <c r="Z6" s="800" t="s">
        <v>2600</v>
      </c>
      <c r="AA6" s="871" t="s">
        <v>6755</v>
      </c>
      <c r="AB6" s="839" t="s">
        <v>1275</v>
      </c>
      <c r="AC6" s="871" t="s">
        <v>1317</v>
      </c>
      <c r="AD6" s="798" t="s">
        <v>1215</v>
      </c>
      <c r="AE6" s="798" t="s">
        <v>6756</v>
      </c>
      <c r="AF6" s="872"/>
      <c r="AG6" s="873" t="s">
        <v>6757</v>
      </c>
      <c r="AH6" s="802"/>
      <c r="AI6" s="803"/>
      <c r="AJ6" s="841"/>
      <c r="AK6" s="841" t="s">
        <v>6758</v>
      </c>
      <c r="AL6" s="842"/>
      <c r="AM6" s="874" t="s">
        <v>3280</v>
      </c>
      <c r="AN6" s="875" t="s">
        <v>3513</v>
      </c>
      <c r="AO6" s="841" t="s">
        <v>6759</v>
      </c>
      <c r="AP6" s="874" t="s">
        <v>2468</v>
      </c>
      <c r="AQ6" s="876" t="s">
        <v>6760</v>
      </c>
      <c r="AR6" s="841" t="s">
        <v>6761</v>
      </c>
      <c r="AS6" s="842"/>
      <c r="AT6" s="843" t="s">
        <v>4915</v>
      </c>
      <c r="AU6" s="842"/>
      <c r="AV6" s="842"/>
      <c r="AW6" s="846" t="s">
        <v>5042</v>
      </c>
      <c r="AX6" s="846" t="s">
        <v>1302</v>
      </c>
      <c r="AY6" s="842"/>
      <c r="AZ6" s="808"/>
      <c r="BA6" s="877"/>
      <c r="BB6" s="849" t="s">
        <v>6762</v>
      </c>
      <c r="BC6" s="850" t="s">
        <v>6170</v>
      </c>
      <c r="BD6" s="877"/>
      <c r="BE6" s="878" t="s">
        <v>6763</v>
      </c>
      <c r="BF6" s="808"/>
      <c r="BG6" s="851" t="s">
        <v>3239</v>
      </c>
      <c r="BH6" s="851" t="s">
        <v>1304</v>
      </c>
      <c r="BI6" s="879" t="s">
        <v>5798</v>
      </c>
      <c r="BJ6" s="880"/>
      <c r="BK6" s="851" t="s">
        <v>6764</v>
      </c>
      <c r="BL6" s="854"/>
      <c r="BM6" s="852" t="s">
        <v>6765</v>
      </c>
      <c r="BN6" s="793"/>
      <c r="BO6" s="858" t="s">
        <v>6766</v>
      </c>
      <c r="BP6" s="857"/>
      <c r="BQ6" s="881" t="s">
        <v>1682</v>
      </c>
      <c r="BR6" s="857" t="s">
        <v>6767</v>
      </c>
      <c r="BS6" s="856"/>
      <c r="BT6" s="881" t="s">
        <v>1903</v>
      </c>
      <c r="BU6" s="856"/>
      <c r="BV6" s="857" t="s">
        <v>5934</v>
      </c>
      <c r="BW6" s="857" t="s">
        <v>2136</v>
      </c>
      <c r="BX6" s="793"/>
      <c r="BY6" s="882" t="s">
        <v>302</v>
      </c>
      <c r="BZ6" s="861" t="s">
        <v>3508</v>
      </c>
      <c r="CA6" s="862"/>
      <c r="CB6" s="883"/>
      <c r="CC6" s="862"/>
      <c r="CD6" s="862"/>
      <c r="CE6" s="862"/>
      <c r="CF6" s="862"/>
      <c r="CG6" s="862"/>
      <c r="CH6" s="862"/>
      <c r="CI6" s="862"/>
      <c r="CJ6" s="883"/>
      <c r="CK6" s="883"/>
    </row>
    <row r="7">
      <c r="A7" s="884" t="s">
        <v>6768</v>
      </c>
      <c r="B7" s="885" t="s">
        <v>6769</v>
      </c>
      <c r="C7" s="783" t="s">
        <v>334</v>
      </c>
      <c r="D7" s="784" t="s">
        <v>332</v>
      </c>
      <c r="E7" s="785" t="s">
        <v>333</v>
      </c>
      <c r="F7" s="786" t="s">
        <v>3540</v>
      </c>
      <c r="G7" s="787" t="s">
        <v>3873</v>
      </c>
      <c r="H7" s="886" t="s">
        <v>6770</v>
      </c>
      <c r="I7" s="832" t="s">
        <v>6771</v>
      </c>
      <c r="J7" s="832" t="s">
        <v>3727</v>
      </c>
      <c r="K7" s="832" t="s">
        <v>6772</v>
      </c>
      <c r="L7" s="887" t="s">
        <v>2032</v>
      </c>
      <c r="M7" s="865" t="s">
        <v>6773</v>
      </c>
      <c r="N7" s="832" t="s">
        <v>6774</v>
      </c>
      <c r="O7" s="832" t="s">
        <v>6775</v>
      </c>
      <c r="P7" s="793"/>
      <c r="Q7" s="838" t="s">
        <v>6776</v>
      </c>
      <c r="R7" s="838" t="s">
        <v>1941</v>
      </c>
      <c r="S7" s="836" t="s">
        <v>728</v>
      </c>
      <c r="T7" s="838" t="s">
        <v>5205</v>
      </c>
      <c r="U7" s="868" t="s">
        <v>6777</v>
      </c>
      <c r="V7" s="836" t="s">
        <v>6778</v>
      </c>
      <c r="W7" s="793"/>
      <c r="X7" s="840" t="s">
        <v>833</v>
      </c>
      <c r="Y7" s="799" t="s">
        <v>6779</v>
      </c>
      <c r="Z7" s="800" t="s">
        <v>6780</v>
      </c>
      <c r="AA7" s="800" t="s">
        <v>6781</v>
      </c>
      <c r="AB7" s="888" t="s">
        <v>4387</v>
      </c>
      <c r="AC7" s="800" t="s">
        <v>5929</v>
      </c>
      <c r="AD7" s="800" t="s">
        <v>131</v>
      </c>
      <c r="AE7" s="800" t="s">
        <v>6782</v>
      </c>
      <c r="AF7" s="801"/>
      <c r="AG7" s="873" t="s">
        <v>6783</v>
      </c>
      <c r="AH7" s="889" t="s">
        <v>6784</v>
      </c>
      <c r="AI7" s="793"/>
      <c r="AJ7" s="890"/>
      <c r="AK7" s="875" t="s">
        <v>102</v>
      </c>
      <c r="AL7" s="876" t="s">
        <v>6785</v>
      </c>
      <c r="AM7" s="846" t="s">
        <v>2232</v>
      </c>
      <c r="AN7" s="841" t="s">
        <v>4630</v>
      </c>
      <c r="AO7" s="841" t="s">
        <v>6786</v>
      </c>
      <c r="AP7" s="846" t="s">
        <v>6787</v>
      </c>
      <c r="AQ7" s="841" t="s">
        <v>6788</v>
      </c>
      <c r="AR7" s="846" t="s">
        <v>6789</v>
      </c>
      <c r="AS7" s="846" t="s">
        <v>2751</v>
      </c>
      <c r="AT7" s="875" t="s">
        <v>6790</v>
      </c>
      <c r="AU7" s="843" t="s">
        <v>6791</v>
      </c>
      <c r="AV7" s="876" t="s">
        <v>6792</v>
      </c>
      <c r="AW7" s="846" t="s">
        <v>2553</v>
      </c>
      <c r="AX7" s="875" t="s">
        <v>5260</v>
      </c>
      <c r="AY7" s="875" t="s">
        <v>6793</v>
      </c>
      <c r="AZ7" s="808"/>
      <c r="BA7" s="850" t="s">
        <v>6794</v>
      </c>
      <c r="BB7" s="891" t="s">
        <v>6795</v>
      </c>
      <c r="BC7" s="892" t="s">
        <v>3290</v>
      </c>
      <c r="BD7" s="893"/>
      <c r="BE7" s="849" t="s">
        <v>6796</v>
      </c>
      <c r="BF7" s="808"/>
      <c r="BG7" s="894" t="s">
        <v>6797</v>
      </c>
      <c r="BH7" s="895" t="s">
        <v>3525</v>
      </c>
      <c r="BI7" s="851" t="s">
        <v>611</v>
      </c>
      <c r="BJ7" s="852" t="s">
        <v>6798</v>
      </c>
      <c r="BK7" s="851" t="s">
        <v>6799</v>
      </c>
      <c r="BL7" s="851" t="s">
        <v>6800</v>
      </c>
      <c r="BM7" s="851" t="s">
        <v>6801</v>
      </c>
      <c r="BN7" s="793"/>
      <c r="BO7" s="858" t="s">
        <v>2468</v>
      </c>
      <c r="BP7" s="859" t="s">
        <v>5872</v>
      </c>
      <c r="BQ7" s="858" t="s">
        <v>3598</v>
      </c>
      <c r="BR7" s="858" t="s">
        <v>3957</v>
      </c>
      <c r="BS7" s="858" t="s">
        <v>816</v>
      </c>
      <c r="BT7" s="858" t="s">
        <v>1369</v>
      </c>
      <c r="BU7" s="881" t="s">
        <v>3957</v>
      </c>
      <c r="BV7" s="896" t="s">
        <v>6802</v>
      </c>
      <c r="BW7" s="858" t="s">
        <v>6803</v>
      </c>
      <c r="BX7" s="793"/>
      <c r="BY7" s="882" t="s">
        <v>6804</v>
      </c>
      <c r="BZ7" s="897" t="s">
        <v>6405</v>
      </c>
      <c r="CA7" s="897" t="s">
        <v>2349</v>
      </c>
      <c r="CB7" s="898" t="s">
        <v>3464</v>
      </c>
      <c r="CC7" s="899"/>
      <c r="CD7" s="900"/>
      <c r="CE7" s="882" t="s">
        <v>2822</v>
      </c>
      <c r="CF7" s="882" t="s">
        <v>6805</v>
      </c>
      <c r="CG7" s="882" t="s">
        <v>6806</v>
      </c>
      <c r="CH7" s="882" t="s">
        <v>2247</v>
      </c>
      <c r="CI7" s="882" t="s">
        <v>6807</v>
      </c>
      <c r="CJ7" s="897" t="s">
        <v>2737</v>
      </c>
      <c r="CK7" s="898"/>
    </row>
    <row r="8">
      <c r="A8" s="901" t="s">
        <v>1550</v>
      </c>
      <c r="B8" s="787" t="s">
        <v>6808</v>
      </c>
      <c r="C8" s="783" t="s">
        <v>649</v>
      </c>
      <c r="D8" s="784" t="s">
        <v>648</v>
      </c>
      <c r="E8" s="785" t="s">
        <v>332</v>
      </c>
      <c r="F8" s="786" t="s">
        <v>2939</v>
      </c>
      <c r="G8" s="787" t="s">
        <v>5897</v>
      </c>
      <c r="H8" s="832" t="s">
        <v>1294</v>
      </c>
      <c r="I8" s="902" t="s">
        <v>6809</v>
      </c>
      <c r="J8" s="830"/>
      <c r="K8" s="831" t="s">
        <v>6810</v>
      </c>
      <c r="L8" s="902" t="s">
        <v>6811</v>
      </c>
      <c r="M8" s="830"/>
      <c r="N8" s="867" t="s">
        <v>6812</v>
      </c>
      <c r="O8" s="830"/>
      <c r="P8" s="793"/>
      <c r="Q8" s="834" t="s">
        <v>4166</v>
      </c>
      <c r="R8" s="869" t="s">
        <v>3183</v>
      </c>
      <c r="S8" s="870" t="s">
        <v>5960</v>
      </c>
      <c r="T8" s="903" t="s">
        <v>5457</v>
      </c>
      <c r="U8" s="903" t="s">
        <v>6813</v>
      </c>
      <c r="V8" s="868" t="s">
        <v>6814</v>
      </c>
      <c r="W8" s="793"/>
      <c r="X8" s="871" t="s">
        <v>912</v>
      </c>
      <c r="Y8" s="871" t="s">
        <v>6815</v>
      </c>
      <c r="Z8" s="800" t="s">
        <v>6816</v>
      </c>
      <c r="AA8" s="888" t="s">
        <v>6817</v>
      </c>
      <c r="AB8" s="839" t="s">
        <v>4964</v>
      </c>
      <c r="AC8" s="839" t="s">
        <v>5153</v>
      </c>
      <c r="AD8" s="871" t="s">
        <v>4969</v>
      </c>
      <c r="AE8" s="839" t="s">
        <v>6818</v>
      </c>
      <c r="AF8" s="839"/>
      <c r="AG8" s="904"/>
      <c r="AH8" s="905" t="s">
        <v>6819</v>
      </c>
      <c r="AI8" s="793"/>
      <c r="AJ8" s="841"/>
      <c r="AK8" s="841" t="s">
        <v>6820</v>
      </c>
      <c r="AL8" s="841" t="s">
        <v>5607</v>
      </c>
      <c r="AM8" s="841" t="s">
        <v>561</v>
      </c>
      <c r="AN8" s="846" t="s">
        <v>6821</v>
      </c>
      <c r="AO8" s="842"/>
      <c r="AP8" s="846" t="s">
        <v>6822</v>
      </c>
      <c r="AQ8" s="906" t="s">
        <v>5093</v>
      </c>
      <c r="AR8" s="841" t="s">
        <v>6823</v>
      </c>
      <c r="AS8" s="875" t="s">
        <v>6824</v>
      </c>
      <c r="AT8" s="842"/>
      <c r="AU8" s="841" t="s">
        <v>6825</v>
      </c>
      <c r="AV8" s="842"/>
      <c r="AW8" s="841" t="s">
        <v>472</v>
      </c>
      <c r="AX8" s="846" t="s">
        <v>6826</v>
      </c>
      <c r="AY8" s="846" t="s">
        <v>6827</v>
      </c>
      <c r="AZ8" s="808"/>
      <c r="BA8" s="848" t="s">
        <v>6828</v>
      </c>
      <c r="BB8" s="849" t="s">
        <v>6829</v>
      </c>
      <c r="BC8" s="907" t="s">
        <v>3524</v>
      </c>
      <c r="BD8" s="877"/>
      <c r="BE8" s="878" t="s">
        <v>6830</v>
      </c>
      <c r="BF8" s="808"/>
      <c r="BG8" s="851" t="s">
        <v>3239</v>
      </c>
      <c r="BH8" s="851" t="s">
        <v>6831</v>
      </c>
      <c r="BI8" s="852" t="s">
        <v>771</v>
      </c>
      <c r="BJ8" s="854"/>
      <c r="BK8" s="851" t="s">
        <v>6832</v>
      </c>
      <c r="BL8" s="853" t="s">
        <v>6833</v>
      </c>
      <c r="BM8" s="908" t="s">
        <v>6834</v>
      </c>
      <c r="BN8" s="793"/>
      <c r="BO8" s="857" t="s">
        <v>6835</v>
      </c>
      <c r="BP8" s="909"/>
      <c r="BQ8" s="857" t="s">
        <v>6836</v>
      </c>
      <c r="BR8" s="910" t="s">
        <v>6837</v>
      </c>
      <c r="BS8" s="859" t="s">
        <v>6838</v>
      </c>
      <c r="BT8" s="857" t="s">
        <v>6839</v>
      </c>
      <c r="BU8" s="910" t="s">
        <v>6828</v>
      </c>
      <c r="BV8" s="858" t="s">
        <v>6840</v>
      </c>
      <c r="BW8" s="896" t="s">
        <v>6841</v>
      </c>
      <c r="BX8" s="793"/>
      <c r="BY8" s="861" t="s">
        <v>1689</v>
      </c>
      <c r="BZ8" s="861" t="s">
        <v>2686</v>
      </c>
      <c r="CA8" s="862"/>
      <c r="CB8" s="911" t="s">
        <v>2406</v>
      </c>
      <c r="CC8" s="861"/>
      <c r="CD8" s="861" t="s">
        <v>2956</v>
      </c>
      <c r="CE8" s="897" t="s">
        <v>6842</v>
      </c>
      <c r="CF8" s="898" t="s">
        <v>6843</v>
      </c>
      <c r="CG8" s="898" t="s">
        <v>6844</v>
      </c>
      <c r="CH8" s="912" t="s">
        <v>6845</v>
      </c>
      <c r="CI8" s="898" t="s">
        <v>3646</v>
      </c>
      <c r="CJ8" s="898" t="s">
        <v>5050</v>
      </c>
      <c r="CK8" s="883"/>
    </row>
    <row r="9">
      <c r="A9" s="864" t="s">
        <v>1413</v>
      </c>
      <c r="B9" s="787" t="s">
        <v>6846</v>
      </c>
      <c r="C9" s="783" t="s">
        <v>1258</v>
      </c>
      <c r="D9" s="784" t="s">
        <v>332</v>
      </c>
      <c r="E9" s="785" t="s">
        <v>438</v>
      </c>
      <c r="F9" s="786" t="s">
        <v>220</v>
      </c>
      <c r="G9" s="787" t="s">
        <v>4956</v>
      </c>
      <c r="H9" s="830"/>
      <c r="I9" s="832" t="s">
        <v>6847</v>
      </c>
      <c r="J9" s="866"/>
      <c r="K9" s="867" t="s">
        <v>6848</v>
      </c>
      <c r="L9" s="886" t="s">
        <v>3134</v>
      </c>
      <c r="M9" s="830"/>
      <c r="N9" s="830"/>
      <c r="O9" s="902" t="s">
        <v>6849</v>
      </c>
      <c r="P9" s="793"/>
      <c r="Q9" s="838" t="s">
        <v>6850</v>
      </c>
      <c r="R9" s="835"/>
      <c r="S9" s="835"/>
      <c r="T9" s="913" t="s">
        <v>5904</v>
      </c>
      <c r="U9" s="834"/>
      <c r="V9" s="903" t="s">
        <v>6851</v>
      </c>
      <c r="W9" s="793"/>
      <c r="X9" s="800" t="s">
        <v>591</v>
      </c>
      <c r="Y9" s="914" t="s">
        <v>6852</v>
      </c>
      <c r="Z9" s="871" t="s">
        <v>6853</v>
      </c>
      <c r="AA9" s="871" t="s">
        <v>5599</v>
      </c>
      <c r="AB9" s="800" t="s">
        <v>2353</v>
      </c>
      <c r="AC9" s="871" t="s">
        <v>6854</v>
      </c>
      <c r="AD9" s="915" t="s">
        <v>2420</v>
      </c>
      <c r="AE9" s="800" t="s">
        <v>1090</v>
      </c>
      <c r="AF9" s="872"/>
      <c r="AG9" s="840" t="s">
        <v>6855</v>
      </c>
      <c r="AH9" s="916" t="s">
        <v>6856</v>
      </c>
      <c r="AI9" s="803"/>
      <c r="AJ9" s="842"/>
      <c r="AK9" s="874" t="s">
        <v>6857</v>
      </c>
      <c r="AL9" s="875" t="s">
        <v>6053</v>
      </c>
      <c r="AM9" s="846" t="s">
        <v>661</v>
      </c>
      <c r="AN9" s="917"/>
      <c r="AO9" s="846" t="s">
        <v>5854</v>
      </c>
      <c r="AP9" s="874" t="s">
        <v>6858</v>
      </c>
      <c r="AQ9" s="918" t="s">
        <v>5916</v>
      </c>
      <c r="AR9" s="842"/>
      <c r="AS9" s="842"/>
      <c r="AT9" s="842"/>
      <c r="AU9" s="842"/>
      <c r="AV9" s="874" t="s">
        <v>6859</v>
      </c>
      <c r="AW9" s="874" t="s">
        <v>961</v>
      </c>
      <c r="AX9" s="906" t="s">
        <v>6860</v>
      </c>
      <c r="AY9" s="906" t="s">
        <v>6861</v>
      </c>
      <c r="AZ9" s="808"/>
      <c r="BA9" s="919"/>
      <c r="BB9" s="920" t="s">
        <v>6862</v>
      </c>
      <c r="BC9" s="849" t="s">
        <v>5231</v>
      </c>
      <c r="BD9" s="877"/>
      <c r="BE9" s="849" t="s">
        <v>6863</v>
      </c>
      <c r="BF9" s="808"/>
      <c r="BG9" s="851" t="s">
        <v>6864</v>
      </c>
      <c r="BH9" s="921" t="s">
        <v>4768</v>
      </c>
      <c r="BI9" s="854"/>
      <c r="BJ9" s="854"/>
      <c r="BK9" s="854"/>
      <c r="BL9" s="854"/>
      <c r="BM9" s="922" t="s">
        <v>6865</v>
      </c>
      <c r="BN9" s="803"/>
      <c r="BO9" s="858" t="s">
        <v>6866</v>
      </c>
      <c r="BP9" s="909"/>
      <c r="BQ9" s="856"/>
      <c r="BR9" s="881" t="s">
        <v>6867</v>
      </c>
      <c r="BS9" s="856"/>
      <c r="BT9" s="909" t="s">
        <v>296</v>
      </c>
      <c r="BU9" s="856"/>
      <c r="BV9" s="909" t="s">
        <v>6868</v>
      </c>
      <c r="BW9" s="858" t="s">
        <v>6869</v>
      </c>
      <c r="BX9" s="803"/>
      <c r="BY9" s="923"/>
      <c r="BZ9" s="882" t="s">
        <v>725</v>
      </c>
      <c r="CA9" s="862"/>
      <c r="CB9" s="883"/>
      <c r="CC9" s="862"/>
      <c r="CD9" s="898" t="s">
        <v>4343</v>
      </c>
      <c r="CE9" s="862"/>
      <c r="CF9" s="897" t="s">
        <v>6870</v>
      </c>
      <c r="CG9" s="911" t="s">
        <v>2643</v>
      </c>
      <c r="CH9" s="862"/>
      <c r="CI9" s="862"/>
      <c r="CJ9" s="883"/>
      <c r="CK9" s="883"/>
    </row>
    <row r="10">
      <c r="A10" s="924" t="s">
        <v>827</v>
      </c>
      <c r="B10" s="787" t="s">
        <v>6871</v>
      </c>
      <c r="C10" s="783" t="s">
        <v>648</v>
      </c>
      <c r="D10" s="784" t="s">
        <v>983</v>
      </c>
      <c r="E10" s="785" t="s">
        <v>332</v>
      </c>
      <c r="F10" s="786" t="s">
        <v>6253</v>
      </c>
      <c r="G10" s="787" t="s">
        <v>2996</v>
      </c>
      <c r="H10" s="830"/>
      <c r="I10" s="886" t="s">
        <v>6872</v>
      </c>
      <c r="J10" s="831" t="s">
        <v>6873</v>
      </c>
      <c r="K10" s="831"/>
      <c r="L10" s="867" t="s">
        <v>6874</v>
      </c>
      <c r="M10" s="830"/>
      <c r="N10" s="865" t="s">
        <v>6875</v>
      </c>
      <c r="O10" s="830"/>
      <c r="P10" s="793"/>
      <c r="Q10" s="869" t="s">
        <v>6876</v>
      </c>
      <c r="R10" s="925" t="s">
        <v>2124</v>
      </c>
      <c r="S10" s="835"/>
      <c r="T10" s="835"/>
      <c r="U10" s="869" t="s">
        <v>6877</v>
      </c>
      <c r="V10" s="836" t="s">
        <v>6878</v>
      </c>
      <c r="W10" s="793"/>
      <c r="X10" s="799" t="s">
        <v>6879</v>
      </c>
      <c r="Y10" s="839"/>
      <c r="Z10" s="839" t="s">
        <v>6880</v>
      </c>
      <c r="AA10" s="926" t="s">
        <v>6881</v>
      </c>
      <c r="AB10" s="839"/>
      <c r="AC10" s="839" t="s">
        <v>6882</v>
      </c>
      <c r="AD10" s="798" t="s">
        <v>1215</v>
      </c>
      <c r="AE10" s="904"/>
      <c r="AF10" s="904"/>
      <c r="AG10" s="839" t="s">
        <v>6883</v>
      </c>
      <c r="AH10" s="802"/>
      <c r="AI10" s="793"/>
      <c r="AJ10" s="842"/>
      <c r="AK10" s="842"/>
      <c r="AL10" s="842"/>
      <c r="AM10" s="876" t="s">
        <v>5749</v>
      </c>
      <c r="AN10" s="842"/>
      <c r="AO10" s="875" t="s">
        <v>2064</v>
      </c>
      <c r="AP10" s="876" t="s">
        <v>6884</v>
      </c>
      <c r="AQ10" s="843" t="s">
        <v>6885</v>
      </c>
      <c r="AR10" s="842"/>
      <c r="AS10" s="842"/>
      <c r="AT10" s="842"/>
      <c r="AU10" s="842"/>
      <c r="AV10" s="842"/>
      <c r="AW10" s="843" t="s">
        <v>6886</v>
      </c>
      <c r="AX10" s="842"/>
      <c r="AY10" s="842"/>
      <c r="AZ10" s="808"/>
      <c r="BA10" s="919"/>
      <c r="BB10" s="919"/>
      <c r="BC10" s="891" t="s">
        <v>6887</v>
      </c>
      <c r="BD10" s="877"/>
      <c r="BE10" s="878" t="s">
        <v>6888</v>
      </c>
      <c r="BF10" s="808"/>
      <c r="BG10" s="853" t="s">
        <v>6889</v>
      </c>
      <c r="BH10" s="927" t="s">
        <v>6890</v>
      </c>
      <c r="BI10" s="853" t="s">
        <v>325</v>
      </c>
      <c r="BJ10" s="854"/>
      <c r="BK10" s="854"/>
      <c r="BL10" s="854"/>
      <c r="BM10" s="852" t="s">
        <v>6891</v>
      </c>
      <c r="BN10" s="793"/>
      <c r="BO10" s="881" t="s">
        <v>6892</v>
      </c>
      <c r="BP10" s="909"/>
      <c r="BQ10" s="857" t="s">
        <v>6893</v>
      </c>
      <c r="BR10" s="856"/>
      <c r="BS10" s="856"/>
      <c r="BT10" s="896" t="s">
        <v>872</v>
      </c>
      <c r="BU10" s="856"/>
      <c r="BV10" s="857" t="s">
        <v>4062</v>
      </c>
      <c r="BW10" s="857" t="s">
        <v>6894</v>
      </c>
      <c r="BX10" s="793"/>
      <c r="BY10" s="861" t="s">
        <v>6895</v>
      </c>
      <c r="BZ10" s="912" t="s">
        <v>6896</v>
      </c>
      <c r="CA10" s="862"/>
      <c r="CB10" s="883"/>
      <c r="CC10" s="862"/>
      <c r="CD10" s="862"/>
      <c r="CE10" s="862"/>
      <c r="CF10" s="862"/>
      <c r="CG10" s="862"/>
      <c r="CH10" s="862"/>
      <c r="CI10" s="862"/>
      <c r="CJ10" s="883"/>
      <c r="CK10" s="883"/>
    </row>
    <row r="11">
      <c r="A11" s="829" t="s">
        <v>2375</v>
      </c>
      <c r="B11" s="787" t="s">
        <v>6897</v>
      </c>
      <c r="C11" s="783" t="s">
        <v>546</v>
      </c>
      <c r="D11" s="784" t="s">
        <v>332</v>
      </c>
      <c r="E11" s="785" t="s">
        <v>438</v>
      </c>
      <c r="F11" s="786" t="s">
        <v>1882</v>
      </c>
      <c r="G11" s="787" t="s">
        <v>1882</v>
      </c>
      <c r="H11" s="832" t="s">
        <v>1207</v>
      </c>
      <c r="I11" s="832" t="s">
        <v>6898</v>
      </c>
      <c r="J11" s="832" t="s">
        <v>3727</v>
      </c>
      <c r="K11" s="832" t="s">
        <v>2034</v>
      </c>
      <c r="L11" s="830"/>
      <c r="M11" s="830"/>
      <c r="N11" s="830"/>
      <c r="O11" s="886" t="s">
        <v>6899</v>
      </c>
      <c r="P11" s="793"/>
      <c r="Q11" s="838" t="s">
        <v>6900</v>
      </c>
      <c r="R11" s="835"/>
      <c r="S11" s="868" t="s">
        <v>6901</v>
      </c>
      <c r="T11" s="838" t="s">
        <v>5280</v>
      </c>
      <c r="U11" s="838" t="s">
        <v>3605</v>
      </c>
      <c r="V11" s="838" t="s">
        <v>6902</v>
      </c>
      <c r="W11" s="793"/>
      <c r="X11" s="800" t="s">
        <v>2780</v>
      </c>
      <c r="Y11" s="840" t="s">
        <v>6903</v>
      </c>
      <c r="Z11" s="800" t="s">
        <v>6904</v>
      </c>
      <c r="AA11" s="800" t="s">
        <v>6781</v>
      </c>
      <c r="AB11" s="800" t="s">
        <v>6417</v>
      </c>
      <c r="AC11" s="800" t="s">
        <v>6905</v>
      </c>
      <c r="AD11" s="800" t="s">
        <v>1057</v>
      </c>
      <c r="AE11" s="800" t="s">
        <v>6906</v>
      </c>
      <c r="AF11" s="872"/>
      <c r="AG11" s="800" t="s">
        <v>6907</v>
      </c>
      <c r="AH11" s="802"/>
      <c r="AI11" s="793"/>
      <c r="AJ11" s="928"/>
      <c r="AK11" s="876" t="s">
        <v>2094</v>
      </c>
      <c r="AL11" s="842"/>
      <c r="AM11" s="846" t="s">
        <v>4255</v>
      </c>
      <c r="AN11" s="842"/>
      <c r="AO11" s="842"/>
      <c r="AP11" s="846" t="s">
        <v>3526</v>
      </c>
      <c r="AQ11" s="842"/>
      <c r="AR11" s="876" t="s">
        <v>6908</v>
      </c>
      <c r="AS11" s="846" t="s">
        <v>6909</v>
      </c>
      <c r="AT11" s="842"/>
      <c r="AU11" s="875" t="s">
        <v>6910</v>
      </c>
      <c r="AV11" s="842"/>
      <c r="AW11" s="846" t="s">
        <v>5484</v>
      </c>
      <c r="AX11" s="846" t="s">
        <v>4819</v>
      </c>
      <c r="AY11" s="846" t="s">
        <v>6911</v>
      </c>
      <c r="AZ11" s="808"/>
      <c r="BA11" s="849" t="s">
        <v>6912</v>
      </c>
      <c r="BB11" s="849" t="s">
        <v>6913</v>
      </c>
      <c r="BC11" s="849" t="s">
        <v>5407</v>
      </c>
      <c r="BD11" s="877"/>
      <c r="BE11" s="849" t="s">
        <v>6914</v>
      </c>
      <c r="BF11" s="808"/>
      <c r="BG11" s="851" t="s">
        <v>6915</v>
      </c>
      <c r="BH11" s="851" t="s">
        <v>3336</v>
      </c>
      <c r="BI11" s="851" t="s">
        <v>2217</v>
      </c>
      <c r="BJ11" s="927" t="s">
        <v>6916</v>
      </c>
      <c r="BK11" s="851" t="s">
        <v>6917</v>
      </c>
      <c r="BL11" s="854"/>
      <c r="BM11" s="851" t="s">
        <v>6918</v>
      </c>
      <c r="BN11" s="793"/>
      <c r="BO11" s="856"/>
      <c r="BP11" s="909"/>
      <c r="BQ11" s="858" t="s">
        <v>2704</v>
      </c>
      <c r="BR11" s="858" t="s">
        <v>6919</v>
      </c>
      <c r="BS11" s="856"/>
      <c r="BT11" s="858" t="s">
        <v>1701</v>
      </c>
      <c r="BU11" s="856"/>
      <c r="BV11" s="858" t="s">
        <v>6920</v>
      </c>
      <c r="BW11" s="858" t="s">
        <v>6239</v>
      </c>
      <c r="BX11" s="793"/>
      <c r="BY11" s="882" t="s">
        <v>6759</v>
      </c>
      <c r="BZ11" s="882" t="s">
        <v>2784</v>
      </c>
      <c r="CA11" s="898" t="s">
        <v>6921</v>
      </c>
      <c r="CB11" s="883"/>
      <c r="CC11" s="862"/>
      <c r="CD11" s="898" t="s">
        <v>4343</v>
      </c>
      <c r="CE11" s="882" t="s">
        <v>6922</v>
      </c>
      <c r="CF11" s="882" t="s">
        <v>5409</v>
      </c>
      <c r="CG11" s="897" t="s">
        <v>6923</v>
      </c>
      <c r="CH11" s="862"/>
      <c r="CI11" s="897" t="s">
        <v>4814</v>
      </c>
      <c r="CJ11" s="883"/>
      <c r="CK11" s="883"/>
    </row>
    <row r="12">
      <c r="A12" s="864" t="s">
        <v>330</v>
      </c>
      <c r="B12" s="787" t="s">
        <v>6897</v>
      </c>
      <c r="C12" s="783" t="s">
        <v>332</v>
      </c>
      <c r="D12" s="784" t="s">
        <v>334</v>
      </c>
      <c r="E12" s="785" t="s">
        <v>3872</v>
      </c>
      <c r="F12" s="786" t="s">
        <v>3973</v>
      </c>
      <c r="G12" s="787" t="s">
        <v>1498</v>
      </c>
      <c r="H12" s="929" t="s">
        <v>2931</v>
      </c>
      <c r="I12" s="867" t="s">
        <v>6924</v>
      </c>
      <c r="J12" s="867" t="s">
        <v>6925</v>
      </c>
      <c r="K12" s="832" t="s">
        <v>715</v>
      </c>
      <c r="L12" s="930" t="s">
        <v>6926</v>
      </c>
      <c r="M12" s="830"/>
      <c r="N12" s="830"/>
      <c r="O12" s="902" t="s">
        <v>6927</v>
      </c>
      <c r="P12" s="793"/>
      <c r="Q12" s="838" t="s">
        <v>6928</v>
      </c>
      <c r="R12" s="835"/>
      <c r="S12" s="835"/>
      <c r="T12" s="868" t="s">
        <v>5419</v>
      </c>
      <c r="U12" s="834"/>
      <c r="V12" s="903" t="s">
        <v>6929</v>
      </c>
      <c r="W12" s="793"/>
      <c r="X12" s="904"/>
      <c r="Y12" s="871" t="s">
        <v>6930</v>
      </c>
      <c r="Z12" s="914" t="s">
        <v>6926</v>
      </c>
      <c r="AA12" s="914" t="s">
        <v>6931</v>
      </c>
      <c r="AB12" s="798" t="s">
        <v>3437</v>
      </c>
      <c r="AC12" s="871" t="s">
        <v>2903</v>
      </c>
      <c r="AD12" s="800" t="s">
        <v>2398</v>
      </c>
      <c r="AE12" s="799" t="s">
        <v>1249</v>
      </c>
      <c r="AF12" s="872"/>
      <c r="AG12" s="914" t="s">
        <v>6932</v>
      </c>
      <c r="AH12" s="802"/>
      <c r="AI12" s="793"/>
      <c r="AJ12" s="928"/>
      <c r="AK12" s="846" t="s">
        <v>6933</v>
      </c>
      <c r="AL12" s="842"/>
      <c r="AM12" s="931"/>
      <c r="AN12" s="931" t="s">
        <v>6934</v>
      </c>
      <c r="AO12" s="932" t="s">
        <v>4851</v>
      </c>
      <c r="AP12" s="933" t="s">
        <v>6935</v>
      </c>
      <c r="AQ12" s="933" t="s">
        <v>6936</v>
      </c>
      <c r="AR12" s="934"/>
      <c r="AS12" s="843" t="s">
        <v>6740</v>
      </c>
      <c r="AT12" s="931"/>
      <c r="AU12" s="917"/>
      <c r="AV12" s="843" t="s">
        <v>6937</v>
      </c>
      <c r="AW12" s="875" t="s">
        <v>6938</v>
      </c>
      <c r="AX12" s="906" t="s">
        <v>6939</v>
      </c>
      <c r="AY12" s="906" t="s">
        <v>6940</v>
      </c>
      <c r="AZ12" s="808"/>
      <c r="BA12" s="847"/>
      <c r="BB12" s="850" t="s">
        <v>6941</v>
      </c>
      <c r="BC12" s="849" t="s">
        <v>3759</v>
      </c>
      <c r="BD12" s="877"/>
      <c r="BE12" s="920" t="s">
        <v>6942</v>
      </c>
      <c r="BF12" s="808"/>
      <c r="BG12" s="935" t="s">
        <v>6943</v>
      </c>
      <c r="BH12" s="935" t="s">
        <v>5519</v>
      </c>
      <c r="BI12" s="852"/>
      <c r="BJ12" s="852"/>
      <c r="BK12" s="936" t="s">
        <v>6944</v>
      </c>
      <c r="BL12" s="854"/>
      <c r="BM12" s="936" t="s">
        <v>6945</v>
      </c>
      <c r="BN12" s="793"/>
      <c r="BO12" s="896" t="s">
        <v>6946</v>
      </c>
      <c r="BP12" s="909"/>
      <c r="BQ12" s="896" t="s">
        <v>697</v>
      </c>
      <c r="BR12" s="910" t="s">
        <v>6947</v>
      </c>
      <c r="BS12" s="856"/>
      <c r="BT12" s="858" t="s">
        <v>1932</v>
      </c>
      <c r="BU12" s="856"/>
      <c r="BV12" s="909" t="s">
        <v>6948</v>
      </c>
      <c r="BW12" s="937" t="s">
        <v>6949</v>
      </c>
      <c r="BX12" s="803"/>
      <c r="BY12" s="911" t="s">
        <v>4509</v>
      </c>
      <c r="BZ12" s="862"/>
      <c r="CA12" s="899"/>
      <c r="CB12" s="912" t="s">
        <v>2847</v>
      </c>
      <c r="CC12" s="923"/>
      <c r="CD12" s="911" t="s">
        <v>1171</v>
      </c>
      <c r="CE12" s="862"/>
      <c r="CF12" s="911" t="s">
        <v>6950</v>
      </c>
      <c r="CG12" s="862"/>
      <c r="CH12" s="898" t="s">
        <v>4859</v>
      </c>
      <c r="CI12" s="862"/>
      <c r="CJ12" s="883"/>
      <c r="CK12" s="883"/>
    </row>
    <row r="13">
      <c r="A13" s="938" t="s">
        <v>1632</v>
      </c>
      <c r="B13" s="787" t="s">
        <v>6951</v>
      </c>
      <c r="C13" s="783" t="s">
        <v>546</v>
      </c>
      <c r="D13" s="784" t="s">
        <v>546</v>
      </c>
      <c r="E13" s="785" t="s">
        <v>437</v>
      </c>
      <c r="F13" s="786" t="s">
        <v>1198</v>
      </c>
      <c r="G13" s="787" t="s">
        <v>5344</v>
      </c>
      <c r="H13" s="832" t="s">
        <v>2358</v>
      </c>
      <c r="I13" s="939" t="s">
        <v>6952</v>
      </c>
      <c r="J13" s="831" t="s">
        <v>1300</v>
      </c>
      <c r="K13" s="831" t="s">
        <v>6953</v>
      </c>
      <c r="L13" s="831" t="s">
        <v>2151</v>
      </c>
      <c r="M13" s="940"/>
      <c r="N13" s="831" t="s">
        <v>6954</v>
      </c>
      <c r="O13" s="831" t="s">
        <v>6955</v>
      </c>
      <c r="P13" s="793"/>
      <c r="Q13" s="834" t="s">
        <v>6956</v>
      </c>
      <c r="R13" s="834" t="s">
        <v>5614</v>
      </c>
      <c r="S13" s="834" t="s">
        <v>6957</v>
      </c>
      <c r="T13" s="834" t="s">
        <v>5831</v>
      </c>
      <c r="U13" s="834" t="s">
        <v>6958</v>
      </c>
      <c r="V13" s="834" t="s">
        <v>6959</v>
      </c>
      <c r="W13" s="793"/>
      <c r="X13" s="839" t="s">
        <v>3982</v>
      </c>
      <c r="Y13" s="839" t="s">
        <v>6960</v>
      </c>
      <c r="Z13" s="871" t="s">
        <v>6961</v>
      </c>
      <c r="AA13" s="941" t="s">
        <v>6962</v>
      </c>
      <c r="AB13" s="839" t="s">
        <v>676</v>
      </c>
      <c r="AC13" s="839" t="s">
        <v>651</v>
      </c>
      <c r="AD13" s="888" t="s">
        <v>1790</v>
      </c>
      <c r="AE13" s="942" t="s">
        <v>4939</v>
      </c>
      <c r="AF13" s="799" t="s">
        <v>102</v>
      </c>
      <c r="AG13" s="839" t="s">
        <v>6963</v>
      </c>
      <c r="AH13" s="943" t="s">
        <v>6964</v>
      </c>
      <c r="AI13" s="793"/>
      <c r="AJ13" s="890"/>
      <c r="AK13" s="844" t="s">
        <v>6965</v>
      </c>
      <c r="AL13" s="841"/>
      <c r="AM13" s="841" t="s">
        <v>3427</v>
      </c>
      <c r="AN13" s="846" t="s">
        <v>1732</v>
      </c>
      <c r="AO13" s="841" t="s">
        <v>4130</v>
      </c>
      <c r="AP13" s="844" t="s">
        <v>6966</v>
      </c>
      <c r="AQ13" s="841" t="s">
        <v>6967</v>
      </c>
      <c r="AR13" s="875" t="s">
        <v>6968</v>
      </c>
      <c r="AS13" s="841" t="s">
        <v>6969</v>
      </c>
      <c r="AT13" s="841"/>
      <c r="AU13" s="841"/>
      <c r="AV13" s="841"/>
      <c r="AW13" s="844" t="s">
        <v>305</v>
      </c>
      <c r="AX13" s="906" t="s">
        <v>6970</v>
      </c>
      <c r="AY13" s="841" t="s">
        <v>6971</v>
      </c>
      <c r="AZ13" s="808"/>
      <c r="BA13" s="878" t="s">
        <v>6972</v>
      </c>
      <c r="BB13" s="878" t="s">
        <v>6973</v>
      </c>
      <c r="BC13" s="878" t="s">
        <v>4221</v>
      </c>
      <c r="BD13" s="878" t="s">
        <v>5111</v>
      </c>
      <c r="BE13" s="849" t="s">
        <v>6974</v>
      </c>
      <c r="BF13" s="808"/>
      <c r="BG13" s="852" t="s">
        <v>6975</v>
      </c>
      <c r="BH13" s="852" t="s">
        <v>5197</v>
      </c>
      <c r="BI13" s="851" t="s">
        <v>1941</v>
      </c>
      <c r="BJ13" s="853" t="s">
        <v>6976</v>
      </c>
      <c r="BK13" s="908" t="s">
        <v>6977</v>
      </c>
      <c r="BL13" s="852"/>
      <c r="BM13" s="852" t="s">
        <v>6978</v>
      </c>
      <c r="BN13" s="793"/>
      <c r="BO13" s="858" t="s">
        <v>4722</v>
      </c>
      <c r="BP13" s="910"/>
      <c r="BQ13" s="944" t="s">
        <v>4774</v>
      </c>
      <c r="BR13" s="857" t="s">
        <v>6979</v>
      </c>
      <c r="BS13" s="857"/>
      <c r="BT13" s="945" t="s">
        <v>6980</v>
      </c>
      <c r="BU13" s="910" t="s">
        <v>4792</v>
      </c>
      <c r="BV13" s="857" t="s">
        <v>6981</v>
      </c>
      <c r="BW13" s="857" t="s">
        <v>6982</v>
      </c>
      <c r="BX13" s="793"/>
      <c r="BY13" s="861" t="s">
        <v>2524</v>
      </c>
      <c r="BZ13" s="861" t="s">
        <v>6983</v>
      </c>
      <c r="CA13" s="862"/>
      <c r="CB13" s="883"/>
      <c r="CC13" s="862"/>
      <c r="CD13" s="861" t="s">
        <v>6984</v>
      </c>
      <c r="CE13" s="861" t="s">
        <v>6985</v>
      </c>
      <c r="CF13" s="861" t="s">
        <v>6986</v>
      </c>
      <c r="CG13" s="861"/>
      <c r="CH13" s="897" t="s">
        <v>6987</v>
      </c>
      <c r="CI13" s="862"/>
      <c r="CJ13" s="883"/>
      <c r="CK13" s="883"/>
    </row>
    <row r="14">
      <c r="A14" s="946" t="s">
        <v>1058</v>
      </c>
      <c r="B14" s="787" t="s">
        <v>6266</v>
      </c>
      <c r="C14" s="783" t="s">
        <v>221</v>
      </c>
      <c r="D14" s="784" t="s">
        <v>334</v>
      </c>
      <c r="E14" s="785" t="s">
        <v>649</v>
      </c>
      <c r="F14" s="786" t="s">
        <v>3973</v>
      </c>
      <c r="G14" s="787" t="s">
        <v>6284</v>
      </c>
      <c r="H14" s="865" t="s">
        <v>4818</v>
      </c>
      <c r="I14" s="830"/>
      <c r="J14" s="886" t="s">
        <v>6988</v>
      </c>
      <c r="K14" s="886" t="s">
        <v>6386</v>
      </c>
      <c r="L14" s="830"/>
      <c r="M14" s="830"/>
      <c r="N14" s="830"/>
      <c r="O14" s="831" t="s">
        <v>6989</v>
      </c>
      <c r="P14" s="793"/>
      <c r="Q14" s="835"/>
      <c r="R14" s="836" t="s">
        <v>403</v>
      </c>
      <c r="S14" s="835"/>
      <c r="T14" s="925" t="s">
        <v>4868</v>
      </c>
      <c r="U14" s="925" t="s">
        <v>1185</v>
      </c>
      <c r="V14" s="835"/>
      <c r="W14" s="793"/>
      <c r="X14" s="839" t="s">
        <v>378</v>
      </c>
      <c r="Y14" s="904"/>
      <c r="Z14" s="840" t="s">
        <v>3302</v>
      </c>
      <c r="AA14" s="799" t="s">
        <v>6990</v>
      </c>
      <c r="AB14" s="839" t="s">
        <v>503</v>
      </c>
      <c r="AC14" s="873" t="s">
        <v>1120</v>
      </c>
      <c r="AD14" s="799" t="s">
        <v>1703</v>
      </c>
      <c r="AE14" s="871" t="s">
        <v>6991</v>
      </c>
      <c r="AF14" s="839"/>
      <c r="AG14" s="839" t="s">
        <v>6992</v>
      </c>
      <c r="AH14" s="802"/>
      <c r="AI14" s="793"/>
      <c r="AJ14" s="842"/>
      <c r="AK14" s="842"/>
      <c r="AL14" s="842"/>
      <c r="AM14" s="841" t="s">
        <v>5190</v>
      </c>
      <c r="AN14" s="843" t="s">
        <v>4080</v>
      </c>
      <c r="AO14" s="842"/>
      <c r="AP14" s="842"/>
      <c r="AQ14" s="842"/>
      <c r="AR14" s="843" t="s">
        <v>6993</v>
      </c>
      <c r="AS14" s="842"/>
      <c r="AT14" s="876" t="s">
        <v>6994</v>
      </c>
      <c r="AU14" s="842"/>
      <c r="AV14" s="842"/>
      <c r="AW14" s="876" t="s">
        <v>1039</v>
      </c>
      <c r="AX14" s="876" t="s">
        <v>6995</v>
      </c>
      <c r="AY14" s="876" t="s">
        <v>966</v>
      </c>
      <c r="AZ14" s="808"/>
      <c r="BA14" s="919"/>
      <c r="BB14" s="878"/>
      <c r="BC14" s="848" t="s">
        <v>4552</v>
      </c>
      <c r="BD14" s="847"/>
      <c r="BE14" s="878"/>
      <c r="BF14" s="808"/>
      <c r="BG14" s="854"/>
      <c r="BH14" s="854"/>
      <c r="BI14" s="927" t="s">
        <v>6996</v>
      </c>
      <c r="BJ14" s="854"/>
      <c r="BK14" s="854"/>
      <c r="BL14" s="854"/>
      <c r="BM14" s="854"/>
      <c r="BN14" s="793"/>
      <c r="BO14" s="857"/>
      <c r="BP14" s="909"/>
      <c r="BQ14" s="859" t="s">
        <v>5044</v>
      </c>
      <c r="BR14" s="856"/>
      <c r="BS14" s="856"/>
      <c r="BT14" s="859" t="s">
        <v>6997</v>
      </c>
      <c r="BU14" s="856"/>
      <c r="BV14" s="910" t="s">
        <v>6998</v>
      </c>
      <c r="BW14" s="858" t="s">
        <v>6999</v>
      </c>
      <c r="BX14" s="793"/>
      <c r="BY14" s="912" t="s">
        <v>3463</v>
      </c>
      <c r="BZ14" s="912" t="s">
        <v>6896</v>
      </c>
      <c r="CA14" s="862"/>
      <c r="CB14" s="883"/>
      <c r="CC14" s="862"/>
      <c r="CD14" s="862"/>
      <c r="CE14" s="862"/>
      <c r="CF14" s="862"/>
      <c r="CG14" s="912" t="s">
        <v>7000</v>
      </c>
      <c r="CH14" s="862"/>
      <c r="CI14" s="862"/>
      <c r="CJ14" s="883"/>
      <c r="CK14" s="883"/>
    </row>
    <row r="15">
      <c r="A15" s="829" t="s">
        <v>2028</v>
      </c>
      <c r="B15" s="787" t="s">
        <v>7001</v>
      </c>
      <c r="C15" s="783" t="s">
        <v>1258</v>
      </c>
      <c r="D15" s="784" t="s">
        <v>649</v>
      </c>
      <c r="E15" s="785" t="s">
        <v>649</v>
      </c>
      <c r="F15" s="786" t="s">
        <v>2874</v>
      </c>
      <c r="G15" s="787" t="s">
        <v>7002</v>
      </c>
      <c r="H15" s="830"/>
      <c r="I15" s="831" t="s">
        <v>7003</v>
      </c>
      <c r="J15" s="831"/>
      <c r="K15" s="832" t="s">
        <v>1784</v>
      </c>
      <c r="L15" s="831"/>
      <c r="M15" s="831"/>
      <c r="N15" s="830"/>
      <c r="O15" s="832" t="s">
        <v>7004</v>
      </c>
      <c r="P15" s="793"/>
      <c r="Q15" s="835"/>
      <c r="R15" s="837"/>
      <c r="S15" s="838" t="s">
        <v>7005</v>
      </c>
      <c r="T15" s="835"/>
      <c r="U15" s="835"/>
      <c r="V15" s="838" t="s">
        <v>7006</v>
      </c>
      <c r="W15" s="793"/>
      <c r="X15" s="798" t="s">
        <v>1372</v>
      </c>
      <c r="Y15" s="904"/>
      <c r="Z15" s="839" t="s">
        <v>7007</v>
      </c>
      <c r="AA15" s="800" t="s">
        <v>7008</v>
      </c>
      <c r="AB15" s="839" t="s">
        <v>3725</v>
      </c>
      <c r="AC15" s="800" t="s">
        <v>2051</v>
      </c>
      <c r="AD15" s="839" t="s">
        <v>4146</v>
      </c>
      <c r="AE15" s="839" t="s">
        <v>4661</v>
      </c>
      <c r="AF15" s="839"/>
      <c r="AG15" s="800" t="s">
        <v>7009</v>
      </c>
      <c r="AH15" s="802"/>
      <c r="AI15" s="793"/>
      <c r="AJ15" s="842"/>
      <c r="AK15" s="842"/>
      <c r="AL15" s="842"/>
      <c r="AM15" s="875" t="s">
        <v>1416</v>
      </c>
      <c r="AN15" s="842"/>
      <c r="AO15" s="842"/>
      <c r="AP15" s="841" t="s">
        <v>7010</v>
      </c>
      <c r="AQ15" s="842"/>
      <c r="AR15" s="842"/>
      <c r="AS15" s="842"/>
      <c r="AT15" s="842"/>
      <c r="AU15" s="842"/>
      <c r="AV15" s="842"/>
      <c r="AW15" s="842"/>
      <c r="AX15" s="846" t="s">
        <v>7011</v>
      </c>
      <c r="AY15" s="841" t="s">
        <v>7012</v>
      </c>
      <c r="AZ15" s="808"/>
      <c r="BA15" s="878"/>
      <c r="BB15" s="878"/>
      <c r="BC15" s="849" t="s">
        <v>3701</v>
      </c>
      <c r="BD15" s="847"/>
      <c r="BE15" s="878" t="s">
        <v>7013</v>
      </c>
      <c r="BF15" s="808"/>
      <c r="BG15" s="852" t="s">
        <v>6227</v>
      </c>
      <c r="BH15" s="853" t="s">
        <v>7014</v>
      </c>
      <c r="BI15" s="854"/>
      <c r="BJ15" s="854"/>
      <c r="BK15" s="935" t="s">
        <v>7015</v>
      </c>
      <c r="BL15" s="854"/>
      <c r="BM15" s="851" t="s">
        <v>7016</v>
      </c>
      <c r="BN15" s="793"/>
      <c r="BO15" s="857" t="s">
        <v>7017</v>
      </c>
      <c r="BP15" s="910"/>
      <c r="BQ15" s="857"/>
      <c r="BR15" s="858" t="s">
        <v>7018</v>
      </c>
      <c r="BS15" s="857"/>
      <c r="BT15" s="858" t="s">
        <v>1401</v>
      </c>
      <c r="BU15" s="856"/>
      <c r="BV15" s="881" t="s">
        <v>5751</v>
      </c>
      <c r="BW15" s="858" t="s">
        <v>5747</v>
      </c>
      <c r="BX15" s="793"/>
      <c r="BY15" s="897" t="s">
        <v>462</v>
      </c>
      <c r="BZ15" s="862"/>
      <c r="CA15" s="862"/>
      <c r="CB15" s="883"/>
      <c r="CC15" s="862"/>
      <c r="CD15" s="862"/>
      <c r="CE15" s="862"/>
      <c r="CF15" s="861" t="s">
        <v>4618</v>
      </c>
      <c r="CG15" s="862"/>
      <c r="CH15" s="862"/>
      <c r="CI15" s="862"/>
      <c r="CJ15" s="883"/>
      <c r="CK15" s="883"/>
    </row>
    <row r="16">
      <c r="A16" s="829" t="s">
        <v>7019</v>
      </c>
      <c r="B16" s="787" t="s">
        <v>7020</v>
      </c>
      <c r="C16" s="783" t="s">
        <v>1258</v>
      </c>
      <c r="D16" s="784" t="s">
        <v>437</v>
      </c>
      <c r="E16" s="785" t="s">
        <v>546</v>
      </c>
      <c r="F16" s="786" t="s">
        <v>5694</v>
      </c>
      <c r="G16" s="787" t="s">
        <v>4956</v>
      </c>
      <c r="H16" s="832" t="s">
        <v>2127</v>
      </c>
      <c r="I16" s="832" t="s">
        <v>7021</v>
      </c>
      <c r="J16" s="830"/>
      <c r="K16" s="830"/>
      <c r="L16" s="832" t="s">
        <v>3381</v>
      </c>
      <c r="M16" s="830"/>
      <c r="N16" s="832" t="s">
        <v>7022</v>
      </c>
      <c r="O16" s="830"/>
      <c r="P16" s="793"/>
      <c r="Q16" s="838" t="s">
        <v>246</v>
      </c>
      <c r="R16" s="835"/>
      <c r="S16" s="838" t="s">
        <v>6857</v>
      </c>
      <c r="T16" s="838" t="s">
        <v>3742</v>
      </c>
      <c r="U16" s="835"/>
      <c r="V16" s="838" t="s">
        <v>7023</v>
      </c>
      <c r="W16" s="793"/>
      <c r="X16" s="800" t="s">
        <v>273</v>
      </c>
      <c r="Y16" s="800" t="s">
        <v>7024</v>
      </c>
      <c r="Z16" s="800" t="s">
        <v>2371</v>
      </c>
      <c r="AA16" s="888" t="s">
        <v>7025</v>
      </c>
      <c r="AB16" s="800" t="s">
        <v>7026</v>
      </c>
      <c r="AC16" s="800" t="s">
        <v>1757</v>
      </c>
      <c r="AD16" s="800" t="s">
        <v>5604</v>
      </c>
      <c r="AE16" s="800" t="s">
        <v>7027</v>
      </c>
      <c r="AF16" s="801"/>
      <c r="AG16" s="839" t="s">
        <v>7028</v>
      </c>
      <c r="AH16" s="802"/>
      <c r="AI16" s="793"/>
      <c r="AJ16" s="890"/>
      <c r="AK16" s="846" t="s">
        <v>7029</v>
      </c>
      <c r="AL16" s="846" t="s">
        <v>7030</v>
      </c>
      <c r="AM16" s="846" t="s">
        <v>1212</v>
      </c>
      <c r="AN16" s="841"/>
      <c r="AO16" s="842"/>
      <c r="AP16" s="846" t="s">
        <v>4073</v>
      </c>
      <c r="AQ16" s="842"/>
      <c r="AR16" s="846" t="s">
        <v>7031</v>
      </c>
      <c r="AS16" s="876" t="s">
        <v>7032</v>
      </c>
      <c r="AT16" s="846" t="s">
        <v>7033</v>
      </c>
      <c r="AU16" s="876" t="s">
        <v>7034</v>
      </c>
      <c r="AV16" s="842"/>
      <c r="AW16" s="846" t="s">
        <v>369</v>
      </c>
      <c r="AX16" s="846" t="s">
        <v>7035</v>
      </c>
      <c r="AY16" s="846" t="s">
        <v>7036</v>
      </c>
      <c r="AZ16" s="808"/>
      <c r="BA16" s="919"/>
      <c r="BB16" s="849" t="s">
        <v>7037</v>
      </c>
      <c r="BC16" s="849" t="s">
        <v>7038</v>
      </c>
      <c r="BD16" s="847"/>
      <c r="BE16" s="849" t="s">
        <v>7039</v>
      </c>
      <c r="BF16" s="808"/>
      <c r="BG16" s="852" t="s">
        <v>4088</v>
      </c>
      <c r="BH16" s="852" t="s">
        <v>4617</v>
      </c>
      <c r="BI16" s="935" t="s">
        <v>1586</v>
      </c>
      <c r="BJ16" s="854"/>
      <c r="BK16" s="852" t="s">
        <v>4308</v>
      </c>
      <c r="BL16" s="854"/>
      <c r="BM16" s="852" t="s">
        <v>7040</v>
      </c>
      <c r="BN16" s="793"/>
      <c r="BO16" s="858" t="s">
        <v>3433</v>
      </c>
      <c r="BP16" s="909"/>
      <c r="BQ16" s="856"/>
      <c r="BR16" s="856"/>
      <c r="BS16" s="856"/>
      <c r="BT16" s="858" t="s">
        <v>847</v>
      </c>
      <c r="BU16" s="856"/>
      <c r="BV16" s="857" t="s">
        <v>7041</v>
      </c>
      <c r="BW16" s="857" t="s">
        <v>7042</v>
      </c>
      <c r="BX16" s="793"/>
      <c r="BY16" s="882" t="s">
        <v>1614</v>
      </c>
      <c r="BZ16" s="861"/>
      <c r="CA16" s="862"/>
      <c r="CB16" s="883"/>
      <c r="CC16" s="862"/>
      <c r="CD16" s="862"/>
      <c r="CE16" s="861" t="s">
        <v>7043</v>
      </c>
      <c r="CF16" s="862"/>
      <c r="CG16" s="862"/>
      <c r="CH16" s="862"/>
      <c r="CI16" s="862"/>
      <c r="CJ16" s="883"/>
      <c r="CK16" s="883"/>
    </row>
    <row r="17">
      <c r="A17" s="829" t="s">
        <v>7044</v>
      </c>
      <c r="B17" s="787" t="s">
        <v>7045</v>
      </c>
      <c r="C17" s="783" t="s">
        <v>1258</v>
      </c>
      <c r="D17" s="784" t="s">
        <v>1258</v>
      </c>
      <c r="E17" s="785" t="s">
        <v>1258</v>
      </c>
      <c r="F17" s="786" t="s">
        <v>3872</v>
      </c>
      <c r="G17" s="787" t="s">
        <v>5878</v>
      </c>
      <c r="H17" s="830"/>
      <c r="I17" s="830"/>
      <c r="J17" s="831" t="s">
        <v>7046</v>
      </c>
      <c r="K17" s="831" t="s">
        <v>7047</v>
      </c>
      <c r="L17" s="832" t="s">
        <v>7048</v>
      </c>
      <c r="M17" s="830"/>
      <c r="N17" s="902" t="s">
        <v>7049</v>
      </c>
      <c r="O17" s="831" t="s">
        <v>7050</v>
      </c>
      <c r="P17" s="793"/>
      <c r="Q17" s="903" t="s">
        <v>727</v>
      </c>
      <c r="R17" s="835"/>
      <c r="S17" s="835"/>
      <c r="T17" s="835"/>
      <c r="U17" s="834"/>
      <c r="V17" s="838" t="s">
        <v>7028</v>
      </c>
      <c r="W17" s="793"/>
      <c r="X17" s="904"/>
      <c r="Y17" s="800" t="s">
        <v>7051</v>
      </c>
      <c r="Z17" s="871" t="s">
        <v>2404</v>
      </c>
      <c r="AA17" s="947"/>
      <c r="AB17" s="904"/>
      <c r="AC17" s="871" t="s">
        <v>816</v>
      </c>
      <c r="AD17" s="871" t="s">
        <v>5871</v>
      </c>
      <c r="AE17" s="871" t="s">
        <v>7052</v>
      </c>
      <c r="AF17" s="839"/>
      <c r="AG17" s="871" t="s">
        <v>7053</v>
      </c>
      <c r="AH17" s="802"/>
      <c r="AI17" s="793"/>
      <c r="AJ17" s="841"/>
      <c r="AK17" s="906" t="s">
        <v>1470</v>
      </c>
      <c r="AL17" s="842"/>
      <c r="AM17" s="842"/>
      <c r="AN17" s="842"/>
      <c r="AO17" s="842"/>
      <c r="AP17" s="906" t="s">
        <v>7054</v>
      </c>
      <c r="AQ17" s="842"/>
      <c r="AR17" s="842"/>
      <c r="AS17" s="842"/>
      <c r="AT17" s="842"/>
      <c r="AU17" s="842"/>
      <c r="AV17" s="842"/>
      <c r="AW17" s="846" t="s">
        <v>6246</v>
      </c>
      <c r="AX17" s="841" t="s">
        <v>7055</v>
      </c>
      <c r="AY17" s="841" t="s">
        <v>6355</v>
      </c>
      <c r="AZ17" s="808"/>
      <c r="BA17" s="878" t="s">
        <v>7056</v>
      </c>
      <c r="BB17" s="948" t="s">
        <v>7057</v>
      </c>
      <c r="BC17" s="849" t="s">
        <v>510</v>
      </c>
      <c r="BD17" s="847"/>
      <c r="BE17" s="948" t="s">
        <v>7058</v>
      </c>
      <c r="BF17" s="808"/>
      <c r="BG17" s="852" t="s">
        <v>2856</v>
      </c>
      <c r="BH17" s="936" t="s">
        <v>7059</v>
      </c>
      <c r="BI17" s="852"/>
      <c r="BJ17" s="852"/>
      <c r="BK17" s="854"/>
      <c r="BL17" s="854"/>
      <c r="BM17" s="851" t="s">
        <v>7060</v>
      </c>
      <c r="BN17" s="793"/>
      <c r="BO17" s="910" t="s">
        <v>7061</v>
      </c>
      <c r="BP17" s="909"/>
      <c r="BQ17" s="856"/>
      <c r="BR17" s="857" t="s">
        <v>7062</v>
      </c>
      <c r="BS17" s="856"/>
      <c r="BT17" s="910" t="s">
        <v>2327</v>
      </c>
      <c r="BU17" s="856"/>
      <c r="BV17" s="857" t="s">
        <v>252</v>
      </c>
      <c r="BW17" s="857" t="s">
        <v>1573</v>
      </c>
      <c r="BX17" s="793"/>
      <c r="BY17" s="861" t="s">
        <v>4213</v>
      </c>
      <c r="BZ17" s="882" t="s">
        <v>6094</v>
      </c>
      <c r="CA17" s="862"/>
      <c r="CB17" s="883"/>
      <c r="CC17" s="862"/>
      <c r="CD17" s="862"/>
      <c r="CE17" s="861" t="s">
        <v>5958</v>
      </c>
      <c r="CF17" s="911" t="s">
        <v>7063</v>
      </c>
      <c r="CG17" s="862"/>
      <c r="CH17" s="862"/>
      <c r="CI17" s="861" t="s">
        <v>7064</v>
      </c>
      <c r="CJ17" s="883"/>
      <c r="CK17" s="883"/>
    </row>
    <row r="18">
      <c r="A18" s="829" t="s">
        <v>7065</v>
      </c>
      <c r="B18" s="787" t="s">
        <v>7066</v>
      </c>
      <c r="C18" s="783" t="s">
        <v>1258</v>
      </c>
      <c r="D18" s="784" t="s">
        <v>1258</v>
      </c>
      <c r="E18" s="785" t="s">
        <v>1258</v>
      </c>
      <c r="F18" s="786" t="s">
        <v>1258</v>
      </c>
      <c r="G18" s="787" t="s">
        <v>3348</v>
      </c>
      <c r="H18" s="830"/>
      <c r="I18" s="902" t="s">
        <v>2744</v>
      </c>
      <c r="J18" s="831"/>
      <c r="K18" s="830"/>
      <c r="L18" s="830"/>
      <c r="M18" s="830"/>
      <c r="N18" s="830"/>
      <c r="O18" s="831" t="s">
        <v>7067</v>
      </c>
      <c r="P18" s="793"/>
      <c r="Q18" s="903" t="s">
        <v>1484</v>
      </c>
      <c r="R18" s="835"/>
      <c r="S18" s="835"/>
      <c r="T18" s="903" t="s">
        <v>1115</v>
      </c>
      <c r="U18" s="834"/>
      <c r="V18" s="834" t="s">
        <v>7068</v>
      </c>
      <c r="W18" s="793"/>
      <c r="X18" s="914" t="s">
        <v>7069</v>
      </c>
      <c r="Y18" s="839" t="s">
        <v>7070</v>
      </c>
      <c r="Z18" s="914" t="s">
        <v>6926</v>
      </c>
      <c r="AA18" s="871" t="s">
        <v>7071</v>
      </c>
      <c r="AB18" s="871" t="s">
        <v>1739</v>
      </c>
      <c r="AC18" s="871" t="s">
        <v>3646</v>
      </c>
      <c r="AD18" s="914" t="s">
        <v>202</v>
      </c>
      <c r="AE18" s="871" t="s">
        <v>4629</v>
      </c>
      <c r="AF18" s="839"/>
      <c r="AG18" s="871" t="s">
        <v>7072</v>
      </c>
      <c r="AH18" s="802"/>
      <c r="AI18" s="793"/>
      <c r="AJ18" s="842"/>
      <c r="AK18" s="874" t="s">
        <v>5678</v>
      </c>
      <c r="AL18" s="906" t="s">
        <v>7073</v>
      </c>
      <c r="AM18" s="874" t="s">
        <v>7074</v>
      </c>
      <c r="AN18" s="842"/>
      <c r="AO18" s="906" t="s">
        <v>973</v>
      </c>
      <c r="AP18" s="874" t="s">
        <v>1564</v>
      </c>
      <c r="AQ18" s="906" t="s">
        <v>7075</v>
      </c>
      <c r="AR18" s="906" t="s">
        <v>7076</v>
      </c>
      <c r="AS18" s="842"/>
      <c r="AT18" s="842"/>
      <c r="AU18" s="842"/>
      <c r="AV18" s="842"/>
      <c r="AW18" s="874" t="s">
        <v>1251</v>
      </c>
      <c r="AX18" s="906" t="s">
        <v>7077</v>
      </c>
      <c r="AY18" s="906" t="s">
        <v>7078</v>
      </c>
      <c r="AZ18" s="808"/>
      <c r="BA18" s="878"/>
      <c r="BB18" s="948" t="s">
        <v>7079</v>
      </c>
      <c r="BC18" s="919"/>
      <c r="BD18" s="919"/>
      <c r="BE18" s="948" t="s">
        <v>7080</v>
      </c>
      <c r="BF18" s="808"/>
      <c r="BG18" s="936" t="s">
        <v>7081</v>
      </c>
      <c r="BH18" s="936" t="s">
        <v>2134</v>
      </c>
      <c r="BI18" s="854"/>
      <c r="BJ18" s="854"/>
      <c r="BK18" s="854"/>
      <c r="BL18" s="854"/>
      <c r="BM18" s="852" t="s">
        <v>7082</v>
      </c>
      <c r="BN18" s="793"/>
      <c r="BO18" s="910" t="s">
        <v>2036</v>
      </c>
      <c r="BP18" s="909"/>
      <c r="BQ18" s="856"/>
      <c r="BR18" s="910" t="s">
        <v>7083</v>
      </c>
      <c r="BS18" s="856"/>
      <c r="BT18" s="910" t="s">
        <v>3092</v>
      </c>
      <c r="BU18" s="856"/>
      <c r="BV18" s="910" t="s">
        <v>7084</v>
      </c>
      <c r="BW18" s="910" t="s">
        <v>7085</v>
      </c>
      <c r="BX18" s="793"/>
      <c r="BY18" s="911" t="s">
        <v>3565</v>
      </c>
      <c r="BZ18" s="862"/>
      <c r="CA18" s="862"/>
      <c r="CB18" s="883"/>
      <c r="CC18" s="862"/>
      <c r="CD18" s="862"/>
      <c r="CE18" s="862"/>
      <c r="CF18" s="862"/>
      <c r="CG18" s="862"/>
      <c r="CH18" s="862"/>
      <c r="CI18" s="862"/>
      <c r="CJ18" s="883"/>
      <c r="CK18" s="883"/>
    </row>
    <row r="19">
      <c r="A19" s="829" t="s">
        <v>1810</v>
      </c>
      <c r="B19" s="787" t="s">
        <v>7086</v>
      </c>
      <c r="C19" s="783" t="s">
        <v>1258</v>
      </c>
      <c r="D19" s="784" t="s">
        <v>1258</v>
      </c>
      <c r="E19" s="785" t="s">
        <v>1258</v>
      </c>
      <c r="F19" s="786" t="s">
        <v>1258</v>
      </c>
      <c r="G19" s="787" t="s">
        <v>5878</v>
      </c>
      <c r="H19" s="830"/>
      <c r="I19" s="831" t="s">
        <v>2700</v>
      </c>
      <c r="J19" s="831" t="s">
        <v>2100</v>
      </c>
      <c r="K19" s="831" t="s">
        <v>7087</v>
      </c>
      <c r="L19" s="902" t="s">
        <v>7088</v>
      </c>
      <c r="M19" s="830"/>
      <c r="N19" s="902" t="s">
        <v>7089</v>
      </c>
      <c r="O19" s="831" t="s">
        <v>7090</v>
      </c>
      <c r="P19" s="793"/>
      <c r="Q19" s="903" t="s">
        <v>2556</v>
      </c>
      <c r="R19" s="835"/>
      <c r="S19" s="835"/>
      <c r="T19" s="903" t="s">
        <v>5043</v>
      </c>
      <c r="U19" s="834"/>
      <c r="V19" s="903" t="s">
        <v>7091</v>
      </c>
      <c r="W19" s="793"/>
      <c r="X19" s="871" t="s">
        <v>4123</v>
      </c>
      <c r="Y19" s="871" t="s">
        <v>7092</v>
      </c>
      <c r="Z19" s="871" t="s">
        <v>7093</v>
      </c>
      <c r="AA19" s="871" t="s">
        <v>3039</v>
      </c>
      <c r="AB19" s="871" t="s">
        <v>4735</v>
      </c>
      <c r="AC19" s="839" t="s">
        <v>7094</v>
      </c>
      <c r="AD19" s="871" t="s">
        <v>4616</v>
      </c>
      <c r="AE19" s="871" t="s">
        <v>4925</v>
      </c>
      <c r="AF19" s="839"/>
      <c r="AG19" s="839" t="s">
        <v>7095</v>
      </c>
      <c r="AH19" s="949" t="s">
        <v>7096</v>
      </c>
      <c r="AI19" s="793"/>
      <c r="AJ19" s="842"/>
      <c r="AK19" s="842"/>
      <c r="AL19" s="842"/>
      <c r="AM19" s="841" t="s">
        <v>171</v>
      </c>
      <c r="AN19" s="842"/>
      <c r="AO19" s="906" t="s">
        <v>4398</v>
      </c>
      <c r="AP19" s="841" t="s">
        <v>3310</v>
      </c>
      <c r="AQ19" s="906" t="s">
        <v>7097</v>
      </c>
      <c r="AR19" s="842"/>
      <c r="AS19" s="842"/>
      <c r="AT19" s="842"/>
      <c r="AU19" s="842"/>
      <c r="AV19" s="842"/>
      <c r="AW19" s="906" t="s">
        <v>1006</v>
      </c>
      <c r="AX19" s="906" t="s">
        <v>4915</v>
      </c>
      <c r="AY19" s="842"/>
      <c r="AZ19" s="808"/>
      <c r="BA19" s="919"/>
      <c r="BB19" s="919"/>
      <c r="BC19" s="948" t="s">
        <v>7098</v>
      </c>
      <c r="BD19" s="878"/>
      <c r="BE19" s="878" t="s">
        <v>7099</v>
      </c>
      <c r="BF19" s="808"/>
      <c r="BG19" s="936" t="s">
        <v>1204</v>
      </c>
      <c r="BH19" s="936" t="s">
        <v>2134</v>
      </c>
      <c r="BI19" s="854"/>
      <c r="BJ19" s="854"/>
      <c r="BK19" s="852" t="s">
        <v>7100</v>
      </c>
      <c r="BL19" s="854"/>
      <c r="BM19" s="936" t="s">
        <v>7101</v>
      </c>
      <c r="BN19" s="793"/>
      <c r="BO19" s="910" t="s">
        <v>7102</v>
      </c>
      <c r="BP19" s="909"/>
      <c r="BQ19" s="856"/>
      <c r="BR19" s="856"/>
      <c r="BS19" s="856"/>
      <c r="BT19" s="910" t="s">
        <v>2756</v>
      </c>
      <c r="BU19" s="856"/>
      <c r="BV19" s="856"/>
      <c r="BW19" s="909" t="s">
        <v>7103</v>
      </c>
      <c r="BX19" s="793"/>
      <c r="BY19" s="861" t="s">
        <v>3004</v>
      </c>
      <c r="BZ19" s="862"/>
      <c r="CA19" s="862"/>
      <c r="CB19" s="883"/>
      <c r="CC19" s="862"/>
      <c r="CD19" s="862"/>
      <c r="CE19" s="862"/>
      <c r="CF19" s="862"/>
      <c r="CG19" s="862"/>
      <c r="CH19" s="862"/>
      <c r="CI19" s="862"/>
      <c r="CJ19" s="883"/>
      <c r="CK19" s="883"/>
    </row>
    <row r="20">
      <c r="A20" s="829" t="s">
        <v>3572</v>
      </c>
      <c r="B20" s="787" t="s">
        <v>7104</v>
      </c>
      <c r="C20" s="783" t="s">
        <v>1258</v>
      </c>
      <c r="D20" s="784" t="s">
        <v>546</v>
      </c>
      <c r="E20" s="785" t="s">
        <v>649</v>
      </c>
      <c r="F20" s="786" t="s">
        <v>983</v>
      </c>
      <c r="G20" s="787" t="s">
        <v>2547</v>
      </c>
      <c r="H20" s="929" t="s">
        <v>266</v>
      </c>
      <c r="I20" s="830"/>
      <c r="J20" s="830"/>
      <c r="K20" s="830"/>
      <c r="L20" s="832" t="s">
        <v>1161</v>
      </c>
      <c r="M20" s="830"/>
      <c r="N20" s="832" t="s">
        <v>7105</v>
      </c>
      <c r="O20" s="830"/>
      <c r="P20" s="793"/>
      <c r="Q20" s="950" t="s">
        <v>7106</v>
      </c>
      <c r="R20" s="835"/>
      <c r="S20" s="834" t="s">
        <v>6047</v>
      </c>
      <c r="T20" s="950" t="s">
        <v>5457</v>
      </c>
      <c r="U20" s="951" t="s">
        <v>7107</v>
      </c>
      <c r="V20" s="834" t="s">
        <v>7108</v>
      </c>
      <c r="W20" s="793"/>
      <c r="X20" s="800" t="s">
        <v>2687</v>
      </c>
      <c r="Y20" s="839" t="s">
        <v>3585</v>
      </c>
      <c r="Z20" s="839" t="s">
        <v>6926</v>
      </c>
      <c r="AA20" s="888" t="s">
        <v>7109</v>
      </c>
      <c r="AB20" s="839" t="s">
        <v>2393</v>
      </c>
      <c r="AC20" s="839" t="s">
        <v>3947</v>
      </c>
      <c r="AD20" s="839" t="s">
        <v>3083</v>
      </c>
      <c r="AE20" s="952" t="s">
        <v>6707</v>
      </c>
      <c r="AF20" s="798" t="s">
        <v>1091</v>
      </c>
      <c r="AG20" s="839" t="s">
        <v>7110</v>
      </c>
      <c r="AH20" s="953" t="s">
        <v>3587</v>
      </c>
      <c r="AI20" s="793"/>
      <c r="AJ20" s="841"/>
      <c r="AK20" s="841" t="s">
        <v>7111</v>
      </c>
      <c r="AL20" s="841" t="s">
        <v>7112</v>
      </c>
      <c r="AM20" s="841" t="s">
        <v>7113</v>
      </c>
      <c r="AN20" s="841"/>
      <c r="AO20" s="842"/>
      <c r="AP20" s="844" t="s">
        <v>1783</v>
      </c>
      <c r="AQ20" s="842"/>
      <c r="AR20" s="841" t="s">
        <v>7114</v>
      </c>
      <c r="AS20" s="841" t="s">
        <v>7115</v>
      </c>
      <c r="AT20" s="841" t="s">
        <v>7116</v>
      </c>
      <c r="AU20" s="841" t="s">
        <v>7117</v>
      </c>
      <c r="AV20" s="842"/>
      <c r="AW20" s="844" t="s">
        <v>414</v>
      </c>
      <c r="AX20" s="846" t="s">
        <v>7118</v>
      </c>
      <c r="AY20" s="841" t="s">
        <v>7119</v>
      </c>
      <c r="AZ20" s="808"/>
      <c r="BA20" s="878" t="s">
        <v>7120</v>
      </c>
      <c r="BB20" s="878" t="s">
        <v>7121</v>
      </c>
      <c r="BC20" s="878" t="s">
        <v>5205</v>
      </c>
      <c r="BD20" s="878" t="s">
        <v>7122</v>
      </c>
      <c r="BE20" s="878" t="s">
        <v>7123</v>
      </c>
      <c r="BF20" s="808"/>
      <c r="BG20" s="852" t="s">
        <v>7124</v>
      </c>
      <c r="BH20" s="852" t="s">
        <v>2079</v>
      </c>
      <c r="BI20" s="852" t="s">
        <v>1826</v>
      </c>
      <c r="BJ20" s="854"/>
      <c r="BK20" s="852" t="s">
        <v>1473</v>
      </c>
      <c r="BL20" s="852" t="s">
        <v>7125</v>
      </c>
      <c r="BM20" s="852" t="s">
        <v>7126</v>
      </c>
      <c r="BN20" s="793"/>
      <c r="BO20" s="910" t="s">
        <v>4903</v>
      </c>
      <c r="BP20" s="909"/>
      <c r="BQ20" s="857" t="s">
        <v>2604</v>
      </c>
      <c r="BR20" s="857" t="s">
        <v>3794</v>
      </c>
      <c r="BS20" s="896" t="s">
        <v>7127</v>
      </c>
      <c r="BT20" s="910" t="s">
        <v>2319</v>
      </c>
      <c r="BU20" s="896" t="s">
        <v>7128</v>
      </c>
      <c r="BV20" s="857" t="s">
        <v>7129</v>
      </c>
      <c r="BW20" s="857" t="s">
        <v>7130</v>
      </c>
      <c r="BX20" s="793"/>
      <c r="BY20" s="862"/>
      <c r="BZ20" s="861" t="s">
        <v>3312</v>
      </c>
      <c r="CA20" s="862"/>
      <c r="CB20" s="883"/>
      <c r="CC20" s="862"/>
      <c r="CD20" s="861" t="s">
        <v>7131</v>
      </c>
      <c r="CE20" s="861" t="s">
        <v>7132</v>
      </c>
      <c r="CF20" s="861" t="s">
        <v>7133</v>
      </c>
      <c r="CG20" s="862"/>
      <c r="CH20" s="862"/>
      <c r="CI20" s="861" t="s">
        <v>7134</v>
      </c>
      <c r="CJ20" s="883"/>
      <c r="CK20" s="883"/>
    </row>
    <row r="21">
      <c r="A21" s="829" t="s">
        <v>7135</v>
      </c>
      <c r="B21" s="787" t="s">
        <v>7136</v>
      </c>
      <c r="C21" s="783" t="s">
        <v>1258</v>
      </c>
      <c r="D21" s="784" t="s">
        <v>1258</v>
      </c>
      <c r="E21" s="785" t="s">
        <v>546</v>
      </c>
      <c r="F21" s="786" t="s">
        <v>546</v>
      </c>
      <c r="G21" s="787" t="s">
        <v>7002</v>
      </c>
      <c r="H21" s="830"/>
      <c r="I21" s="830"/>
      <c r="J21" s="831" t="s">
        <v>7137</v>
      </c>
      <c r="K21" s="831" t="s">
        <v>7138</v>
      </c>
      <c r="L21" s="830"/>
      <c r="M21" s="830"/>
      <c r="N21" s="830"/>
      <c r="O21" s="902" t="s">
        <v>7139</v>
      </c>
      <c r="P21" s="793"/>
      <c r="Q21" s="834" t="s">
        <v>7140</v>
      </c>
      <c r="R21" s="835"/>
      <c r="S21" s="834" t="s">
        <v>5960</v>
      </c>
      <c r="T21" s="834" t="s">
        <v>5173</v>
      </c>
      <c r="U21" s="834" t="s">
        <v>7141</v>
      </c>
      <c r="V21" s="903" t="s">
        <v>7142</v>
      </c>
      <c r="W21" s="793"/>
      <c r="X21" s="904"/>
      <c r="Y21" s="904"/>
      <c r="Z21" s="839" t="s">
        <v>7143</v>
      </c>
      <c r="AA21" s="947"/>
      <c r="AB21" s="839" t="s">
        <v>2273</v>
      </c>
      <c r="AC21" s="871" t="s">
        <v>7144</v>
      </c>
      <c r="AD21" s="904"/>
      <c r="AE21" s="904"/>
      <c r="AF21" s="904"/>
      <c r="AG21" s="871" t="s">
        <v>7145</v>
      </c>
      <c r="AH21" s="802"/>
      <c r="AI21" s="793"/>
      <c r="AJ21" s="842"/>
      <c r="AK21" s="842"/>
      <c r="AL21" s="842"/>
      <c r="AM21" s="841" t="s">
        <v>1311</v>
      </c>
      <c r="AN21" s="841"/>
      <c r="AO21" s="842"/>
      <c r="AP21" s="842"/>
      <c r="AQ21" s="842"/>
      <c r="AR21" s="842"/>
      <c r="AS21" s="842"/>
      <c r="AT21" s="842"/>
      <c r="AU21" s="842"/>
      <c r="AV21" s="842"/>
      <c r="AW21" s="841" t="s">
        <v>3980</v>
      </c>
      <c r="AX21" s="906" t="s">
        <v>7146</v>
      </c>
      <c r="AY21" s="842"/>
      <c r="AZ21" s="808"/>
      <c r="BA21" s="919"/>
      <c r="BB21" s="878" t="s">
        <v>7147</v>
      </c>
      <c r="BC21" s="878" t="s">
        <v>3739</v>
      </c>
      <c r="BD21" s="878"/>
      <c r="BE21" s="948" t="s">
        <v>7148</v>
      </c>
      <c r="BF21" s="808"/>
      <c r="BG21" s="852" t="s">
        <v>715</v>
      </c>
      <c r="BH21" s="936" t="s">
        <v>4311</v>
      </c>
      <c r="BI21" s="852" t="s">
        <v>1672</v>
      </c>
      <c r="BJ21" s="852" t="s">
        <v>7149</v>
      </c>
      <c r="BK21" s="852" t="s">
        <v>7150</v>
      </c>
      <c r="BL21" s="854"/>
      <c r="BM21" s="852" t="s">
        <v>7151</v>
      </c>
      <c r="BN21" s="793"/>
      <c r="BO21" s="857" t="s">
        <v>4766</v>
      </c>
      <c r="BP21" s="909"/>
      <c r="BQ21" s="856"/>
      <c r="BR21" s="896" t="s">
        <v>7152</v>
      </c>
      <c r="BS21" s="856"/>
      <c r="BT21" s="857" t="s">
        <v>2369</v>
      </c>
      <c r="BU21" s="856"/>
      <c r="BV21" s="857" t="s">
        <v>7153</v>
      </c>
      <c r="BW21" s="857" t="s">
        <v>1918</v>
      </c>
      <c r="BX21" s="793"/>
      <c r="BY21" s="861" t="s">
        <v>4594</v>
      </c>
      <c r="BZ21" s="899"/>
      <c r="CA21" s="862"/>
      <c r="CB21" s="883"/>
      <c r="CC21" s="862"/>
      <c r="CD21" s="862"/>
      <c r="CE21" s="862"/>
      <c r="CF21" s="862"/>
      <c r="CG21" s="862"/>
      <c r="CH21" s="862"/>
      <c r="CI21" s="862"/>
      <c r="CJ21" s="883"/>
      <c r="CK21" s="883"/>
    </row>
    <row r="22">
      <c r="A22" s="954" t="s">
        <v>3442</v>
      </c>
      <c r="B22" s="787" t="s">
        <v>7154</v>
      </c>
      <c r="C22" s="783" t="s">
        <v>1258</v>
      </c>
      <c r="D22" s="784" t="s">
        <v>546</v>
      </c>
      <c r="E22" s="785" t="s">
        <v>1258</v>
      </c>
      <c r="F22" s="786" t="s">
        <v>332</v>
      </c>
      <c r="G22" s="787" t="s">
        <v>4116</v>
      </c>
      <c r="H22" s="830"/>
      <c r="I22" s="830"/>
      <c r="J22" s="830"/>
      <c r="K22" s="830"/>
      <c r="L22" s="831" t="s">
        <v>6522</v>
      </c>
      <c r="M22" s="830"/>
      <c r="N22" s="831" t="s">
        <v>7155</v>
      </c>
      <c r="O22" s="830"/>
      <c r="P22" s="793"/>
      <c r="Q22" s="835"/>
      <c r="R22" s="835"/>
      <c r="S22" s="835"/>
      <c r="T22" s="835"/>
      <c r="U22" s="834" t="s">
        <v>3128</v>
      </c>
      <c r="V22" s="834" t="s">
        <v>7156</v>
      </c>
      <c r="W22" s="793"/>
      <c r="X22" s="839" t="s">
        <v>384</v>
      </c>
      <c r="Y22" s="839" t="s">
        <v>7157</v>
      </c>
      <c r="Z22" s="839" t="s">
        <v>7158</v>
      </c>
      <c r="AA22" s="955" t="s">
        <v>2927</v>
      </c>
      <c r="AB22" s="839" t="s">
        <v>660</v>
      </c>
      <c r="AC22" s="839" t="s">
        <v>1815</v>
      </c>
      <c r="AD22" s="839" t="s">
        <v>7159</v>
      </c>
      <c r="AE22" s="839" t="s">
        <v>2562</v>
      </c>
      <c r="AF22" s="839"/>
      <c r="AG22" s="839" t="s">
        <v>7160</v>
      </c>
      <c r="AH22" s="956" t="s">
        <v>7161</v>
      </c>
      <c r="AI22" s="793"/>
      <c r="AJ22" s="841"/>
      <c r="AK22" s="841" t="s">
        <v>5828</v>
      </c>
      <c r="AL22" s="842"/>
      <c r="AM22" s="841" t="s">
        <v>5190</v>
      </c>
      <c r="AN22" s="842"/>
      <c r="AO22" s="842"/>
      <c r="AP22" s="841" t="s">
        <v>2063</v>
      </c>
      <c r="AQ22" s="842"/>
      <c r="AR22" s="841" t="s">
        <v>7162</v>
      </c>
      <c r="AS22" s="841"/>
      <c r="AT22" s="940"/>
      <c r="AU22" s="842"/>
      <c r="AV22" s="906" t="s">
        <v>7163</v>
      </c>
      <c r="AW22" s="846" t="s">
        <v>6149</v>
      </c>
      <c r="AX22" s="841" t="s">
        <v>7164</v>
      </c>
      <c r="AY22" s="841" t="s">
        <v>7165</v>
      </c>
      <c r="AZ22" s="808"/>
      <c r="BA22" s="919"/>
      <c r="BB22" s="849" t="s">
        <v>7166</v>
      </c>
      <c r="BC22" s="878" t="s">
        <v>138</v>
      </c>
      <c r="BD22" s="878"/>
      <c r="BE22" s="957" t="s">
        <v>7167</v>
      </c>
      <c r="BF22" s="808"/>
      <c r="BG22" s="854"/>
      <c r="BH22" s="854"/>
      <c r="BI22" s="854"/>
      <c r="BJ22" s="854"/>
      <c r="BK22" s="854"/>
      <c r="BL22" s="879" t="s">
        <v>7168</v>
      </c>
      <c r="BM22" s="852" t="s">
        <v>7169</v>
      </c>
      <c r="BN22" s="793"/>
      <c r="BO22" s="856"/>
      <c r="BP22" s="909"/>
      <c r="BQ22" s="856"/>
      <c r="BR22" s="856"/>
      <c r="BS22" s="881" t="s">
        <v>7170</v>
      </c>
      <c r="BT22" s="856"/>
      <c r="BU22" s="856"/>
      <c r="BV22" s="856"/>
      <c r="BW22" s="857" t="s">
        <v>7171</v>
      </c>
      <c r="BX22" s="793"/>
      <c r="BY22" s="862"/>
      <c r="BZ22" s="862"/>
      <c r="CA22" s="862"/>
      <c r="CB22" s="883"/>
      <c r="CC22" s="862"/>
      <c r="CD22" s="862"/>
      <c r="CE22" s="862"/>
      <c r="CF22" s="862"/>
      <c r="CG22" s="862"/>
      <c r="CH22" s="862"/>
      <c r="CI22" s="862"/>
      <c r="CJ22" s="883"/>
      <c r="CK22" s="883"/>
    </row>
    <row r="23">
      <c r="A23" s="829" t="s">
        <v>2994</v>
      </c>
      <c r="B23" s="787" t="s">
        <v>7172</v>
      </c>
      <c r="C23" s="783" t="s">
        <v>546</v>
      </c>
      <c r="D23" s="784" t="s">
        <v>1258</v>
      </c>
      <c r="E23" s="785" t="s">
        <v>1258</v>
      </c>
      <c r="F23" s="786" t="s">
        <v>546</v>
      </c>
      <c r="G23" s="787" t="s">
        <v>5168</v>
      </c>
      <c r="H23" s="830"/>
      <c r="I23" s="830"/>
      <c r="J23" s="831" t="s">
        <v>311</v>
      </c>
      <c r="K23" s="831" t="s">
        <v>7173</v>
      </c>
      <c r="L23" s="831"/>
      <c r="M23" s="830"/>
      <c r="N23" s="830"/>
      <c r="O23" s="831" t="s">
        <v>7174</v>
      </c>
      <c r="P23" s="793"/>
      <c r="Q23" s="834" t="s">
        <v>4947</v>
      </c>
      <c r="R23" s="834" t="s">
        <v>3812</v>
      </c>
      <c r="S23" s="834" t="s">
        <v>693</v>
      </c>
      <c r="T23" s="834" t="s">
        <v>251</v>
      </c>
      <c r="U23" s="835"/>
      <c r="V23" s="834" t="s">
        <v>7175</v>
      </c>
      <c r="W23" s="793"/>
      <c r="X23" s="839" t="s">
        <v>6490</v>
      </c>
      <c r="Y23" s="904"/>
      <c r="Z23" s="839" t="s">
        <v>4891</v>
      </c>
      <c r="AA23" s="839" t="s">
        <v>7176</v>
      </c>
      <c r="AB23" s="839" t="s">
        <v>3012</v>
      </c>
      <c r="AC23" s="839" t="s">
        <v>1757</v>
      </c>
      <c r="AD23" s="839" t="s">
        <v>2672</v>
      </c>
      <c r="AE23" s="839" t="s">
        <v>2843</v>
      </c>
      <c r="AF23" s="839"/>
      <c r="AG23" s="839" t="s">
        <v>7177</v>
      </c>
      <c r="AH23" s="958" t="s">
        <v>3015</v>
      </c>
      <c r="AI23" s="793"/>
      <c r="AJ23" s="842"/>
      <c r="AK23" s="842"/>
      <c r="AL23" s="843" t="s">
        <v>7178</v>
      </c>
      <c r="AM23" s="841" t="s">
        <v>1966</v>
      </c>
      <c r="AN23" s="841"/>
      <c r="AO23" s="842"/>
      <c r="AP23" s="842"/>
      <c r="AQ23" s="842"/>
      <c r="AR23" s="841" t="s">
        <v>7179</v>
      </c>
      <c r="AS23" s="841"/>
      <c r="AT23" s="842"/>
      <c r="AU23" s="841" t="s">
        <v>7180</v>
      </c>
      <c r="AV23" s="906" t="s">
        <v>7181</v>
      </c>
      <c r="AW23" s="841" t="s">
        <v>193</v>
      </c>
      <c r="AX23" s="906" t="s">
        <v>7182</v>
      </c>
      <c r="AY23" s="841" t="s">
        <v>7183</v>
      </c>
      <c r="AZ23" s="808"/>
      <c r="BA23" s="878" t="s">
        <v>7184</v>
      </c>
      <c r="BB23" s="878" t="s">
        <v>7185</v>
      </c>
      <c r="BC23" s="919"/>
      <c r="BD23" s="919"/>
      <c r="BE23" s="878" t="s">
        <v>7186</v>
      </c>
      <c r="BF23" s="808"/>
      <c r="BG23" s="852" t="s">
        <v>6227</v>
      </c>
      <c r="BH23" s="854"/>
      <c r="BI23" s="852" t="s">
        <v>474</v>
      </c>
      <c r="BJ23" s="852" t="s">
        <v>7187</v>
      </c>
      <c r="BK23" s="852" t="s">
        <v>7188</v>
      </c>
      <c r="BL23" s="852" t="s">
        <v>7189</v>
      </c>
      <c r="BM23" s="908" t="s">
        <v>7190</v>
      </c>
      <c r="BN23" s="793"/>
      <c r="BO23" s="857" t="s">
        <v>7191</v>
      </c>
      <c r="BP23" s="857" t="s">
        <v>4186</v>
      </c>
      <c r="BQ23" s="856"/>
      <c r="BR23" s="857" t="s">
        <v>7192</v>
      </c>
      <c r="BS23" s="856"/>
      <c r="BT23" s="857" t="s">
        <v>3033</v>
      </c>
      <c r="BU23" s="857" t="s">
        <v>5192</v>
      </c>
      <c r="BV23" s="857" t="s">
        <v>7193</v>
      </c>
      <c r="BW23" s="857" t="s">
        <v>7194</v>
      </c>
      <c r="BX23" s="793"/>
      <c r="BY23" s="959" t="s">
        <v>3527</v>
      </c>
      <c r="BZ23" s="861" t="s">
        <v>853</v>
      </c>
      <c r="CA23" s="862"/>
      <c r="CB23" s="883"/>
      <c r="CC23" s="862"/>
      <c r="CD23" s="862"/>
      <c r="CE23" s="861" t="s">
        <v>7195</v>
      </c>
      <c r="CF23" s="861" t="s">
        <v>7196</v>
      </c>
      <c r="CG23" s="862"/>
      <c r="CH23" s="862"/>
      <c r="CI23" s="862"/>
      <c r="CJ23" s="883"/>
      <c r="CK23" s="883"/>
    </row>
    <row r="24">
      <c r="A24" s="829" t="s">
        <v>7197</v>
      </c>
      <c r="B24" s="787" t="s">
        <v>7198</v>
      </c>
      <c r="C24" s="783" t="s">
        <v>1258</v>
      </c>
      <c r="D24" s="784" t="s">
        <v>1258</v>
      </c>
      <c r="E24" s="785" t="s">
        <v>1258</v>
      </c>
      <c r="F24" s="786" t="s">
        <v>438</v>
      </c>
      <c r="G24" s="787" t="s">
        <v>222</v>
      </c>
      <c r="H24" s="830"/>
      <c r="I24" s="830"/>
      <c r="J24" s="830"/>
      <c r="K24" s="830"/>
      <c r="L24" s="930" t="s">
        <v>7199</v>
      </c>
      <c r="M24" s="830"/>
      <c r="N24" s="902" t="s">
        <v>7200</v>
      </c>
      <c r="O24" s="830"/>
      <c r="P24" s="793"/>
      <c r="Q24" s="835"/>
      <c r="R24" s="835"/>
      <c r="S24" s="835"/>
      <c r="T24" s="835"/>
      <c r="U24" s="834"/>
      <c r="V24" s="903" t="s">
        <v>7201</v>
      </c>
      <c r="W24" s="793"/>
      <c r="X24" s="904"/>
      <c r="Y24" s="904"/>
      <c r="Z24" s="914" t="s">
        <v>7202</v>
      </c>
      <c r="AA24" s="904"/>
      <c r="AB24" s="904"/>
      <c r="AC24" s="904"/>
      <c r="AD24" s="904"/>
      <c r="AE24" s="960" t="str">
        <f>HYPERLINK("https://youtu.be/0lXotWIeH0g","49.54")</f>
        <v>49.54</v>
      </c>
      <c r="AF24" s="947"/>
      <c r="AG24" s="871" t="s">
        <v>7203</v>
      </c>
      <c r="AH24" s="889" t="s">
        <v>7204</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7205</v>
      </c>
      <c r="AZ24" s="808"/>
      <c r="BA24" s="919"/>
      <c r="BB24" s="919"/>
      <c r="BC24" s="920" t="s">
        <v>4144</v>
      </c>
      <c r="BD24" s="919"/>
      <c r="BE24" s="948" t="s">
        <v>7206</v>
      </c>
      <c r="BF24" s="808"/>
      <c r="BG24" s="854"/>
      <c r="BH24" s="854"/>
      <c r="BI24" s="854"/>
      <c r="BJ24" s="854"/>
      <c r="BK24" s="854"/>
      <c r="BL24" s="962" t="str">
        <f>HYPERLINK("https://youtu.be/ZWHJWoriERw","3:48.70")</f>
        <v>3:48.70</v>
      </c>
      <c r="BM24" s="851" t="s">
        <v>7207</v>
      </c>
      <c r="BN24" s="793"/>
      <c r="BO24" s="909" t="s">
        <v>231</v>
      </c>
      <c r="BP24" s="909"/>
      <c r="BQ24" s="856"/>
      <c r="BR24" s="856"/>
      <c r="BS24" s="856"/>
      <c r="BT24" s="858" t="str">
        <f>HYPERLINK("https://youtu.be/-5bLlrzaDDc","27.91")</f>
        <v>27.91</v>
      </c>
      <c r="BU24" s="909" t="s">
        <v>7118</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7208</v>
      </c>
      <c r="B25" s="787" t="s">
        <v>6462</v>
      </c>
      <c r="C25" s="783" t="s">
        <v>1258</v>
      </c>
      <c r="D25" s="784" t="s">
        <v>1258</v>
      </c>
      <c r="E25" s="785" t="s">
        <v>1258</v>
      </c>
      <c r="F25" s="786" t="s">
        <v>437</v>
      </c>
      <c r="G25" s="787" t="s">
        <v>3973</v>
      </c>
      <c r="H25" s="830"/>
      <c r="I25" s="830"/>
      <c r="J25" s="830"/>
      <c r="K25" s="830"/>
      <c r="L25" s="831" t="s">
        <v>746</v>
      </c>
      <c r="M25" s="830"/>
      <c r="N25" s="831" t="s">
        <v>7209</v>
      </c>
      <c r="O25" s="831"/>
      <c r="P25" s="793"/>
      <c r="Q25" s="835"/>
      <c r="R25" s="835"/>
      <c r="S25" s="835"/>
      <c r="T25" s="835"/>
      <c r="U25" s="835"/>
      <c r="V25" s="903" t="s">
        <v>7210</v>
      </c>
      <c r="W25" s="793"/>
      <c r="X25" s="839" t="s">
        <v>2166</v>
      </c>
      <c r="Y25" s="871" t="s">
        <v>7211</v>
      </c>
      <c r="Z25" s="904"/>
      <c r="AA25" s="964" t="s">
        <v>7212</v>
      </c>
      <c r="AB25" s="904"/>
      <c r="AC25" s="800" t="s">
        <v>4785</v>
      </c>
      <c r="AD25" s="839" t="s">
        <v>1334</v>
      </c>
      <c r="AE25" s="839" t="s">
        <v>7213</v>
      </c>
      <c r="AF25" s="839"/>
      <c r="AG25" s="871" t="s">
        <v>7214</v>
      </c>
      <c r="AH25" s="802"/>
      <c r="AI25" s="793"/>
      <c r="AJ25" s="842"/>
      <c r="AK25" s="842"/>
      <c r="AL25" s="842"/>
      <c r="AM25" s="841" t="s">
        <v>4964</v>
      </c>
      <c r="AN25" s="842"/>
      <c r="AO25" s="842"/>
      <c r="AP25" s="842"/>
      <c r="AQ25" s="842"/>
      <c r="AR25" s="842"/>
      <c r="AS25" s="842"/>
      <c r="AT25" s="842"/>
      <c r="AU25" s="842"/>
      <c r="AV25" s="842"/>
      <c r="AW25" s="842"/>
      <c r="AX25" s="842"/>
      <c r="AY25" s="906" t="s">
        <v>7215</v>
      </c>
      <c r="AZ25" s="808"/>
      <c r="BA25" s="919"/>
      <c r="BB25" s="919"/>
      <c r="BC25" s="919"/>
      <c r="BD25" s="919"/>
      <c r="BE25" s="878" t="s">
        <v>7216</v>
      </c>
      <c r="BF25" s="808"/>
      <c r="BG25" s="854"/>
      <c r="BH25" s="854"/>
      <c r="BI25" s="854"/>
      <c r="BJ25" s="854"/>
      <c r="BK25" s="854"/>
      <c r="BL25" s="852" t="s">
        <v>7217</v>
      </c>
      <c r="BM25" s="854"/>
      <c r="BN25" s="793"/>
      <c r="BO25" s="857" t="s">
        <v>4940</v>
      </c>
      <c r="BP25" s="909"/>
      <c r="BQ25" s="856"/>
      <c r="BR25" s="857" t="s">
        <v>7218</v>
      </c>
      <c r="BS25" s="858" t="s">
        <v>7008</v>
      </c>
      <c r="BT25" s="857" t="s">
        <v>1318</v>
      </c>
      <c r="BU25" s="856"/>
      <c r="BV25" s="910" t="s">
        <v>7219</v>
      </c>
      <c r="BW25" s="857" t="s">
        <v>7220</v>
      </c>
      <c r="BX25" s="793"/>
      <c r="BY25" s="862"/>
      <c r="BZ25" s="862"/>
      <c r="CA25" s="862"/>
      <c r="CB25" s="883"/>
      <c r="CC25" s="862"/>
      <c r="CD25" s="862"/>
      <c r="CE25" s="861" t="s">
        <v>7221</v>
      </c>
      <c r="CF25" s="911" t="s">
        <v>7222</v>
      </c>
      <c r="CG25" s="862"/>
      <c r="CH25" s="862"/>
      <c r="CI25" s="862"/>
      <c r="CJ25" s="883"/>
      <c r="CK25" s="883"/>
    </row>
    <row r="26">
      <c r="A26" s="965" t="s">
        <v>899</v>
      </c>
      <c r="B26" s="787" t="s">
        <v>7223</v>
      </c>
      <c r="C26" s="783" t="s">
        <v>1258</v>
      </c>
      <c r="D26" s="784" t="s">
        <v>1258</v>
      </c>
      <c r="E26" s="785" t="s">
        <v>1258</v>
      </c>
      <c r="F26" s="786" t="s">
        <v>3872</v>
      </c>
      <c r="G26" s="787" t="s">
        <v>3973</v>
      </c>
      <c r="H26" s="832" t="s">
        <v>2617</v>
      </c>
      <c r="I26" s="832" t="s">
        <v>7224</v>
      </c>
      <c r="J26" s="966"/>
      <c r="K26" s="832" t="s">
        <v>3315</v>
      </c>
      <c r="L26" s="831"/>
      <c r="M26" s="830"/>
      <c r="N26" s="830"/>
      <c r="O26" s="902" t="s">
        <v>7225</v>
      </c>
      <c r="P26" s="793"/>
      <c r="Q26" s="903" t="s">
        <v>7226</v>
      </c>
      <c r="R26" s="835"/>
      <c r="S26" s="835"/>
      <c r="T26" s="903" t="s">
        <v>5205</v>
      </c>
      <c r="U26" s="834"/>
      <c r="V26" s="903" t="s">
        <v>7227</v>
      </c>
      <c r="W26" s="793"/>
      <c r="X26" s="871" t="s">
        <v>2146</v>
      </c>
      <c r="Y26" s="904"/>
      <c r="Z26" s="871" t="s">
        <v>1841</v>
      </c>
      <c r="AA26" s="947"/>
      <c r="AB26" s="871" t="s">
        <v>5393</v>
      </c>
      <c r="AC26" s="904"/>
      <c r="AD26" s="904"/>
      <c r="AE26" s="871" t="s">
        <v>4433</v>
      </c>
      <c r="AF26" s="839"/>
      <c r="AG26" s="871" t="s">
        <v>7228</v>
      </c>
      <c r="AH26" s="802"/>
      <c r="AI26" s="793"/>
      <c r="AJ26" s="842"/>
      <c r="AK26" s="842"/>
      <c r="AL26" s="842"/>
      <c r="AM26" s="842"/>
      <c r="AN26" s="842"/>
      <c r="AO26" s="906" t="s">
        <v>1917</v>
      </c>
      <c r="AP26" s="842"/>
      <c r="AQ26" s="846" t="s">
        <v>3214</v>
      </c>
      <c r="AR26" s="842"/>
      <c r="AS26" s="842"/>
      <c r="AT26" s="842"/>
      <c r="AU26" s="842"/>
      <c r="AV26" s="842"/>
      <c r="AW26" s="846" t="s">
        <v>722</v>
      </c>
      <c r="AX26" s="842"/>
      <c r="AY26" s="842"/>
      <c r="AZ26" s="808"/>
      <c r="BA26" s="919"/>
      <c r="BB26" s="919"/>
      <c r="BC26" s="919"/>
      <c r="BD26" s="919"/>
      <c r="BE26" s="948" t="s">
        <v>7229</v>
      </c>
      <c r="BF26" s="808"/>
      <c r="BG26" s="936" t="s">
        <v>2632</v>
      </c>
      <c r="BH26" s="854"/>
      <c r="BI26" s="854"/>
      <c r="BJ26" s="854"/>
      <c r="BK26" s="854"/>
      <c r="BL26" s="854"/>
      <c r="BM26" s="936" t="s">
        <v>7230</v>
      </c>
      <c r="BN26" s="793"/>
      <c r="BO26" s="910" t="s">
        <v>613</v>
      </c>
      <c r="BP26" s="909"/>
      <c r="BQ26" s="856"/>
      <c r="BR26" s="856"/>
      <c r="BS26" s="856"/>
      <c r="BT26" s="856"/>
      <c r="BU26" s="856"/>
      <c r="BV26" s="910" t="s">
        <v>7231</v>
      </c>
      <c r="BW26" s="856"/>
      <c r="BX26" s="793"/>
      <c r="BY26" s="882" t="s">
        <v>7232</v>
      </c>
      <c r="BZ26" s="862"/>
      <c r="CA26" s="862"/>
      <c r="CB26" s="883"/>
      <c r="CC26" s="862"/>
      <c r="CD26" s="862"/>
      <c r="CE26" s="882" t="s">
        <v>7127</v>
      </c>
      <c r="CF26" s="861" t="s">
        <v>7233</v>
      </c>
      <c r="CG26" s="862"/>
      <c r="CH26" s="862"/>
      <c r="CI26" s="862"/>
      <c r="CJ26" s="883"/>
      <c r="CK26" s="883"/>
    </row>
    <row r="27">
      <c r="A27" s="829" t="s">
        <v>7234</v>
      </c>
      <c r="B27" s="787" t="s">
        <v>7235</v>
      </c>
      <c r="C27" s="783" t="s">
        <v>546</v>
      </c>
      <c r="D27" s="784" t="s">
        <v>1258</v>
      </c>
      <c r="E27" s="785" t="s">
        <v>546</v>
      </c>
      <c r="F27" s="786" t="s">
        <v>332</v>
      </c>
      <c r="G27" s="787" t="s">
        <v>2939</v>
      </c>
      <c r="H27" s="831" t="s">
        <v>4043</v>
      </c>
      <c r="I27" s="831"/>
      <c r="J27" s="831"/>
      <c r="K27" s="830"/>
      <c r="L27" s="831" t="s">
        <v>7236</v>
      </c>
      <c r="M27" s="830"/>
      <c r="N27" s="831" t="s">
        <v>7237</v>
      </c>
      <c r="O27" s="830"/>
      <c r="P27" s="793"/>
      <c r="Q27" s="834" t="s">
        <v>7238</v>
      </c>
      <c r="R27" s="835"/>
      <c r="S27" s="835"/>
      <c r="T27" s="835"/>
      <c r="U27" s="903" t="s">
        <v>7239</v>
      </c>
      <c r="V27" s="834" t="s">
        <v>7240</v>
      </c>
      <c r="W27" s="793"/>
      <c r="X27" s="839"/>
      <c r="Y27" s="839"/>
      <c r="Z27" s="839" t="s">
        <v>7241</v>
      </c>
      <c r="AA27" s="955" t="s">
        <v>4618</v>
      </c>
      <c r="AB27" s="839" t="s">
        <v>1185</v>
      </c>
      <c r="AC27" s="904"/>
      <c r="AD27" s="904"/>
      <c r="AE27" s="839" t="s">
        <v>7242</v>
      </c>
      <c r="AF27" s="839"/>
      <c r="AG27" s="872" t="s">
        <v>7243</v>
      </c>
      <c r="AH27" s="943" t="s">
        <v>7244</v>
      </c>
      <c r="AI27" s="793"/>
      <c r="AJ27" s="890"/>
      <c r="AK27" s="843" t="s">
        <v>7245</v>
      </c>
      <c r="AL27" s="842"/>
      <c r="AM27" s="842"/>
      <c r="AN27" s="842"/>
      <c r="AO27" s="842"/>
      <c r="AP27" s="842"/>
      <c r="AQ27" s="842"/>
      <c r="AR27" s="906" t="s">
        <v>7246</v>
      </c>
      <c r="AS27" s="841" t="s">
        <v>7247</v>
      </c>
      <c r="AT27" s="842"/>
      <c r="AU27" s="842"/>
      <c r="AV27" s="906" t="s">
        <v>6467</v>
      </c>
      <c r="AW27" s="841" t="s">
        <v>2697</v>
      </c>
      <c r="AX27" s="842"/>
      <c r="AY27" s="841" t="s">
        <v>7248</v>
      </c>
      <c r="AZ27" s="808"/>
      <c r="BA27" s="919"/>
      <c r="BB27" s="919"/>
      <c r="BC27" s="919"/>
      <c r="BD27" s="919"/>
      <c r="BE27" s="878" t="s">
        <v>7249</v>
      </c>
      <c r="BF27" s="808"/>
      <c r="BG27" s="854"/>
      <c r="BH27" s="854"/>
      <c r="BI27" s="854"/>
      <c r="BJ27" s="852"/>
      <c r="BK27" s="854"/>
      <c r="BL27" s="935" t="s">
        <v>7250</v>
      </c>
      <c r="BM27" s="851" t="s">
        <v>7251</v>
      </c>
      <c r="BN27" s="793"/>
      <c r="BO27" s="857" t="s">
        <v>4060</v>
      </c>
      <c r="BP27" s="909"/>
      <c r="BQ27" s="856"/>
      <c r="BR27" s="857" t="s">
        <v>7252</v>
      </c>
      <c r="BS27" s="856"/>
      <c r="BT27" s="910" t="s">
        <v>972</v>
      </c>
      <c r="BU27" s="856"/>
      <c r="BV27" s="857" t="s">
        <v>7253</v>
      </c>
      <c r="BW27" s="857" t="s">
        <v>7254</v>
      </c>
      <c r="BX27" s="793"/>
      <c r="BY27" s="862"/>
      <c r="BZ27" s="862"/>
      <c r="CA27" s="862"/>
      <c r="CB27" s="883"/>
      <c r="CC27" s="862"/>
      <c r="CD27" s="862"/>
      <c r="CE27" s="882" t="s">
        <v>7255</v>
      </c>
      <c r="CF27" s="862"/>
      <c r="CG27" s="862"/>
      <c r="CH27" s="862"/>
      <c r="CI27" s="862"/>
      <c r="CJ27" s="883"/>
      <c r="CK27" s="883"/>
    </row>
    <row r="28">
      <c r="A28" s="965" t="s">
        <v>7256</v>
      </c>
      <c r="B28" s="787" t="s">
        <v>7257</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3"/>
      <c r="Q28" s="835"/>
      <c r="R28" s="834"/>
      <c r="S28" s="834"/>
      <c r="T28" s="835"/>
      <c r="U28" s="969"/>
      <c r="V28" s="869" t="s">
        <v>7258</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7259</v>
      </c>
      <c r="BF28" s="808"/>
      <c r="BG28" s="854"/>
      <c r="BH28" s="854"/>
      <c r="BI28" s="854"/>
      <c r="BJ28" s="854"/>
      <c r="BK28" s="854"/>
      <c r="BL28" s="854"/>
      <c r="BM28" s="853" t="s">
        <v>7260</v>
      </c>
      <c r="BN28" s="803"/>
      <c r="BO28" s="963" t="str">
        <f>HYPERLINK("https://youtu.be/oOY4TocVyJU","1:05.01")</f>
        <v>1:05.01</v>
      </c>
      <c r="BP28" s="909"/>
      <c r="BQ28" s="856"/>
      <c r="BR28" s="857"/>
      <c r="BS28" s="857"/>
      <c r="BT28" s="856"/>
      <c r="BU28" s="856"/>
      <c r="BV28" s="856"/>
      <c r="BW28" s="881" t="s">
        <v>7261</v>
      </c>
      <c r="BX28" s="803"/>
      <c r="BY28" s="862"/>
      <c r="BZ28" s="862"/>
      <c r="CA28" s="899"/>
      <c r="CB28" s="970"/>
      <c r="CC28" s="899"/>
      <c r="CD28" s="862"/>
      <c r="CE28" s="862"/>
      <c r="CF28" s="862"/>
      <c r="CG28" s="862"/>
      <c r="CH28" s="862"/>
      <c r="CI28" s="862"/>
      <c r="CJ28" s="883"/>
      <c r="CK28" s="883"/>
    </row>
    <row r="29">
      <c r="A29" s="971" t="s">
        <v>7262</v>
      </c>
      <c r="B29" s="787" t="s">
        <v>7263</v>
      </c>
      <c r="C29" s="783" t="s">
        <v>1258</v>
      </c>
      <c r="D29" s="784" t="s">
        <v>1258</v>
      </c>
      <c r="E29" s="785" t="s">
        <v>1258</v>
      </c>
      <c r="F29" s="786" t="s">
        <v>438</v>
      </c>
      <c r="G29" s="787" t="s">
        <v>4116</v>
      </c>
      <c r="H29" s="929" t="s">
        <v>4248</v>
      </c>
      <c r="I29" s="831" t="s">
        <v>7264</v>
      </c>
      <c r="J29" s="831"/>
      <c r="K29" s="831"/>
      <c r="L29" s="902" t="s">
        <v>7265</v>
      </c>
      <c r="M29" s="830"/>
      <c r="N29" s="832" t="s">
        <v>7266</v>
      </c>
      <c r="O29" s="830"/>
      <c r="P29" s="793"/>
      <c r="Q29" s="835"/>
      <c r="R29" s="835"/>
      <c r="S29" s="835"/>
      <c r="T29" s="835"/>
      <c r="U29" s="834" t="s">
        <v>415</v>
      </c>
      <c r="V29" s="838" t="s">
        <v>7267</v>
      </c>
      <c r="W29" s="793"/>
      <c r="X29" s="871" t="s">
        <v>4936</v>
      </c>
      <c r="Y29" s="839" t="s">
        <v>6192</v>
      </c>
      <c r="Z29" s="871" t="s">
        <v>6107</v>
      </c>
      <c r="AA29" s="941" t="s">
        <v>4618</v>
      </c>
      <c r="AB29" s="871" t="s">
        <v>2511</v>
      </c>
      <c r="AC29" s="800" t="s">
        <v>7268</v>
      </c>
      <c r="AD29" s="904"/>
      <c r="AE29" s="800" t="str">
        <f>HYPERLINK("https://twitter.com/Qbe_Root/status/1242884733232648192","56.04")</f>
        <v>56.04</v>
      </c>
      <c r="AF29" s="872"/>
      <c r="AG29" s="800" t="s">
        <v>7269</v>
      </c>
      <c r="AH29" s="802"/>
      <c r="AI29" s="793"/>
      <c r="AJ29" s="841"/>
      <c r="AK29" s="841" t="s">
        <v>7270</v>
      </c>
      <c r="AL29" s="841" t="s">
        <v>7271</v>
      </c>
      <c r="AM29" s="841" t="s">
        <v>7272</v>
      </c>
      <c r="AN29" s="841"/>
      <c r="AO29" s="842"/>
      <c r="AP29" s="113" t="s">
        <v>7273</v>
      </c>
      <c r="AQ29" s="842"/>
      <c r="AR29" s="842"/>
      <c r="AS29" s="842"/>
      <c r="AT29" s="842"/>
      <c r="AU29" s="842"/>
      <c r="AV29" s="842"/>
      <c r="AW29" s="841" t="s">
        <v>1617</v>
      </c>
      <c r="AX29" s="841" t="s">
        <v>7274</v>
      </c>
      <c r="AY29" s="842"/>
      <c r="AZ29" s="808"/>
      <c r="BA29" s="919"/>
      <c r="BB29" s="919"/>
      <c r="BC29" s="919"/>
      <c r="BD29" s="919"/>
      <c r="BE29" s="948" t="s">
        <v>7275</v>
      </c>
      <c r="BF29" s="808"/>
      <c r="BG29" s="852" t="s">
        <v>1465</v>
      </c>
      <c r="BH29" s="854"/>
      <c r="BI29" s="854"/>
      <c r="BJ29" s="854"/>
      <c r="BK29" s="852" t="s">
        <v>7276</v>
      </c>
      <c r="BL29" s="854"/>
      <c r="BM29" s="852" t="s">
        <v>7277</v>
      </c>
      <c r="BN29" s="793"/>
      <c r="BO29" s="857" t="s">
        <v>7278</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6615</v>
      </c>
      <c r="B30" s="787" t="s">
        <v>7279</v>
      </c>
      <c r="C30" s="783" t="s">
        <v>546</v>
      </c>
      <c r="D30" s="784" t="s">
        <v>1258</v>
      </c>
      <c r="E30" s="785" t="s">
        <v>1258</v>
      </c>
      <c r="F30" s="786" t="s">
        <v>546</v>
      </c>
      <c r="G30" s="787" t="s">
        <v>6284</v>
      </c>
      <c r="H30" s="830"/>
      <c r="I30" s="830"/>
      <c r="J30" s="830"/>
      <c r="K30" s="830"/>
      <c r="L30" s="831" t="s">
        <v>7280</v>
      </c>
      <c r="M30" s="830"/>
      <c r="N30" s="831" t="s">
        <v>7281</v>
      </c>
      <c r="O30" s="830"/>
      <c r="P30" s="793"/>
      <c r="Q30" s="834" t="s">
        <v>7282</v>
      </c>
      <c r="R30" s="835"/>
      <c r="S30" s="834" t="s">
        <v>7283</v>
      </c>
      <c r="T30" s="835"/>
      <c r="U30" s="835"/>
      <c r="V30" s="834" t="s">
        <v>7284</v>
      </c>
      <c r="W30" s="793"/>
      <c r="X30" s="904"/>
      <c r="Y30" s="904"/>
      <c r="Z30" s="904"/>
      <c r="AA30" s="947"/>
      <c r="AB30" s="904"/>
      <c r="AC30" s="904"/>
      <c r="AD30" s="839" t="s">
        <v>204</v>
      </c>
      <c r="AE30" s="839" t="s">
        <v>1294</v>
      </c>
      <c r="AF30" s="904"/>
      <c r="AG30" s="839" t="s">
        <v>7285</v>
      </c>
      <c r="AH30" s="802"/>
      <c r="AI30" s="793"/>
      <c r="AJ30" s="842"/>
      <c r="AK30" s="842"/>
      <c r="AL30" s="842"/>
      <c r="AM30" s="841" t="s">
        <v>7286</v>
      </c>
      <c r="AN30" s="842"/>
      <c r="AO30" s="842"/>
      <c r="AP30" s="841" t="s">
        <v>7287</v>
      </c>
      <c r="AQ30" s="842"/>
      <c r="AR30" s="841" t="s">
        <v>7288</v>
      </c>
      <c r="AS30" s="841" t="s">
        <v>7289</v>
      </c>
      <c r="AT30" s="906" t="s">
        <v>7290</v>
      </c>
      <c r="AU30" s="841" t="s">
        <v>7291</v>
      </c>
      <c r="AV30" s="842"/>
      <c r="AW30" s="841" t="s">
        <v>414</v>
      </c>
      <c r="AX30" s="842"/>
      <c r="AY30" s="841" t="s">
        <v>7292</v>
      </c>
      <c r="AZ30" s="808"/>
      <c r="BA30" s="878" t="s">
        <v>7293</v>
      </c>
      <c r="BB30" s="878" t="s">
        <v>7294</v>
      </c>
      <c r="BC30" s="878" t="s">
        <v>5257</v>
      </c>
      <c r="BD30" s="919"/>
      <c r="BE30" s="878" t="s">
        <v>7295</v>
      </c>
      <c r="BF30" s="808"/>
      <c r="BG30" s="852" t="s">
        <v>6904</v>
      </c>
      <c r="BH30" s="852" t="s">
        <v>5886</v>
      </c>
      <c r="BI30" s="852" t="s">
        <v>3954</v>
      </c>
      <c r="BJ30" s="936" t="s">
        <v>6442</v>
      </c>
      <c r="BK30" s="854"/>
      <c r="BL30" s="852" t="s">
        <v>7296</v>
      </c>
      <c r="BM30" s="854"/>
      <c r="BN30" s="793"/>
      <c r="BO30" s="857" t="s">
        <v>7297</v>
      </c>
      <c r="BP30" s="909"/>
      <c r="BQ30" s="856"/>
      <c r="BR30" s="857" t="s">
        <v>1333</v>
      </c>
      <c r="BS30" s="856"/>
      <c r="BT30" s="857" t="s">
        <v>1288</v>
      </c>
      <c r="BU30" s="856"/>
      <c r="BV30" s="856"/>
      <c r="BW30" s="856"/>
      <c r="BX30" s="793"/>
      <c r="BY30" s="861" t="s">
        <v>4445</v>
      </c>
      <c r="BZ30" s="862"/>
      <c r="CA30" s="862"/>
      <c r="CB30" s="883"/>
      <c r="CC30" s="912" t="s">
        <v>7298</v>
      </c>
      <c r="CD30" s="862"/>
      <c r="CE30" s="862"/>
      <c r="CF30" s="861" t="s">
        <v>6754</v>
      </c>
      <c r="CG30" s="862"/>
      <c r="CH30" s="862"/>
      <c r="CI30" s="862"/>
      <c r="CJ30" s="883"/>
      <c r="CK30" s="883"/>
    </row>
    <row r="31">
      <c r="A31" s="829" t="s">
        <v>4053</v>
      </c>
      <c r="B31" s="787" t="s">
        <v>7299</v>
      </c>
      <c r="C31" s="783" t="s">
        <v>1258</v>
      </c>
      <c r="D31" s="784" t="s">
        <v>1258</v>
      </c>
      <c r="E31" s="785" t="s">
        <v>1258</v>
      </c>
      <c r="F31" s="786" t="s">
        <v>437</v>
      </c>
      <c r="G31" s="787" t="s">
        <v>2996</v>
      </c>
      <c r="H31" s="831" t="s">
        <v>2310</v>
      </c>
      <c r="I31" s="830"/>
      <c r="J31" s="830"/>
      <c r="K31" s="830"/>
      <c r="L31" s="831" t="s">
        <v>6516</v>
      </c>
      <c r="M31" s="830"/>
      <c r="N31" s="831" t="s">
        <v>7300</v>
      </c>
      <c r="O31" s="830"/>
      <c r="P31" s="793"/>
      <c r="Q31" s="834" t="s">
        <v>7301</v>
      </c>
      <c r="R31" s="835"/>
      <c r="S31" s="835"/>
      <c r="T31" s="835"/>
      <c r="U31" s="903" t="s">
        <v>6868</v>
      </c>
      <c r="V31" s="834" t="s">
        <v>7302</v>
      </c>
      <c r="W31" s="793"/>
      <c r="X31" s="904"/>
      <c r="Y31" s="904"/>
      <c r="Z31" s="839" t="s">
        <v>7303</v>
      </c>
      <c r="AA31" s="947"/>
      <c r="AB31" s="839" t="s">
        <v>4859</v>
      </c>
      <c r="AC31" s="839" t="s">
        <v>309</v>
      </c>
      <c r="AD31" s="904"/>
      <c r="AE31" s="839" t="s">
        <v>3280</v>
      </c>
      <c r="AF31" s="839"/>
      <c r="AG31" s="800" t="s">
        <v>7304</v>
      </c>
      <c r="AH31" s="958" t="s">
        <v>7305</v>
      </c>
      <c r="AI31" s="793"/>
      <c r="AJ31" s="841"/>
      <c r="AK31" s="841" t="s">
        <v>7306</v>
      </c>
      <c r="AL31" s="841" t="s">
        <v>7307</v>
      </c>
      <c r="AM31" s="841" t="s">
        <v>3998</v>
      </c>
      <c r="AN31" s="841"/>
      <c r="AO31" s="842"/>
      <c r="AP31" s="842"/>
      <c r="AQ31" s="842"/>
      <c r="AR31" s="841" t="s">
        <v>7308</v>
      </c>
      <c r="AS31" s="841" t="s">
        <v>7309</v>
      </c>
      <c r="AT31" s="841"/>
      <c r="AU31" s="841" t="s">
        <v>7310</v>
      </c>
      <c r="AV31" s="841"/>
      <c r="AW31" s="841" t="s">
        <v>193</v>
      </c>
      <c r="AX31" s="842"/>
      <c r="AY31" s="841" t="s">
        <v>7311</v>
      </c>
      <c r="AZ31" s="808"/>
      <c r="BA31" s="878"/>
      <c r="BB31" s="878" t="s">
        <v>7312</v>
      </c>
      <c r="BC31" s="948" t="s">
        <v>4511</v>
      </c>
      <c r="BD31" s="878"/>
      <c r="BE31" s="948" t="s">
        <v>7313</v>
      </c>
      <c r="BF31" s="808"/>
      <c r="BG31" s="852" t="s">
        <v>7314</v>
      </c>
      <c r="BH31" s="854"/>
      <c r="BI31" s="854"/>
      <c r="BJ31" s="854"/>
      <c r="BK31" s="854"/>
      <c r="BL31" s="852" t="s">
        <v>7315</v>
      </c>
      <c r="BM31" s="852" t="s">
        <v>7316</v>
      </c>
      <c r="BN31" s="793"/>
      <c r="BO31" s="857" t="s">
        <v>3405</v>
      </c>
      <c r="BP31" s="909"/>
      <c r="BQ31" s="856"/>
      <c r="BR31" s="857" t="s">
        <v>7317</v>
      </c>
      <c r="BS31" s="910" t="s">
        <v>7318</v>
      </c>
      <c r="BT31" s="856"/>
      <c r="BU31" s="856"/>
      <c r="BV31" s="857" t="s">
        <v>5405</v>
      </c>
      <c r="BW31" s="857" t="s">
        <v>4522</v>
      </c>
      <c r="BX31" s="793"/>
      <c r="BY31" s="862"/>
      <c r="BZ31" s="862"/>
      <c r="CA31" s="862"/>
      <c r="CB31" s="883"/>
      <c r="CC31" s="862"/>
      <c r="CD31" s="862"/>
      <c r="CE31" s="862"/>
      <c r="CF31" s="861" t="s">
        <v>7319</v>
      </c>
      <c r="CG31" s="862"/>
      <c r="CH31" s="862"/>
      <c r="CI31" s="882" t="s">
        <v>7320</v>
      </c>
      <c r="CJ31" s="883"/>
      <c r="CK31" s="883"/>
    </row>
    <row r="32">
      <c r="A32" s="829" t="s">
        <v>2937</v>
      </c>
      <c r="B32" s="787" t="s">
        <v>7321</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7322</v>
      </c>
      <c r="V32" s="834" t="s">
        <v>7323</v>
      </c>
      <c r="W32" s="793"/>
      <c r="X32" s="904"/>
      <c r="Y32" s="904"/>
      <c r="Z32" s="904"/>
      <c r="AA32" s="947"/>
      <c r="AB32" s="839"/>
      <c r="AC32" s="799" t="s">
        <v>7324</v>
      </c>
      <c r="AD32" s="839" t="s">
        <v>7325</v>
      </c>
      <c r="AE32" s="839" t="s">
        <v>4581</v>
      </c>
      <c r="AF32" s="839"/>
      <c r="AG32" s="904"/>
      <c r="AH32" s="802"/>
      <c r="AI32" s="793"/>
      <c r="AJ32" s="842"/>
      <c r="AK32" s="842"/>
      <c r="AL32" s="842"/>
      <c r="AM32" s="842"/>
      <c r="AN32" s="842"/>
      <c r="AO32" s="842"/>
      <c r="AP32" s="875" t="s">
        <v>7326</v>
      </c>
      <c r="AQ32" s="842"/>
      <c r="AR32" s="842"/>
      <c r="AS32" s="842"/>
      <c r="AT32" s="842"/>
      <c r="AU32" s="842"/>
      <c r="AV32" s="842"/>
      <c r="AW32" s="841" t="s">
        <v>1790</v>
      </c>
      <c r="AX32" s="842"/>
      <c r="AY32" s="842"/>
      <c r="AZ32" s="808"/>
      <c r="BA32" s="919"/>
      <c r="BB32" s="919"/>
      <c r="BC32" s="849" t="s">
        <v>5697</v>
      </c>
      <c r="BD32" s="847"/>
      <c r="BE32" s="878" t="s">
        <v>7327</v>
      </c>
      <c r="BF32" s="808"/>
      <c r="BG32" s="854"/>
      <c r="BH32" s="854"/>
      <c r="BI32" s="854"/>
      <c r="BJ32" s="854"/>
      <c r="BK32" s="854"/>
      <c r="BL32" s="854"/>
      <c r="BM32" s="854"/>
      <c r="BN32" s="793"/>
      <c r="BO32" s="857" t="s">
        <v>7328</v>
      </c>
      <c r="BP32" s="909"/>
      <c r="BQ32" s="856"/>
      <c r="BR32" s="856"/>
      <c r="BS32" s="856"/>
      <c r="BT32" s="856"/>
      <c r="BU32" s="856"/>
      <c r="BV32" s="857" t="s">
        <v>7329</v>
      </c>
      <c r="BW32" s="856"/>
      <c r="BX32" s="793"/>
      <c r="BY32" s="862"/>
      <c r="BZ32" s="862"/>
      <c r="CA32" s="862"/>
      <c r="CB32" s="883"/>
      <c r="CC32" s="862"/>
      <c r="CD32" s="862"/>
      <c r="CE32" s="862"/>
      <c r="CF32" s="862"/>
      <c r="CG32" s="862"/>
      <c r="CH32" s="862"/>
      <c r="CI32" s="862"/>
      <c r="CJ32" s="883"/>
      <c r="CK32" s="883"/>
    </row>
    <row r="33">
      <c r="A33" s="829" t="s">
        <v>7330</v>
      </c>
      <c r="B33" s="787" t="s">
        <v>744</v>
      </c>
      <c r="C33" s="783" t="s">
        <v>1258</v>
      </c>
      <c r="D33" s="784" t="s">
        <v>1258</v>
      </c>
      <c r="E33" s="785" t="s">
        <v>1258</v>
      </c>
      <c r="F33" s="786" t="s">
        <v>1258</v>
      </c>
      <c r="G33" s="787" t="s">
        <v>221</v>
      </c>
      <c r="H33" s="830"/>
      <c r="I33" s="830"/>
      <c r="J33" s="831" t="s">
        <v>7331</v>
      </c>
      <c r="K33" s="830"/>
      <c r="L33" s="830"/>
      <c r="M33" s="830"/>
      <c r="N33" s="830"/>
      <c r="O33" s="831" t="s">
        <v>7332</v>
      </c>
      <c r="P33" s="793"/>
      <c r="Q33" s="835"/>
      <c r="R33" s="835"/>
      <c r="S33" s="835"/>
      <c r="T33" s="835"/>
      <c r="U33" s="835"/>
      <c r="V33" s="834" t="s">
        <v>7333</v>
      </c>
      <c r="W33" s="793"/>
      <c r="X33" s="904"/>
      <c r="Y33" s="904"/>
      <c r="Z33" s="904"/>
      <c r="AA33" s="947"/>
      <c r="AB33" s="904"/>
      <c r="AC33" s="904"/>
      <c r="AD33" s="904"/>
      <c r="AE33" s="839" t="s">
        <v>2300</v>
      </c>
      <c r="AF33" s="839"/>
      <c r="AG33" s="839" t="s">
        <v>7334</v>
      </c>
      <c r="AH33" s="802"/>
      <c r="AI33" s="793"/>
      <c r="AJ33" s="842"/>
      <c r="AK33" s="842"/>
      <c r="AL33" s="842"/>
      <c r="AM33" s="842"/>
      <c r="AN33" s="842"/>
      <c r="AO33" s="842"/>
      <c r="AP33" s="841" t="s">
        <v>7335</v>
      </c>
      <c r="AQ33" s="842"/>
      <c r="AR33" s="842"/>
      <c r="AS33" s="842"/>
      <c r="AT33" s="842"/>
      <c r="AU33" s="842"/>
      <c r="AV33" s="842"/>
      <c r="AW33" s="842"/>
      <c r="AX33" s="842"/>
      <c r="AY33" s="842"/>
      <c r="AZ33" s="808"/>
      <c r="BA33" s="878" t="s">
        <v>7336</v>
      </c>
      <c r="BB33" s="919"/>
      <c r="BC33" s="878"/>
      <c r="BD33" s="878"/>
      <c r="BE33" s="878" t="s">
        <v>7337</v>
      </c>
      <c r="BF33" s="808"/>
      <c r="BG33" s="854"/>
      <c r="BH33" s="854"/>
      <c r="BI33" s="854"/>
      <c r="BJ33" s="854"/>
      <c r="BK33" s="854"/>
      <c r="BL33" s="854"/>
      <c r="BM33" s="852" t="s">
        <v>7338</v>
      </c>
      <c r="BN33" s="793"/>
      <c r="BO33" s="856"/>
      <c r="BP33" s="909"/>
      <c r="BQ33" s="856"/>
      <c r="BR33" s="857" t="s">
        <v>2476</v>
      </c>
      <c r="BS33" s="856"/>
      <c r="BT33" s="856"/>
      <c r="BU33" s="856"/>
      <c r="BV33" s="910" t="s">
        <v>7339</v>
      </c>
      <c r="BW33" s="857" t="s">
        <v>7340</v>
      </c>
      <c r="BX33" s="793"/>
      <c r="BY33" s="861" t="s">
        <v>6341</v>
      </c>
      <c r="BZ33" s="862"/>
      <c r="CA33" s="861"/>
      <c r="CB33" s="911"/>
      <c r="CC33" s="861"/>
      <c r="CD33" s="862"/>
      <c r="CE33" s="862"/>
      <c r="CF33" s="862"/>
      <c r="CG33" s="862"/>
      <c r="CH33" s="862"/>
      <c r="CI33" s="862"/>
      <c r="CJ33" s="883"/>
      <c r="CK33" s="883"/>
    </row>
    <row r="34">
      <c r="A34" s="973" t="s">
        <v>5225</v>
      </c>
      <c r="B34" s="787" t="s">
        <v>6044</v>
      </c>
      <c r="C34" s="783" t="s">
        <v>1258</v>
      </c>
      <c r="D34" s="784" t="s">
        <v>546</v>
      </c>
      <c r="E34" s="785" t="s">
        <v>1258</v>
      </c>
      <c r="F34" s="786" t="s">
        <v>983</v>
      </c>
      <c r="G34" s="787" t="s">
        <v>2874</v>
      </c>
      <c r="H34" s="831" t="s">
        <v>1922</v>
      </c>
      <c r="I34" s="831"/>
      <c r="J34" s="830"/>
      <c r="K34" s="830"/>
      <c r="L34" s="831" t="s">
        <v>7341</v>
      </c>
      <c r="M34" s="830"/>
      <c r="N34" s="832" t="s">
        <v>7342</v>
      </c>
      <c r="O34" s="830"/>
      <c r="P34" s="793"/>
      <c r="Q34" s="838" t="s">
        <v>7343</v>
      </c>
      <c r="R34" s="835"/>
      <c r="S34" s="835"/>
      <c r="T34" s="835"/>
      <c r="U34" s="838" t="s">
        <v>7344</v>
      </c>
      <c r="V34" s="838" t="s">
        <v>7345</v>
      </c>
      <c r="W34" s="793"/>
      <c r="X34" s="904"/>
      <c r="Y34" s="904"/>
      <c r="Z34" s="839" t="s">
        <v>7346</v>
      </c>
      <c r="AA34" s="947"/>
      <c r="AB34" s="904"/>
      <c r="AC34" s="904"/>
      <c r="AD34" s="904"/>
      <c r="AE34" s="904"/>
      <c r="AF34" s="904"/>
      <c r="AG34" s="904"/>
      <c r="AH34" s="956" t="s">
        <v>7347</v>
      </c>
      <c r="AI34" s="793"/>
      <c r="AJ34" s="842"/>
      <c r="AK34" s="841" t="s">
        <v>7348</v>
      </c>
      <c r="AL34" s="842"/>
      <c r="AM34" s="842"/>
      <c r="AN34" s="842"/>
      <c r="AO34" s="842"/>
      <c r="AP34" s="842"/>
      <c r="AQ34" s="842"/>
      <c r="AR34" s="842"/>
      <c r="AS34" s="842"/>
      <c r="AT34" s="842"/>
      <c r="AU34" s="842"/>
      <c r="AV34" s="842"/>
      <c r="AW34" s="841" t="s">
        <v>7349</v>
      </c>
      <c r="AX34" s="842"/>
      <c r="AY34" s="841" t="s">
        <v>7350</v>
      </c>
      <c r="AZ34" s="808"/>
      <c r="BA34" s="919"/>
      <c r="BB34" s="919"/>
      <c r="BC34" s="878" t="s">
        <v>7351</v>
      </c>
      <c r="BD34" s="848" t="s">
        <v>7352</v>
      </c>
      <c r="BE34" s="849" t="s">
        <v>7353</v>
      </c>
      <c r="BF34" s="808"/>
      <c r="BG34" s="854"/>
      <c r="BH34" s="854"/>
      <c r="BI34" s="854"/>
      <c r="BJ34" s="854"/>
      <c r="BK34" s="854"/>
      <c r="BL34" s="854"/>
      <c r="BM34" s="852" t="s">
        <v>7354</v>
      </c>
      <c r="BN34" s="793"/>
      <c r="BO34" s="856"/>
      <c r="BP34" s="909"/>
      <c r="BQ34" s="857" t="s">
        <v>3667</v>
      </c>
      <c r="BR34" s="856"/>
      <c r="BS34" s="856"/>
      <c r="BT34" s="856"/>
      <c r="BU34" s="858" t="s">
        <v>7355</v>
      </c>
      <c r="BV34" s="856"/>
      <c r="BW34" s="857" t="s">
        <v>7356</v>
      </c>
      <c r="BX34" s="793"/>
      <c r="BY34" s="862"/>
      <c r="BZ34" s="862"/>
      <c r="CA34" s="862"/>
      <c r="CB34" s="883"/>
      <c r="CC34" s="862"/>
      <c r="CD34" s="862"/>
      <c r="CE34" s="862"/>
      <c r="CF34" s="862"/>
      <c r="CG34" s="862"/>
      <c r="CH34" s="862"/>
      <c r="CI34" s="882" t="s">
        <v>7357</v>
      </c>
      <c r="CJ34" s="883"/>
      <c r="CK34" s="883"/>
    </row>
    <row r="35">
      <c r="A35" s="829" t="s">
        <v>2190</v>
      </c>
      <c r="B35" s="787" t="s">
        <v>4056</v>
      </c>
      <c r="C35" s="783" t="s">
        <v>546</v>
      </c>
      <c r="D35" s="784" t="s">
        <v>1258</v>
      </c>
      <c r="E35" s="785" t="s">
        <v>1258</v>
      </c>
      <c r="F35" s="786" t="s">
        <v>546</v>
      </c>
      <c r="G35" s="787" t="s">
        <v>222</v>
      </c>
      <c r="H35" s="831"/>
      <c r="I35" s="830"/>
      <c r="J35" s="830"/>
      <c r="K35" s="830"/>
      <c r="L35" s="831" t="s">
        <v>7358</v>
      </c>
      <c r="M35" s="830"/>
      <c r="N35" s="831" t="s">
        <v>7359</v>
      </c>
      <c r="O35" s="831"/>
      <c r="P35" s="793"/>
      <c r="Q35" s="834" t="s">
        <v>7360</v>
      </c>
      <c r="R35" s="835"/>
      <c r="S35" s="835"/>
      <c r="T35" s="835"/>
      <c r="U35" s="835"/>
      <c r="V35" s="834" t="s">
        <v>7361</v>
      </c>
      <c r="W35" s="793"/>
      <c r="X35" s="904"/>
      <c r="Y35" s="904"/>
      <c r="Z35" s="839" t="s">
        <v>7362</v>
      </c>
      <c r="AA35" s="839" t="s">
        <v>7363</v>
      </c>
      <c r="AB35" s="839" t="s">
        <v>3965</v>
      </c>
      <c r="AC35" s="839" t="s">
        <v>7364</v>
      </c>
      <c r="AD35" s="904"/>
      <c r="AE35" s="839" t="s">
        <v>2610</v>
      </c>
      <c r="AF35" s="839"/>
      <c r="AG35" s="904"/>
      <c r="AH35" s="958" t="s">
        <v>7365</v>
      </c>
      <c r="AI35" s="793"/>
      <c r="AJ35" s="842"/>
      <c r="AK35" s="842"/>
      <c r="AL35" s="842"/>
      <c r="AM35" s="842"/>
      <c r="AN35" s="842"/>
      <c r="AO35" s="842"/>
      <c r="AP35" s="841" t="s">
        <v>7366</v>
      </c>
      <c r="AQ35" s="842"/>
      <c r="AR35" s="842"/>
      <c r="AS35" s="842"/>
      <c r="AT35" s="842"/>
      <c r="AU35" s="842"/>
      <c r="AV35" s="842"/>
      <c r="AW35" s="841" t="s">
        <v>433</v>
      </c>
      <c r="AX35" s="842"/>
      <c r="AY35" s="841" t="s">
        <v>7367</v>
      </c>
      <c r="AZ35" s="808"/>
      <c r="BA35" s="878" t="s">
        <v>7368</v>
      </c>
      <c r="BB35" s="878" t="s">
        <v>7369</v>
      </c>
      <c r="BC35" s="919"/>
      <c r="BD35" s="919"/>
      <c r="BE35" s="878" t="s">
        <v>7370</v>
      </c>
      <c r="BF35" s="808"/>
      <c r="BG35" s="854"/>
      <c r="BH35" s="854"/>
      <c r="BI35" s="854"/>
      <c r="BJ35" s="854"/>
      <c r="BK35" s="854"/>
      <c r="BL35" s="927" t="s">
        <v>7371</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5085</v>
      </c>
      <c r="B36" s="787" t="s">
        <v>1552</v>
      </c>
      <c r="C36" s="783" t="s">
        <v>1258</v>
      </c>
      <c r="D36" s="784" t="s">
        <v>1258</v>
      </c>
      <c r="E36" s="785" t="s">
        <v>1258</v>
      </c>
      <c r="F36" s="786" t="s">
        <v>332</v>
      </c>
      <c r="G36" s="787" t="s">
        <v>6321</v>
      </c>
      <c r="H36" s="831" t="s">
        <v>7372</v>
      </c>
      <c r="I36" s="830"/>
      <c r="J36" s="830"/>
      <c r="K36" s="830"/>
      <c r="L36" s="830"/>
      <c r="M36" s="830"/>
      <c r="N36" s="830"/>
      <c r="O36" s="830"/>
      <c r="P36" s="793"/>
      <c r="Q36" s="835"/>
      <c r="R36" s="835"/>
      <c r="S36" s="834" t="s">
        <v>1022</v>
      </c>
      <c r="T36" s="834" t="s">
        <v>1900</v>
      </c>
      <c r="U36" s="834" t="s">
        <v>4577</v>
      </c>
      <c r="V36" s="834" t="s">
        <v>7373</v>
      </c>
      <c r="W36" s="793"/>
      <c r="X36" s="839" t="s">
        <v>1755</v>
      </c>
      <c r="Y36" s="904"/>
      <c r="Z36" s="904"/>
      <c r="AA36" s="947"/>
      <c r="AB36" s="904"/>
      <c r="AC36" s="904"/>
      <c r="AD36" s="904"/>
      <c r="AE36" s="904"/>
      <c r="AF36" s="839"/>
      <c r="AG36" s="904"/>
      <c r="AH36" s="802"/>
      <c r="AI36" s="793"/>
      <c r="AJ36" s="842"/>
      <c r="AK36" s="842"/>
      <c r="AL36" s="842"/>
      <c r="AM36" s="841" t="s">
        <v>7374</v>
      </c>
      <c r="AN36" s="842"/>
      <c r="AO36" s="842"/>
      <c r="AP36" s="841" t="s">
        <v>7375</v>
      </c>
      <c r="AQ36" s="842"/>
      <c r="AR36" s="846" t="s">
        <v>7376</v>
      </c>
      <c r="AS36" s="842"/>
      <c r="AT36" s="842"/>
      <c r="AU36" s="842"/>
      <c r="AV36" s="842"/>
      <c r="AW36" s="841" t="s">
        <v>1436</v>
      </c>
      <c r="AX36" s="842"/>
      <c r="AY36" s="842"/>
      <c r="AZ36" s="808"/>
      <c r="BA36" s="919"/>
      <c r="BB36" s="878" t="s">
        <v>7377</v>
      </c>
      <c r="BC36" s="878" t="s">
        <v>420</v>
      </c>
      <c r="BD36" s="878"/>
      <c r="BE36" s="878" t="s">
        <v>7378</v>
      </c>
      <c r="BF36" s="808"/>
      <c r="BG36" s="854"/>
      <c r="BH36" s="854"/>
      <c r="BI36" s="854"/>
      <c r="BJ36" s="854"/>
      <c r="BK36" s="854"/>
      <c r="BL36" s="854"/>
      <c r="BM36" s="854"/>
      <c r="BN36" s="793"/>
      <c r="BO36" s="858" t="s">
        <v>7379</v>
      </c>
      <c r="BP36" s="909"/>
      <c r="BQ36" s="858" t="s">
        <v>1033</v>
      </c>
      <c r="BR36" s="856"/>
      <c r="BS36" s="856"/>
      <c r="BT36" s="856"/>
      <c r="BU36" s="856"/>
      <c r="BV36" s="857" t="s">
        <v>7294</v>
      </c>
      <c r="BW36" s="857" t="s">
        <v>7380</v>
      </c>
      <c r="BX36" s="793"/>
      <c r="BY36" s="862"/>
      <c r="BZ36" s="882" t="s">
        <v>7381</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7382</v>
      </c>
      <c r="J37" s="830"/>
      <c r="K37" s="830"/>
      <c r="L37" s="832" t="s">
        <v>7383</v>
      </c>
      <c r="M37" s="830"/>
      <c r="N37" s="832" t="s">
        <v>7384</v>
      </c>
      <c r="O37" s="830"/>
      <c r="P37" s="793"/>
      <c r="Q37" s="835"/>
      <c r="R37" s="835"/>
      <c r="S37" s="835"/>
      <c r="T37" s="835"/>
      <c r="U37" s="835"/>
      <c r="V37" s="838" t="s">
        <v>7385</v>
      </c>
      <c r="W37" s="793"/>
      <c r="X37" s="904"/>
      <c r="Y37" s="904"/>
      <c r="Z37" s="904"/>
      <c r="AA37" s="947"/>
      <c r="AB37" s="904"/>
      <c r="AC37" s="904"/>
      <c r="AD37" s="904"/>
      <c r="AE37" s="800" t="s">
        <v>2261</v>
      </c>
      <c r="AF37" s="904"/>
      <c r="AG37" s="800" t="s">
        <v>7386</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7387</v>
      </c>
      <c r="BF37" s="808"/>
      <c r="BG37" s="854"/>
      <c r="BH37" s="854"/>
      <c r="BI37" s="854"/>
      <c r="BJ37" s="854"/>
      <c r="BK37" s="854"/>
      <c r="BL37" s="851" t="s">
        <v>7388</v>
      </c>
      <c r="BM37" s="854"/>
      <c r="BN37" s="793"/>
      <c r="BO37" s="856"/>
      <c r="BP37" s="909"/>
      <c r="BQ37" s="856"/>
      <c r="BR37" s="856"/>
      <c r="BS37" s="856"/>
      <c r="BT37" s="856"/>
      <c r="BU37" s="856"/>
      <c r="BV37" s="856"/>
      <c r="BW37" s="858" t="s">
        <v>5119</v>
      </c>
      <c r="BX37" s="793"/>
      <c r="BY37" s="862"/>
      <c r="BZ37" s="862"/>
      <c r="CA37" s="862"/>
      <c r="CB37" s="883"/>
      <c r="CC37" s="862"/>
      <c r="CD37" s="862"/>
      <c r="CE37" s="862"/>
      <c r="CF37" s="862"/>
      <c r="CG37" s="862"/>
      <c r="CH37" s="862"/>
      <c r="CI37" s="862"/>
      <c r="CJ37" s="883"/>
      <c r="CK37" s="883"/>
    </row>
    <row r="38">
      <c r="A38" s="829" t="s">
        <v>6372</v>
      </c>
      <c r="B38" s="787" t="s">
        <v>439</v>
      </c>
      <c r="C38" s="783" t="s">
        <v>1258</v>
      </c>
      <c r="D38" s="784" t="s">
        <v>1258</v>
      </c>
      <c r="E38" s="785" t="s">
        <v>1258</v>
      </c>
      <c r="F38" s="786" t="s">
        <v>1258</v>
      </c>
      <c r="G38" s="787" t="s">
        <v>2874</v>
      </c>
      <c r="H38" s="830"/>
      <c r="I38" s="830"/>
      <c r="J38" s="830"/>
      <c r="K38" s="830"/>
      <c r="L38" s="831" t="s">
        <v>7389</v>
      </c>
      <c r="M38" s="830"/>
      <c r="N38" s="831" t="s">
        <v>7390</v>
      </c>
      <c r="O38" s="830"/>
      <c r="P38" s="793"/>
      <c r="Q38" s="835"/>
      <c r="R38" s="835"/>
      <c r="S38" s="835"/>
      <c r="T38" s="835"/>
      <c r="U38" s="834" t="s">
        <v>4523</v>
      </c>
      <c r="V38" s="834" t="s">
        <v>7391</v>
      </c>
      <c r="W38" s="793"/>
      <c r="X38" s="904"/>
      <c r="Y38" s="904"/>
      <c r="Z38" s="839" t="s">
        <v>7392</v>
      </c>
      <c r="AA38" s="947"/>
      <c r="AB38" s="904"/>
      <c r="AC38" s="904"/>
      <c r="AD38" s="839" t="s">
        <v>1410</v>
      </c>
      <c r="AE38" s="839" t="s">
        <v>3274</v>
      </c>
      <c r="AF38" s="839"/>
      <c r="AG38" s="904"/>
      <c r="AH38" s="958" t="s">
        <v>7393</v>
      </c>
      <c r="AI38" s="793"/>
      <c r="AJ38" s="842"/>
      <c r="AK38" s="842"/>
      <c r="AL38" s="842"/>
      <c r="AM38" s="841" t="s">
        <v>2987</v>
      </c>
      <c r="AN38" s="842"/>
      <c r="AO38" s="842"/>
      <c r="AP38" s="842"/>
      <c r="AQ38" s="842"/>
      <c r="AR38" s="842"/>
      <c r="AS38" s="842"/>
      <c r="AT38" s="842"/>
      <c r="AU38" s="842"/>
      <c r="AV38" s="842"/>
      <c r="AW38" s="841" t="s">
        <v>1282</v>
      </c>
      <c r="AX38" s="842"/>
      <c r="AY38" s="842"/>
      <c r="AZ38" s="808"/>
      <c r="BA38" s="919"/>
      <c r="BB38" s="919"/>
      <c r="BC38" s="919"/>
      <c r="BD38" s="919"/>
      <c r="BE38" s="878" t="s">
        <v>7394</v>
      </c>
      <c r="BF38" s="808"/>
      <c r="BG38" s="852" t="s">
        <v>7395</v>
      </c>
      <c r="BH38" s="852" t="s">
        <v>3004</v>
      </c>
      <c r="BI38" s="854"/>
      <c r="BJ38" s="854"/>
      <c r="BK38" s="854"/>
      <c r="BL38" s="852" t="s">
        <v>7396</v>
      </c>
      <c r="BM38" s="854"/>
      <c r="BN38" s="793"/>
      <c r="BO38" s="857" t="s">
        <v>1833</v>
      </c>
      <c r="BP38" s="909"/>
      <c r="BQ38" s="856"/>
      <c r="BR38" s="856"/>
      <c r="BS38" s="856"/>
      <c r="BT38" s="857" t="s">
        <v>4400</v>
      </c>
      <c r="BU38" s="856"/>
      <c r="BV38" s="857" t="s">
        <v>7397</v>
      </c>
      <c r="BW38" s="857" t="s">
        <v>7398</v>
      </c>
      <c r="BX38" s="793"/>
      <c r="BY38" s="862"/>
      <c r="BZ38" s="862"/>
      <c r="CA38" s="862"/>
      <c r="CB38" s="883"/>
      <c r="CC38" s="862"/>
      <c r="CD38" s="862"/>
      <c r="CE38" s="862"/>
      <c r="CF38" s="862"/>
      <c r="CG38" s="862"/>
      <c r="CH38" s="911" t="s">
        <v>6112</v>
      </c>
      <c r="CI38" s="862"/>
      <c r="CJ38" s="883"/>
      <c r="CK38" s="883"/>
    </row>
    <row r="39">
      <c r="A39" s="976" t="s">
        <v>3196</v>
      </c>
      <c r="B39" s="787" t="s">
        <v>2718</v>
      </c>
      <c r="C39" s="783" t="s">
        <v>546</v>
      </c>
      <c r="D39" s="784" t="s">
        <v>1258</v>
      </c>
      <c r="E39" s="785" t="s">
        <v>1258</v>
      </c>
      <c r="F39" s="786" t="s">
        <v>332</v>
      </c>
      <c r="G39" s="787" t="s">
        <v>984</v>
      </c>
      <c r="H39" s="831" t="s">
        <v>840</v>
      </c>
      <c r="I39" s="830"/>
      <c r="J39" s="830"/>
      <c r="K39" s="830"/>
      <c r="L39" s="830"/>
      <c r="M39" s="830"/>
      <c r="N39" s="832" t="s">
        <v>7399</v>
      </c>
      <c r="O39" s="830"/>
      <c r="P39" s="793"/>
      <c r="Q39" s="835"/>
      <c r="R39" s="835"/>
      <c r="S39" s="925" t="s">
        <v>2845</v>
      </c>
      <c r="T39" s="835"/>
      <c r="U39" s="835"/>
      <c r="V39" s="834" t="s">
        <v>7400</v>
      </c>
      <c r="W39" s="793"/>
      <c r="X39" s="904"/>
      <c r="Y39" s="904"/>
      <c r="Z39" s="839" t="s">
        <v>7137</v>
      </c>
      <c r="AA39" s="888" t="s">
        <v>608</v>
      </c>
      <c r="AB39" s="904"/>
      <c r="AC39" s="904"/>
      <c r="AD39" s="839" t="s">
        <v>4952</v>
      </c>
      <c r="AE39" s="839" t="s">
        <v>751</v>
      </c>
      <c r="AF39" s="904"/>
      <c r="AG39" s="904"/>
      <c r="AH39" s="956" t="s">
        <v>7401</v>
      </c>
      <c r="AI39" s="793"/>
      <c r="AJ39" s="842"/>
      <c r="AK39" s="842"/>
      <c r="AL39" s="842"/>
      <c r="AM39" s="841" t="s">
        <v>7402</v>
      </c>
      <c r="AN39" s="842"/>
      <c r="AO39" s="842"/>
      <c r="AP39" s="842"/>
      <c r="AQ39" s="842"/>
      <c r="AR39" s="842"/>
      <c r="AS39" s="842"/>
      <c r="AT39" s="842"/>
      <c r="AU39" s="842"/>
      <c r="AV39" s="842"/>
      <c r="AW39" s="842"/>
      <c r="AX39" s="842"/>
      <c r="AY39" s="841" t="s">
        <v>7403</v>
      </c>
      <c r="AZ39" s="808"/>
      <c r="BA39" s="919"/>
      <c r="BB39" s="919"/>
      <c r="BC39" s="919"/>
      <c r="BD39" s="878" t="s">
        <v>7404</v>
      </c>
      <c r="BE39" s="878" t="s">
        <v>7405</v>
      </c>
      <c r="BF39" s="808"/>
      <c r="BG39" s="852" t="s">
        <v>1390</v>
      </c>
      <c r="BH39" s="854"/>
      <c r="BI39" s="854"/>
      <c r="BJ39" s="854"/>
      <c r="BK39" s="854"/>
      <c r="BL39" s="852" t="s">
        <v>7406</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5301</v>
      </c>
      <c r="B40" s="787" t="s">
        <v>1349</v>
      </c>
      <c r="C40" s="783" t="s">
        <v>1258</v>
      </c>
      <c r="D40" s="784" t="s">
        <v>1258</v>
      </c>
      <c r="E40" s="785" t="s">
        <v>1258</v>
      </c>
      <c r="F40" s="786" t="s">
        <v>546</v>
      </c>
      <c r="G40" s="787" t="s">
        <v>4055</v>
      </c>
      <c r="H40" s="831" t="s">
        <v>4370</v>
      </c>
      <c r="I40" s="830"/>
      <c r="J40" s="830"/>
      <c r="K40" s="830"/>
      <c r="L40" s="831" t="s">
        <v>7407</v>
      </c>
      <c r="M40" s="830"/>
      <c r="N40" s="831" t="s">
        <v>7408</v>
      </c>
      <c r="O40" s="830"/>
      <c r="P40" s="793"/>
      <c r="Q40" s="835"/>
      <c r="R40" s="835"/>
      <c r="S40" s="835"/>
      <c r="T40" s="835"/>
      <c r="U40" s="834" t="s">
        <v>7409</v>
      </c>
      <c r="V40" s="834" t="s">
        <v>7410</v>
      </c>
      <c r="W40" s="793"/>
      <c r="X40" s="904"/>
      <c r="Y40" s="839" t="s">
        <v>5315</v>
      </c>
      <c r="Z40" s="839" t="s">
        <v>2702</v>
      </c>
      <c r="AA40" s="955" t="s">
        <v>7411</v>
      </c>
      <c r="AB40" s="839" t="s">
        <v>7412</v>
      </c>
      <c r="AC40" s="839" t="s">
        <v>7413</v>
      </c>
      <c r="AD40" s="904"/>
      <c r="AE40" s="839" t="s">
        <v>7414</v>
      </c>
      <c r="AF40" s="904"/>
      <c r="AG40" s="904"/>
      <c r="AH40" s="958" t="s">
        <v>7415</v>
      </c>
      <c r="AI40" s="793"/>
      <c r="AJ40" s="842"/>
      <c r="AK40" s="846" t="s">
        <v>7416</v>
      </c>
      <c r="AL40" s="842"/>
      <c r="AM40" s="842"/>
      <c r="AN40" s="842"/>
      <c r="AO40" s="842"/>
      <c r="AP40" s="841" t="s">
        <v>7417</v>
      </c>
      <c r="AQ40" s="842"/>
      <c r="AR40" s="842"/>
      <c r="AS40" s="842"/>
      <c r="AT40" s="842"/>
      <c r="AU40" s="842"/>
      <c r="AV40" s="842"/>
      <c r="AW40" s="841" t="s">
        <v>7418</v>
      </c>
      <c r="AX40" s="842"/>
      <c r="AY40" s="842"/>
      <c r="AZ40" s="808"/>
      <c r="BA40" s="919"/>
      <c r="BB40" s="878" t="s">
        <v>7185</v>
      </c>
      <c r="BC40" s="919"/>
      <c r="BD40" s="878" t="s">
        <v>5324</v>
      </c>
      <c r="BE40" s="878" t="s">
        <v>7419</v>
      </c>
      <c r="BF40" s="808"/>
      <c r="BG40" s="854"/>
      <c r="BH40" s="854"/>
      <c r="BI40" s="852" t="s">
        <v>7420</v>
      </c>
      <c r="BJ40" s="854"/>
      <c r="BK40" s="854"/>
      <c r="BL40" s="852" t="s">
        <v>7421</v>
      </c>
      <c r="BN40" s="793"/>
      <c r="BO40" s="857" t="s">
        <v>7422</v>
      </c>
      <c r="BP40" s="909"/>
      <c r="BQ40" s="856"/>
      <c r="BR40" s="857" t="s">
        <v>7423</v>
      </c>
      <c r="BS40" s="856"/>
      <c r="BT40" s="857" t="s">
        <v>7424</v>
      </c>
      <c r="BU40" s="857" t="s">
        <v>7425</v>
      </c>
      <c r="BV40" s="856"/>
      <c r="BW40" s="857" t="s">
        <v>7426</v>
      </c>
      <c r="BX40" s="793"/>
      <c r="BY40" s="862"/>
      <c r="BZ40" s="862"/>
      <c r="CA40" s="862"/>
      <c r="CB40" s="883"/>
      <c r="CC40" s="862"/>
      <c r="CD40" s="862"/>
      <c r="CE40" s="862"/>
      <c r="CF40" s="861" t="s">
        <v>7427</v>
      </c>
      <c r="CG40" s="862"/>
      <c r="CH40" s="862"/>
      <c r="CI40" s="862"/>
      <c r="CJ40" s="883"/>
      <c r="CK40" s="883"/>
    </row>
    <row r="41">
      <c r="A41" s="829" t="s">
        <v>5342</v>
      </c>
      <c r="B41" s="787" t="s">
        <v>2030</v>
      </c>
      <c r="C41" s="783" t="s">
        <v>1258</v>
      </c>
      <c r="D41" s="784" t="s">
        <v>1258</v>
      </c>
      <c r="E41" s="785" t="s">
        <v>1258</v>
      </c>
      <c r="F41" s="786" t="s">
        <v>546</v>
      </c>
      <c r="G41" s="787" t="s">
        <v>221</v>
      </c>
      <c r="H41" s="830"/>
      <c r="I41" s="830"/>
      <c r="J41" s="830"/>
      <c r="K41" s="830"/>
      <c r="L41" s="929" t="s">
        <v>291</v>
      </c>
      <c r="M41" s="830"/>
      <c r="N41" s="831" t="s">
        <v>7428</v>
      </c>
      <c r="O41" s="830"/>
      <c r="P41" s="793"/>
      <c r="Q41" s="835"/>
      <c r="R41" s="835"/>
      <c r="S41" s="834" t="s">
        <v>7429</v>
      </c>
      <c r="T41" s="835"/>
      <c r="U41" s="835"/>
      <c r="V41" s="835"/>
      <c r="W41" s="793"/>
      <c r="X41" s="904"/>
      <c r="Y41" s="904"/>
      <c r="Z41" s="904"/>
      <c r="AA41" s="955" t="s">
        <v>7430</v>
      </c>
      <c r="AB41" s="873" t="s">
        <v>7431</v>
      </c>
      <c r="AC41" s="904"/>
      <c r="AD41" s="904"/>
      <c r="AE41" s="904"/>
      <c r="AF41" s="904"/>
      <c r="AG41" s="904"/>
      <c r="AH41" s="958" t="s">
        <v>7432</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7433</v>
      </c>
      <c r="BF41" s="808"/>
      <c r="BG41" s="854"/>
      <c r="BH41" s="854"/>
      <c r="BI41" s="854"/>
      <c r="BJ41" s="854"/>
      <c r="BK41" s="854"/>
      <c r="BL41" s="854"/>
      <c r="BM41" s="854"/>
      <c r="BN41" s="793"/>
      <c r="BO41" s="856"/>
      <c r="BP41" s="909"/>
      <c r="BQ41" s="856"/>
      <c r="BR41" s="856"/>
      <c r="BS41" s="856"/>
      <c r="BT41" s="856"/>
      <c r="BU41" s="944" t="s">
        <v>3418</v>
      </c>
      <c r="BV41" s="857" t="s">
        <v>391</v>
      </c>
      <c r="BW41" s="910" t="s">
        <v>7434</v>
      </c>
      <c r="BX41" s="793"/>
      <c r="BY41" s="862"/>
      <c r="BZ41" s="959" t="s">
        <v>2878</v>
      </c>
      <c r="CA41" s="862"/>
      <c r="CB41" s="883"/>
      <c r="CC41" s="862"/>
      <c r="CD41" s="862"/>
      <c r="CE41" s="862"/>
      <c r="CF41" s="861" t="s">
        <v>7435</v>
      </c>
      <c r="CG41" s="862"/>
      <c r="CH41" s="862"/>
      <c r="CI41" s="882" t="s">
        <v>5005</v>
      </c>
      <c r="CJ41" s="883"/>
      <c r="CK41" s="883"/>
    </row>
    <row r="42">
      <c r="A42" s="829" t="s">
        <v>7436</v>
      </c>
      <c r="B42" s="787" t="s">
        <v>3408</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5352</v>
      </c>
      <c r="U42" s="835"/>
      <c r="V42" s="913" t="s">
        <v>7437</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7438</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7439</v>
      </c>
      <c r="Z43" s="980"/>
      <c r="AA43" s="980"/>
      <c r="AB43" s="983" t="s">
        <v>5160</v>
      </c>
      <c r="AC43" s="980"/>
      <c r="AD43" s="981"/>
      <c r="AE43" s="981"/>
      <c r="AF43" s="981"/>
      <c r="AG43" s="983" t="s">
        <v>7440</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4605</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6216</v>
      </c>
      <c r="AF44" s="904"/>
      <c r="AG44" s="904"/>
      <c r="AH44" s="802"/>
      <c r="AI44" s="793"/>
      <c r="AJ44" s="842"/>
      <c r="AK44" s="842"/>
      <c r="AL44" s="842"/>
      <c r="AM44" s="846" t="s">
        <v>4563</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7441</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2377</v>
      </c>
      <c r="C45" s="783" t="s">
        <v>1258</v>
      </c>
      <c r="D45" s="784" t="s">
        <v>1258</v>
      </c>
      <c r="E45" s="785" t="s">
        <v>1258</v>
      </c>
      <c r="F45" s="786" t="s">
        <v>1258</v>
      </c>
      <c r="G45" s="787" t="s">
        <v>333</v>
      </c>
      <c r="H45" s="830"/>
      <c r="I45" s="830"/>
      <c r="J45" s="831" t="s">
        <v>7442</v>
      </c>
      <c r="K45" s="831"/>
      <c r="L45" s="831"/>
      <c r="M45" s="831" t="s">
        <v>7443</v>
      </c>
      <c r="N45" s="830"/>
      <c r="O45" s="831" t="s">
        <v>7444</v>
      </c>
      <c r="P45" s="793"/>
      <c r="Q45" s="835"/>
      <c r="R45" s="834" t="s">
        <v>5077</v>
      </c>
      <c r="S45" s="835"/>
      <c r="T45" s="835"/>
      <c r="U45" s="835"/>
      <c r="V45" s="834" t="s">
        <v>7445</v>
      </c>
      <c r="W45" s="793"/>
      <c r="X45" s="904"/>
      <c r="Y45" s="904"/>
      <c r="Z45" s="904"/>
      <c r="AA45" s="955" t="s">
        <v>7446</v>
      </c>
      <c r="AB45" s="839" t="s">
        <v>7447</v>
      </c>
      <c r="AC45" s="904"/>
      <c r="AD45" s="904"/>
      <c r="AE45" s="904"/>
      <c r="AF45" s="904"/>
      <c r="AG45" s="839" t="s">
        <v>7448</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7449</v>
      </c>
      <c r="BF45" s="808"/>
      <c r="BG45" s="854"/>
      <c r="BH45" s="854"/>
      <c r="BI45" s="854"/>
      <c r="BJ45" s="854"/>
      <c r="BK45" s="854"/>
      <c r="BL45" s="854"/>
      <c r="BM45" s="852" t="s">
        <v>7450</v>
      </c>
      <c r="BN45" s="793"/>
      <c r="BO45" s="856"/>
      <c r="BP45" s="909"/>
      <c r="BQ45" s="856"/>
      <c r="BR45" s="856"/>
      <c r="BS45" s="856"/>
      <c r="BT45" s="856"/>
      <c r="BU45" s="856"/>
      <c r="BV45" s="857" t="s">
        <v>6792</v>
      </c>
      <c r="BW45" s="857" t="s">
        <v>7451</v>
      </c>
      <c r="BX45" s="793"/>
      <c r="BY45" s="862"/>
      <c r="BZ45" s="862"/>
      <c r="CA45" s="862"/>
      <c r="CB45" s="883"/>
      <c r="CC45" s="862"/>
      <c r="CD45" s="862"/>
      <c r="CE45" s="862"/>
      <c r="CF45" s="862"/>
      <c r="CG45" s="862"/>
      <c r="CH45" s="862"/>
      <c r="CI45" s="862"/>
      <c r="CJ45" s="883"/>
      <c r="CK45" s="883"/>
    </row>
    <row r="46">
      <c r="A46" s="829" t="s">
        <v>6015</v>
      </c>
      <c r="B46" s="787" t="s">
        <v>5694</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7452</v>
      </c>
      <c r="BX46" s="793"/>
      <c r="BY46" s="862"/>
      <c r="BZ46" s="862"/>
      <c r="CA46" s="862"/>
      <c r="CB46" s="883"/>
      <c r="CC46" s="862"/>
      <c r="CD46" s="862"/>
      <c r="CE46" s="862"/>
      <c r="CF46" s="862"/>
      <c r="CG46" s="862"/>
      <c r="CH46" s="862"/>
      <c r="CI46" s="862"/>
      <c r="CJ46" s="883"/>
      <c r="CK46" s="883"/>
    </row>
    <row r="47" ht="15.75" customHeight="1">
      <c r="A47" s="829" t="s">
        <v>2773</v>
      </c>
      <c r="B47" s="787" t="s">
        <v>1060</v>
      </c>
      <c r="C47" s="783" t="s">
        <v>1258</v>
      </c>
      <c r="D47" s="784" t="s">
        <v>1258</v>
      </c>
      <c r="E47" s="785" t="s">
        <v>1258</v>
      </c>
      <c r="F47" s="786" t="s">
        <v>1258</v>
      </c>
      <c r="G47" s="787" t="s">
        <v>649</v>
      </c>
      <c r="H47" s="830"/>
      <c r="I47" s="830"/>
      <c r="J47" s="830"/>
      <c r="K47" s="830"/>
      <c r="L47" s="985" t="s">
        <v>7453</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7454</v>
      </c>
      <c r="BF47" s="808"/>
      <c r="BG47" s="936" t="s">
        <v>7455</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7456</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2"/>
      <c r="AI48" s="793"/>
      <c r="AJ48" s="842"/>
      <c r="AK48" s="842"/>
      <c r="AL48" s="842"/>
      <c r="AM48" s="841" t="s">
        <v>3344</v>
      </c>
      <c r="AN48" s="842"/>
      <c r="AO48" s="842"/>
      <c r="AP48" s="841" t="s">
        <v>705</v>
      </c>
      <c r="AQ48" s="842"/>
      <c r="AR48" s="841" t="s">
        <v>7457</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7458</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7459</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5373</v>
      </c>
      <c r="B50" s="787" t="s">
        <v>220</v>
      </c>
      <c r="C50" s="783" t="s">
        <v>1258</v>
      </c>
      <c r="D50" s="784" t="s">
        <v>1258</v>
      </c>
      <c r="E50" s="785" t="s">
        <v>1258</v>
      </c>
      <c r="F50" s="786" t="s">
        <v>1258</v>
      </c>
      <c r="G50" s="787" t="s">
        <v>983</v>
      </c>
      <c r="H50" s="830"/>
      <c r="I50" s="830"/>
      <c r="J50" s="830"/>
      <c r="K50" s="830"/>
      <c r="L50" s="831" t="s">
        <v>4835</v>
      </c>
      <c r="M50" s="830"/>
      <c r="N50" s="831" t="s">
        <v>7460</v>
      </c>
      <c r="O50" s="830"/>
      <c r="P50" s="793"/>
      <c r="Q50" s="835"/>
      <c r="R50" s="835"/>
      <c r="S50" s="835"/>
      <c r="T50" s="835"/>
      <c r="U50" s="834"/>
      <c r="V50" s="834" t="s">
        <v>7461</v>
      </c>
      <c r="W50" s="793"/>
      <c r="X50" s="904"/>
      <c r="Y50" s="904"/>
      <c r="Z50" s="871" t="s">
        <v>7462</v>
      </c>
      <c r="AA50" s="947"/>
      <c r="AB50" s="839" t="s">
        <v>816</v>
      </c>
      <c r="AC50" s="904"/>
      <c r="AD50" s="904"/>
      <c r="AE50" s="904"/>
      <c r="AF50" s="904"/>
      <c r="AG50" s="839" t="s">
        <v>7463</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7464</v>
      </c>
      <c r="BF50" s="808"/>
      <c r="BG50" s="854"/>
      <c r="BH50" s="854"/>
      <c r="BI50" s="854"/>
      <c r="BJ50" s="854"/>
      <c r="BK50" s="854"/>
      <c r="BL50" s="854"/>
      <c r="BM50" s="854"/>
      <c r="BN50" s="793"/>
      <c r="BO50" s="857" t="s">
        <v>7465</v>
      </c>
      <c r="BP50" s="909"/>
      <c r="BQ50" s="856"/>
      <c r="BR50" s="856"/>
      <c r="BS50" s="856"/>
      <c r="BT50" s="856"/>
      <c r="BU50" s="856"/>
      <c r="BV50" s="856"/>
      <c r="BW50" s="910" t="s">
        <v>7466</v>
      </c>
      <c r="BX50" s="793"/>
      <c r="BY50" s="862"/>
      <c r="BZ50" s="862"/>
      <c r="CA50" s="862"/>
      <c r="CB50" s="883"/>
      <c r="CC50" s="862"/>
      <c r="CD50" s="862"/>
      <c r="CE50" s="862"/>
      <c r="CF50" s="862"/>
      <c r="CG50" s="862"/>
      <c r="CH50" s="862"/>
      <c r="CI50" s="862"/>
      <c r="CJ50" s="883"/>
      <c r="CK50" s="883"/>
    </row>
    <row r="51">
      <c r="A51" s="829" t="s">
        <v>7467</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7468</v>
      </c>
      <c r="W51" s="793"/>
      <c r="X51" s="904"/>
      <c r="Y51" s="904"/>
      <c r="Z51" s="904"/>
      <c r="AA51" s="947"/>
      <c r="AB51" s="904"/>
      <c r="AC51" s="904"/>
      <c r="AD51" s="904"/>
      <c r="AE51" s="904"/>
      <c r="AF51" s="904"/>
      <c r="AG51" s="904"/>
      <c r="AH51" s="958" t="s">
        <v>7469</v>
      </c>
      <c r="AI51" s="793"/>
      <c r="AJ51" s="842"/>
      <c r="AK51" s="842"/>
      <c r="AL51" s="842"/>
      <c r="AM51" s="842"/>
      <c r="AN51" s="842"/>
      <c r="AO51" s="842"/>
      <c r="AP51" s="842"/>
      <c r="AQ51" s="842"/>
      <c r="AR51" s="842"/>
      <c r="AS51" s="842"/>
      <c r="AT51" s="842"/>
      <c r="AU51" s="842"/>
      <c r="AV51" s="842"/>
      <c r="AW51" s="842"/>
      <c r="AX51" s="842"/>
      <c r="AY51" s="958" t="s">
        <v>7470</v>
      </c>
      <c r="AZ51" s="808"/>
      <c r="BA51" s="919"/>
      <c r="BB51" s="919"/>
      <c r="BC51" s="919"/>
      <c r="BD51" s="919"/>
      <c r="BE51" s="958" t="s">
        <v>7471</v>
      </c>
      <c r="BF51" s="808"/>
      <c r="BG51" s="854"/>
      <c r="BH51" s="854"/>
      <c r="BI51" s="854"/>
      <c r="BJ51" s="854"/>
      <c r="BK51" s="854"/>
      <c r="BL51" s="958" t="s">
        <v>7472</v>
      </c>
      <c r="BM51" s="852"/>
      <c r="BN51" s="793"/>
      <c r="BO51" s="856"/>
      <c r="BP51" s="909"/>
      <c r="BQ51" s="856"/>
      <c r="BR51" s="856"/>
      <c r="BS51" s="856"/>
      <c r="BT51" s="856"/>
      <c r="BU51" s="856"/>
      <c r="BV51" s="856"/>
      <c r="BW51" s="958" t="s">
        <v>7473</v>
      </c>
      <c r="BX51" s="793"/>
      <c r="BY51" s="862"/>
      <c r="BZ51" s="862"/>
      <c r="CA51" s="862"/>
      <c r="CB51" s="883"/>
      <c r="CC51" s="862"/>
      <c r="CD51" s="862"/>
      <c r="CE51" s="862"/>
      <c r="CF51" s="862"/>
      <c r="CG51" s="862"/>
      <c r="CH51" s="862"/>
      <c r="CI51" s="862"/>
      <c r="CJ51" s="883"/>
      <c r="CK51" s="883"/>
    </row>
    <row r="52">
      <c r="A52" s="965" t="s">
        <v>7474</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7475</v>
      </c>
      <c r="AA52" s="904"/>
      <c r="AB52" s="914" t="s">
        <v>7476</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7477</v>
      </c>
      <c r="B53" s="787" t="s">
        <v>333</v>
      </c>
      <c r="C53" s="783" t="s">
        <v>1258</v>
      </c>
      <c r="D53" s="784" t="s">
        <v>1258</v>
      </c>
      <c r="E53" s="785" t="s">
        <v>1258</v>
      </c>
      <c r="F53" s="786" t="s">
        <v>1258</v>
      </c>
      <c r="G53" s="787" t="s">
        <v>649</v>
      </c>
      <c r="H53" s="830"/>
      <c r="I53" s="830"/>
      <c r="J53" s="830"/>
      <c r="K53" s="830"/>
      <c r="L53" s="830"/>
      <c r="M53" s="830"/>
      <c r="N53" s="831" t="s">
        <v>7478</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7479</v>
      </c>
      <c r="BF53" s="808"/>
      <c r="BG53" s="854"/>
      <c r="BH53" s="854"/>
      <c r="BI53" s="854"/>
      <c r="BJ53" s="854"/>
      <c r="BK53" s="854"/>
      <c r="BL53" s="854"/>
      <c r="BM53" s="854"/>
      <c r="BN53" s="793"/>
      <c r="BO53" s="856"/>
      <c r="BP53" s="909"/>
      <c r="BQ53" s="856"/>
      <c r="BR53" s="856"/>
      <c r="BS53" s="856"/>
      <c r="BT53" s="856"/>
      <c r="BU53" s="856"/>
      <c r="BV53" s="856"/>
      <c r="BW53" s="857" t="s">
        <v>7480</v>
      </c>
      <c r="BX53" s="793"/>
      <c r="BY53" s="862"/>
      <c r="BZ53" s="862"/>
      <c r="CA53" s="862"/>
      <c r="CB53" s="883"/>
      <c r="CC53" s="862"/>
      <c r="CD53" s="862"/>
      <c r="CE53" s="862"/>
      <c r="CF53" s="862"/>
      <c r="CG53" s="862"/>
      <c r="CH53" s="862"/>
      <c r="CI53" s="862"/>
      <c r="CJ53" s="883"/>
      <c r="CK53" s="883"/>
    </row>
    <row r="54">
      <c r="A54" s="829" t="s">
        <v>3625</v>
      </c>
      <c r="B54" s="787" t="s">
        <v>3063</v>
      </c>
      <c r="C54" s="783" t="s">
        <v>1258</v>
      </c>
      <c r="D54" s="784" t="s">
        <v>1258</v>
      </c>
      <c r="E54" s="785" t="s">
        <v>1258</v>
      </c>
      <c r="F54" s="786" t="s">
        <v>546</v>
      </c>
      <c r="G54" s="787" t="s">
        <v>649</v>
      </c>
      <c r="H54" s="830"/>
      <c r="I54" s="830"/>
      <c r="J54" s="830"/>
      <c r="K54" s="830"/>
      <c r="L54" s="830"/>
      <c r="M54" s="830"/>
      <c r="N54" s="830"/>
      <c r="O54" s="830"/>
      <c r="P54" s="793"/>
      <c r="Q54" s="834" t="s">
        <v>6142</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7481</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6146</v>
      </c>
      <c r="B55" s="787" t="s">
        <v>1198</v>
      </c>
      <c r="C55" s="783" t="s">
        <v>1258</v>
      </c>
      <c r="D55" s="784" t="s">
        <v>1258</v>
      </c>
      <c r="E55" s="785" t="s">
        <v>1258</v>
      </c>
      <c r="F55" s="786" t="s">
        <v>1258</v>
      </c>
      <c r="G55" s="787" t="s">
        <v>3872</v>
      </c>
      <c r="H55" s="830"/>
      <c r="I55" s="830"/>
      <c r="J55" s="830"/>
      <c r="K55" s="830"/>
      <c r="L55" s="830"/>
      <c r="M55" s="830"/>
      <c r="N55" s="831" t="s">
        <v>7482</v>
      </c>
      <c r="O55" s="830"/>
      <c r="P55" s="793"/>
      <c r="Q55" s="835"/>
      <c r="R55" s="835"/>
      <c r="S55" s="835"/>
      <c r="T55" s="835"/>
      <c r="U55" s="835"/>
      <c r="V55" s="834" t="s">
        <v>7483</v>
      </c>
      <c r="W55" s="793"/>
      <c r="X55" s="904"/>
      <c r="Y55" s="904"/>
      <c r="Z55" s="904"/>
      <c r="AA55" s="947"/>
      <c r="AB55" s="904"/>
      <c r="AC55" s="904"/>
      <c r="AD55" s="904"/>
      <c r="AE55" s="839" t="s">
        <v>7484</v>
      </c>
      <c r="AF55" s="904"/>
      <c r="AG55" s="904"/>
      <c r="AH55" s="958" t="s">
        <v>7485</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7486</v>
      </c>
      <c r="BE55" s="878" t="s">
        <v>7487</v>
      </c>
      <c r="BF55" s="808"/>
      <c r="BG55" s="854"/>
      <c r="BH55" s="854"/>
      <c r="BI55" s="854"/>
      <c r="BJ55" s="854"/>
      <c r="BK55" s="854"/>
      <c r="BL55" s="854"/>
      <c r="BM55" s="854"/>
      <c r="BN55" s="793"/>
      <c r="BO55" s="856"/>
      <c r="BP55" s="909"/>
      <c r="BQ55" s="856"/>
      <c r="BR55" s="856"/>
      <c r="BS55" s="856"/>
      <c r="BT55" s="856"/>
      <c r="BU55" s="856"/>
      <c r="BV55" s="856"/>
      <c r="BW55" s="857" t="s">
        <v>7488</v>
      </c>
      <c r="BX55" s="793"/>
      <c r="BY55" s="862"/>
      <c r="BZ55" s="862"/>
      <c r="CA55" s="862"/>
      <c r="CB55" s="883"/>
      <c r="CC55" s="862"/>
      <c r="CD55" s="862"/>
      <c r="CE55" s="862"/>
      <c r="CF55" s="862"/>
      <c r="CG55" s="862"/>
      <c r="CH55" s="862"/>
      <c r="CI55" s="862"/>
      <c r="CJ55" s="883"/>
      <c r="CK55" s="883"/>
    </row>
    <row r="56">
      <c r="A56" s="829" t="s">
        <v>6456</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7489</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5898</v>
      </c>
      <c r="AL57" s="841" t="s">
        <v>7490</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7491</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7492</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5464</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7493</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5285</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6273</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4653</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7494</v>
      </c>
      <c r="B62" s="787" t="s">
        <v>332</v>
      </c>
      <c r="C62" s="783" t="s">
        <v>1258</v>
      </c>
      <c r="D62" s="784" t="s">
        <v>1258</v>
      </c>
      <c r="E62" s="785" t="s">
        <v>1258</v>
      </c>
      <c r="F62" s="786" t="s">
        <v>437</v>
      </c>
      <c r="G62" s="787" t="s">
        <v>437</v>
      </c>
      <c r="H62" s="830"/>
      <c r="I62" s="830"/>
      <c r="J62" s="830"/>
      <c r="K62" s="830"/>
      <c r="L62" s="832" t="s">
        <v>7495</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6762</v>
      </c>
      <c r="BV62" s="856"/>
      <c r="BW62" s="856"/>
      <c r="BX62" s="793"/>
      <c r="BY62" s="862"/>
      <c r="BZ62" s="862"/>
      <c r="CA62" s="862"/>
      <c r="CB62" s="883"/>
      <c r="CC62" s="862"/>
      <c r="CD62" s="862"/>
      <c r="CE62" s="862"/>
      <c r="CF62" s="862"/>
      <c r="CG62" s="862"/>
      <c r="CH62" s="862"/>
      <c r="CI62" s="862"/>
      <c r="CJ62" s="883"/>
      <c r="CK62" s="883"/>
    </row>
    <row r="63">
      <c r="A63" s="829" t="s">
        <v>7496</v>
      </c>
      <c r="B63" s="787" t="s">
        <v>546</v>
      </c>
      <c r="C63" s="783" t="s">
        <v>1258</v>
      </c>
      <c r="D63" s="784" t="s">
        <v>1258</v>
      </c>
      <c r="E63" s="785" t="s">
        <v>1258</v>
      </c>
      <c r="F63" s="786" t="s">
        <v>1258</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5777</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7497</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6542</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7498</v>
      </c>
      <c r="D1" s="1001" t="s">
        <v>1550</v>
      </c>
      <c r="E1" s="1002" t="s">
        <v>7499</v>
      </c>
      <c r="F1" s="1003" t="s">
        <v>2545</v>
      </c>
      <c r="G1" s="1001" t="s">
        <v>1058</v>
      </c>
      <c r="H1" s="1001" t="s">
        <v>7500</v>
      </c>
      <c r="I1" s="1002" t="s">
        <v>7501</v>
      </c>
      <c r="J1" s="1001" t="s">
        <v>7019</v>
      </c>
      <c r="K1" s="1001" t="s">
        <v>7502</v>
      </c>
      <c r="L1" s="1002" t="s">
        <v>7503</v>
      </c>
      <c r="M1" s="1001" t="s">
        <v>741</v>
      </c>
      <c r="N1" s="1001" t="s">
        <v>7504</v>
      </c>
      <c r="O1" s="1001" t="s">
        <v>981</v>
      </c>
      <c r="P1" s="1004" t="s">
        <v>7505</v>
      </c>
      <c r="Q1" s="1001" t="s">
        <v>1810</v>
      </c>
      <c r="R1" s="1001" t="s">
        <v>7506</v>
      </c>
      <c r="S1" s="1001" t="s">
        <v>7262</v>
      </c>
      <c r="T1" s="1002" t="s">
        <v>7507</v>
      </c>
      <c r="U1" s="1001" t="s">
        <v>2716</v>
      </c>
      <c r="V1" s="1005" t="s">
        <v>7508</v>
      </c>
      <c r="W1" s="1001" t="s">
        <v>7509</v>
      </c>
      <c r="X1" s="1001" t="s">
        <v>7135</v>
      </c>
      <c r="Y1" s="1001" t="s">
        <v>4053</v>
      </c>
      <c r="Z1" s="1001" t="s">
        <v>7510</v>
      </c>
      <c r="AA1" s="1001" t="s">
        <v>6728</v>
      </c>
      <c r="AB1" s="1001" t="s">
        <v>3572</v>
      </c>
      <c r="AC1" s="1001" t="s">
        <v>7208</v>
      </c>
      <c r="AD1" s="1001" t="s">
        <v>7511</v>
      </c>
      <c r="AE1" s="1001" t="s">
        <v>7512</v>
      </c>
      <c r="AF1" s="1001" t="s">
        <v>1196</v>
      </c>
      <c r="AG1" s="1001" t="s">
        <v>218</v>
      </c>
      <c r="AH1" s="1001" t="s">
        <v>1632</v>
      </c>
      <c r="AI1" s="1001" t="s">
        <v>2089</v>
      </c>
      <c r="AJ1" s="1001" t="s">
        <v>7513</v>
      </c>
      <c r="AK1" s="1001" t="s">
        <v>7514</v>
      </c>
      <c r="AL1" s="1001" t="s">
        <v>7515</v>
      </c>
      <c r="AM1" s="1001" t="s">
        <v>2028</v>
      </c>
      <c r="AN1" s="1001" t="s">
        <v>7516</v>
      </c>
      <c r="AO1" s="1001" t="s">
        <v>7517</v>
      </c>
      <c r="AP1" s="1001" t="s">
        <v>6024</v>
      </c>
      <c r="AQ1" s="1001" t="s">
        <v>7518</v>
      </c>
      <c r="AR1" s="1001" t="s">
        <v>7519</v>
      </c>
      <c r="AS1" s="1001" t="s">
        <v>7520</v>
      </c>
      <c r="AT1" s="1001" t="s">
        <v>7521</v>
      </c>
      <c r="AU1" s="1005" t="s">
        <v>7522</v>
      </c>
      <c r="AV1" s="1001" t="s">
        <v>3196</v>
      </c>
      <c r="AW1" s="1001" t="s">
        <v>3905</v>
      </c>
      <c r="AX1" s="1001" t="s">
        <v>5895</v>
      </c>
      <c r="AY1" s="1001" t="s">
        <v>7523</v>
      </c>
      <c r="AZ1" s="1001" t="s">
        <v>5342</v>
      </c>
      <c r="BA1" s="1005" t="s">
        <v>4681</v>
      </c>
      <c r="BB1" s="1001" t="s">
        <v>827</v>
      </c>
      <c r="BC1" s="1001" t="s">
        <v>646</v>
      </c>
      <c r="BD1" s="1001" t="s">
        <v>7524</v>
      </c>
      <c r="BE1" s="1002" t="s">
        <v>7256</v>
      </c>
      <c r="BF1" s="1001" t="s">
        <v>7459</v>
      </c>
      <c r="BG1" s="1001" t="s">
        <v>7467</v>
      </c>
      <c r="BH1" s="1001" t="s">
        <v>1723</v>
      </c>
      <c r="BI1" s="1005" t="s">
        <v>6655</v>
      </c>
      <c r="BJ1" s="1005" t="s">
        <v>6615</v>
      </c>
      <c r="BK1" s="1005" t="s">
        <v>1880</v>
      </c>
      <c r="BL1" s="1005" t="s">
        <v>7525</v>
      </c>
      <c r="BM1" s="1006"/>
      <c r="BN1" s="1006"/>
      <c r="BO1" s="1006"/>
    </row>
    <row r="2" ht="15.75" customHeight="1">
      <c r="A2" s="1007" t="s">
        <v>7526</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7527</v>
      </c>
      <c r="B4" s="1017" t="s">
        <v>7528</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2989</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7529</v>
      </c>
      <c r="B5" s="1028" t="s">
        <v>7530</v>
      </c>
      <c r="C5" s="1018" t="s">
        <v>7071</v>
      </c>
      <c r="D5" s="1029" t="s">
        <v>7531</v>
      </c>
      <c r="E5" s="1029" t="s">
        <v>7532</v>
      </c>
      <c r="F5" s="1030"/>
      <c r="G5" s="1029"/>
      <c r="H5" s="1023" t="s">
        <v>7533</v>
      </c>
      <c r="I5" s="1029" t="s">
        <v>7534</v>
      </c>
      <c r="J5" s="1029"/>
      <c r="K5" s="1029" t="s">
        <v>3653</v>
      </c>
      <c r="L5" s="1029"/>
      <c r="M5" s="1029"/>
      <c r="N5" s="1029" t="s">
        <v>7535</v>
      </c>
      <c r="O5" s="1029" t="str">
        <f>HYPERLINK("https://youtu.be/y9FQ4EcrohI", "1:21.52")</f>
        <v>1:21.52</v>
      </c>
      <c r="P5" s="1025" t="s">
        <v>7536</v>
      </c>
      <c r="Q5" s="1029"/>
      <c r="R5" s="1029" t="s">
        <v>7071</v>
      </c>
      <c r="S5" s="1029" t="s">
        <v>2585</v>
      </c>
      <c r="T5" s="1029"/>
      <c r="U5" s="1029"/>
      <c r="V5" s="1031" t="s">
        <v>7537</v>
      </c>
      <c r="W5" s="1029"/>
      <c r="X5" s="1029"/>
      <c r="Y5" s="1029"/>
      <c r="Z5" s="1029"/>
      <c r="AA5" s="1029"/>
      <c r="AB5" s="1029" t="s">
        <v>7538</v>
      </c>
      <c r="AC5" s="1029"/>
      <c r="AD5" s="1029"/>
      <c r="AE5" s="1029" t="s">
        <v>7539</v>
      </c>
      <c r="AF5" s="1029"/>
      <c r="AG5" s="1029"/>
      <c r="AH5" s="1029"/>
      <c r="AI5" s="1029"/>
      <c r="AJ5" s="1029"/>
      <c r="AK5" s="1022" t="s">
        <v>4422</v>
      </c>
      <c r="AL5" s="1029"/>
      <c r="AM5" s="1029"/>
      <c r="AN5" s="1029"/>
      <c r="AO5" s="1029"/>
      <c r="AP5" s="1029" t="s">
        <v>5728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7540</v>
      </c>
      <c r="C6" s="1018" t="s">
        <v>336</v>
      </c>
      <c r="D6" s="983" t="s">
        <v>1555</v>
      </c>
      <c r="E6" s="1022" t="s">
        <v>336</v>
      </c>
      <c r="F6" s="1035" t="s">
        <v>2548</v>
      </c>
      <c r="G6" s="1022" t="s">
        <v>6917</v>
      </c>
      <c r="H6" s="1023" t="s">
        <v>1260</v>
      </c>
      <c r="I6" s="1022" t="str">
        <f>HYPERLINK("https://youtu.be/ZP_d48CVxG0","1:19.30")</f>
        <v>1:19.30</v>
      </c>
      <c r="J6" s="1024"/>
      <c r="K6" s="1024"/>
      <c r="L6" s="1024" t="s">
        <v>102</v>
      </c>
      <c r="M6" s="1024" t="s">
        <v>746</v>
      </c>
      <c r="N6" s="1024" t="s">
        <v>4606</v>
      </c>
      <c r="O6" s="1022" t="s">
        <v>987</v>
      </c>
      <c r="P6" s="1025" t="s">
        <v>7541</v>
      </c>
      <c r="Q6" s="1024" t="s">
        <v>102</v>
      </c>
      <c r="R6" s="1024"/>
      <c r="S6" s="1024"/>
      <c r="T6" s="1024"/>
      <c r="U6" s="1022" t="s">
        <v>7241</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7542</v>
      </c>
      <c r="B7" s="1037" t="s">
        <v>7543</v>
      </c>
      <c r="C7" s="1038" t="s">
        <v>2126</v>
      </c>
      <c r="D7" s="1039"/>
      <c r="E7" s="1039"/>
      <c r="F7" s="1021"/>
      <c r="G7" s="1039"/>
      <c r="H7" s="1040"/>
      <c r="I7" s="1039"/>
      <c r="J7" s="1039"/>
      <c r="K7" s="1039"/>
      <c r="L7" s="1039"/>
      <c r="M7" s="1039"/>
      <c r="N7" s="1039"/>
      <c r="O7" s="1039"/>
      <c r="P7" s="1039"/>
      <c r="Q7" s="1039"/>
      <c r="R7" s="1039"/>
      <c r="S7" s="1039"/>
      <c r="T7" s="1039"/>
      <c r="U7" s="1022" t="s">
        <v>2126</v>
      </c>
      <c r="V7" s="1041" t="s">
        <v>7544</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7545</v>
      </c>
      <c r="C8" s="1018" t="s">
        <v>143</v>
      </c>
      <c r="D8" s="1029" t="s">
        <v>7546</v>
      </c>
      <c r="E8" s="1029" t="s">
        <v>4876</v>
      </c>
      <c r="F8" s="1042" t="s">
        <v>1153</v>
      </c>
      <c r="G8" s="1022" t="s">
        <v>143</v>
      </c>
      <c r="H8" s="1040"/>
      <c r="I8" s="1029" t="s">
        <v>1371</v>
      </c>
      <c r="J8" s="1029"/>
      <c r="K8" s="1029"/>
      <c r="L8" s="1029" t="s">
        <v>1138</v>
      </c>
      <c r="M8" s="1029" t="s">
        <v>1138</v>
      </c>
      <c r="N8" s="1029" t="s">
        <v>7547</v>
      </c>
      <c r="O8" s="1029"/>
      <c r="P8" s="1025"/>
      <c r="Q8" s="1029" t="s">
        <v>5864</v>
      </c>
      <c r="R8" s="1029" t="s">
        <v>3855</v>
      </c>
      <c r="S8" s="1029" t="s">
        <v>7548</v>
      </c>
      <c r="T8" s="1029" t="s">
        <v>7549</v>
      </c>
      <c r="U8" s="1029"/>
      <c r="V8" s="1043" t="s">
        <v>7550</v>
      </c>
      <c r="W8" s="1029"/>
      <c r="X8" s="1029" t="s">
        <v>5864</v>
      </c>
      <c r="Y8" s="1029"/>
      <c r="Z8" s="1029" t="s">
        <v>3652</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7551</v>
      </c>
      <c r="B9" s="1037" t="s">
        <v>7552</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7553</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7554</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7540</v>
      </c>
      <c r="C11" s="1018" t="s">
        <v>7555</v>
      </c>
      <c r="D11" s="1024"/>
      <c r="E11" s="1022" t="s">
        <v>1242</v>
      </c>
      <c r="F11" s="1048" t="s">
        <v>5050</v>
      </c>
      <c r="G11" s="1024"/>
      <c r="H11" s="1023" t="s">
        <v>2167</v>
      </c>
      <c r="I11" s="1024"/>
      <c r="J11" s="1024"/>
      <c r="K11" s="1024"/>
      <c r="L11" s="1024"/>
      <c r="M11" s="1024"/>
      <c r="N11" s="1024"/>
      <c r="O11" s="1022" t="s">
        <v>7555</v>
      </c>
      <c r="P11" s="1025"/>
      <c r="Q11" s="1024"/>
      <c r="R11" s="1024"/>
      <c r="S11" s="1024"/>
      <c r="T11" s="1024"/>
      <c r="U11" s="1024"/>
      <c r="V11" s="1032"/>
      <c r="W11" s="1024"/>
      <c r="X11" s="1024"/>
      <c r="Y11" s="1024"/>
      <c r="Z11" s="1022" t="s">
        <v>7556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7557</v>
      </c>
      <c r="B12" s="1017" t="s">
        <v>7558</v>
      </c>
      <c r="C12" s="1049" t="s">
        <v>2347</v>
      </c>
      <c r="D12" s="1029" t="s">
        <v>1793</v>
      </c>
      <c r="E12" s="1029" t="s">
        <v>2829</v>
      </c>
      <c r="F12" s="1050" t="s">
        <v>2347</v>
      </c>
      <c r="G12" s="1029"/>
      <c r="H12" s="1023" t="s">
        <v>7559</v>
      </c>
      <c r="I12" s="1029" t="s">
        <v>7381</v>
      </c>
      <c r="J12" s="1029"/>
      <c r="K12" s="1029" t="s">
        <v>1936</v>
      </c>
      <c r="L12" s="1029"/>
      <c r="M12" s="1029" t="s">
        <v>4500</v>
      </c>
      <c r="N12" s="1029" t="s">
        <v>4790</v>
      </c>
      <c r="O12" s="1029"/>
      <c r="P12" s="1025" t="s">
        <v>3410</v>
      </c>
      <c r="Q12" s="1029" t="s">
        <v>4500</v>
      </c>
      <c r="R12" s="1029"/>
      <c r="S12" s="1029" t="s">
        <v>4378</v>
      </c>
      <c r="T12" s="1029"/>
      <c r="U12" s="1029" t="s">
        <v>655</v>
      </c>
      <c r="V12" s="1041" t="s">
        <v>7560</v>
      </c>
      <c r="W12" s="1029" t="s">
        <v>2898</v>
      </c>
      <c r="X12" s="1029"/>
      <c r="Y12" s="1029"/>
      <c r="Z12" s="1029"/>
      <c r="AA12" s="1029"/>
      <c r="AB12" s="1029" t="s">
        <v>7561</v>
      </c>
      <c r="AC12" s="1029"/>
      <c r="AD12" s="1029"/>
      <c r="AE12" s="1029"/>
      <c r="AF12" s="1029"/>
      <c r="AG12" s="1029"/>
      <c r="AH12" s="1029"/>
      <c r="AI12" s="1029"/>
      <c r="AJ12" s="1029"/>
      <c r="AK12" s="1024"/>
      <c r="AL12" s="1029"/>
      <c r="AM12" s="1029"/>
      <c r="AN12" s="1029" t="s">
        <v>2037</v>
      </c>
      <c r="AO12" s="1029"/>
      <c r="AP12" s="1029" t="s">
        <v>6238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7562</v>
      </c>
      <c r="C13" s="1018" t="s">
        <v>4276</v>
      </c>
      <c r="D13" s="983" t="s">
        <v>1556</v>
      </c>
      <c r="E13" s="1022" t="s">
        <v>337</v>
      </c>
      <c r="F13" s="1035" t="s">
        <v>2549</v>
      </c>
      <c r="G13" s="1022" t="s">
        <v>4276</v>
      </c>
      <c r="H13" s="1023" t="s">
        <v>1261</v>
      </c>
      <c r="I13" s="1024" t="s">
        <v>7563</v>
      </c>
      <c r="J13" s="1022" t="s">
        <v>725</v>
      </c>
      <c r="K13" s="1024"/>
      <c r="L13" s="1024" t="s">
        <v>2347</v>
      </c>
      <c r="M13" s="1022" t="s">
        <v>2111</v>
      </c>
      <c r="N13" s="1024" t="s">
        <v>7564</v>
      </c>
      <c r="O13" s="1022" t="s">
        <v>7565</v>
      </c>
      <c r="P13" s="1025" t="s">
        <v>2829</v>
      </c>
      <c r="Q13" s="1024" t="s">
        <v>3875</v>
      </c>
      <c r="R13" s="1024"/>
      <c r="S13" s="1022" t="s">
        <v>7566</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7542</v>
      </c>
      <c r="B14" s="1052" t="s">
        <v>7558</v>
      </c>
      <c r="C14" s="1018" t="s">
        <v>6315</v>
      </c>
      <c r="D14" s="1029" t="s">
        <v>119</v>
      </c>
      <c r="E14" s="1029" t="s">
        <v>6315</v>
      </c>
      <c r="F14" s="1050" t="s">
        <v>6136</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2279</v>
      </c>
      <c r="R14" s="1029" t="s">
        <v>3908</v>
      </c>
      <c r="S14" s="1029"/>
      <c r="T14" s="1029"/>
      <c r="U14" s="1029"/>
      <c r="V14" s="1053" t="s">
        <v>5440</v>
      </c>
      <c r="W14" s="1029" t="s">
        <v>5653</v>
      </c>
      <c r="X14" s="1029"/>
      <c r="Y14" s="1029" t="s">
        <v>4521</v>
      </c>
      <c r="Z14" s="1029"/>
      <c r="AA14" s="1029"/>
      <c r="AB14" s="1029" t="s">
        <v>6136</v>
      </c>
      <c r="AC14" s="1029"/>
      <c r="AD14" s="1029"/>
      <c r="AE14" s="1029" t="s">
        <v>664</v>
      </c>
      <c r="AF14" s="1029" t="s">
        <v>6887</v>
      </c>
      <c r="AG14" s="1029"/>
      <c r="AH14" s="1029" t="s">
        <v>5440</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7562</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2779</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7551</v>
      </c>
      <c r="B16" s="1056" t="s">
        <v>7567</v>
      </c>
      <c r="C16" s="1018" t="s">
        <v>2672</v>
      </c>
      <c r="D16" s="1029" t="s">
        <v>5536</v>
      </c>
      <c r="E16" s="1029"/>
      <c r="F16" s="1050" t="s">
        <v>2149</v>
      </c>
      <c r="G16" s="1029"/>
      <c r="H16" s="1040"/>
      <c r="I16" s="1029"/>
      <c r="J16" s="1029"/>
      <c r="K16" s="1029"/>
      <c r="L16" s="1029"/>
      <c r="M16" s="1029" t="s">
        <v>2672</v>
      </c>
      <c r="N16" s="1029"/>
      <c r="O16" s="1029"/>
      <c r="P16" s="1025"/>
      <c r="Q16" s="1029"/>
      <c r="R16" s="1029"/>
      <c r="S16" s="1029" t="s">
        <v>7568</v>
      </c>
      <c r="T16" s="1029"/>
      <c r="U16" s="1029"/>
      <c r="V16" s="1043" t="s">
        <v>7569</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7570</v>
      </c>
      <c r="C17" s="1018" t="s">
        <v>7571</v>
      </c>
      <c r="D17" s="1024" t="s">
        <v>7572</v>
      </c>
      <c r="E17" s="1022" t="s">
        <v>1094</v>
      </c>
      <c r="F17" s="1048" t="s">
        <v>947</v>
      </c>
      <c r="G17" s="1024" t="s">
        <v>7573</v>
      </c>
      <c r="H17" s="1023" t="s">
        <v>2258</v>
      </c>
      <c r="I17" s="1024"/>
      <c r="J17" s="1022" t="s">
        <v>7574</v>
      </c>
      <c r="K17" s="1024"/>
      <c r="L17" s="1024" t="s">
        <v>7574</v>
      </c>
      <c r="M17" s="1024"/>
      <c r="N17" s="1024"/>
      <c r="O17" s="1022" t="s">
        <v>1991</v>
      </c>
      <c r="P17" s="1025" t="s">
        <v>7575</v>
      </c>
      <c r="Q17" s="1024" t="s">
        <v>7576</v>
      </c>
      <c r="R17" s="1024"/>
      <c r="S17" s="1024"/>
      <c r="T17" s="1024" t="s">
        <v>2672</v>
      </c>
      <c r="U17" s="1024"/>
      <c r="V17" s="1026"/>
      <c r="W17" s="1024"/>
      <c r="X17" s="1024" t="s">
        <v>7574</v>
      </c>
      <c r="Y17" s="1024"/>
      <c r="Z17" s="1022" t="s">
        <v>1991</v>
      </c>
      <c r="AA17" s="1024"/>
      <c r="AB17" s="1024"/>
      <c r="AC17" s="1024"/>
      <c r="AD17" s="1024"/>
      <c r="AE17" s="1024"/>
      <c r="AF17" s="1024"/>
      <c r="AG17" s="1022" t="s">
        <v>7571</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7577</v>
      </c>
      <c r="B18" s="1017" t="s">
        <v>7578</v>
      </c>
      <c r="C18" s="1018" t="s">
        <v>1700</v>
      </c>
      <c r="D18" s="1029" t="s">
        <v>3614</v>
      </c>
      <c r="E18" s="1029" t="s">
        <v>1171</v>
      </c>
      <c r="F18" s="1030"/>
      <c r="G18" s="1029"/>
      <c r="H18" s="1023" t="s">
        <v>4445</v>
      </c>
      <c r="I18" s="1029" t="s">
        <v>4213</v>
      </c>
      <c r="J18" s="1029"/>
      <c r="K18" s="1029" t="s">
        <v>7579</v>
      </c>
      <c r="L18" s="1029"/>
      <c r="M18" s="1029" t="s">
        <v>7580</v>
      </c>
      <c r="N18" s="1029" t="str">
        <f>HYPERLINK("https://www.youtube.com/watch?v=2TATjRbAkgw","46.87")</f>
        <v>46.87</v>
      </c>
      <c r="O18" s="1029"/>
      <c r="P18" s="1025"/>
      <c r="Q18" s="1029" t="str">
        <f>HYPERLINK("https://clips.twitch.tv/ManlyHedonisticDotterelOMGScoots","45.85")</f>
        <v>45.85</v>
      </c>
      <c r="R18" s="1029"/>
      <c r="S18" s="1029"/>
      <c r="T18" s="1029"/>
      <c r="U18" s="1029"/>
      <c r="V18" s="1043" t="s">
        <v>7581</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7582</v>
      </c>
      <c r="C19" s="1018" t="s">
        <v>2864</v>
      </c>
      <c r="D19" s="1029"/>
      <c r="E19" s="1029" t="s">
        <v>882</v>
      </c>
      <c r="F19" s="1021"/>
      <c r="G19" s="1029"/>
      <c r="H19" s="1040"/>
      <c r="I19" s="1029"/>
      <c r="J19" s="1029"/>
      <c r="K19" s="1029" t="s">
        <v>6818</v>
      </c>
      <c r="L19" s="1029"/>
      <c r="M19" s="1029"/>
      <c r="N19" s="1029"/>
      <c r="O19" s="1029"/>
      <c r="P19" s="1025"/>
      <c r="Q19" s="1029" t="s">
        <v>7583</v>
      </c>
      <c r="R19" s="1029" t="s">
        <v>7584</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7585</v>
      </c>
      <c r="C20" s="1018" t="s">
        <v>417</v>
      </c>
      <c r="D20" s="1029" t="s">
        <v>1558</v>
      </c>
      <c r="E20" s="1029" t="s">
        <v>417</v>
      </c>
      <c r="F20" s="1055" t="s">
        <v>2128</v>
      </c>
      <c r="G20" s="1029" t="s">
        <v>4384</v>
      </c>
      <c r="H20" s="1023" t="s">
        <v>1263</v>
      </c>
      <c r="I20" s="1029" t="str">
        <f>HYPERLINK("https://clips.twitch.tv/EnergeticBeautifulMallardRalpherZ","42.96")</f>
        <v>42.96</v>
      </c>
      <c r="J20" s="1029" t="s">
        <v>141</v>
      </c>
      <c r="K20" s="1022" t="s">
        <v>2830</v>
      </c>
      <c r="L20" s="1029" t="s">
        <v>627</v>
      </c>
      <c r="M20" s="1029" t="s">
        <v>591</v>
      </c>
      <c r="N20" s="1029" t="s">
        <v>1825</v>
      </c>
      <c r="O20" s="1029" t="s">
        <v>659</v>
      </c>
      <c r="P20" s="1025" t="s">
        <v>3298</v>
      </c>
      <c r="Q20" s="1029" t="s">
        <v>1558</v>
      </c>
      <c r="R20" s="1029"/>
      <c r="S20" s="1029" t="s">
        <v>7586</v>
      </c>
      <c r="T20" s="1029"/>
      <c r="U20" s="1022" t="s">
        <v>5723</v>
      </c>
      <c r="V20" s="1032"/>
      <c r="W20" s="1029" t="s">
        <v>7587</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7588</v>
      </c>
      <c r="B21" s="1017" t="s">
        <v>7589</v>
      </c>
      <c r="C21" s="1058" t="s">
        <v>7590</v>
      </c>
      <c r="D21" s="1059"/>
      <c r="E21" s="1059"/>
      <c r="F21" s="1021"/>
      <c r="G21" s="1059"/>
      <c r="H21" s="1040"/>
      <c r="I21" s="1059"/>
      <c r="J21" s="1059"/>
      <c r="K21" s="1059"/>
      <c r="L21" s="1059"/>
      <c r="M21" s="1059"/>
      <c r="N21" s="1059"/>
      <c r="O21" s="1059"/>
      <c r="P21" s="1060"/>
      <c r="Q21" s="1059"/>
      <c r="R21" s="1059"/>
      <c r="S21" s="1059"/>
      <c r="T21" s="1059"/>
      <c r="U21" s="1061" t="s">
        <v>7590</v>
      </c>
      <c r="V21" s="1053" t="s">
        <v>7591</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7592</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7593</v>
      </c>
      <c r="C23" s="1018" t="s">
        <v>2672</v>
      </c>
      <c r="D23" s="1059"/>
      <c r="E23" s="1059" t="s">
        <v>729</v>
      </c>
      <c r="F23" s="1021"/>
      <c r="G23" s="1059"/>
      <c r="H23" s="1040" t="s">
        <v>4165</v>
      </c>
      <c r="I23" s="1059"/>
      <c r="J23" s="1059"/>
      <c r="K23" s="1059"/>
      <c r="L23" s="1059"/>
      <c r="M23" s="1059"/>
      <c r="N23" s="1059"/>
      <c r="O23" s="1059"/>
      <c r="P23" s="1060"/>
      <c r="Q23" s="1059" t="s">
        <v>7594</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7595</v>
      </c>
      <c r="C24" s="1018" t="s">
        <v>7596</v>
      </c>
      <c r="D24" s="1029"/>
      <c r="E24" s="1029" t="s">
        <v>3890</v>
      </c>
      <c r="F24" s="1048" t="s">
        <v>4257</v>
      </c>
      <c r="G24" s="1029" t="s">
        <v>7597</v>
      </c>
      <c r="H24" s="1040"/>
      <c r="I24" s="1029"/>
      <c r="J24" s="1029"/>
      <c r="K24" s="1029"/>
      <c r="L24" s="1029" t="s">
        <v>785</v>
      </c>
      <c r="M24" s="1029"/>
      <c r="N24" s="1029"/>
      <c r="O24" s="1029"/>
      <c r="P24" s="1025"/>
      <c r="Q24" s="1029" t="s">
        <v>7598</v>
      </c>
      <c r="R24" s="1029"/>
      <c r="S24" s="1029"/>
      <c r="T24" s="1029"/>
      <c r="U24" s="1029"/>
      <c r="V24" s="1032"/>
      <c r="W24" s="1029"/>
      <c r="X24" s="1029"/>
      <c r="Y24" s="1029"/>
      <c r="Z24" s="1029" t="s">
        <v>7599</v>
      </c>
      <c r="AA24" s="1029"/>
      <c r="AB24" s="1029"/>
      <c r="AC24" s="1029"/>
      <c r="AD24" s="1029"/>
      <c r="AE24" s="1029"/>
      <c r="AF24" s="1029"/>
      <c r="AG24" s="1029" t="s">
        <v>7596</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7600</v>
      </c>
      <c r="B25" s="1017" t="s">
        <v>7601</v>
      </c>
      <c r="C25" s="1018" t="s">
        <v>253</v>
      </c>
      <c r="D25" s="1029"/>
      <c r="E25" s="1029" t="s">
        <v>253</v>
      </c>
      <c r="F25" s="1021"/>
      <c r="G25" s="1029"/>
      <c r="H25" s="1040"/>
      <c r="I25" s="1029"/>
      <c r="J25" s="1029"/>
      <c r="K25" s="1029"/>
      <c r="L25" s="1029"/>
      <c r="M25" s="1029"/>
      <c r="N25" s="1029" t="s">
        <v>7602</v>
      </c>
      <c r="O25" s="1029"/>
      <c r="P25" s="1025"/>
      <c r="Q25" s="1029" t="s">
        <v>7603</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7604</v>
      </c>
      <c r="C26" s="1018" t="s">
        <v>7605</v>
      </c>
      <c r="D26" s="1029"/>
      <c r="E26" s="1029" t="s">
        <v>1099</v>
      </c>
      <c r="F26" s="1048" t="s">
        <v>3448</v>
      </c>
      <c r="G26" s="1029"/>
      <c r="H26" s="1040"/>
      <c r="I26" s="1029"/>
      <c r="J26" s="1029"/>
      <c r="K26" s="1029"/>
      <c r="L26" s="1029"/>
      <c r="M26" s="1029"/>
      <c r="N26" s="1029"/>
      <c r="O26" s="1029"/>
      <c r="P26" s="1025"/>
      <c r="Q26" s="1029" t="s">
        <v>1099</v>
      </c>
      <c r="R26" s="1029"/>
      <c r="S26" s="1029"/>
      <c r="T26" s="1029"/>
      <c r="U26" s="1029"/>
      <c r="V26" s="1065" t="s">
        <v>7606</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7607</v>
      </c>
      <c r="C27" s="1018" t="s">
        <v>2832</v>
      </c>
      <c r="D27" s="1022" t="s">
        <v>1560</v>
      </c>
      <c r="E27" s="1029" t="s">
        <v>7608</v>
      </c>
      <c r="F27" s="1050" t="s">
        <v>6701</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7609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7610</v>
      </c>
      <c r="C28" s="1018" t="s">
        <v>7611</v>
      </c>
      <c r="D28" s="1029"/>
      <c r="E28" s="1029" t="s">
        <v>7611</v>
      </c>
      <c r="F28" s="1035" t="s">
        <v>2551</v>
      </c>
      <c r="G28" s="1029"/>
      <c r="H28" s="1023" t="s">
        <v>1265</v>
      </c>
      <c r="I28" s="1029"/>
      <c r="J28" s="1029" t="s">
        <v>7612</v>
      </c>
      <c r="K28" s="1029" t="s">
        <v>7613</v>
      </c>
      <c r="L28" s="1029"/>
      <c r="M28" s="1029"/>
      <c r="N28" s="1029"/>
      <c r="O28" s="1029" t="s">
        <v>7614</v>
      </c>
      <c r="P28" s="1025" t="s">
        <v>7615</v>
      </c>
      <c r="Q28" s="1029" t="s">
        <v>7616</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7542</v>
      </c>
      <c r="B29" s="1037" t="s">
        <v>7617</v>
      </c>
      <c r="C29" s="1018" t="s">
        <v>5470</v>
      </c>
      <c r="D29" s="1029" t="s">
        <v>479</v>
      </c>
      <c r="E29" s="1029" t="s">
        <v>5470</v>
      </c>
      <c r="F29" s="1021"/>
      <c r="G29" s="1029"/>
      <c r="H29" s="1023" t="s">
        <v>5606</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7619</v>
      </c>
      <c r="C30" s="1018" t="s">
        <v>2960</v>
      </c>
      <c r="D30" s="1029"/>
      <c r="E30" s="1029" t="s">
        <v>2960</v>
      </c>
      <c r="F30" s="1030"/>
      <c r="G30" s="1029"/>
      <c r="H30" s="1040"/>
      <c r="I30" s="1029"/>
      <c r="J30" s="1029"/>
      <c r="K30" s="1029" t="s">
        <v>5739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7620</v>
      </c>
      <c r="C31" s="1018" t="s">
        <v>4266</v>
      </c>
      <c r="D31" s="1029"/>
      <c r="E31" s="1029" t="s">
        <v>1968</v>
      </c>
      <c r="F31" s="1069" t="s">
        <v>5739</v>
      </c>
      <c r="G31" s="1029"/>
      <c r="H31" s="1040"/>
      <c r="I31" s="1029" t="s">
        <v>4930</v>
      </c>
      <c r="J31" s="1029" t="s">
        <v>772</v>
      </c>
      <c r="K31" s="1029" t="s">
        <v>3449</v>
      </c>
      <c r="L31" s="1029"/>
      <c r="M31" s="1029" t="s">
        <v>1445</v>
      </c>
      <c r="N31" s="1029" t="s">
        <v>5739</v>
      </c>
      <c r="O31" s="1029"/>
      <c r="P31" s="1025"/>
      <c r="Q31" s="1029"/>
      <c r="R31" s="1029"/>
      <c r="S31" s="1029"/>
      <c r="T31" s="1029"/>
      <c r="U31" s="1029"/>
      <c r="V31" s="1053" t="s">
        <v>2559</v>
      </c>
      <c r="W31" s="1029"/>
      <c r="X31" s="1029"/>
      <c r="Y31" s="1029" t="s">
        <v>450</v>
      </c>
      <c r="Z31" s="1029"/>
      <c r="AA31" s="1029"/>
      <c r="AB31" s="1029" t="s">
        <v>6756</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7621</v>
      </c>
      <c r="C32" s="1018" t="s">
        <v>2047</v>
      </c>
      <c r="D32" s="1029"/>
      <c r="E32" s="1029" t="s">
        <v>1423</v>
      </c>
      <c r="F32" s="1030"/>
      <c r="G32" s="1029"/>
      <c r="H32" s="1023" t="s">
        <v>4937</v>
      </c>
      <c r="I32" s="1029" t="s">
        <v>1968</v>
      </c>
      <c r="J32" s="1029" t="s">
        <v>2047</v>
      </c>
      <c r="K32" s="1029" t="s">
        <v>879</v>
      </c>
      <c r="L32" s="1029"/>
      <c r="M32" s="1029" t="s">
        <v>2883</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7622</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7623</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7624</v>
      </c>
      <c r="C35" s="1018" t="s">
        <v>3747</v>
      </c>
      <c r="D35" s="1029"/>
      <c r="E35" s="1029" t="s">
        <v>3449</v>
      </c>
      <c r="F35" s="1021"/>
      <c r="G35" s="1029"/>
      <c r="H35" s="1040"/>
      <c r="I35" s="1029"/>
      <c r="J35" s="1029" t="s">
        <v>3747</v>
      </c>
      <c r="K35" s="1029" t="s">
        <v>3878</v>
      </c>
      <c r="L35" s="1029"/>
      <c r="M35" s="1029" t="s">
        <v>5438</v>
      </c>
      <c r="N35" s="1029"/>
      <c r="O35" s="1029"/>
      <c r="P35" s="1025"/>
      <c r="Q35" s="1029" t="s">
        <v>7625</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7626</v>
      </c>
      <c r="C36" s="1018" t="s">
        <v>4147</v>
      </c>
      <c r="D36" s="1029"/>
      <c r="E36" s="1029" t="s">
        <v>3849</v>
      </c>
      <c r="F36" s="1030"/>
      <c r="G36" s="1029"/>
      <c r="H36" s="1040"/>
      <c r="I36" s="1029"/>
      <c r="J36" s="1029" t="s">
        <v>4147</v>
      </c>
      <c r="K36" s="1029" t="s">
        <v>7627</v>
      </c>
      <c r="L36" s="1029" t="s">
        <v>2272</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7628</v>
      </c>
      <c r="C37" s="1018" t="s">
        <v>2317</v>
      </c>
      <c r="D37" s="1029" t="s">
        <v>1561</v>
      </c>
      <c r="E37" s="1029" t="s">
        <v>3747</v>
      </c>
      <c r="F37" s="1050" t="s">
        <v>3161</v>
      </c>
      <c r="G37" s="1029"/>
      <c r="H37" s="1040"/>
      <c r="I37" s="1029" t="s">
        <v>7629</v>
      </c>
      <c r="J37" s="1029" t="s">
        <v>2317</v>
      </c>
      <c r="K37" s="1029" t="s">
        <v>2272</v>
      </c>
      <c r="L37" s="1029"/>
      <c r="M37" s="1029" t="s">
        <v>7627</v>
      </c>
      <c r="N37" s="1029"/>
      <c r="O37" s="1029"/>
      <c r="P37" s="1025"/>
      <c r="Q37" s="1029" t="s">
        <v>3142</v>
      </c>
      <c r="R37" s="1029"/>
      <c r="S37" s="1029"/>
      <c r="T37" s="1029"/>
      <c r="U37" s="1022" t="s">
        <v>3747</v>
      </c>
      <c r="V37" s="1026"/>
      <c r="W37" s="1029" t="s">
        <v>5979</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7630</v>
      </c>
      <c r="C38" s="1018" t="s">
        <v>763</v>
      </c>
      <c r="D38" s="1029"/>
      <c r="E38" s="1029" t="s">
        <v>4010</v>
      </c>
      <c r="F38" s="1035" t="s">
        <v>2552</v>
      </c>
      <c r="G38" s="1029" t="s">
        <v>763</v>
      </c>
      <c r="H38" s="1023" t="s">
        <v>3825</v>
      </c>
      <c r="I38" s="1029" t="s">
        <v>2037</v>
      </c>
      <c r="J38" s="1029" t="s">
        <v>1135</v>
      </c>
      <c r="K38" s="1029" t="s">
        <v>4902</v>
      </c>
      <c r="L38" s="1029"/>
      <c r="M38" s="1029"/>
      <c r="N38" s="1029"/>
      <c r="O38" s="1029" t="s">
        <v>2037</v>
      </c>
      <c r="P38" s="1025" t="s">
        <v>2491</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7551</v>
      </c>
      <c r="B39" s="1037" t="s">
        <v>7631</v>
      </c>
      <c r="C39" s="1018" t="s">
        <v>4371</v>
      </c>
      <c r="D39" s="1029" t="s">
        <v>7632</v>
      </c>
      <c r="E39" s="1029" t="s">
        <v>4371</v>
      </c>
      <c r="F39" s="1050" t="s">
        <v>7633</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7634</v>
      </c>
      <c r="Z39" s="1029" t="s">
        <v>1719</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7635</v>
      </c>
      <c r="C40" s="1018" t="s">
        <v>2541</v>
      </c>
      <c r="D40" s="1029" t="s">
        <v>2756</v>
      </c>
      <c r="E40" s="1029" t="s">
        <v>3666</v>
      </c>
      <c r="F40" s="1048" t="s">
        <v>5050</v>
      </c>
      <c r="G40" s="1029" t="s">
        <v>7636</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7637</v>
      </c>
      <c r="B41" s="1017" t="s">
        <v>7638</v>
      </c>
      <c r="C41" s="1018" t="s">
        <v>996</v>
      </c>
      <c r="D41" s="1029" t="s">
        <v>5296</v>
      </c>
      <c r="E41" s="1029" t="s">
        <v>7639</v>
      </c>
      <c r="F41" s="1021"/>
      <c r="G41" s="1029" t="s">
        <v>2658</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996</v>
      </c>
      <c r="T41" s="1029"/>
      <c r="U41" s="1029"/>
      <c r="V41" s="1043" t="s">
        <v>4418</v>
      </c>
      <c r="W41" s="1029" t="s">
        <v>5352</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7640</v>
      </c>
      <c r="C42" s="1018">
        <v>15.96</v>
      </c>
      <c r="D42" s="1024" t="s">
        <v>1562</v>
      </c>
      <c r="E42" s="1022" t="s">
        <v>343</v>
      </c>
      <c r="F42" s="1030"/>
      <c r="G42" s="1022" t="s">
        <v>233</v>
      </c>
      <c r="H42" s="1023" t="s">
        <v>556</v>
      </c>
      <c r="I42" s="1022" t="s">
        <v>109</v>
      </c>
      <c r="J42" s="1022" t="s">
        <v>556</v>
      </c>
      <c r="K42" s="1022" t="s">
        <v>2783</v>
      </c>
      <c r="L42" s="1024" t="s">
        <v>556</v>
      </c>
      <c r="M42" s="1022" t="s">
        <v>109</v>
      </c>
      <c r="N42" s="1024" t="s">
        <v>455</v>
      </c>
      <c r="O42" s="1022" t="s">
        <v>556</v>
      </c>
      <c r="P42" s="1025" t="s">
        <v>343</v>
      </c>
      <c r="Q42" s="1024"/>
      <c r="R42" s="1024"/>
      <c r="S42" s="1024"/>
      <c r="T42" s="1024"/>
      <c r="U42" s="1022" t="s">
        <v>2553</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7641</v>
      </c>
      <c r="B43" s="1017" t="s">
        <v>7642</v>
      </c>
      <c r="C43" s="1018" t="s">
        <v>4964</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7643</v>
      </c>
      <c r="B44" s="1017" t="s">
        <v>7644</v>
      </c>
      <c r="C44" s="1018" t="s">
        <v>2405</v>
      </c>
      <c r="D44" s="980" t="s">
        <v>1355</v>
      </c>
      <c r="E44" s="1029" t="s">
        <v>2405</v>
      </c>
      <c r="F44" s="1021"/>
      <c r="G44" s="1029"/>
      <c r="H44" s="1040"/>
      <c r="I44" s="1029" t="str">
        <f>HYPERLINK("https://youtu.be/t-1yqXLdZMA","38.05")</f>
        <v>38.05</v>
      </c>
      <c r="J44" s="1029" t="s">
        <v>7645</v>
      </c>
      <c r="K44" s="1029" t="s">
        <v>2274</v>
      </c>
      <c r="L44" s="1029" t="s">
        <v>836</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7646</v>
      </c>
      <c r="B45" s="1037" t="s">
        <v>7644</v>
      </c>
      <c r="C45" s="1074"/>
      <c r="D45" s="1075" t="s">
        <v>7647</v>
      </c>
      <c r="E45" s="1029"/>
      <c r="F45" s="1021"/>
      <c r="G45" s="1024" t="s">
        <v>7648</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7649</v>
      </c>
      <c r="B46" s="1017" t="s">
        <v>7644</v>
      </c>
      <c r="C46" s="1018" t="s">
        <v>7650</v>
      </c>
      <c r="D46" s="983" t="s">
        <v>650</v>
      </c>
      <c r="E46" s="1029" t="s">
        <v>2843</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7650</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7651</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7652</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7653</v>
      </c>
      <c r="C49" s="1018" t="s">
        <v>5468</v>
      </c>
      <c r="D49" s="1077" t="s">
        <v>6152</v>
      </c>
      <c r="E49" s="1025"/>
      <c r="F49" s="1030"/>
      <c r="G49" s="1025" t="s">
        <v>2014</v>
      </c>
      <c r="H49" s="1040"/>
      <c r="I49" s="1022" t="s">
        <v>5468</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7654</v>
      </c>
      <c r="C50" s="1018" t="s">
        <v>7655</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7646</v>
      </c>
      <c r="B51" s="1037" t="s">
        <v>7644</v>
      </c>
      <c r="C51" s="1018" t="s">
        <v>7656</v>
      </c>
      <c r="D51" s="1080"/>
      <c r="E51" s="1029"/>
      <c r="F51" s="1021"/>
      <c r="G51" s="1029"/>
      <c r="H51" s="1040"/>
      <c r="I51" s="1029"/>
      <c r="J51" s="1029"/>
      <c r="K51" s="1029"/>
      <c r="L51" s="1029"/>
      <c r="M51" s="1029"/>
      <c r="N51" s="1029"/>
      <c r="O51" s="1029"/>
      <c r="P51" s="1025"/>
      <c r="Q51" s="1029"/>
      <c r="R51" s="1029"/>
      <c r="S51" s="1063" t="s">
        <v>7656</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7658</v>
      </c>
      <c r="C52" s="1038" t="s">
        <v>7659</v>
      </c>
      <c r="D52" s="1077" t="s">
        <v>7660</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7659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7528</v>
      </c>
      <c r="C53" s="1018" t="s">
        <v>349</v>
      </c>
      <c r="D53" s="983" t="s">
        <v>7661</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7662</v>
      </c>
      <c r="B55" s="1089" t="s">
        <v>7663</v>
      </c>
      <c r="C55" s="1090" t="s">
        <v>1847</v>
      </c>
      <c r="D55" s="1029"/>
      <c r="E55" s="1029" t="s">
        <v>1477</v>
      </c>
      <c r="F55" s="1021"/>
      <c r="G55" s="1029"/>
      <c r="H55" s="1023" t="s">
        <v>2021</v>
      </c>
      <c r="I55" s="1029" t="s">
        <v>5749</v>
      </c>
      <c r="J55" s="1029" t="s">
        <v>1847</v>
      </c>
      <c r="K55" s="1029" t="s">
        <v>7664</v>
      </c>
      <c r="L55" s="1029" t="s">
        <v>910</v>
      </c>
      <c r="M55" s="1029" t="s">
        <v>754</v>
      </c>
      <c r="N55" s="1029" t="s">
        <v>2998</v>
      </c>
      <c r="O55" s="1029"/>
      <c r="P55" s="1025" t="s">
        <v>3429</v>
      </c>
      <c r="Q55" s="1029" t="s">
        <v>122</v>
      </c>
      <c r="R55" s="1029" t="s">
        <v>7665</v>
      </c>
      <c r="S55" s="1029"/>
      <c r="T55" s="1029"/>
      <c r="U55" s="1029" t="s">
        <v>3516</v>
      </c>
      <c r="V55" s="1091" t="s">
        <v>7666</v>
      </c>
      <c r="W55" s="1029" t="s">
        <v>2786</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7667</v>
      </c>
      <c r="C56" s="1090" t="s">
        <v>3198</v>
      </c>
      <c r="D56" s="1029"/>
      <c r="E56" s="1029" t="s">
        <v>3198</v>
      </c>
      <c r="F56" s="1096"/>
      <c r="G56" s="1029"/>
      <c r="H56" s="1040"/>
      <c r="I56" s="1029"/>
      <c r="J56" s="1029"/>
      <c r="K56" s="1029"/>
      <c r="L56" s="1029"/>
      <c r="M56" s="1029"/>
      <c r="N56" s="1029"/>
      <c r="O56" s="1029" t="s">
        <v>402</v>
      </c>
      <c r="P56" s="1025" t="s">
        <v>1303</v>
      </c>
      <c r="Q56" s="1029" t="s">
        <v>803</v>
      </c>
      <c r="R56" s="1029"/>
      <c r="S56" s="1029"/>
      <c r="T56" s="1029" t="s">
        <v>5957</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7668</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7669</v>
      </c>
      <c r="C58" s="1090" t="s">
        <v>239</v>
      </c>
      <c r="D58" s="1029" t="s">
        <v>492</v>
      </c>
      <c r="E58" s="1067" t="s">
        <v>350</v>
      </c>
      <c r="F58" s="1050" t="s">
        <v>7670</v>
      </c>
      <c r="G58" s="1023" t="s">
        <v>365</v>
      </c>
      <c r="H58" s="1023" t="s">
        <v>1105</v>
      </c>
      <c r="I58" s="1067"/>
      <c r="J58" s="1067"/>
      <c r="K58" s="1067"/>
      <c r="L58" s="1067"/>
      <c r="M58" s="1067"/>
      <c r="N58" s="1067"/>
      <c r="O58" s="1067" t="s">
        <v>7670</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7671</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7551</v>
      </c>
      <c r="B60" s="1103" t="s">
        <v>7663</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7667</v>
      </c>
      <c r="C61" s="1090" t="s">
        <v>467</v>
      </c>
      <c r="D61" s="1067"/>
      <c r="E61" s="1067" t="s">
        <v>7672</v>
      </c>
      <c r="F61" s="1104"/>
      <c r="G61" s="1067" t="s">
        <v>467</v>
      </c>
      <c r="H61" s="1040"/>
      <c r="I61" s="1067"/>
      <c r="J61" s="1067"/>
      <c r="K61" s="1067"/>
      <c r="L61" s="1067"/>
      <c r="M61" s="1067"/>
      <c r="N61" s="1067"/>
      <c r="O61" s="1067"/>
      <c r="P61" s="1025" t="s">
        <v>7673</v>
      </c>
      <c r="Q61" s="1067" t="s">
        <v>2150</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7668</v>
      </c>
      <c r="C62" s="1090" t="s">
        <v>1365</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7669</v>
      </c>
      <c r="C63" s="1090" t="s">
        <v>414</v>
      </c>
      <c r="D63" s="1067"/>
      <c r="E63" s="1067" t="s">
        <v>2662</v>
      </c>
      <c r="F63" s="1105" t="s">
        <v>1006</v>
      </c>
      <c r="G63" s="1023" t="s">
        <v>622</v>
      </c>
      <c r="H63" s="1023" t="s">
        <v>7674</v>
      </c>
      <c r="I63" s="1067"/>
      <c r="J63" s="1067"/>
      <c r="K63" s="1067"/>
      <c r="L63" s="1067"/>
      <c r="M63" s="1067"/>
      <c r="N63" s="1067"/>
      <c r="O63" s="1023" t="s">
        <v>3985</v>
      </c>
      <c r="P63" s="1025" t="s">
        <v>7675</v>
      </c>
      <c r="Q63" s="1067" t="s">
        <v>7583</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7542</v>
      </c>
      <c r="B64" s="1107" t="s">
        <v>7676</v>
      </c>
      <c r="C64" s="1090" t="s">
        <v>4141</v>
      </c>
      <c r="D64" s="1032"/>
      <c r="E64" s="1032"/>
      <c r="F64" s="1050" t="s">
        <v>7677</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7678</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7529</v>
      </c>
      <c r="B66" s="1089" t="s">
        <v>7528</v>
      </c>
      <c r="C66" s="1109" t="s">
        <v>2555</v>
      </c>
      <c r="D66" s="1072" t="s">
        <v>7679</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7542</v>
      </c>
      <c r="B67" s="1103" t="s">
        <v>7680</v>
      </c>
      <c r="C67" s="1090" t="s">
        <v>3744</v>
      </c>
      <c r="D67" s="1072"/>
      <c r="E67" s="1072"/>
      <c r="F67" s="1021"/>
      <c r="G67" s="1023">
        <v>35.06</v>
      </c>
      <c r="H67" s="1040"/>
      <c r="I67" s="1072"/>
      <c r="J67" s="1072"/>
      <c r="K67" s="1072"/>
      <c r="L67" s="1072"/>
      <c r="M67" s="1072"/>
      <c r="N67" s="1072"/>
      <c r="O67" s="1072"/>
      <c r="P67" s="1073"/>
      <c r="Q67" s="1072"/>
      <c r="R67" s="1072"/>
      <c r="S67" s="1072"/>
      <c r="T67" s="1072"/>
      <c r="U67" s="1072" t="s">
        <v>7681</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7682</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7683</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7684</v>
      </c>
      <c r="C69" s="1049" t="s">
        <v>1142</v>
      </c>
      <c r="D69" s="1025" t="s">
        <v>7583</v>
      </c>
      <c r="E69" s="1025"/>
      <c r="F69" s="1050" t="s">
        <v>1142</v>
      </c>
      <c r="G69" s="1078" t="s">
        <v>1253</v>
      </c>
      <c r="H69" s="1040"/>
      <c r="I69" s="1025"/>
      <c r="J69" s="1025"/>
      <c r="K69" s="1025"/>
      <c r="L69" s="1025"/>
      <c r="M69" s="1025"/>
      <c r="N69" s="1025"/>
      <c r="O69" s="1025"/>
      <c r="P69" s="1025"/>
      <c r="Q69" s="1025"/>
      <c r="R69" s="1022" t="s">
        <v>7677</v>
      </c>
      <c r="S69" s="1025"/>
      <c r="T69" s="1025"/>
      <c r="U69" s="1022" t="s">
        <v>7685</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7551</v>
      </c>
      <c r="B70" s="1103" t="s">
        <v>7680</v>
      </c>
      <c r="C70" s="1038" t="s">
        <v>1028</v>
      </c>
      <c r="D70" s="1025" t="s">
        <v>4222</v>
      </c>
      <c r="E70" s="1025"/>
      <c r="F70" s="1021"/>
      <c r="G70" s="1025"/>
      <c r="H70" s="1040"/>
      <c r="I70" s="1025"/>
      <c r="J70" s="1078" t="s">
        <v>6382</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2749</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7686</v>
      </c>
      <c r="C71" s="1038" t="s">
        <v>467</v>
      </c>
      <c r="D71" s="1029" t="s">
        <v>2354</v>
      </c>
      <c r="E71" s="1029" t="s">
        <v>3483</v>
      </c>
      <c r="F71" s="1105" t="s">
        <v>7687</v>
      </c>
      <c r="G71" s="1029" t="s">
        <v>574</v>
      </c>
      <c r="H71" s="1040"/>
      <c r="I71" s="1029"/>
      <c r="J71" s="1029" t="s">
        <v>7687</v>
      </c>
      <c r="K71" s="1029"/>
      <c r="L71" s="1029"/>
      <c r="M71" s="1029" t="s">
        <v>3483</v>
      </c>
      <c r="N71" s="1029"/>
      <c r="O71" s="1029"/>
      <c r="P71" s="1025"/>
      <c r="Q71" s="1029"/>
      <c r="R71" s="1029"/>
      <c r="S71" s="1029"/>
      <c r="T71" s="1029" t="s">
        <v>2841</v>
      </c>
      <c r="U71" s="1067" t="s">
        <v>5667</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7688</v>
      </c>
      <c r="B72" s="1089" t="s">
        <v>7689</v>
      </c>
      <c r="C72" s="1090" t="str">
        <f>HYPERLINK("https://youtu.be/4OqNmNgyDyw","16.24")</f>
        <v>16.24</v>
      </c>
      <c r="D72" s="1114"/>
      <c r="E72" s="1114" t="s">
        <v>1209</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7690</v>
      </c>
      <c r="W72" s="1114" t="s">
        <v>7691</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7692</v>
      </c>
      <c r="C73" s="1090" t="s">
        <v>3581</v>
      </c>
      <c r="D73" s="1029" t="s">
        <v>529</v>
      </c>
      <c r="E73" s="1029"/>
      <c r="F73" s="1050" t="s">
        <v>343</v>
      </c>
      <c r="G73" s="1029" t="s">
        <v>3946</v>
      </c>
      <c r="H73" s="1023" t="s">
        <v>2216</v>
      </c>
      <c r="I73" s="1029" t="s">
        <v>404</v>
      </c>
      <c r="J73" s="1029" t="s">
        <v>3269</v>
      </c>
      <c r="K73" s="1029"/>
      <c r="L73" s="1029"/>
      <c r="M73" s="1029"/>
      <c r="N73" s="1029" t="str">
        <f>HYPERLINK("https://youtu.be/1clufi5ICPo","15.10")</f>
        <v>15.10</v>
      </c>
      <c r="O73" s="1029"/>
      <c r="P73" s="1025"/>
      <c r="Q73" s="1029" t="s">
        <v>2728</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7693</v>
      </c>
      <c r="C74" s="1090" t="s">
        <v>664</v>
      </c>
      <c r="D74" s="1029" t="s">
        <v>1272</v>
      </c>
      <c r="E74" s="1072" t="s">
        <v>911</v>
      </c>
      <c r="F74" s="1105" t="s">
        <v>1892</v>
      </c>
      <c r="G74" s="1072" t="s">
        <v>1210</v>
      </c>
      <c r="H74" s="1023" t="s">
        <v>1272</v>
      </c>
      <c r="I74" s="1072" t="s">
        <v>1428</v>
      </c>
      <c r="J74" s="1072" t="s">
        <v>4383</v>
      </c>
      <c r="K74" s="1072" t="s">
        <v>3109</v>
      </c>
      <c r="L74" s="1072" t="s">
        <v>7694</v>
      </c>
      <c r="M74" s="1072" t="s">
        <v>5956</v>
      </c>
      <c r="N74" s="1072" t="s">
        <v>358</v>
      </c>
      <c r="O74" s="1072" t="s">
        <v>6170</v>
      </c>
      <c r="P74" s="1073"/>
      <c r="Q74" s="1072" t="s">
        <v>1960</v>
      </c>
      <c r="R74" s="1072"/>
      <c r="S74" s="1072" t="s">
        <v>1608</v>
      </c>
      <c r="T74" s="1072"/>
      <c r="U74" s="1072"/>
      <c r="V74" s="1116" t="s">
        <v>5657</v>
      </c>
      <c r="W74" s="1072"/>
      <c r="X74" s="1072"/>
      <c r="Y74" s="1072"/>
      <c r="Z74" s="1072"/>
      <c r="AA74" s="1072"/>
      <c r="AB74" s="1072" t="s">
        <v>3581</v>
      </c>
      <c r="AC74" s="1072"/>
      <c r="AD74" s="1072"/>
      <c r="AE74" s="1072"/>
      <c r="AF74" s="1072"/>
      <c r="AG74" s="1072"/>
      <c r="AH74" s="1072"/>
      <c r="AI74" s="1072" t="s">
        <v>664</v>
      </c>
      <c r="AJ74" s="1072"/>
      <c r="AK74" s="1092"/>
      <c r="AL74" s="1072" t="s">
        <v>7695</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7696</v>
      </c>
      <c r="B75" s="1089" t="s">
        <v>7697</v>
      </c>
      <c r="C75" s="1090" t="s">
        <v>2201</v>
      </c>
      <c r="D75" s="1029"/>
      <c r="E75" s="1029" t="s">
        <v>2201</v>
      </c>
      <c r="F75" s="1096"/>
      <c r="G75" s="1029"/>
      <c r="H75" s="1023" t="s">
        <v>6621</v>
      </c>
      <c r="I75" s="1029" t="s">
        <v>7698</v>
      </c>
      <c r="J75" s="1029"/>
      <c r="K75" s="1029" t="s">
        <v>4233</v>
      </c>
      <c r="L75" s="1029"/>
      <c r="M75" s="1029"/>
      <c r="N75" s="1029" t="s">
        <v>7699</v>
      </c>
      <c r="O75" s="1029"/>
      <c r="P75" s="1025"/>
      <c r="Q75" s="1029"/>
      <c r="R75" s="1029"/>
      <c r="S75" s="1029"/>
      <c r="T75" s="1029"/>
      <c r="U75" s="1029"/>
      <c r="V75" s="1091" t="s">
        <v>7700</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7701</v>
      </c>
      <c r="C76" s="1090" t="s">
        <v>353</v>
      </c>
      <c r="D76" s="1029" t="s">
        <v>1476</v>
      </c>
      <c r="E76" s="1029" t="s">
        <v>353</v>
      </c>
      <c r="F76" s="1035" t="s">
        <v>359</v>
      </c>
      <c r="G76" s="1029" t="s">
        <v>1537</v>
      </c>
      <c r="H76" s="1023" t="s">
        <v>1273</v>
      </c>
      <c r="I76" s="1029" t="s">
        <v>1429</v>
      </c>
      <c r="J76" s="1029" t="s">
        <v>4999</v>
      </c>
      <c r="K76" s="1029" t="s">
        <v>7702</v>
      </c>
      <c r="L76" s="1029" t="s">
        <v>912</v>
      </c>
      <c r="M76" s="1029" t="s">
        <v>756</v>
      </c>
      <c r="N76" s="1029" t="s">
        <v>1358</v>
      </c>
      <c r="O76" s="1029" t="s">
        <v>2325</v>
      </c>
      <c r="P76" s="1025" t="s">
        <v>3882</v>
      </c>
      <c r="Q76" s="1029" t="s">
        <v>7703</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7542</v>
      </c>
      <c r="B77" s="1103" t="s">
        <v>7704</v>
      </c>
      <c r="C77" s="1038" t="s">
        <v>7705</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7705</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7706</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7707</v>
      </c>
      <c r="C79" s="1090" t="s">
        <v>354</v>
      </c>
      <c r="D79" s="1029" t="s">
        <v>1567</v>
      </c>
      <c r="E79" s="1029" t="s">
        <v>757</v>
      </c>
      <c r="F79" s="1055" t="s">
        <v>1053</v>
      </c>
      <c r="G79" s="1029" t="s">
        <v>6233</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3340</v>
      </c>
      <c r="Q79" s="1029" t="s">
        <v>5031</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7708</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7551</v>
      </c>
      <c r="B80" s="1103" t="s">
        <v>7697</v>
      </c>
      <c r="C80" s="1090" t="s">
        <v>4058</v>
      </c>
      <c r="D80" s="1029"/>
      <c r="E80" s="1029" t="s">
        <v>4058</v>
      </c>
      <c r="F80" s="1096"/>
      <c r="G80" s="1029"/>
      <c r="H80" s="1023" t="s">
        <v>2477</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7709</v>
      </c>
      <c r="C81" s="1090" t="s">
        <v>2743</v>
      </c>
      <c r="D81" s="1029" t="s">
        <v>2537</v>
      </c>
      <c r="E81" s="1029" t="s">
        <v>2403</v>
      </c>
      <c r="F81" s="1050" t="s">
        <v>7710</v>
      </c>
      <c r="G81" s="1029"/>
      <c r="H81" s="1023" t="s">
        <v>7711</v>
      </c>
      <c r="I81" s="1029"/>
      <c r="J81" s="1029"/>
      <c r="K81" s="1029"/>
      <c r="L81" s="1029"/>
      <c r="M81" s="1029" t="s">
        <v>7712</v>
      </c>
      <c r="N81" s="1029"/>
      <c r="O81" s="1029"/>
      <c r="P81" s="1025" t="s">
        <v>7713</v>
      </c>
      <c r="Q81" s="1029"/>
      <c r="R81" s="1029"/>
      <c r="S81" s="1029" t="s">
        <v>4048</v>
      </c>
      <c r="T81" s="1029"/>
      <c r="U81" s="1029"/>
      <c r="V81" s="1093"/>
      <c r="W81" s="1029"/>
      <c r="X81" s="1029" t="s">
        <v>7713</v>
      </c>
      <c r="Y81" s="1029" t="s">
        <v>1942</v>
      </c>
      <c r="Z81" s="1029" t="s">
        <v>2743</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7714</v>
      </c>
      <c r="C82" s="1090" t="s">
        <v>3020</v>
      </c>
      <c r="D82" s="1067"/>
      <c r="E82" s="1067"/>
      <c r="F82" s="1105" t="s">
        <v>1843</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7588</v>
      </c>
      <c r="B83" s="1089" t="s">
        <v>7715</v>
      </c>
      <c r="C83" s="1090" t="s">
        <v>2257</v>
      </c>
      <c r="D83" s="1029"/>
      <c r="E83" s="1029" t="s">
        <v>2257</v>
      </c>
      <c r="F83" s="1096"/>
      <c r="G83" s="1029"/>
      <c r="H83" s="1023" t="s">
        <v>7716</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7717</v>
      </c>
      <c r="C84" s="1090" t="s">
        <v>2692</v>
      </c>
      <c r="D84" s="1029" t="s">
        <v>3651</v>
      </c>
      <c r="E84" s="1029" t="s">
        <v>2692</v>
      </c>
      <c r="F84" s="1021"/>
      <c r="G84" s="1029"/>
      <c r="H84" s="1040"/>
      <c r="I84" s="1029"/>
      <c r="J84" s="1029"/>
      <c r="K84" s="1029" t="s">
        <v>7718</v>
      </c>
      <c r="L84" s="1029" t="s">
        <v>5210</v>
      </c>
      <c r="M84" s="1029"/>
      <c r="N84" s="1029" t="str">
        <f>HYPERLINK("https://youtu.be/HUwmtKe7cOY","56.54")</f>
        <v>56.54</v>
      </c>
      <c r="O84" s="1029"/>
      <c r="P84" s="1025" t="s">
        <v>3824</v>
      </c>
      <c r="Q84" s="1029"/>
      <c r="R84" s="1029"/>
      <c r="S84" s="1029"/>
      <c r="T84" s="1029"/>
      <c r="U84" s="1029" t="s">
        <v>7719</v>
      </c>
      <c r="V84" s="1091" t="s">
        <v>7720</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7721</v>
      </c>
      <c r="C85" s="1090" t="s">
        <v>951</v>
      </c>
      <c r="D85" s="1029" t="s">
        <v>1568</v>
      </c>
      <c r="E85" s="1029" t="s">
        <v>5322</v>
      </c>
      <c r="F85" s="1055" t="s">
        <v>758</v>
      </c>
      <c r="G85" s="1029" t="s">
        <v>951</v>
      </c>
      <c r="H85" s="1023" t="s">
        <v>1275</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7722</v>
      </c>
      <c r="B86" s="1089" t="s">
        <v>7723</v>
      </c>
      <c r="C86" s="1090" t="s">
        <v>3512</v>
      </c>
      <c r="D86" s="1029"/>
      <c r="E86" s="1029" t="s">
        <v>7724</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7725</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2892</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7726</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7727</v>
      </c>
      <c r="C88" s="1120" t="s">
        <v>6596</v>
      </c>
      <c r="D88" s="1121" t="s">
        <v>7728</v>
      </c>
      <c r="E88" s="1122" t="s">
        <v>2391</v>
      </c>
      <c r="F88" s="1122" t="s">
        <v>760</v>
      </c>
      <c r="G88" s="1121" t="s">
        <v>760</v>
      </c>
      <c r="H88" s="1122" t="s">
        <v>668</v>
      </c>
      <c r="I88" s="1122" t="s">
        <v>2442</v>
      </c>
      <c r="J88" s="1122" t="s">
        <v>1277</v>
      </c>
      <c r="K88" s="1121" t="s">
        <v>3113</v>
      </c>
      <c r="L88" s="1121" t="s">
        <v>7729</v>
      </c>
      <c r="M88" s="993"/>
      <c r="N88" s="993"/>
      <c r="O88" s="1122" t="s">
        <v>6596</v>
      </c>
      <c r="P88" s="1122" t="s">
        <v>7730</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7731</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7732</v>
      </c>
      <c r="B89" s="1107" t="s">
        <v>7528</v>
      </c>
      <c r="C89" s="1109" t="s">
        <v>7733</v>
      </c>
      <c r="D89" s="1022" t="s">
        <v>7734</v>
      </c>
      <c r="E89" s="1067"/>
      <c r="F89" s="1105" t="s">
        <v>5081</v>
      </c>
      <c r="G89" s="1022" t="s">
        <v>7733</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7735</v>
      </c>
      <c r="B90" s="1107" t="s">
        <v>7528</v>
      </c>
      <c r="C90" s="1049" t="s">
        <v>7736</v>
      </c>
      <c r="D90" s="1022" t="s">
        <v>7737</v>
      </c>
      <c r="E90" s="1067"/>
      <c r="F90" s="1069" t="s">
        <v>7738</v>
      </c>
      <c r="G90" s="1022" t="s">
        <v>7736</v>
      </c>
      <c r="H90" s="1040"/>
      <c r="I90" s="1067"/>
      <c r="J90" s="1067"/>
      <c r="K90" s="1067"/>
      <c r="L90" s="1067"/>
      <c r="M90" s="1067"/>
      <c r="N90" s="1067"/>
      <c r="O90" s="1067"/>
      <c r="P90" s="1025"/>
      <c r="Q90" s="1067"/>
      <c r="R90" s="1067"/>
      <c r="S90" s="1067"/>
      <c r="T90" s="1067"/>
      <c r="U90" s="1022" t="s">
        <v>7739</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7637</v>
      </c>
      <c r="B91" s="1089" t="s">
        <v>7638</v>
      </c>
      <c r="C91" s="1090" t="s">
        <v>5419</v>
      </c>
      <c r="D91" s="1029" t="s">
        <v>7098</v>
      </c>
      <c r="E91" s="1029" t="s">
        <v>5419</v>
      </c>
      <c r="F91" s="1096"/>
      <c r="G91" s="1029" t="s">
        <v>5419</v>
      </c>
      <c r="H91" s="1040"/>
      <c r="I91" s="1029" t="s">
        <v>5193</v>
      </c>
      <c r="J91" s="1029"/>
      <c r="K91" s="1029" t="s">
        <v>4747</v>
      </c>
      <c r="L91" s="1029"/>
      <c r="M91" s="1029" t="s">
        <v>3701</v>
      </c>
      <c r="N91" s="1029" t="str">
        <f>HYPERLINK("https://youtu.be/HjDDp_Mj_yI","16.74")</f>
        <v>16.74</v>
      </c>
      <c r="O91" s="1029"/>
      <c r="P91" s="1025" t="s">
        <v>6455</v>
      </c>
      <c r="Q91" s="1029"/>
      <c r="R91" s="1029" t="s">
        <v>5419</v>
      </c>
      <c r="S91" s="1029"/>
      <c r="T91" s="1029"/>
      <c r="U91" s="1029"/>
      <c r="V91" s="1065" t="s">
        <v>7740</v>
      </c>
      <c r="W91" s="1029" t="s">
        <v>5193</v>
      </c>
      <c r="X91" s="1029"/>
      <c r="Y91" s="1029"/>
      <c r="Z91" s="1029"/>
      <c r="AA91" s="1029"/>
      <c r="AB91" s="1029"/>
      <c r="AC91" s="1029"/>
      <c r="AD91" s="1029"/>
      <c r="AE91" s="1029" t="s">
        <v>5419</v>
      </c>
      <c r="AF91" s="1029"/>
      <c r="AG91" s="1029"/>
      <c r="AH91" s="1029"/>
      <c r="AI91" s="1029"/>
      <c r="AJ91" s="1029"/>
      <c r="AK91" s="1092"/>
      <c r="AL91" s="1029"/>
      <c r="AM91" s="1029"/>
      <c r="AN91" s="1029" t="s">
        <v>5630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7741</v>
      </c>
      <c r="C92" s="1090" t="s">
        <v>1780</v>
      </c>
      <c r="D92" s="1029"/>
      <c r="E92" s="1029" t="s">
        <v>1780</v>
      </c>
      <c r="F92" s="1021"/>
      <c r="G92" s="1029" t="s">
        <v>1780</v>
      </c>
      <c r="H92" s="1040"/>
      <c r="I92" s="1029"/>
      <c r="J92" s="1029"/>
      <c r="K92" s="1029"/>
      <c r="L92" s="1029"/>
      <c r="M92" s="1029" t="s">
        <v>1780</v>
      </c>
      <c r="N92" s="1029"/>
      <c r="O92" s="1029"/>
      <c r="P92" s="1025"/>
      <c r="Q92" s="1029" t="s">
        <v>2928</v>
      </c>
      <c r="R92" s="1029" t="s">
        <v>1780</v>
      </c>
      <c r="S92" s="1029"/>
      <c r="T92" s="1029"/>
      <c r="U92" s="1029"/>
      <c r="V92" s="1093"/>
      <c r="W92" s="1029"/>
      <c r="X92" s="1029"/>
      <c r="Y92" s="1029"/>
      <c r="Z92" s="1029"/>
      <c r="AA92" s="1029"/>
      <c r="AB92" s="1029"/>
      <c r="AC92" s="1029"/>
      <c r="AD92" s="1029"/>
      <c r="AE92" s="1029" t="s">
        <v>6734</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7742</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7743</v>
      </c>
      <c r="C94" s="1090" t="s">
        <v>1074</v>
      </c>
      <c r="D94" s="1029" t="s">
        <v>1570</v>
      </c>
      <c r="E94" s="1022" t="s">
        <v>358</v>
      </c>
      <c r="F94" s="1021"/>
      <c r="G94" s="1022" t="s">
        <v>1074</v>
      </c>
      <c r="H94" s="1023" t="s">
        <v>1278</v>
      </c>
      <c r="I94" s="1024"/>
      <c r="J94" s="1022" t="s">
        <v>7744</v>
      </c>
      <c r="K94" s="1024"/>
      <c r="L94" s="1024" t="s">
        <v>125</v>
      </c>
      <c r="M94" s="1022" t="s">
        <v>6092</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7745</v>
      </c>
      <c r="C95" s="1090" t="s">
        <v>2477</v>
      </c>
      <c r="D95" s="1029" t="s">
        <v>2477</v>
      </c>
      <c r="E95" s="1029"/>
      <c r="F95" s="1111" t="s">
        <v>2477</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7641</v>
      </c>
      <c r="B96" s="1089" t="s">
        <v>7746</v>
      </c>
      <c r="C96" s="1090" t="s">
        <v>359</v>
      </c>
      <c r="D96" s="983" t="s">
        <v>1571</v>
      </c>
      <c r="E96" s="1029" t="s">
        <v>1756</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6657</v>
      </c>
      <c r="BM96" s="1032"/>
      <c r="BN96" s="1032"/>
      <c r="BO96" s="1032"/>
    </row>
    <row r="97" ht="15.75" customHeight="1">
      <c r="A97" s="1088" t="s">
        <v>7747</v>
      </c>
      <c r="B97" s="1089" t="s">
        <v>7644</v>
      </c>
      <c r="C97" s="1090" t="s">
        <v>7748</v>
      </c>
      <c r="D97" s="1077" t="s">
        <v>1792</v>
      </c>
      <c r="E97" s="1029" t="s">
        <v>128</v>
      </c>
      <c r="F97" s="1021"/>
      <c r="G97" s="1029"/>
      <c r="H97" s="1040"/>
      <c r="I97" s="1029"/>
      <c r="J97" s="1029"/>
      <c r="K97" s="1029"/>
      <c r="L97" s="1029" t="s">
        <v>4269</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7749</v>
      </c>
      <c r="B98" s="1107" t="s">
        <v>7644</v>
      </c>
      <c r="C98" s="1090" t="s">
        <v>7750</v>
      </c>
      <c r="D98" s="1077" t="s">
        <v>7750</v>
      </c>
      <c r="E98" s="1029"/>
      <c r="F98" s="1021"/>
      <c r="G98" s="1029"/>
      <c r="H98" s="1040"/>
      <c r="I98" s="1029"/>
      <c r="J98" s="1029"/>
      <c r="K98" s="1029"/>
      <c r="L98" s="1029"/>
      <c r="M98" s="1029"/>
      <c r="N98" s="1029"/>
      <c r="O98" s="1029"/>
      <c r="P98" s="1025"/>
      <c r="Q98" s="1029"/>
      <c r="R98" s="1029"/>
      <c r="S98" s="1029"/>
      <c r="T98" s="1029"/>
      <c r="U98" s="1022" t="s">
        <v>7751</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7528</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7752</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7527</v>
      </c>
      <c r="B101" s="1131"/>
      <c r="C101" s="1132" t="s">
        <v>4209</v>
      </c>
      <c r="D101" s="983" t="s">
        <v>1574</v>
      </c>
      <c r="E101" s="1133" t="s">
        <v>2443</v>
      </c>
      <c r="F101" s="1021"/>
      <c r="G101" s="1133"/>
      <c r="H101" s="1023" t="s">
        <v>6063</v>
      </c>
      <c r="I101" s="1133" t="str">
        <f>HYPERLINK("https://youtu.be/ycBfir2aflI","41.70")</f>
        <v>41.70</v>
      </c>
      <c r="J101" s="1133" t="s">
        <v>7563</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7542</v>
      </c>
      <c r="B102" s="1138"/>
      <c r="C102" s="1132" t="s">
        <v>1617</v>
      </c>
      <c r="D102" s="983" t="s">
        <v>1575</v>
      </c>
      <c r="E102" s="1139"/>
      <c r="F102" s="1140"/>
      <c r="G102" s="1139"/>
      <c r="H102" s="1023" t="s">
        <v>7672</v>
      </c>
      <c r="I102" s="1133" t="s">
        <v>3345</v>
      </c>
      <c r="J102" s="1133" t="s">
        <v>4160</v>
      </c>
      <c r="K102" s="1139" t="s">
        <v>1235</v>
      </c>
      <c r="L102" s="1139" t="s">
        <v>919</v>
      </c>
      <c r="M102" s="1133" t="s">
        <v>764</v>
      </c>
      <c r="N102" s="1139" t="s">
        <v>3726</v>
      </c>
      <c r="O102" s="1133" t="s">
        <v>1617</v>
      </c>
      <c r="P102" s="1141" t="s">
        <v>2919</v>
      </c>
      <c r="Q102" s="1139"/>
      <c r="R102" s="1139" t="s">
        <v>5871</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7551</v>
      </c>
      <c r="B103" s="1142"/>
      <c r="C103" s="1132" t="s">
        <v>3404</v>
      </c>
      <c r="D103" s="1143" t="s">
        <v>4524</v>
      </c>
      <c r="E103" s="1139"/>
      <c r="F103" s="1021"/>
      <c r="G103" s="1139"/>
      <c r="H103" s="1023" t="s">
        <v>6111</v>
      </c>
      <c r="I103" s="1139"/>
      <c r="J103" s="1133" t="s">
        <v>3404</v>
      </c>
      <c r="K103" s="1139"/>
      <c r="L103" s="1139" t="s">
        <v>3483</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7753</v>
      </c>
      <c r="B104" s="1144" t="s">
        <v>7754</v>
      </c>
      <c r="C104" s="1132" t="s">
        <v>1513</v>
      </c>
      <c r="D104" s="980" t="s">
        <v>7755</v>
      </c>
      <c r="E104" s="1139"/>
      <c r="F104" s="1021"/>
      <c r="G104" s="1139"/>
      <c r="H104" s="1023" t="s">
        <v>1283</v>
      </c>
      <c r="I104" s="1139" t="s">
        <v>6852</v>
      </c>
      <c r="J104" s="1133" t="s">
        <v>7756</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7757</v>
      </c>
      <c r="C105" s="1132" t="s">
        <v>7758</v>
      </c>
      <c r="D105" s="983" t="s">
        <v>1576</v>
      </c>
      <c r="E105" s="1139"/>
      <c r="F105" s="1140"/>
      <c r="G105" s="1139"/>
      <c r="H105" s="1040"/>
      <c r="I105" s="1139"/>
      <c r="J105" s="1133" t="s">
        <v>7758</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7688</v>
      </c>
      <c r="B106" s="1144" t="s">
        <v>7759</v>
      </c>
      <c r="C106" s="1132" t="s">
        <v>5720</v>
      </c>
      <c r="D106" s="980" t="s">
        <v>6816</v>
      </c>
      <c r="E106" s="1139"/>
      <c r="F106" s="1021"/>
      <c r="G106" s="1139"/>
      <c r="H106" s="1023" t="s">
        <v>612</v>
      </c>
      <c r="I106" s="1139"/>
      <c r="J106" s="1133" t="s">
        <v>7760</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7761</v>
      </c>
      <c r="BG106" s="1139"/>
      <c r="BH106" s="1139"/>
      <c r="BI106" s="1135"/>
      <c r="BJ106" s="1135"/>
      <c r="BK106" s="1135"/>
      <c r="BL106" s="1135"/>
      <c r="BM106" s="1135"/>
      <c r="BN106" s="1135"/>
      <c r="BO106" s="1135"/>
    </row>
    <row r="107" ht="15.75" customHeight="1">
      <c r="A107" s="1130" t="s">
        <v>7696</v>
      </c>
      <c r="B107" s="1144" t="s">
        <v>7762</v>
      </c>
      <c r="C107" s="1132" t="s">
        <v>7763</v>
      </c>
      <c r="D107" s="980" t="s">
        <v>3723</v>
      </c>
      <c r="E107" s="1139"/>
      <c r="F107" s="1140"/>
      <c r="G107" s="1139"/>
      <c r="H107" s="1023" t="s">
        <v>134</v>
      </c>
      <c r="I107" s="1139" t="s">
        <v>7764</v>
      </c>
      <c r="J107" s="1133" t="s">
        <v>7765</v>
      </c>
      <c r="K107" s="1139" t="s">
        <v>3644</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7542</v>
      </c>
      <c r="B108" s="1138" t="s">
        <v>7762</v>
      </c>
      <c r="C108" s="1018" t="s">
        <v>7766</v>
      </c>
      <c r="D108" s="1077" t="s">
        <v>7677</v>
      </c>
      <c r="E108" s="1133" t="s">
        <v>366</v>
      </c>
      <c r="F108" s="1021"/>
      <c r="G108" s="1133"/>
      <c r="H108" s="1023" t="s">
        <v>7767</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7766</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7551</v>
      </c>
      <c r="B109" s="1147" t="s">
        <v>7754</v>
      </c>
      <c r="C109" s="1132" t="s">
        <v>1790</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7768</v>
      </c>
      <c r="B110" s="1148" t="s">
        <v>7528</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7722</v>
      </c>
      <c r="B111" s="1144" t="s">
        <v>7644</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7769</v>
      </c>
      <c r="C112" s="1132" t="s">
        <v>1259</v>
      </c>
      <c r="D112" s="983" t="s">
        <v>1579</v>
      </c>
      <c r="E112" s="1139"/>
      <c r="F112" s="1021"/>
      <c r="G112" s="1139"/>
      <c r="H112" s="1023" t="s">
        <v>1286</v>
      </c>
      <c r="I112" s="1139" t="s">
        <v>7770</v>
      </c>
      <c r="J112" s="1133" t="s">
        <v>1259</v>
      </c>
      <c r="K112" s="1139" t="s">
        <v>3646</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7637</v>
      </c>
      <c r="B113" s="1144" t="s">
        <v>7771</v>
      </c>
      <c r="C113" s="1132" t="s">
        <v>1057</v>
      </c>
      <c r="D113" s="1139" t="s">
        <v>1548</v>
      </c>
      <c r="F113" s="1150" t="s">
        <v>5530</v>
      </c>
      <c r="H113" s="1040"/>
      <c r="I113" s="1133" t="str">
        <f>HYPERLINK("https://youtu.be/NIfI1hsvvFQ","19.73")</f>
        <v>19.73</v>
      </c>
      <c r="J113" s="1133" t="s">
        <v>1057</v>
      </c>
      <c r="K113" s="1133" t="s">
        <v>2603</v>
      </c>
      <c r="L113" s="1133"/>
      <c r="M113" s="1139" t="s">
        <v>1751</v>
      </c>
      <c r="N113" s="1133" t="str">
        <f>HYPERLINK("https://youtu.be/vlD8b3WQME8","20.08")</f>
        <v>20.08</v>
      </c>
      <c r="O113" s="1133"/>
      <c r="P113" s="1134" t="s">
        <v>3158</v>
      </c>
      <c r="Q113" s="1133"/>
      <c r="R113" s="1133" t="s">
        <v>6111</v>
      </c>
      <c r="S113" s="1133"/>
      <c r="T113" s="1133"/>
      <c r="U113" s="1133"/>
      <c r="V113" s="1151" t="s">
        <v>7772</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7773</v>
      </c>
      <c r="C114" s="1132"/>
      <c r="D114" s="1133"/>
      <c r="E114" s="1133" t="s">
        <v>6111</v>
      </c>
      <c r="F114" s="1150" t="s">
        <v>3826</v>
      </c>
      <c r="G114" s="1133" t="s">
        <v>6111</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7640</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7641</v>
      </c>
      <c r="B116" s="1144" t="s">
        <v>7774</v>
      </c>
      <c r="C116" s="1132" t="s">
        <v>2245</v>
      </c>
      <c r="D116" s="1139"/>
      <c r="E116" s="1139"/>
      <c r="F116" s="1140"/>
      <c r="G116" s="1139"/>
      <c r="H116" s="1023" t="s">
        <v>4260</v>
      </c>
      <c r="I116" s="1139"/>
      <c r="J116" s="1139"/>
      <c r="K116" s="1133" t="s">
        <v>4018</v>
      </c>
      <c r="L116" s="1139"/>
      <c r="M116" s="1139"/>
      <c r="N116" s="1139" t="s">
        <v>5473</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7775</v>
      </c>
      <c r="C117" s="1132" t="s">
        <v>877</v>
      </c>
      <c r="D117" s="1139" t="s">
        <v>3994</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2"/>
      <c r="W117" s="1139" t="s">
        <v>7776</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7777</v>
      </c>
      <c r="C118" s="1132" t="s">
        <v>7778</v>
      </c>
      <c r="D118" s="1029" t="s">
        <v>1580</v>
      </c>
      <c r="E118" s="1133" t="s">
        <v>7778</v>
      </c>
      <c r="F118" s="1050" t="s">
        <v>2056</v>
      </c>
      <c r="G118" s="1139" t="s">
        <v>1932</v>
      </c>
      <c r="H118" s="1040"/>
      <c r="I118" s="1133" t="s">
        <v>259</v>
      </c>
      <c r="J118" s="1133" t="s">
        <v>4800</v>
      </c>
      <c r="K118" s="1133" t="s">
        <v>847</v>
      </c>
      <c r="L118" s="1133"/>
      <c r="M118" s="1133" t="s">
        <v>770</v>
      </c>
      <c r="N118" s="1133"/>
      <c r="O118" s="1133" t="s">
        <v>4240</v>
      </c>
      <c r="P118" s="1134" t="s">
        <v>6203</v>
      </c>
      <c r="Q118" s="1133" t="s">
        <v>2571</v>
      </c>
      <c r="R118" s="1133" t="s">
        <v>3375</v>
      </c>
      <c r="S118" s="1133"/>
      <c r="T118" s="1133" t="s">
        <v>6839</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7779</v>
      </c>
      <c r="C119" s="1132" t="s">
        <v>7780</v>
      </c>
      <c r="D119" s="1139"/>
      <c r="E119" s="1139"/>
      <c r="F119" s="1035" t="s">
        <v>2557</v>
      </c>
      <c r="G119" s="1139"/>
      <c r="H119" s="1040"/>
      <c r="I119" s="1139"/>
      <c r="J119" s="1139"/>
      <c r="K119" s="1139"/>
      <c r="L119" s="1139"/>
      <c r="M119" s="1139"/>
      <c r="N119" s="1139"/>
      <c r="O119" s="1139"/>
      <c r="P119" s="1141"/>
      <c r="Q119" s="1139"/>
      <c r="R119" s="1139"/>
      <c r="S119" s="1139" t="s">
        <v>7781</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7782</v>
      </c>
      <c r="B120" s="1148" t="s">
        <v>7644</v>
      </c>
      <c r="C120" s="1132" t="s">
        <v>925</v>
      </c>
      <c r="D120" s="983" t="s">
        <v>1582</v>
      </c>
      <c r="E120" s="1139"/>
      <c r="F120" s="1140"/>
      <c r="G120" s="1139" t="s">
        <v>5171</v>
      </c>
      <c r="H120" s="1040"/>
      <c r="I120" s="1139" t="s">
        <v>3664</v>
      </c>
      <c r="J120" s="1139"/>
      <c r="K120" s="1139" t="s">
        <v>3077</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6036</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7749</v>
      </c>
      <c r="B121" s="1138" t="s">
        <v>7644</v>
      </c>
      <c r="C121" s="1090" t="s">
        <v>7783</v>
      </c>
      <c r="D121" s="1077" t="s">
        <v>7783</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6666</v>
      </c>
      <c r="B122" s="1148" t="s">
        <v>7528</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7754</v>
      </c>
      <c r="C123" s="1132" t="s">
        <v>2961</v>
      </c>
      <c r="D123" s="983" t="s">
        <v>7784</v>
      </c>
      <c r="E123" s="1139"/>
      <c r="F123" s="1021"/>
      <c r="G123" s="1139"/>
      <c r="H123" s="1040"/>
      <c r="I123" s="1133" t="s">
        <v>7785</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7786</v>
      </c>
      <c r="B125" s="1162"/>
      <c r="C125" s="1132" t="s">
        <v>4113</v>
      </c>
      <c r="D125" s="1133" t="s">
        <v>7787</v>
      </c>
      <c r="E125" s="1133" t="s">
        <v>7788</v>
      </c>
      <c r="F125" s="1050" t="s">
        <v>7789</v>
      </c>
      <c r="G125" s="1133" t="s">
        <v>4113</v>
      </c>
      <c r="H125" s="1040"/>
      <c r="I125" s="1133"/>
      <c r="J125" s="1133"/>
      <c r="K125" s="1133"/>
      <c r="L125" s="1133" t="s">
        <v>7788</v>
      </c>
      <c r="M125" s="1133"/>
      <c r="N125" s="1133"/>
      <c r="O125" s="1133"/>
      <c r="P125" s="1134" t="s">
        <v>7790</v>
      </c>
      <c r="Q125" s="1133"/>
      <c r="R125" s="1133"/>
      <c r="S125" s="1133" t="s">
        <v>7791</v>
      </c>
      <c r="T125" s="1133"/>
      <c r="U125" s="1133"/>
      <c r="V125" s="1163"/>
      <c r="W125" s="1133"/>
      <c r="X125" s="1133" t="s">
        <v>7790</v>
      </c>
      <c r="Y125" s="1133"/>
      <c r="Z125" s="1133"/>
      <c r="AA125" s="1133" t="s">
        <v>7789</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7527</v>
      </c>
      <c r="B126" s="1164" t="s">
        <v>7792</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7793</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7794</v>
      </c>
      <c r="C128" s="1049" t="s">
        <v>1181</v>
      </c>
      <c r="D128" s="1029" t="s">
        <v>662</v>
      </c>
      <c r="E128" s="1139"/>
      <c r="F128" s="1050" t="s">
        <v>1181</v>
      </c>
      <c r="G128" s="1139"/>
      <c r="H128" s="1023" t="s">
        <v>1350</v>
      </c>
      <c r="I128" s="1139"/>
      <c r="J128" s="1139" t="s">
        <v>2787</v>
      </c>
      <c r="K128" s="1139" t="s">
        <v>7795</v>
      </c>
      <c r="L128" s="1139"/>
      <c r="M128" s="1139"/>
      <c r="N128" s="1139"/>
      <c r="O128" s="1139"/>
      <c r="P128" s="1141" t="s">
        <v>7796</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7797</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7542</v>
      </c>
      <c r="B130" s="1172" t="s">
        <v>7528</v>
      </c>
      <c r="C130" s="1132" t="s">
        <v>2581</v>
      </c>
      <c r="D130" s="1136"/>
      <c r="E130" s="1136"/>
      <c r="F130" s="1173" t="s">
        <v>2737</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7551</v>
      </c>
      <c r="B131" s="1176" t="s">
        <v>7528</v>
      </c>
      <c r="C131" s="1132" t="s">
        <v>7798</v>
      </c>
      <c r="D131" s="1139"/>
      <c r="E131" s="1139"/>
      <c r="F131" s="1050" t="s">
        <v>1947</v>
      </c>
      <c r="G131" s="1023" t="s">
        <v>7798</v>
      </c>
      <c r="H131" s="1023" t="s">
        <v>7799</v>
      </c>
      <c r="I131" s="1139"/>
      <c r="J131" s="1139"/>
      <c r="K131" s="1139"/>
      <c r="L131" s="1139"/>
      <c r="M131" s="1139"/>
      <c r="N131" s="1139"/>
      <c r="O131" s="1139"/>
      <c r="P131" s="1141"/>
      <c r="Q131" s="1139"/>
      <c r="R131" s="1139"/>
      <c r="S131" s="1139" t="s">
        <v>7798</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7529</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6295</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7542</v>
      </c>
      <c r="B133" s="1176" t="s">
        <v>7528</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3649</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7551</v>
      </c>
      <c r="B134" s="1176" t="s">
        <v>7528</v>
      </c>
      <c r="C134" s="1132" t="s">
        <v>7800</v>
      </c>
      <c r="D134" s="1133"/>
      <c r="E134" s="1133" t="s">
        <v>7800</v>
      </c>
      <c r="F134" s="1173" t="s">
        <v>1545</v>
      </c>
      <c r="G134" s="1133"/>
      <c r="H134" s="1023" t="s">
        <v>7801</v>
      </c>
      <c r="I134" s="1133"/>
      <c r="J134" s="1133"/>
      <c r="K134" s="1133"/>
      <c r="L134" s="1133" t="s">
        <v>3020</v>
      </c>
      <c r="M134" s="1133" t="s">
        <v>7801</v>
      </c>
      <c r="N134" s="1133"/>
      <c r="O134" s="1133"/>
      <c r="P134" s="1134" t="s">
        <v>7800</v>
      </c>
      <c r="Q134" s="1133" t="s">
        <v>486</v>
      </c>
      <c r="R134" s="1133"/>
      <c r="S134" s="1133"/>
      <c r="T134" s="1133"/>
      <c r="U134" s="1133"/>
      <c r="V134" s="1032"/>
      <c r="W134" s="1133"/>
      <c r="X134" s="1133"/>
      <c r="Y134" s="1133"/>
      <c r="Z134" s="1133" t="s">
        <v>7802</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7688</v>
      </c>
      <c r="B135" s="1164" t="s">
        <v>7803</v>
      </c>
      <c r="C135" s="1132" t="s">
        <v>7804</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7805</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7806</v>
      </c>
      <c r="C136" s="1132" t="s">
        <v>1816</v>
      </c>
      <c r="D136" s="1139" t="s">
        <v>2605</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7807</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6492</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7808</v>
      </c>
      <c r="C138" s="1132" t="s">
        <v>376</v>
      </c>
      <c r="D138" s="1029" t="s">
        <v>776</v>
      </c>
      <c r="E138" s="1023" t="s">
        <v>376</v>
      </c>
      <c r="F138" s="1055" t="s">
        <v>3981</v>
      </c>
      <c r="G138" s="1178" t="s">
        <v>7809</v>
      </c>
      <c r="H138" s="1023" t="s">
        <v>1293</v>
      </c>
      <c r="I138" s="1023" t="s">
        <v>5510</v>
      </c>
      <c r="J138" s="1040"/>
      <c r="K138" s="1040"/>
      <c r="L138" s="1023" t="s">
        <v>929</v>
      </c>
      <c r="M138" s="1023" t="s">
        <v>6491</v>
      </c>
      <c r="N138" s="1040"/>
      <c r="O138" s="1023" t="s">
        <v>7810</v>
      </c>
      <c r="P138" s="1134" t="s">
        <v>5130</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7811</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7577</v>
      </c>
      <c r="B139" s="1164" t="s">
        <v>7812</v>
      </c>
      <c r="C139" s="1132" t="s">
        <v>566</v>
      </c>
      <c r="D139" s="1139" t="s">
        <v>4297</v>
      </c>
      <c r="E139" s="1139"/>
      <c r="F139" s="1021"/>
      <c r="G139" s="1139"/>
      <c r="H139" s="1040"/>
      <c r="I139" s="1139"/>
      <c r="J139" s="1023" t="s">
        <v>5703</v>
      </c>
      <c r="K139" s="1139" t="s">
        <v>1655</v>
      </c>
      <c r="L139" s="1139"/>
      <c r="M139" s="1139"/>
      <c r="N139" s="1139" t="str">
        <f>HYPERLINK("https://youtu.be/wzsts4r5VHY","56.24")</f>
        <v>56.24</v>
      </c>
      <c r="O139" s="1023" t="s">
        <v>7813</v>
      </c>
      <c r="P139" s="1141"/>
      <c r="Q139" s="1139"/>
      <c r="R139" s="1139"/>
      <c r="S139" s="1139" t="s">
        <v>566</v>
      </c>
      <c r="T139" s="1139"/>
      <c r="U139" s="1139"/>
      <c r="V139" s="1168" t="s">
        <v>7814</v>
      </c>
      <c r="W139" s="1139"/>
      <c r="X139" s="1139"/>
      <c r="Y139" s="1139"/>
      <c r="Z139" s="1139"/>
      <c r="AA139" s="1139"/>
      <c r="AB139" s="1139"/>
      <c r="AC139" s="1139"/>
      <c r="AD139" s="1139"/>
      <c r="AE139" s="1139" t="s">
        <v>7815</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7816</v>
      </c>
      <c r="C140" s="1132" t="s">
        <v>4563</v>
      </c>
      <c r="D140" s="1179"/>
      <c r="E140" s="1179"/>
      <c r="F140" s="1165"/>
      <c r="G140" s="1179"/>
      <c r="H140" s="1040"/>
      <c r="I140" s="1179"/>
      <c r="J140" s="1023" t="s">
        <v>7817</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7818</v>
      </c>
      <c r="C141" s="1132" t="s">
        <v>7819</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7588</v>
      </c>
      <c r="B142" s="1164" t="s">
        <v>7820</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7821</v>
      </c>
      <c r="C143" s="1132" t="s">
        <v>7822</v>
      </c>
      <c r="E143" s="1139"/>
      <c r="F143" s="1021"/>
      <c r="G143" s="1139"/>
      <c r="H143" s="1023" t="s">
        <v>1295</v>
      </c>
      <c r="I143" s="1139"/>
      <c r="J143" s="1023" t="s">
        <v>1432</v>
      </c>
      <c r="K143" s="1139"/>
      <c r="L143" s="1139" t="s">
        <v>931</v>
      </c>
      <c r="M143" s="1139"/>
      <c r="N143" s="1139"/>
      <c r="O143" s="1023" t="s">
        <v>5723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7823</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7824</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7825</v>
      </c>
      <c r="C145" s="1018" t="s">
        <v>7826</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7826</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7600</v>
      </c>
      <c r="B146" s="1164" t="s">
        <v>7827</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7828</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7542</v>
      </c>
      <c r="B148" s="1172" t="s">
        <v>7827</v>
      </c>
      <c r="C148" s="1132" t="s">
        <v>3590</v>
      </c>
      <c r="D148" s="1133" t="s">
        <v>5460</v>
      </c>
      <c r="E148" s="1133" t="s">
        <v>3590</v>
      </c>
      <c r="F148" s="1165"/>
      <c r="G148" s="1133"/>
      <c r="H148" s="1023" t="s">
        <v>2949</v>
      </c>
      <c r="I148" s="1133"/>
      <c r="J148" s="1133"/>
      <c r="K148" s="1133" t="s">
        <v>474</v>
      </c>
      <c r="L148" s="1133"/>
      <c r="M148" s="1133" t="s">
        <v>2319</v>
      </c>
      <c r="N148" s="1133" t="s">
        <v>1318</v>
      </c>
      <c r="O148" s="1133"/>
      <c r="P148" s="1134"/>
      <c r="Q148" s="1133"/>
      <c r="R148" s="1133"/>
      <c r="S148" s="1133"/>
      <c r="T148" s="1133"/>
      <c r="U148" s="1133"/>
      <c r="V148" s="1065" t="s">
        <v>3732</v>
      </c>
      <c r="W148" s="1133"/>
      <c r="X148" s="1133"/>
      <c r="Y148" s="1133" t="s">
        <v>7829</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7828</v>
      </c>
      <c r="C149" s="1132" t="s">
        <v>1442</v>
      </c>
      <c r="D149" s="983" t="s">
        <v>1586</v>
      </c>
      <c r="E149" s="1133" t="s">
        <v>5514</v>
      </c>
      <c r="F149" s="1055" t="s">
        <v>1616</v>
      </c>
      <c r="G149" s="1143" t="s">
        <v>139</v>
      </c>
      <c r="H149" s="1023" t="s">
        <v>3375</v>
      </c>
      <c r="I149" s="1133" t="str">
        <f>HYPERLINK("https://youtu.be/NPrbRwZDn1I","27.54")</f>
        <v>27.54</v>
      </c>
      <c r="J149" s="1133" t="s">
        <v>504</v>
      </c>
      <c r="K149" s="1133" t="s">
        <v>2571</v>
      </c>
      <c r="L149" s="1133"/>
      <c r="M149" s="1133" t="s">
        <v>5514</v>
      </c>
      <c r="N149" s="1133" t="str">
        <f>HYPERLINK("https://youtu.be/gwRV1gD1ndo","27.79")</f>
        <v>27.79</v>
      </c>
      <c r="O149" s="1133" t="s">
        <v>150</v>
      </c>
      <c r="P149" s="1134" t="s">
        <v>431</v>
      </c>
      <c r="Q149" s="1133" t="s">
        <v>409</v>
      </c>
      <c r="R149" s="1133"/>
      <c r="S149" s="1023" t="s">
        <v>399</v>
      </c>
      <c r="T149" s="1133"/>
      <c r="U149" s="1133"/>
      <c r="V149" s="1168"/>
      <c r="W149" s="1133" t="s">
        <v>7830</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7551</v>
      </c>
      <c r="B150" s="1172" t="s">
        <v>7528</v>
      </c>
      <c r="C150" s="1132" t="s">
        <v>7831</v>
      </c>
      <c r="D150" s="1179"/>
      <c r="E150" s="1179"/>
      <c r="F150" s="1165"/>
      <c r="G150" s="1179"/>
      <c r="H150" s="1023" t="s">
        <v>2821</v>
      </c>
      <c r="I150" s="1179"/>
      <c r="J150" s="1179"/>
      <c r="K150" s="1179"/>
      <c r="L150" s="1179"/>
      <c r="M150" s="1179"/>
      <c r="N150" s="1179"/>
      <c r="O150" s="1063" t="s">
        <v>7831</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7830</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7832</v>
      </c>
      <c r="B151" s="1176" t="s">
        <v>7833</v>
      </c>
      <c r="C151" s="1132" t="s">
        <v>7834</v>
      </c>
      <c r="D151" s="1133" t="s">
        <v>7835</v>
      </c>
      <c r="E151" s="1133" t="s">
        <v>7834</v>
      </c>
      <c r="F151" s="1021"/>
      <c r="G151" s="1133"/>
      <c r="H151" s="1040"/>
      <c r="I151" s="1133" t="s">
        <v>7836</v>
      </c>
      <c r="J151" s="1133" t="s">
        <v>7837</v>
      </c>
      <c r="K151" s="1133"/>
      <c r="L151" s="1133" t="s">
        <v>934</v>
      </c>
      <c r="M151" s="1133"/>
      <c r="N151" s="1133" t="s">
        <v>7430</v>
      </c>
      <c r="O151" s="1133"/>
      <c r="P151" s="1134"/>
      <c r="Q151" s="1133"/>
      <c r="R151" s="1133"/>
      <c r="S151" s="1133"/>
      <c r="T151" s="1133" t="s">
        <v>7411</v>
      </c>
      <c r="U151" s="1133"/>
      <c r="V151" s="1163"/>
      <c r="W151" s="1133" t="s">
        <v>5140</v>
      </c>
      <c r="X151" s="1133"/>
      <c r="Y151" s="1133"/>
      <c r="Z151" s="1133"/>
      <c r="AA151" s="1133"/>
      <c r="AB151" s="1133"/>
      <c r="AC151" s="1133"/>
      <c r="AD151" s="1133"/>
      <c r="AE151" s="1133"/>
      <c r="AF151" s="1133"/>
      <c r="AG151" s="1133"/>
      <c r="AH151" s="1133"/>
      <c r="AI151" s="1133"/>
      <c r="AJ151" s="1133" t="s">
        <v>6850</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7838</v>
      </c>
      <c r="BF151" s="1133"/>
      <c r="BG151" s="1133"/>
      <c r="BH151" s="1133"/>
      <c r="BI151" s="1163"/>
      <c r="BJ151" s="1163"/>
      <c r="BK151" s="1163"/>
      <c r="BL151" s="1163"/>
      <c r="BM151" s="1163"/>
      <c r="BN151" s="1163"/>
      <c r="BO151" s="1163"/>
    </row>
    <row r="152" ht="15.75" customHeight="1">
      <c r="A152" s="1166"/>
      <c r="B152" s="1167" t="s">
        <v>7839</v>
      </c>
      <c r="C152" s="1132" t="s">
        <v>7840</v>
      </c>
      <c r="D152" s="1139"/>
      <c r="E152" s="1139"/>
      <c r="F152" s="1165"/>
      <c r="G152" s="1139"/>
      <c r="H152" s="1040"/>
      <c r="I152" s="1139"/>
      <c r="J152" s="1139"/>
      <c r="K152" s="1139" t="s">
        <v>7841</v>
      </c>
      <c r="L152" s="1139"/>
      <c r="M152" s="1139"/>
      <c r="N152" s="1139"/>
      <c r="O152" s="1139" t="s">
        <v>7840</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7842</v>
      </c>
      <c r="C153" s="1181" t="s">
        <v>2563</v>
      </c>
      <c r="D153" s="1067" t="s">
        <v>1588</v>
      </c>
      <c r="E153" s="1023" t="s">
        <v>381</v>
      </c>
      <c r="F153" s="1055" t="s">
        <v>2563</v>
      </c>
      <c r="G153" s="1023" t="s">
        <v>7843</v>
      </c>
      <c r="H153" s="1040"/>
      <c r="I153" s="1023" t="s">
        <v>588</v>
      </c>
      <c r="J153" s="1023" t="s">
        <v>3262</v>
      </c>
      <c r="K153" s="1040" t="s">
        <v>3654</v>
      </c>
      <c r="L153" s="1040"/>
      <c r="M153" s="1040"/>
      <c r="N153" s="1040"/>
      <c r="O153" s="1040"/>
      <c r="P153" s="1134"/>
      <c r="Q153" s="1040"/>
      <c r="R153" s="1040"/>
      <c r="S153" s="1040"/>
      <c r="T153" s="1040"/>
      <c r="U153" s="1023" t="s">
        <v>7188</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7844</v>
      </c>
      <c r="BC153" s="1040"/>
      <c r="BD153" s="1040"/>
      <c r="BE153" s="1040"/>
      <c r="BF153" s="1040"/>
      <c r="BG153" s="1040"/>
      <c r="BH153" s="1040"/>
      <c r="BI153" s="1163"/>
      <c r="BJ153" s="1163"/>
      <c r="BK153" s="1163"/>
      <c r="BL153" s="1163"/>
      <c r="BM153" s="1163"/>
      <c r="BN153" s="1163"/>
      <c r="BO153" s="1163"/>
    </row>
    <row r="154" ht="15.75" customHeight="1">
      <c r="A154" s="1166"/>
      <c r="B154" s="1167" t="s">
        <v>7845</v>
      </c>
      <c r="C154" s="1018" t="s">
        <v>3542</v>
      </c>
      <c r="D154" s="983" t="s">
        <v>1587</v>
      </c>
      <c r="E154" s="1139"/>
      <c r="F154" s="1165"/>
      <c r="G154" s="1139"/>
      <c r="H154" s="1023" t="s">
        <v>1297</v>
      </c>
      <c r="I154" s="1139"/>
      <c r="J154" s="1139"/>
      <c r="K154" s="1143" t="s">
        <v>3653</v>
      </c>
      <c r="L154" s="1139"/>
      <c r="M154" s="1139" t="s">
        <v>7846</v>
      </c>
      <c r="N154" s="1139"/>
      <c r="O154" s="1139" t="s">
        <v>1019</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7847</v>
      </c>
      <c r="B155" s="1176" t="s">
        <v>7833</v>
      </c>
      <c r="C155" s="1132" t="s">
        <v>777</v>
      </c>
      <c r="D155" s="1183" t="s">
        <v>5079</v>
      </c>
      <c r="E155" s="1183" t="s">
        <v>3659</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7848</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7849</v>
      </c>
      <c r="C157" s="1018" t="s">
        <v>2633</v>
      </c>
      <c r="D157" s="1183" t="s">
        <v>7850</v>
      </c>
      <c r="E157" s="1183"/>
      <c r="F157" s="1069" t="s">
        <v>3855</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7851</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7852</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7845</v>
      </c>
      <c r="C160" s="1018" t="s">
        <v>1429</v>
      </c>
      <c r="D160" s="1183"/>
      <c r="E160" s="1183"/>
      <c r="F160" s="1165"/>
      <c r="G160" s="1183" t="s">
        <v>7853</v>
      </c>
      <c r="H160" s="1023" t="s">
        <v>7052</v>
      </c>
      <c r="I160" s="1183" t="s">
        <v>286</v>
      </c>
      <c r="J160" s="1183"/>
      <c r="K160" s="1183"/>
      <c r="L160" s="1183"/>
      <c r="M160" s="1133" t="s">
        <v>4798</v>
      </c>
      <c r="N160" s="1183"/>
      <c r="O160" s="1183"/>
      <c r="P160" s="1134"/>
      <c r="Q160" s="1183"/>
      <c r="R160" s="1183"/>
      <c r="S160" s="1023" t="s">
        <v>6558</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7854</v>
      </c>
      <c r="B161" s="1176" t="s">
        <v>7855</v>
      </c>
      <c r="C161" s="1132" t="s">
        <v>7856</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7857</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7858</v>
      </c>
      <c r="B163" s="1176" t="s">
        <v>7859</v>
      </c>
      <c r="C163" s="1018" t="s">
        <v>7860</v>
      </c>
      <c r="D163" s="1183"/>
      <c r="E163" s="1183"/>
      <c r="F163" s="1050" t="s">
        <v>7861</v>
      </c>
      <c r="G163" s="1133" t="s">
        <v>7862</v>
      </c>
      <c r="H163" s="1023" t="s">
        <v>7863</v>
      </c>
      <c r="I163" s="1183" t="s">
        <v>7864</v>
      </c>
      <c r="J163" s="1183"/>
      <c r="K163" s="1183"/>
      <c r="L163" s="1183"/>
      <c r="M163" s="1133" t="s">
        <v>1322</v>
      </c>
      <c r="N163" s="1183"/>
      <c r="O163" s="1183"/>
      <c r="P163" s="1134"/>
      <c r="Q163" s="1183"/>
      <c r="R163" s="1183"/>
      <c r="S163" s="1023" t="s">
        <v>7860</v>
      </c>
      <c r="T163" s="1183"/>
      <c r="U163" s="1023" t="s">
        <v>7865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7866</v>
      </c>
      <c r="C164" s="1132" t="s">
        <v>7867</v>
      </c>
      <c r="D164" s="1183"/>
      <c r="E164" s="1183"/>
      <c r="F164" s="1173" t="s">
        <v>7868</v>
      </c>
      <c r="G164" s="1133" t="s">
        <v>7869</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7870</v>
      </c>
      <c r="C165" s="1132" t="s">
        <v>7871</v>
      </c>
      <c r="D165" s="1183"/>
      <c r="E165" s="1183"/>
      <c r="F165" s="1050" t="s">
        <v>7872</v>
      </c>
      <c r="G165" s="1133" t="s">
        <v>7871</v>
      </c>
      <c r="H165" s="1040"/>
      <c r="I165" s="1183" t="s">
        <v>7873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7874</v>
      </c>
      <c r="C166" s="1132" t="s">
        <v>747</v>
      </c>
      <c r="D166" s="1183"/>
      <c r="E166" s="1183"/>
      <c r="F166" s="1173" t="s">
        <v>3110</v>
      </c>
      <c r="G166" s="1133" t="s">
        <v>747</v>
      </c>
      <c r="H166" s="1040"/>
      <c r="I166" s="1183"/>
      <c r="J166" s="1183"/>
      <c r="K166" s="1183"/>
      <c r="L166" s="1183"/>
      <c r="M166" s="1133" t="s">
        <v>2761</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7637</v>
      </c>
      <c r="B167" s="1185" t="s">
        <v>7875</v>
      </c>
      <c r="C167" s="1132" t="s">
        <v>2612</v>
      </c>
      <c r="D167" s="1139" t="s">
        <v>2612</v>
      </c>
      <c r="E167" s="1139"/>
      <c r="F167" s="1173" t="s">
        <v>2979</v>
      </c>
      <c r="G167" s="1133" t="s">
        <v>2612</v>
      </c>
      <c r="H167" s="1023" t="s">
        <v>2859</v>
      </c>
      <c r="I167" s="1139"/>
      <c r="J167" s="1139"/>
      <c r="K167" s="1139" t="s">
        <v>3781</v>
      </c>
      <c r="L167" s="1139"/>
      <c r="M167" s="1139"/>
      <c r="N167" s="1139"/>
      <c r="O167" s="1139" t="s">
        <v>2612</v>
      </c>
      <c r="P167" s="1141" t="s">
        <v>2979</v>
      </c>
      <c r="Q167" s="1139"/>
      <c r="R167" s="1139" t="s">
        <v>2612</v>
      </c>
      <c r="S167" s="1139" t="s">
        <v>2612</v>
      </c>
      <c r="T167" s="1139"/>
      <c r="U167" s="1139"/>
      <c r="V167" s="1043" t="s">
        <v>7876</v>
      </c>
      <c r="W167" s="1139"/>
      <c r="X167" s="1139"/>
      <c r="Y167" s="1139"/>
      <c r="Z167" s="1139"/>
      <c r="AA167" s="1139"/>
      <c r="AB167" s="1023" t="s">
        <v>3592</v>
      </c>
      <c r="AC167" s="1139"/>
      <c r="AD167" s="1139"/>
      <c r="AE167" s="1139"/>
      <c r="AF167" s="1139" t="s">
        <v>2612</v>
      </c>
      <c r="AG167" s="1139"/>
      <c r="AH167" s="1139"/>
      <c r="AI167" s="1139"/>
      <c r="AJ167" s="1139"/>
      <c r="AK167" s="1136"/>
      <c r="AL167" s="1139"/>
      <c r="AM167" s="1139"/>
      <c r="AN167" s="1139" t="s">
        <v>5637</v>
      </c>
      <c r="AO167" s="1139"/>
      <c r="AP167" s="1139"/>
      <c r="AQ167" s="1136"/>
      <c r="AR167" s="1186" t="s">
        <v>7877</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7878</v>
      </c>
      <c r="C168" s="1132" t="s">
        <v>2446</v>
      </c>
      <c r="D168" s="1029" t="s">
        <v>1589</v>
      </c>
      <c r="E168" s="1133" t="s">
        <v>7879</v>
      </c>
      <c r="F168" s="1050" t="s">
        <v>7880</v>
      </c>
      <c r="G168" s="1133" t="s">
        <v>7881</v>
      </c>
      <c r="H168" s="1040"/>
      <c r="I168" s="1133"/>
      <c r="J168" s="1133" t="s">
        <v>516</v>
      </c>
      <c r="K168" s="1133" t="s">
        <v>3655</v>
      </c>
      <c r="L168" s="1133"/>
      <c r="M168" s="1133"/>
      <c r="N168" s="1133"/>
      <c r="O168" s="1133" t="s">
        <v>880</v>
      </c>
      <c r="P168" s="1134" t="s">
        <v>801</v>
      </c>
      <c r="Q168" s="1133"/>
      <c r="R168" s="1133"/>
      <c r="S168" s="1133"/>
      <c r="T168" s="1133"/>
      <c r="U168" s="1023" t="s">
        <v>2743</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7641</v>
      </c>
      <c r="B169" s="1185" t="s">
        <v>7882</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7551</v>
      </c>
      <c r="B170" s="1176" t="s">
        <v>7528</v>
      </c>
      <c r="C170" s="1132" t="s">
        <v>7883</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7884</v>
      </c>
      <c r="B171" s="1185" t="s">
        <v>7885</v>
      </c>
      <c r="C171" s="1132" t="s">
        <v>7886</v>
      </c>
      <c r="D171" s="1139" t="s">
        <v>6103</v>
      </c>
      <c r="E171" s="1139"/>
      <c r="F171" s="1021"/>
      <c r="G171" s="1139"/>
      <c r="H171" s="1040"/>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7887</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7646</v>
      </c>
      <c r="B173" s="1176" t="s">
        <v>7885</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7887</v>
      </c>
      <c r="C174" s="1187" t="s">
        <v>7888</v>
      </c>
      <c r="D174" s="1188" t="s">
        <v>7888</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7649</v>
      </c>
      <c r="B175" s="1185" t="s">
        <v>7528</v>
      </c>
      <c r="C175" s="1132" t="s">
        <v>1521</v>
      </c>
      <c r="D175" s="980" t="s">
        <v>1590</v>
      </c>
      <c r="E175" s="1133" t="s">
        <v>7889</v>
      </c>
      <c r="F175" s="1021"/>
      <c r="G175" s="1133"/>
      <c r="H175" s="1040"/>
      <c r="I175" s="1133"/>
      <c r="J175" s="1133"/>
      <c r="K175" s="1133" t="s">
        <v>1455</v>
      </c>
      <c r="L175" s="1133"/>
      <c r="M175" s="1133"/>
      <c r="N175" s="1133"/>
      <c r="O175" s="1133"/>
      <c r="P175" s="1134"/>
      <c r="Q175" s="1133"/>
      <c r="R175" s="1133"/>
      <c r="S175" s="1133"/>
      <c r="T175" s="1133"/>
      <c r="U175" s="1023" t="s">
        <v>2745</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7646</v>
      </c>
      <c r="B176" s="1172" t="s">
        <v>7528</v>
      </c>
      <c r="C176" s="1090" t="s">
        <v>7890</v>
      </c>
      <c r="D176" s="1077" t="s">
        <v>7890</v>
      </c>
      <c r="E176" s="1133"/>
      <c r="F176" s="1021"/>
      <c r="G176" s="1133"/>
      <c r="H176" s="1040"/>
      <c r="I176" s="1133"/>
      <c r="J176" s="1133"/>
      <c r="K176" s="1133"/>
      <c r="L176" s="1133"/>
      <c r="M176" s="1133"/>
      <c r="N176" s="1133"/>
      <c r="O176" s="1133"/>
      <c r="P176" s="1134"/>
      <c r="Q176" s="1133"/>
      <c r="R176" s="1133"/>
      <c r="S176" s="1133"/>
      <c r="T176" s="1133"/>
      <c r="U176" s="1023" t="s">
        <v>7891</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7892</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7528</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7893</v>
      </c>
      <c r="B179" s="1196" t="s">
        <v>7894</v>
      </c>
      <c r="C179" s="1132" t="s">
        <v>7895</v>
      </c>
      <c r="D179" s="1024" t="s">
        <v>7896</v>
      </c>
      <c r="E179" s="1029" t="s">
        <v>7897</v>
      </c>
      <c r="F179" s="1050" t="s">
        <v>7898</v>
      </c>
      <c r="G179" s="1024" t="s">
        <v>7897</v>
      </c>
      <c r="H179" s="1023" t="s">
        <v>7899</v>
      </c>
      <c r="I179" s="1029"/>
      <c r="J179" s="1029" t="s">
        <v>7900</v>
      </c>
      <c r="K179" s="1029" t="s">
        <v>7901</v>
      </c>
      <c r="L179" s="1029" t="s">
        <v>7898</v>
      </c>
      <c r="M179" s="1029" t="s">
        <v>7898</v>
      </c>
      <c r="N179" s="1029"/>
      <c r="O179" s="1029"/>
      <c r="P179" s="1025" t="s">
        <v>7897</v>
      </c>
      <c r="Q179" s="1029"/>
      <c r="R179" s="1029" t="s">
        <v>2172</v>
      </c>
      <c r="S179" s="1029" t="s">
        <v>7902</v>
      </c>
      <c r="T179" s="1029"/>
      <c r="U179" s="1029"/>
      <c r="V179" s="1197"/>
      <c r="W179" s="1029"/>
      <c r="X179" s="1029"/>
      <c r="Y179" s="1029"/>
      <c r="Z179" s="1029"/>
      <c r="AA179" s="1029"/>
      <c r="AB179" s="1029"/>
      <c r="AC179" s="1029" t="s">
        <v>7862</v>
      </c>
      <c r="AD179" s="1029" t="s">
        <v>7899</v>
      </c>
      <c r="AE179" s="1029"/>
      <c r="AF179" s="1029"/>
      <c r="AG179" s="1029" t="s">
        <v>7895</v>
      </c>
      <c r="AH179" s="1029"/>
      <c r="AI179" s="1029"/>
      <c r="AJ179" s="1029"/>
      <c r="AK179" s="1092"/>
      <c r="AL179" s="1029"/>
      <c r="AM179" s="1029" t="s">
        <v>7901</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7903</v>
      </c>
      <c r="C180" s="1132" t="s">
        <v>7904</v>
      </c>
      <c r="D180" s="1029"/>
      <c r="E180" s="1029" t="s">
        <v>7900</v>
      </c>
      <c r="F180" s="1200"/>
      <c r="G180" s="1029" t="s">
        <v>7904</v>
      </c>
      <c r="H180" s="1040"/>
      <c r="I180" s="1029"/>
      <c r="J180" s="1029"/>
      <c r="K180" s="1029"/>
      <c r="L180" s="1029"/>
      <c r="M180" s="1029"/>
      <c r="N180" s="1029"/>
      <c r="O180" s="1029"/>
      <c r="P180" s="1025" t="s">
        <v>7905</v>
      </c>
      <c r="Q180" s="1029"/>
      <c r="R180" s="1029"/>
      <c r="S180" s="1029"/>
      <c r="T180" s="1029" t="s">
        <v>7900</v>
      </c>
      <c r="U180" s="1029"/>
      <c r="V180" s="1032"/>
      <c r="W180" s="1029"/>
      <c r="X180" s="1029"/>
      <c r="Y180" s="1029"/>
      <c r="Z180" s="1029"/>
      <c r="AA180" s="1029" t="s">
        <v>7897</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7906</v>
      </c>
      <c r="B181" s="1196" t="s">
        <v>7528</v>
      </c>
      <c r="C181" s="1132" t="s">
        <v>1858</v>
      </c>
      <c r="D181" s="1024" t="s">
        <v>5487</v>
      </c>
      <c r="E181" s="1029" t="s">
        <v>6259</v>
      </c>
      <c r="F181" s="1050" t="s">
        <v>3003</v>
      </c>
      <c r="G181" s="1029" t="s">
        <v>3003</v>
      </c>
      <c r="H181" s="1023" t="s">
        <v>7907</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7542</v>
      </c>
      <c r="B182" s="1202" t="s">
        <v>7528</v>
      </c>
      <c r="C182" s="1132" t="s">
        <v>7908</v>
      </c>
      <c r="D182" s="1114"/>
      <c r="E182" s="1114" t="s">
        <v>7909</v>
      </c>
      <c r="F182" s="1203" t="s">
        <v>7910</v>
      </c>
      <c r="G182" s="1029" t="s">
        <v>7908</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7529</v>
      </c>
      <c r="B183" s="1204" t="s">
        <v>7911</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7912</v>
      </c>
      <c r="C184" s="1132" t="s">
        <v>7913</v>
      </c>
      <c r="D184" s="1029" t="s">
        <v>7914</v>
      </c>
      <c r="E184" s="1029" t="s">
        <v>7913</v>
      </c>
      <c r="F184" s="1055" t="s">
        <v>1259</v>
      </c>
      <c r="G184" s="1029" t="s">
        <v>830</v>
      </c>
      <c r="H184" s="1023" t="s">
        <v>1303</v>
      </c>
      <c r="I184" s="1029"/>
      <c r="J184" s="1029" t="s">
        <v>610</v>
      </c>
      <c r="K184" s="1029" t="s">
        <v>355</v>
      </c>
      <c r="L184" s="1029"/>
      <c r="M184" s="1029"/>
      <c r="N184" s="1029" t="s">
        <v>147</v>
      </c>
      <c r="O184" s="1029" t="s">
        <v>7915</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7542</v>
      </c>
      <c r="B185" s="1206" t="s">
        <v>7916</v>
      </c>
      <c r="C185" s="1132" t="s">
        <v>7917</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7918</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7919</v>
      </c>
      <c r="C186" s="1132" t="s">
        <v>7920</v>
      </c>
      <c r="D186" s="1029" t="s">
        <v>1593</v>
      </c>
      <c r="E186" s="1029" t="s">
        <v>7920</v>
      </c>
      <c r="F186" s="1055" t="s">
        <v>2486</v>
      </c>
      <c r="G186" s="1029" t="s">
        <v>3088</v>
      </c>
      <c r="H186" s="1023" t="s">
        <v>1304</v>
      </c>
      <c r="I186" s="1029" t="s">
        <v>159</v>
      </c>
      <c r="J186" s="1029" t="s">
        <v>4003</v>
      </c>
      <c r="K186" s="1029" t="s">
        <v>5464</v>
      </c>
      <c r="L186" s="1029" t="s">
        <v>940</v>
      </c>
      <c r="M186" s="1029" t="s">
        <v>2991</v>
      </c>
      <c r="N186" s="1029" t="s">
        <v>1989</v>
      </c>
      <c r="O186" s="1029" t="s">
        <v>4831</v>
      </c>
      <c r="P186" s="1025" t="s">
        <v>1989</v>
      </c>
      <c r="Q186" s="1029"/>
      <c r="R186" s="1029"/>
      <c r="S186" s="1029"/>
      <c r="T186" s="1029"/>
      <c r="U186" s="1029"/>
      <c r="V186" s="1043" t="s">
        <v>5480</v>
      </c>
      <c r="W186" s="1029" t="s">
        <v>7921</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7922</v>
      </c>
      <c r="C187" s="1132" t="s">
        <v>3435</v>
      </c>
      <c r="D187" s="1029"/>
      <c r="E187" s="1029" t="s">
        <v>3435</v>
      </c>
      <c r="F187" s="1021"/>
      <c r="G187" s="1029"/>
      <c r="H187" s="1040"/>
      <c r="I187" s="1029" t="s">
        <v>5400</v>
      </c>
      <c r="J187" s="1029"/>
      <c r="K187" s="1029"/>
      <c r="L187" s="1029"/>
      <c r="M187" s="1029" t="s">
        <v>1025</v>
      </c>
      <c r="N187" s="1029" t="s">
        <v>4484</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7923</v>
      </c>
      <c r="B188" s="1206" t="s">
        <v>7689</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7924</v>
      </c>
      <c r="C189" s="1210" t="s">
        <v>1570</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7925</v>
      </c>
      <c r="B190" s="1206" t="s">
        <v>7689</v>
      </c>
      <c r="C190" s="1132" t="s">
        <v>7926</v>
      </c>
      <c r="D190" s="1205"/>
      <c r="E190" s="1205"/>
      <c r="F190" s="1203" t="s">
        <v>7927</v>
      </c>
      <c r="G190" s="1205" t="s">
        <v>7926</v>
      </c>
      <c r="H190" s="1040"/>
      <c r="I190" s="1205"/>
      <c r="J190" s="1205" t="s">
        <v>7928</v>
      </c>
      <c r="K190" s="1205"/>
      <c r="L190" s="1205"/>
      <c r="M190" s="1205"/>
      <c r="N190" s="1205"/>
      <c r="O190" s="1205"/>
      <c r="P190" s="1054"/>
      <c r="Q190" s="1205"/>
      <c r="R190" s="1205"/>
      <c r="S190" s="1205"/>
      <c r="T190" s="1205"/>
      <c r="U190" s="1205"/>
      <c r="V190" s="1032"/>
      <c r="W190" s="1205"/>
      <c r="X190" s="1205"/>
      <c r="Y190" s="1205" t="s">
        <v>7910</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7924</v>
      </c>
      <c r="C191" s="1132" t="s">
        <v>7929</v>
      </c>
      <c r="D191" s="1024" t="s">
        <v>7930</v>
      </c>
      <c r="E191" s="1022" t="s">
        <v>7929</v>
      </c>
      <c r="F191" s="1021"/>
      <c r="G191" s="1024" t="s">
        <v>7929</v>
      </c>
      <c r="H191" s="1040"/>
      <c r="I191" s="1024"/>
      <c r="J191" s="1024"/>
      <c r="K191" s="1024"/>
      <c r="L191" s="1024"/>
      <c r="M191" s="1024"/>
      <c r="N191" s="1024"/>
      <c r="O191" s="1024"/>
      <c r="P191" s="1025"/>
      <c r="Q191" s="1024"/>
      <c r="R191" s="1024"/>
      <c r="S191" s="1024"/>
      <c r="T191" s="1024"/>
      <c r="U191" s="1024"/>
      <c r="V191" s="1197"/>
      <c r="W191" s="1024"/>
      <c r="X191" s="1024"/>
      <c r="Y191" s="1024"/>
      <c r="Z191" s="1022" t="s">
        <v>7929</v>
      </c>
      <c r="AA191" s="1024"/>
      <c r="AB191" s="1024"/>
      <c r="AC191" s="1024"/>
      <c r="AD191" s="1024"/>
      <c r="AE191" s="1024"/>
      <c r="AF191" s="1024"/>
      <c r="AG191" s="1024"/>
      <c r="AH191" s="1024" t="s">
        <v>7931</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7932</v>
      </c>
      <c r="C192" s="1022" t="s">
        <v>7933</v>
      </c>
      <c r="D192" s="1024"/>
      <c r="E192" s="1024"/>
      <c r="F192" s="1021"/>
      <c r="G192" s="1022" t="s">
        <v>7933</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7557</v>
      </c>
      <c r="B193" s="1204" t="s">
        <v>7934</v>
      </c>
      <c r="C193" s="1132" t="s">
        <v>2619</v>
      </c>
      <c r="D193" s="1205"/>
      <c r="E193" s="1205"/>
      <c r="F193" s="1200"/>
      <c r="G193" s="1205"/>
      <c r="H193" s="1023" t="s">
        <v>7935</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7936</v>
      </c>
      <c r="C194" s="1132" t="s">
        <v>821</v>
      </c>
      <c r="D194" s="1205" t="s">
        <v>3471</v>
      </c>
      <c r="E194" s="1205"/>
      <c r="F194" s="1050" t="s">
        <v>2231</v>
      </c>
      <c r="G194" s="1205"/>
      <c r="H194" s="1040"/>
      <c r="I194" s="1205" t="s">
        <v>3598</v>
      </c>
      <c r="J194" s="1205"/>
      <c r="K194" s="1205" t="s">
        <v>3368</v>
      </c>
      <c r="L194" s="1205"/>
      <c r="M194" s="1205"/>
      <c r="N194" s="1205" t="s">
        <v>7937</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7938</v>
      </c>
      <c r="C195" s="1132" t="s">
        <v>494</v>
      </c>
      <c r="D195" s="1029" t="s">
        <v>2929</v>
      </c>
      <c r="E195" s="1205"/>
      <c r="F195" s="1035" t="s">
        <v>2565</v>
      </c>
      <c r="G195" s="1205" t="s">
        <v>785</v>
      </c>
      <c r="H195" s="1023" t="s">
        <v>631</v>
      </c>
      <c r="I195" s="1205"/>
      <c r="J195" s="1205" t="s">
        <v>5660</v>
      </c>
      <c r="K195" s="1205"/>
      <c r="L195" s="1205" t="s">
        <v>941</v>
      </c>
      <c r="M195" s="1205"/>
      <c r="N195" s="1205"/>
      <c r="O195" s="1205" t="s">
        <v>1026</v>
      </c>
      <c r="P195" s="1054"/>
      <c r="Q195" s="1205" t="s">
        <v>6454</v>
      </c>
      <c r="R195" s="1205"/>
      <c r="S195" s="1205"/>
      <c r="T195" s="1205" t="s">
        <v>494</v>
      </c>
      <c r="U195" s="1022" t="s">
        <v>2749</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7542</v>
      </c>
      <c r="B196" s="1206" t="s">
        <v>7939</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7940</v>
      </c>
      <c r="C197" s="1132" t="s">
        <v>7872</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7941</v>
      </c>
      <c r="C198" s="1132" t="s">
        <v>7942</v>
      </c>
      <c r="D198" s="1205" t="s">
        <v>1545</v>
      </c>
      <c r="E198" s="1205"/>
      <c r="F198" s="1069" t="s">
        <v>7943</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7944</v>
      </c>
      <c r="C199" s="1132" t="s">
        <v>2172</v>
      </c>
      <c r="D199" s="1072" t="s">
        <v>7945</v>
      </c>
      <c r="E199" s="1205"/>
      <c r="F199" s="1203" t="s">
        <v>589</v>
      </c>
      <c r="G199" s="1205" t="s">
        <v>3079</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7696</v>
      </c>
      <c r="B200" s="1218" t="s">
        <v>7946</v>
      </c>
      <c r="C200" s="1132" t="s">
        <v>5488</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7947</v>
      </c>
      <c r="C201" s="1132" t="s">
        <v>5232</v>
      </c>
      <c r="D201" s="1205" t="s">
        <v>3437</v>
      </c>
      <c r="E201" s="1205"/>
      <c r="F201" s="1203" t="s">
        <v>661</v>
      </c>
      <c r="G201" s="1205"/>
      <c r="H201" s="1023" t="s">
        <v>4527</v>
      </c>
      <c r="I201" s="1205"/>
      <c r="J201" s="1205"/>
      <c r="K201" s="1205" t="s">
        <v>5677</v>
      </c>
      <c r="L201" s="1205" t="s">
        <v>1764</v>
      </c>
      <c r="M201" s="1205"/>
      <c r="N201" s="1205" t="s">
        <v>4667</v>
      </c>
      <c r="O201" s="1205"/>
      <c r="P201" s="1054"/>
      <c r="Q201" s="1205"/>
      <c r="R201" s="1205"/>
      <c r="S201" s="1205"/>
      <c r="T201" s="1205" t="s">
        <v>3507</v>
      </c>
      <c r="U201" s="1205"/>
      <c r="V201" s="1219"/>
      <c r="W201" s="1205" t="s">
        <v>7948</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7949</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7950</v>
      </c>
      <c r="C203" s="1132" t="s">
        <v>365</v>
      </c>
      <c r="D203" s="1024" t="s">
        <v>5881</v>
      </c>
      <c r="E203" s="1022" t="s">
        <v>365</v>
      </c>
      <c r="F203" s="1209" t="s">
        <v>7951</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7952</v>
      </c>
      <c r="C204" s="1132" t="s">
        <v>942</v>
      </c>
      <c r="D204" s="1029" t="s">
        <v>161</v>
      </c>
      <c r="E204" s="1072"/>
      <c r="F204" s="1055" t="s">
        <v>597</v>
      </c>
      <c r="G204" s="1133" t="s">
        <v>7953</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7542</v>
      </c>
      <c r="B205" s="1206" t="s">
        <v>7946</v>
      </c>
      <c r="C205" s="1132" t="s">
        <v>1491</v>
      </c>
      <c r="D205" s="1072"/>
      <c r="E205" s="1072"/>
      <c r="F205" s="1200"/>
      <c r="G205" s="1072"/>
      <c r="H205" s="1040"/>
      <c r="I205" s="1072"/>
      <c r="J205" s="1072" t="s">
        <v>6997</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7954</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7955</v>
      </c>
      <c r="BH205" s="1072"/>
      <c r="BI205" s="1197"/>
      <c r="BJ205" s="1197"/>
      <c r="BK205" s="1197"/>
      <c r="BL205" s="1197"/>
      <c r="BM205" s="1197"/>
      <c r="BN205" s="1197"/>
      <c r="BO205" s="1197"/>
    </row>
    <row r="206" ht="15.75" customHeight="1">
      <c r="A206" s="1198"/>
      <c r="B206" s="1199" t="s">
        <v>7947</v>
      </c>
      <c r="C206" s="1132" t="s">
        <v>7956</v>
      </c>
      <c r="D206" s="1072" t="s">
        <v>328</v>
      </c>
      <c r="E206" s="1072" t="s">
        <v>3832</v>
      </c>
      <c r="F206" s="1203" t="s">
        <v>4984</v>
      </c>
      <c r="G206" s="1072"/>
      <c r="H206" s="1023" t="s">
        <v>6553</v>
      </c>
      <c r="I206" s="1072" t="s">
        <v>7957</v>
      </c>
      <c r="J206" s="1072"/>
      <c r="K206" s="1072"/>
      <c r="L206" s="1072" t="s">
        <v>3832</v>
      </c>
      <c r="M206" s="1072"/>
      <c r="N206" s="1072" t="s">
        <v>7958</v>
      </c>
      <c r="O206" s="1072"/>
      <c r="P206" s="1073" t="s">
        <v>3859</v>
      </c>
      <c r="Q206" s="1072"/>
      <c r="R206" s="1067" t="s">
        <v>7959</v>
      </c>
      <c r="S206" s="1072"/>
      <c r="T206" s="1072"/>
      <c r="U206" s="1072"/>
      <c r="V206" s="1043" t="s">
        <v>7960</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7949</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7950</v>
      </c>
      <c r="C208" s="1132" t="s">
        <v>2932</v>
      </c>
      <c r="D208" s="1029" t="s">
        <v>543</v>
      </c>
      <c r="E208" s="1029" t="s">
        <v>2932</v>
      </c>
      <c r="F208" s="1050" t="s">
        <v>7961</v>
      </c>
      <c r="G208" s="1029"/>
      <c r="H208" s="1040"/>
      <c r="I208" s="1029" t="s">
        <v>1459</v>
      </c>
      <c r="J208" s="1029" t="s">
        <v>7962</v>
      </c>
      <c r="K208" s="1029" t="s">
        <v>4256</v>
      </c>
      <c r="L208" s="1029"/>
      <c r="M208" s="1029" t="s">
        <v>7963</v>
      </c>
      <c r="N208" s="1029" t="s">
        <v>4502</v>
      </c>
      <c r="O208" s="1029" t="s">
        <v>4840</v>
      </c>
      <c r="P208" s="1022" t="s">
        <v>7964</v>
      </c>
      <c r="Q208" s="1029"/>
      <c r="R208" s="1022" t="s">
        <v>5905</v>
      </c>
      <c r="S208" s="1029"/>
      <c r="T208" s="1029"/>
      <c r="U208" s="1029"/>
      <c r="V208" s="1032"/>
      <c r="W208" s="1029"/>
      <c r="X208" s="1029" t="s">
        <v>2534</v>
      </c>
      <c r="Y208" s="1029" t="s">
        <v>7965</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7952</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7551</v>
      </c>
      <c r="B210" s="1206" t="s">
        <v>7528</v>
      </c>
      <c r="C210" s="1132" t="s">
        <v>894</v>
      </c>
      <c r="D210" s="1024" t="s">
        <v>6039</v>
      </c>
      <c r="E210" s="1022" t="s">
        <v>379</v>
      </c>
      <c r="F210" s="1050" t="s">
        <v>1011</v>
      </c>
      <c r="G210" s="1024" t="s">
        <v>2170</v>
      </c>
      <c r="H210" s="1023" t="s">
        <v>7966</v>
      </c>
      <c r="I210" s="1024"/>
      <c r="J210" s="1024"/>
      <c r="K210" s="1024"/>
      <c r="L210" s="1024" t="s">
        <v>7967</v>
      </c>
      <c r="M210" s="1024"/>
      <c r="N210" s="1024"/>
      <c r="O210" s="1024"/>
      <c r="P210" s="1025"/>
      <c r="Q210" s="1024"/>
      <c r="R210" s="1024"/>
      <c r="S210" s="1024"/>
      <c r="T210" s="1024"/>
      <c r="U210" s="1024"/>
      <c r="V210" s="1032"/>
      <c r="W210" s="1024"/>
      <c r="X210" s="1024" t="s">
        <v>4436</v>
      </c>
      <c r="Y210" s="1024"/>
      <c r="Z210" s="1024"/>
      <c r="AA210" s="1022" t="s">
        <v>4436</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7968</v>
      </c>
      <c r="B211" s="1206" t="s">
        <v>7528</v>
      </c>
      <c r="C211" s="1132" t="s">
        <v>7969</v>
      </c>
      <c r="D211" s="1024"/>
      <c r="E211" s="1022" t="s">
        <v>7969</v>
      </c>
      <c r="F211" s="1209" t="s">
        <v>7970</v>
      </c>
      <c r="G211" s="1024" t="s">
        <v>7971</v>
      </c>
      <c r="H211" s="1040"/>
      <c r="I211" s="1024"/>
      <c r="J211" s="1024" t="s">
        <v>7972</v>
      </c>
      <c r="K211" s="1024"/>
      <c r="L211" s="1024"/>
      <c r="M211" s="1024"/>
      <c r="N211" s="1024"/>
      <c r="O211" s="1022" t="s">
        <v>7969</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7768</v>
      </c>
      <c r="B212" s="1204" t="s">
        <v>7973</v>
      </c>
      <c r="C212" s="1132" t="s">
        <v>7974</v>
      </c>
      <c r="D212" s="1029" t="s">
        <v>1595</v>
      </c>
      <c r="E212" s="1029" t="s">
        <v>7974</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7551</v>
      </c>
      <c r="B213" s="1206" t="s">
        <v>7528</v>
      </c>
      <c r="C213" s="1049" t="s">
        <v>7975</v>
      </c>
      <c r="D213" s="1029" t="s">
        <v>3400</v>
      </c>
      <c r="E213" s="1029" t="s">
        <v>4455</v>
      </c>
      <c r="F213" s="1050" t="s">
        <v>7975</v>
      </c>
      <c r="G213" s="1029" t="s">
        <v>1051</v>
      </c>
      <c r="H213" s="1023" t="s">
        <v>967</v>
      </c>
      <c r="I213" s="1029"/>
      <c r="J213" s="1029"/>
      <c r="K213" s="1029"/>
      <c r="L213" s="1029" t="s">
        <v>313</v>
      </c>
      <c r="M213" s="1029"/>
      <c r="N213" s="1029"/>
      <c r="O213" s="1029"/>
      <c r="P213" s="1025"/>
      <c r="Q213" s="1029"/>
      <c r="R213" s="1029"/>
      <c r="S213" s="1029" t="s">
        <v>7976</v>
      </c>
      <c r="T213" s="1029"/>
      <c r="U213" s="1029"/>
      <c r="V213" s="1032"/>
      <c r="W213" s="1029"/>
      <c r="X213" s="1029" t="s">
        <v>7977</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7600</v>
      </c>
      <c r="B214" s="1204" t="s">
        <v>7978</v>
      </c>
      <c r="C214" s="1223" t="s">
        <v>5854</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7979</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7637</v>
      </c>
      <c r="B216" s="1204" t="s">
        <v>7980</v>
      </c>
      <c r="C216" s="1132" t="s">
        <v>1874</v>
      </c>
      <c r="D216" s="1205" t="s">
        <v>4165</v>
      </c>
      <c r="E216" s="1205"/>
      <c r="F216" s="1209" t="s">
        <v>889</v>
      </c>
      <c r="G216" s="1205"/>
      <c r="H216" s="1023" t="s">
        <v>3126</v>
      </c>
      <c r="I216" s="1205"/>
      <c r="J216" s="1205"/>
      <c r="K216" s="1205" t="s">
        <v>1124</v>
      </c>
      <c r="L216" s="1205"/>
      <c r="M216" s="1205"/>
      <c r="N216" s="1205" t="s">
        <v>7981</v>
      </c>
      <c r="O216" s="1133" t="s">
        <v>6836</v>
      </c>
      <c r="P216" s="1054" t="s">
        <v>7982</v>
      </c>
      <c r="Q216" s="1205"/>
      <c r="R216" s="1205" t="s">
        <v>889</v>
      </c>
      <c r="S216" s="1205" t="s">
        <v>7982</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7983</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2768</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7641</v>
      </c>
      <c r="B218" s="1204" t="s">
        <v>7984</v>
      </c>
      <c r="C218" s="1132" t="s">
        <v>1464</v>
      </c>
      <c r="D218" s="1077" t="s">
        <v>1598</v>
      </c>
      <c r="E218" s="1205"/>
      <c r="F218" s="1200"/>
      <c r="G218" s="1205"/>
      <c r="H218" s="1040"/>
      <c r="I218" s="1205" t="s">
        <v>1464</v>
      </c>
      <c r="J218" s="1205" t="s">
        <v>7985</v>
      </c>
      <c r="K218" s="1205" t="s">
        <v>7986</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7987</v>
      </c>
      <c r="BI218" s="1197"/>
      <c r="BJ218" s="1197"/>
      <c r="BK218" s="1197"/>
      <c r="BL218" s="1197"/>
      <c r="BM218" s="1197"/>
      <c r="BN218" s="1197"/>
      <c r="BO218" s="1197"/>
    </row>
    <row r="219" ht="15.75" customHeight="1">
      <c r="A219" s="1195" t="s">
        <v>7884</v>
      </c>
      <c r="B219" s="1204" t="s">
        <v>7528</v>
      </c>
      <c r="C219" s="1132" t="str">
        <f>HYPERLINK("https://www.youtube.com/watch?v=_HQgQjbTLjM","1:11.32")</f>
        <v>1:11.32</v>
      </c>
      <c r="D219" s="983" t="s">
        <v>1599</v>
      </c>
      <c r="E219" s="1205"/>
      <c r="F219" s="1200"/>
      <c r="G219" s="1205"/>
      <c r="H219" s="1023" t="s">
        <v>1309</v>
      </c>
      <c r="I219" s="1205" t="s">
        <v>1474</v>
      </c>
      <c r="J219" s="1205" t="s">
        <v>7988</v>
      </c>
      <c r="K219" s="1205" t="s">
        <v>3663</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7646</v>
      </c>
      <c r="B220" s="1206" t="s">
        <v>7528</v>
      </c>
      <c r="C220" s="1038" t="s">
        <v>7989</v>
      </c>
      <c r="D220" s="1022" t="s">
        <v>7989</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7990</v>
      </c>
      <c r="B221" s="1206" t="s">
        <v>7991</v>
      </c>
      <c r="C221" s="1132" t="s">
        <v>7992</v>
      </c>
      <c r="D221" s="1205"/>
      <c r="E221" s="1205"/>
      <c r="F221" s="1200"/>
      <c r="G221" s="1205"/>
      <c r="H221" s="1040"/>
      <c r="I221" s="1205"/>
      <c r="J221" s="1205" t="s">
        <v>7992</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7993</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7747</v>
      </c>
      <c r="B223" s="1204" t="s">
        <v>7528</v>
      </c>
      <c r="C223" s="1132" t="s">
        <v>141</v>
      </c>
      <c r="D223" s="1029" t="s">
        <v>141</v>
      </c>
      <c r="E223" s="1029" t="s">
        <v>310</v>
      </c>
      <c r="F223" s="1021"/>
      <c r="G223" s="1072" t="s">
        <v>1187</v>
      </c>
      <c r="H223" s="1040"/>
      <c r="I223" s="1029"/>
      <c r="J223" s="1029" t="s">
        <v>585</v>
      </c>
      <c r="K223" s="1029" t="s">
        <v>3664</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7646</v>
      </c>
      <c r="B224" s="1206" t="s">
        <v>7528</v>
      </c>
      <c r="C224" s="1225"/>
      <c r="D224" s="1039" t="s">
        <v>7994</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7995</v>
      </c>
      <c r="AS224" s="1029"/>
      <c r="AT224" s="1022" t="s">
        <v>7996</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7997</v>
      </c>
      <c r="C225" s="1132" t="s">
        <v>1466</v>
      </c>
      <c r="D225" s="983" t="s">
        <v>7998</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7999</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7527</v>
      </c>
      <c r="B227" s="1234" t="s">
        <v>7528</v>
      </c>
      <c r="C227" s="1132" t="s">
        <v>117</v>
      </c>
      <c r="D227" s="1029" t="s">
        <v>1601</v>
      </c>
      <c r="E227" s="1139"/>
      <c r="F227" s="1035" t="s">
        <v>2570</v>
      </c>
      <c r="G227" s="1133" t="s">
        <v>1100</v>
      </c>
      <c r="H227" s="1023" t="s">
        <v>1311</v>
      </c>
      <c r="I227" s="1139" t="s">
        <v>8000</v>
      </c>
      <c r="J227" s="1133" t="s">
        <v>4580</v>
      </c>
      <c r="K227" s="1133" t="s">
        <v>1643</v>
      </c>
      <c r="L227" s="1133" t="s">
        <v>951</v>
      </c>
      <c r="M227" s="1133" t="s">
        <v>257</v>
      </c>
      <c r="N227" s="1139" t="s">
        <v>4429</v>
      </c>
      <c r="O227" s="1133" t="s">
        <v>1173</v>
      </c>
      <c r="P227" s="1141" t="s">
        <v>355</v>
      </c>
      <c r="Q227" s="1139"/>
      <c r="R227" s="1139"/>
      <c r="S227" s="1139"/>
      <c r="T227" s="1139"/>
      <c r="U227" s="1139"/>
      <c r="V227" s="1235" t="s">
        <v>8001</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7753</v>
      </c>
      <c r="B228" s="1234" t="s">
        <v>8002</v>
      </c>
      <c r="C228" s="1132" t="s">
        <v>1616</v>
      </c>
      <c r="D228" s="1029" t="s">
        <v>1602</v>
      </c>
      <c r="E228" s="1133" t="s">
        <v>1616</v>
      </c>
      <c r="F228" s="1035" t="s">
        <v>2571</v>
      </c>
      <c r="G228" s="1133" t="s">
        <v>2217</v>
      </c>
      <c r="H228" s="1023" t="s">
        <v>2772</v>
      </c>
      <c r="I228" s="1133" t="s">
        <v>1602</v>
      </c>
      <c r="J228" s="1133" t="s">
        <v>7830</v>
      </c>
      <c r="K228" s="1133" t="s">
        <v>2217</v>
      </c>
      <c r="L228" s="1133" t="s">
        <v>952</v>
      </c>
      <c r="M228" s="1133" t="s">
        <v>1242</v>
      </c>
      <c r="N228" s="1133" t="s">
        <v>375</v>
      </c>
      <c r="O228" s="1133" t="s">
        <v>2933</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7557</v>
      </c>
      <c r="B229" s="1234" t="s">
        <v>7528</v>
      </c>
      <c r="C229" s="1132" t="str">
        <f>HYPERLINK("https://www.youtube.com/watch?v=aWzlUqH0LaM","41.87")</f>
        <v>41.87</v>
      </c>
      <c r="D229" s="1143"/>
      <c r="E229" s="1139"/>
      <c r="F229" s="1021"/>
      <c r="G229" s="1133" t="s">
        <v>310</v>
      </c>
      <c r="H229" s="1023" t="s">
        <v>8003</v>
      </c>
      <c r="I229" s="1133" t="s">
        <v>1729</v>
      </c>
      <c r="J229" s="1139"/>
      <c r="K229" s="1133" t="s">
        <v>6607</v>
      </c>
      <c r="L229" s="1133" t="s">
        <v>4507</v>
      </c>
      <c r="M229" s="1133" t="str">
        <f>HYPERLINK("https://www.youtube.com/watch?v=aWzlUqH0LaM","41.87")</f>
        <v>41.87</v>
      </c>
      <c r="N229" s="1139" t="s">
        <v>2198</v>
      </c>
      <c r="O229" s="1133" t="s">
        <v>1534</v>
      </c>
      <c r="P229" s="1141" t="s">
        <v>3298</v>
      </c>
      <c r="Q229" s="1139"/>
      <c r="R229" s="1139"/>
      <c r="S229" s="1139"/>
      <c r="T229" s="1139"/>
      <c r="U229" s="1139"/>
      <c r="V229" s="1237" t="s">
        <v>661</v>
      </c>
      <c r="W229" s="1139" t="s">
        <v>8004</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7696</v>
      </c>
      <c r="B230" s="1234" t="s">
        <v>8005</v>
      </c>
      <c r="C230" s="1018" t="s">
        <v>8006</v>
      </c>
      <c r="D230" s="1139" t="s">
        <v>7497</v>
      </c>
      <c r="E230" s="1139"/>
      <c r="F230" s="1238"/>
      <c r="G230" s="1139"/>
      <c r="H230" s="1023" t="s">
        <v>8007</v>
      </c>
      <c r="I230" s="1139"/>
      <c r="J230" s="1139"/>
      <c r="K230" s="1139"/>
      <c r="L230" s="1139"/>
      <c r="M230" s="1139"/>
      <c r="N230" s="1139"/>
      <c r="O230" s="1139"/>
      <c r="P230" s="1141"/>
      <c r="Q230" s="1139"/>
      <c r="R230" s="1139"/>
      <c r="S230" s="1139"/>
      <c r="T230" s="1139"/>
      <c r="U230" s="1063" t="s">
        <v>8006</v>
      </c>
      <c r="V230" s="1065" t="s">
        <v>8008</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8009</v>
      </c>
      <c r="C231" s="1132" t="s">
        <v>506</v>
      </c>
      <c r="D231" s="1029" t="s">
        <v>8010</v>
      </c>
      <c r="E231" s="1139"/>
      <c r="F231" s="1069" t="s">
        <v>8011</v>
      </c>
      <c r="G231" s="1139" t="s">
        <v>8012</v>
      </c>
      <c r="H231" s="1023" t="s">
        <v>1314</v>
      </c>
      <c r="I231" s="1139"/>
      <c r="J231" s="1133" t="s">
        <v>8013</v>
      </c>
      <c r="K231" s="1139"/>
      <c r="L231" s="1139" t="s">
        <v>953</v>
      </c>
      <c r="M231" s="1133" t="s">
        <v>794</v>
      </c>
      <c r="N231" s="1139"/>
      <c r="O231" s="1139"/>
      <c r="P231" s="1141" t="s">
        <v>4199</v>
      </c>
      <c r="Q231" s="1139"/>
      <c r="R231" s="1139"/>
      <c r="S231" s="1139"/>
      <c r="T231" s="1133" t="s">
        <v>506</v>
      </c>
      <c r="U231" s="1139"/>
      <c r="V231" s="1236"/>
      <c r="W231" s="1139" t="s">
        <v>6350</v>
      </c>
      <c r="X231" s="1139"/>
      <c r="Y231" s="1139"/>
      <c r="Z231" s="1139"/>
      <c r="AA231" s="1139"/>
      <c r="AB231" s="1139"/>
      <c r="AC231" s="1139" t="s">
        <v>8014</v>
      </c>
      <c r="AD231" s="1139" t="s">
        <v>8015</v>
      </c>
      <c r="AE231" s="1139"/>
      <c r="AF231" s="1139"/>
      <c r="AG231" s="1139"/>
      <c r="AH231" s="1139"/>
      <c r="AI231" s="1139"/>
      <c r="AJ231" s="1139"/>
      <c r="AK231" s="1136"/>
      <c r="AL231" s="1139"/>
      <c r="AM231" s="1139"/>
      <c r="AN231" s="1139"/>
      <c r="AO231" s="1139"/>
      <c r="AP231" s="1139"/>
      <c r="AQ231" s="1136"/>
      <c r="AR231" s="1186" t="s">
        <v>8016</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8017</v>
      </c>
      <c r="C232" s="1132" t="s">
        <v>8018</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8019</v>
      </c>
      <c r="C233" s="1132" t="s">
        <v>3128</v>
      </c>
      <c r="D233" s="1139"/>
      <c r="E233" s="1139"/>
      <c r="F233" s="1055" t="s">
        <v>2573</v>
      </c>
      <c r="G233" s="1133" t="s">
        <v>6805</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8020</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7542</v>
      </c>
      <c r="B234" s="1245" t="s">
        <v>8005</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8021</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8009</v>
      </c>
      <c r="C235" s="1248" t="s">
        <v>8022</v>
      </c>
      <c r="D235" s="1249" t="s">
        <v>8022</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8017</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8019</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7551</v>
      </c>
      <c r="B238" s="1245" t="s">
        <v>8023</v>
      </c>
      <c r="C238" s="1132" t="s">
        <v>8024</v>
      </c>
      <c r="D238" s="1250">
        <v>13.23</v>
      </c>
      <c r="E238" s="1246"/>
      <c r="F238" s="1251" t="s">
        <v>8025</v>
      </c>
      <c r="G238" s="1246"/>
      <c r="H238" s="1023" t="s">
        <v>8026</v>
      </c>
      <c r="I238" s="1246"/>
      <c r="J238" s="1252" t="s">
        <v>3592</v>
      </c>
      <c r="K238" s="1246"/>
      <c r="L238" s="1246"/>
      <c r="M238" s="1246"/>
      <c r="N238" s="1246"/>
      <c r="O238" s="1246"/>
      <c r="P238" s="1247"/>
      <c r="Q238" s="1246"/>
      <c r="R238" s="1252" t="s">
        <v>7863</v>
      </c>
      <c r="S238" s="1246"/>
      <c r="T238" s="1246"/>
      <c r="U238" s="1246"/>
      <c r="V238" s="1236"/>
      <c r="W238" s="1246"/>
      <c r="X238" s="1252" t="s">
        <v>2612</v>
      </c>
      <c r="Y238" s="1246"/>
      <c r="Z238" s="1246"/>
      <c r="AA238" s="1246"/>
      <c r="AB238" s="1246"/>
      <c r="AC238" s="1252" t="s">
        <v>8024</v>
      </c>
      <c r="AD238" s="1246"/>
      <c r="AE238" s="1246"/>
      <c r="AF238" s="1246"/>
      <c r="AG238" s="1246"/>
      <c r="AH238" s="1246"/>
      <c r="AI238" s="1246"/>
      <c r="AJ238" s="1246"/>
      <c r="AK238" s="1136"/>
      <c r="AL238" s="1246"/>
      <c r="AM238" s="1246" t="s">
        <v>7877</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8027</v>
      </c>
      <c r="C239" s="1132" t="s">
        <v>486</v>
      </c>
      <c r="D239" s="1133"/>
      <c r="E239" s="1133" t="s">
        <v>801</v>
      </c>
      <c r="F239" s="1050" t="s">
        <v>1471</v>
      </c>
      <c r="G239" s="1133" t="s">
        <v>486</v>
      </c>
      <c r="H239" s="1023" t="s">
        <v>8028</v>
      </c>
      <c r="I239" s="1133"/>
      <c r="J239" s="1133"/>
      <c r="K239" s="1133"/>
      <c r="L239" s="1133" t="s">
        <v>8024</v>
      </c>
      <c r="M239" s="1133"/>
      <c r="N239" s="1133"/>
      <c r="O239" s="1133"/>
      <c r="P239" s="1134"/>
      <c r="Q239" s="1133"/>
      <c r="R239" s="1133"/>
      <c r="S239" s="1133" t="s">
        <v>8029</v>
      </c>
      <c r="T239" s="1133"/>
      <c r="U239" s="1133"/>
      <c r="V239" s="1032"/>
      <c r="W239" s="1133"/>
      <c r="X239" s="1133"/>
      <c r="Y239" s="1133"/>
      <c r="Z239" s="1133" t="s">
        <v>7863</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7768</v>
      </c>
      <c r="B240" s="1234" t="s">
        <v>7528</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8030</v>
      </c>
      <c r="B241" s="1255" t="s">
        <v>7528</v>
      </c>
      <c r="C241" s="1049" t="s">
        <v>8031</v>
      </c>
      <c r="D241" s="1023" t="s">
        <v>8032</v>
      </c>
      <c r="E241" s="1139"/>
      <c r="F241" s="1050" t="s">
        <v>8033</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7600</v>
      </c>
      <c r="B242" s="1234" t="s">
        <v>8034</v>
      </c>
      <c r="C242" s="1132" t="s">
        <v>8035</v>
      </c>
      <c r="D242" s="1139" t="s">
        <v>4194</v>
      </c>
      <c r="E242" s="1139"/>
      <c r="F242" s="1238"/>
      <c r="G242" s="1139"/>
      <c r="H242" s="1040"/>
      <c r="I242" s="1139"/>
      <c r="J242" s="1139"/>
      <c r="K242" s="1133" t="s">
        <v>5500</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8036</v>
      </c>
      <c r="C243" s="1181" t="s">
        <v>2214</v>
      </c>
      <c r="D243" s="1029" t="s">
        <v>2002</v>
      </c>
      <c r="E243" s="1139"/>
      <c r="F243" s="1055" t="s">
        <v>2214</v>
      </c>
      <c r="G243" s="1139"/>
      <c r="H243" s="1023" t="s">
        <v>1315</v>
      </c>
      <c r="I243" s="1139" t="s">
        <v>4387</v>
      </c>
      <c r="J243" s="1133" t="s">
        <v>6190</v>
      </c>
      <c r="K243" s="1133" t="s">
        <v>3516</v>
      </c>
      <c r="L243" s="1139"/>
      <c r="M243" s="1139"/>
      <c r="N243" s="1139" t="s">
        <v>4370</v>
      </c>
      <c r="O243" s="1133" t="s">
        <v>1315</v>
      </c>
      <c r="P243" s="1141" t="s">
        <v>2147</v>
      </c>
      <c r="Q243" s="1139" t="s">
        <v>2002</v>
      </c>
      <c r="R243" s="1023" t="s">
        <v>1764</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8037</v>
      </c>
      <c r="C244" s="1049" t="s">
        <v>2575</v>
      </c>
      <c r="D244" s="1133"/>
      <c r="E244" s="1133" t="s">
        <v>402</v>
      </c>
      <c r="F244" s="1035" t="s">
        <v>2575</v>
      </c>
      <c r="G244" s="1139" t="s">
        <v>7665</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8038</v>
      </c>
      <c r="BC244" s="1133"/>
      <c r="BD244" s="1133"/>
      <c r="BE244" s="1133"/>
      <c r="BF244" s="1133"/>
      <c r="BG244" s="1133"/>
      <c r="BH244" s="1133"/>
      <c r="BI244" s="1032"/>
      <c r="BJ244" s="1032"/>
      <c r="BK244" s="1032"/>
      <c r="BL244" s="1032"/>
      <c r="BM244" s="1032"/>
      <c r="BN244" s="1032"/>
      <c r="BO244" s="1032"/>
    </row>
    <row r="245" ht="15.75" customHeight="1">
      <c r="A245" s="1244" t="s">
        <v>7542</v>
      </c>
      <c r="B245" s="1257" t="s">
        <v>8039</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8040</v>
      </c>
      <c r="C246" s="1044" t="s">
        <v>1696</v>
      </c>
      <c r="D246" s="1133"/>
      <c r="E246" s="1133" t="s">
        <v>4252</v>
      </c>
      <c r="F246" s="1251" t="s">
        <v>2357</v>
      </c>
      <c r="G246" s="1133"/>
      <c r="H246" s="1040"/>
      <c r="I246" s="1133"/>
      <c r="J246" s="1133"/>
      <c r="K246" s="1133"/>
      <c r="L246" s="1133"/>
      <c r="M246" s="1133"/>
      <c r="N246" s="1133"/>
      <c r="O246" s="1133"/>
      <c r="P246" s="1134"/>
      <c r="Q246" s="1133"/>
      <c r="R246" s="1133" t="s">
        <v>2175</v>
      </c>
      <c r="S246" s="1133"/>
      <c r="T246" s="1133"/>
      <c r="U246" s="1133"/>
      <c r="V246" s="1031" t="s">
        <v>8041</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8042</v>
      </c>
      <c r="C247" s="1132" t="s">
        <v>5430</v>
      </c>
      <c r="D247" s="1139" t="s">
        <v>1624</v>
      </c>
      <c r="E247" s="1139"/>
      <c r="G247" s="1139"/>
      <c r="I247" s="1139" t="s">
        <v>2416</v>
      </c>
      <c r="J247" s="1139"/>
      <c r="L247" s="1139"/>
      <c r="M247" s="1139"/>
      <c r="N247" s="1139" t="s">
        <v>3236</v>
      </c>
      <c r="O247" s="1139"/>
      <c r="P247" s="1141" t="s">
        <v>8043</v>
      </c>
      <c r="Q247" s="1139"/>
      <c r="R247" s="1139" t="s">
        <v>5430</v>
      </c>
      <c r="S247" s="1139"/>
      <c r="T247" s="1139"/>
      <c r="U247" s="1023" t="s">
        <v>3040</v>
      </c>
      <c r="V247" s="1236"/>
      <c r="W247" s="1139" t="s">
        <v>3770</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8044</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8045</v>
      </c>
      <c r="C249" s="1132" t="s">
        <v>8046</v>
      </c>
      <c r="D249" s="1029" t="s">
        <v>1607</v>
      </c>
      <c r="E249" s="1139"/>
      <c r="F249" s="1035" t="s">
        <v>1075</v>
      </c>
      <c r="G249" s="1133" t="s">
        <v>2525</v>
      </c>
      <c r="H249" s="1040"/>
      <c r="I249" s="1139"/>
      <c r="J249" s="1133" t="s">
        <v>1075</v>
      </c>
      <c r="K249" s="1139"/>
      <c r="L249" s="1133" t="s">
        <v>954</v>
      </c>
      <c r="M249" s="1133" t="s">
        <v>243</v>
      </c>
      <c r="N249" s="1139"/>
      <c r="O249" s="1133" t="s">
        <v>3129</v>
      </c>
      <c r="P249" s="1141"/>
      <c r="Q249" s="1139" t="s">
        <v>8047</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8046</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7551</v>
      </c>
      <c r="B250" s="1257" t="s">
        <v>8048</v>
      </c>
      <c r="C250" s="1132" t="s">
        <v>5027</v>
      </c>
      <c r="D250" s="1260"/>
      <c r="E250" s="1133" t="s">
        <v>5866</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8049</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8050</v>
      </c>
      <c r="C251" s="1132" t="s">
        <v>1343</v>
      </c>
      <c r="D251" s="1133" t="s">
        <v>1305</v>
      </c>
      <c r="E251" s="1133" t="s">
        <v>1343</v>
      </c>
      <c r="F251" s="1238"/>
      <c r="G251" s="1023" t="s">
        <v>5538</v>
      </c>
      <c r="H251" s="1023" t="s">
        <v>3251</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4455</v>
      </c>
      <c r="Y251" s="1133"/>
      <c r="Z251" s="1133"/>
      <c r="AA251" s="1133"/>
      <c r="AB251" s="1133"/>
      <c r="AC251" s="1133"/>
      <c r="AD251" s="1133"/>
      <c r="AE251" s="1133"/>
      <c r="AF251" s="1133"/>
      <c r="AG251" s="1133" t="s">
        <v>8051</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8052</v>
      </c>
      <c r="C252" s="1049" t="s">
        <v>5475</v>
      </c>
      <c r="D252" s="1261" t="s">
        <v>4616</v>
      </c>
      <c r="E252" s="1133"/>
      <c r="F252" s="1050" t="s">
        <v>5475</v>
      </c>
      <c r="G252" s="1133"/>
      <c r="H252" s="1040"/>
      <c r="I252" s="1133"/>
      <c r="J252" s="1133"/>
      <c r="K252" s="1133"/>
      <c r="L252" s="1133"/>
      <c r="M252" s="1133"/>
      <c r="N252" s="1133"/>
      <c r="O252" s="1133"/>
      <c r="P252" s="1134"/>
      <c r="Q252" s="1133"/>
      <c r="R252" s="1133"/>
      <c r="S252" s="1133"/>
      <c r="T252" s="1133"/>
      <c r="U252" s="1023" t="s">
        <v>8053</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7637</v>
      </c>
      <c r="B253" s="1234" t="s">
        <v>7980</v>
      </c>
      <c r="C253" s="1132" t="s">
        <v>5530</v>
      </c>
      <c r="D253" s="1133" t="s">
        <v>1411</v>
      </c>
      <c r="E253" s="1133" t="s">
        <v>2603</v>
      </c>
      <c r="F253" s="1069" t="s">
        <v>3611</v>
      </c>
      <c r="G253" s="1133" t="s">
        <v>5530</v>
      </c>
      <c r="H253" s="1040"/>
      <c r="I253" s="1133"/>
      <c r="J253" s="1133"/>
      <c r="K253" s="1133" t="s">
        <v>5667</v>
      </c>
      <c r="L253" s="1133"/>
      <c r="M253" s="1133"/>
      <c r="N253" s="1133" t="s">
        <v>5297</v>
      </c>
      <c r="O253" s="1133" t="s">
        <v>3611</v>
      </c>
      <c r="P253" s="1134" t="s">
        <v>5600</v>
      </c>
      <c r="Q253" s="1133"/>
      <c r="R253" s="1133" t="s">
        <v>5530</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7741</v>
      </c>
      <c r="C254" s="1132" t="s">
        <v>3074</v>
      </c>
      <c r="D254" s="1133"/>
      <c r="E254" s="1133" t="s">
        <v>4272</v>
      </c>
      <c r="F254" s="1251" t="s">
        <v>8054</v>
      </c>
      <c r="G254" s="1133" t="s">
        <v>3074</v>
      </c>
      <c r="H254" s="1040"/>
      <c r="I254" s="1133" t="str">
        <f>HYPERLINK("https://youtu.be/yGR2akJEjQQ","19.18")</f>
        <v>19.18</v>
      </c>
      <c r="J254" s="1133"/>
      <c r="K254" s="1133"/>
      <c r="L254" s="1133"/>
      <c r="M254" s="1133"/>
      <c r="N254" s="1133"/>
      <c r="O254" s="1133"/>
      <c r="P254" s="1134"/>
      <c r="Q254" s="1133"/>
      <c r="R254" s="1023" t="s">
        <v>5513</v>
      </c>
      <c r="S254" s="1133"/>
      <c r="T254" s="1133" t="s">
        <v>2420</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8055</v>
      </c>
      <c r="C255" s="1132" t="s">
        <v>4104</v>
      </c>
      <c r="D255" s="1133"/>
      <c r="E255" s="1133" t="s">
        <v>919</v>
      </c>
      <c r="F255" s="1021"/>
      <c r="G255" s="1133" t="s">
        <v>4104</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8056</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8057</v>
      </c>
      <c r="C257" s="1018" t="s">
        <v>5042</v>
      </c>
      <c r="D257" s="1139"/>
      <c r="E257" s="1139"/>
      <c r="F257" s="1050" t="s">
        <v>2070</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8058</v>
      </c>
      <c r="B258" s="1234" t="s">
        <v>7528</v>
      </c>
      <c r="C258" s="1132" t="s">
        <v>8059</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8059</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7649</v>
      </c>
      <c r="B259" s="1234" t="s">
        <v>7644</v>
      </c>
      <c r="C259" s="1132" t="s">
        <v>8060</v>
      </c>
      <c r="D259" s="983" t="s">
        <v>1611</v>
      </c>
      <c r="E259" s="1139"/>
      <c r="F259" s="1238"/>
      <c r="G259" s="1139"/>
      <c r="H259" s="1040"/>
      <c r="I259" s="1139" t="s">
        <v>1859</v>
      </c>
      <c r="J259" s="1133" t="s">
        <v>1465</v>
      </c>
      <c r="K259" s="1139" t="s">
        <v>5732</v>
      </c>
      <c r="L259" s="1139" t="s">
        <v>6055</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7646</v>
      </c>
      <c r="B260" s="1263" t="s">
        <v>7644</v>
      </c>
      <c r="C260" s="1090" t="s">
        <v>8061</v>
      </c>
      <c r="D260" s="1077" t="s">
        <v>8061</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8062</v>
      </c>
      <c r="C261" s="1132" t="s">
        <v>2737</v>
      </c>
      <c r="D261" s="1133"/>
      <c r="E261" s="1133" t="s">
        <v>2737</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8063</v>
      </c>
      <c r="C262" s="1132" t="s">
        <v>296</v>
      </c>
      <c r="D262" s="983" t="s">
        <v>1610</v>
      </c>
      <c r="E262" s="1023" t="s">
        <v>406</v>
      </c>
      <c r="F262" s="1238"/>
      <c r="G262" s="1023" t="s">
        <v>799</v>
      </c>
      <c r="H262" s="1023" t="s">
        <v>1318</v>
      </c>
      <c r="I262" s="1040"/>
      <c r="J262" s="1023" t="s">
        <v>354</v>
      </c>
      <c r="K262" s="1040"/>
      <c r="L262" s="1040" t="s">
        <v>3438</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8064</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8065</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8066</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7527</v>
      </c>
      <c r="B266" s="1271" t="s">
        <v>8067</v>
      </c>
      <c r="C266" s="1132" t="s">
        <v>1670</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8068</v>
      </c>
      <c r="W266" s="1139"/>
      <c r="X266" s="1139"/>
      <c r="Y266" s="1139" t="s">
        <v>6770</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8069</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8070</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8071</v>
      </c>
      <c r="C268" s="1132" t="s">
        <v>428</v>
      </c>
      <c r="D268" s="1139" t="s">
        <v>4559</v>
      </c>
      <c r="E268" s="1139"/>
      <c r="F268" s="1021"/>
      <c r="G268" s="1139"/>
      <c r="H268" s="1040"/>
      <c r="I268" s="1139" t="s">
        <v>8072</v>
      </c>
      <c r="J268" s="1133" t="s">
        <v>4846</v>
      </c>
      <c r="K268" s="1139"/>
      <c r="L268" s="1139"/>
      <c r="M268" s="1139"/>
      <c r="N268" s="1139"/>
      <c r="O268" s="1139"/>
      <c r="P268" s="1141"/>
      <c r="Q268" s="1139"/>
      <c r="R268" s="1139"/>
      <c r="S268" s="1139"/>
      <c r="T268" s="1139"/>
      <c r="U268" s="1139"/>
      <c r="V268" s="1272" t="s">
        <v>8073</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8074</v>
      </c>
      <c r="C269" s="1132" t="s">
        <v>3882</v>
      </c>
      <c r="D269" s="1139"/>
      <c r="E269" s="1139"/>
      <c r="F269" s="1279"/>
      <c r="G269" s="1139"/>
      <c r="H269" s="1023" t="s">
        <v>6493</v>
      </c>
      <c r="I269" s="1133" t="s">
        <v>8075</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8076</v>
      </c>
      <c r="C270" s="1049" t="s">
        <v>2926</v>
      </c>
      <c r="D270" s="1133"/>
      <c r="E270" s="1133" t="s">
        <v>1534</v>
      </c>
      <c r="F270" s="1050" t="s">
        <v>2926</v>
      </c>
      <c r="G270" s="1133" t="s">
        <v>2072</v>
      </c>
      <c r="H270" s="1040"/>
      <c r="I270" s="1133"/>
      <c r="J270" s="1133" t="s">
        <v>2205</v>
      </c>
      <c r="K270" s="1133"/>
      <c r="L270" s="1134" t="s">
        <v>8077</v>
      </c>
      <c r="M270" s="1133"/>
      <c r="N270" s="1133"/>
      <c r="O270" s="1133" t="s">
        <v>1395</v>
      </c>
      <c r="P270" s="1134" t="s">
        <v>8078</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8079</v>
      </c>
      <c r="C271" s="1132" t="s">
        <v>2205</v>
      </c>
      <c r="D271" s="1133"/>
      <c r="E271" s="1133" t="s">
        <v>2205</v>
      </c>
      <c r="F271" s="1276" t="s">
        <v>8080</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8081</v>
      </c>
      <c r="C272" s="1280" t="s">
        <v>5723</v>
      </c>
      <c r="D272" s="1133"/>
      <c r="E272" s="1133" t="s">
        <v>802</v>
      </c>
      <c r="F272" s="1050" t="s">
        <v>1395</v>
      </c>
      <c r="G272" s="1134" t="s">
        <v>5618</v>
      </c>
      <c r="H272" s="1040"/>
      <c r="I272" s="1133"/>
      <c r="J272" s="1133"/>
      <c r="K272" s="1133"/>
      <c r="L272" s="1133"/>
      <c r="M272" s="1133"/>
      <c r="N272" s="1133"/>
      <c r="O272" s="1133" t="s">
        <v>5790</v>
      </c>
      <c r="P272" s="1134"/>
      <c r="Q272" s="1133"/>
      <c r="R272" s="1133"/>
      <c r="S272" s="1133"/>
      <c r="T272" s="1133"/>
      <c r="U272" s="1133"/>
      <c r="V272" s="1273"/>
      <c r="W272" s="1133"/>
      <c r="X272" s="1134" t="s">
        <v>8082</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8083</v>
      </c>
      <c r="C273" s="1049" t="s">
        <v>2576</v>
      </c>
      <c r="D273" s="1133" t="s">
        <v>848</v>
      </c>
      <c r="E273" s="1133" t="s">
        <v>8084</v>
      </c>
      <c r="F273" s="1050" t="s">
        <v>2576</v>
      </c>
      <c r="G273" s="1133"/>
      <c r="H273" s="1023" t="s">
        <v>2725</v>
      </c>
      <c r="I273" s="1133"/>
      <c r="J273" s="1133"/>
      <c r="K273" s="1133"/>
      <c r="L273" s="1133"/>
      <c r="M273" s="1133"/>
      <c r="N273" s="1133"/>
      <c r="O273" s="1133" t="s">
        <v>8085</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7529</v>
      </c>
      <c r="B274" s="1271" t="s">
        <v>7528</v>
      </c>
      <c r="C274" s="1049" t="s">
        <v>8086</v>
      </c>
      <c r="D274" s="1139"/>
      <c r="E274" s="1139"/>
      <c r="F274" s="1050" t="s">
        <v>8086</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7688</v>
      </c>
      <c r="B275" s="1271" t="s">
        <v>8087</v>
      </c>
      <c r="C275" s="1132" t="s">
        <v>1624</v>
      </c>
      <c r="D275" s="1139" t="s">
        <v>1672</v>
      </c>
      <c r="E275" s="1139"/>
      <c r="F275" s="1279"/>
      <c r="G275" s="1139"/>
      <c r="H275" s="1023" t="s">
        <v>4239</v>
      </c>
      <c r="I275" s="1133" t="str">
        <f>HYPERLINK("https://youtu.be/_GZXmZdCc5s","31.80")</f>
        <v>31.80</v>
      </c>
      <c r="J275" s="1139"/>
      <c r="K275" s="1133" t="s">
        <v>8088</v>
      </c>
      <c r="L275" s="1139"/>
      <c r="M275" s="1133" t="s">
        <v>1624</v>
      </c>
      <c r="N275" s="1133" t="str">
        <f>HYPERLINK("https://youtu.be/kUsh0nBBuMY","32.45")</f>
        <v>32.45</v>
      </c>
      <c r="O275" s="1139"/>
      <c r="P275" s="1141" t="s">
        <v>2259</v>
      </c>
      <c r="Q275" s="1139"/>
      <c r="R275" s="1139" t="s">
        <v>1084</v>
      </c>
      <c r="S275" s="1139"/>
      <c r="T275" s="1139"/>
      <c r="U275" s="1183" t="s">
        <v>3954</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8089</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8090</v>
      </c>
      <c r="C277" s="1132" t="s">
        <v>5031</v>
      </c>
      <c r="D277" s="1139" t="s">
        <v>3438</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8091</v>
      </c>
      <c r="C278" s="1132" t="s">
        <v>3649</v>
      </c>
      <c r="D278" s="1133" t="s">
        <v>243</v>
      </c>
      <c r="E278" s="1133" t="s">
        <v>3649</v>
      </c>
      <c r="F278" s="1055" t="s">
        <v>2528</v>
      </c>
      <c r="G278" s="1133" t="s">
        <v>1536</v>
      </c>
      <c r="H278" s="1023" t="s">
        <v>1323</v>
      </c>
      <c r="I278" s="1133" t="s">
        <v>206</v>
      </c>
      <c r="J278" s="1133" t="s">
        <v>2148</v>
      </c>
      <c r="K278" s="1133" t="s">
        <v>5350</v>
      </c>
      <c r="L278" s="1133" t="s">
        <v>913</v>
      </c>
      <c r="M278" s="1133" t="s">
        <v>278</v>
      </c>
      <c r="N278" s="1133" t="s">
        <v>5884</v>
      </c>
      <c r="O278" s="1133" t="s">
        <v>718</v>
      </c>
      <c r="P278" s="1134" t="s">
        <v>425</v>
      </c>
      <c r="Q278" s="1133" t="s">
        <v>4094</v>
      </c>
      <c r="R278" s="1133"/>
      <c r="S278" s="1133"/>
      <c r="T278" s="1133"/>
      <c r="U278" s="1282" t="s">
        <v>1567</v>
      </c>
      <c r="V278" s="1032"/>
      <c r="W278" s="1133" t="s">
        <v>8092</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7577</v>
      </c>
      <c r="B279" s="1271" t="s">
        <v>8093</v>
      </c>
      <c r="C279" s="1132" t="s">
        <v>8094</v>
      </c>
      <c r="D279" s="1133" t="s">
        <v>7703</v>
      </c>
      <c r="E279" s="1133" t="s">
        <v>4162</v>
      </c>
      <c r="F279" s="1276" t="s">
        <v>2526</v>
      </c>
      <c r="G279" s="1133"/>
      <c r="H279" s="1023" t="s">
        <v>8095</v>
      </c>
      <c r="I279" s="1133" t="str">
        <f>HYPERLINK("https://youtu.be/fNmQmNF7N9I","46.93")</f>
        <v>46.93</v>
      </c>
      <c r="J279" s="1133" t="s">
        <v>8094</v>
      </c>
      <c r="K279" s="1133" t="s">
        <v>536</v>
      </c>
      <c r="L279" s="1133" t="s">
        <v>8096</v>
      </c>
      <c r="M279" s="1133" t="s">
        <v>1571</v>
      </c>
      <c r="N279" s="1133"/>
      <c r="O279" s="1133"/>
      <c r="P279" s="1134"/>
      <c r="Q279" s="1133"/>
      <c r="R279" s="1133"/>
      <c r="S279" s="1133" t="s">
        <v>3997</v>
      </c>
      <c r="T279" s="1133" t="s">
        <v>8072</v>
      </c>
      <c r="U279" s="1133"/>
      <c r="V279" s="1273"/>
      <c r="W279" s="1133" t="s">
        <v>8097</v>
      </c>
      <c r="X279" s="1133" t="s">
        <v>4401</v>
      </c>
      <c r="Y279" s="1133" t="s">
        <v>8098</v>
      </c>
      <c r="Z279" s="1133"/>
      <c r="AA279" s="1133"/>
      <c r="AB279" s="1133" t="s">
        <v>8099</v>
      </c>
      <c r="AC279" s="1133" t="s">
        <v>8100</v>
      </c>
      <c r="AD279" s="1133"/>
      <c r="AE279" s="1133"/>
      <c r="AF279" s="1133"/>
      <c r="AG279" s="1133"/>
      <c r="AH279" s="1133"/>
      <c r="AI279" s="1133"/>
      <c r="AJ279" s="1133"/>
      <c r="AK279" s="1136"/>
      <c r="AL279" s="1133"/>
      <c r="AM279" s="1133"/>
      <c r="AN279" s="1133"/>
      <c r="AO279" s="1133"/>
      <c r="AP279" s="1133"/>
      <c r="AQ279" s="1136"/>
      <c r="AR279" s="1136"/>
      <c r="AS279" s="1133" t="s">
        <v>8101</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8102</v>
      </c>
      <c r="C280" s="1132" t="s">
        <v>3982</v>
      </c>
      <c r="D280" s="1133" t="s">
        <v>5203</v>
      </c>
      <c r="E280" s="1133" t="s">
        <v>3439</v>
      </c>
      <c r="F280" s="1069" t="s">
        <v>8103</v>
      </c>
      <c r="G280" s="1133"/>
      <c r="H280" s="1023" t="s">
        <v>8104</v>
      </c>
      <c r="I280" s="1133" t="str">
        <f>HYPERLINK(" https://youtu.be/dsDcBzsPA5s","45.74")</f>
        <v>45.74</v>
      </c>
      <c r="J280" s="1133" t="s">
        <v>3982</v>
      </c>
      <c r="K280" s="1133" t="s">
        <v>8105</v>
      </c>
      <c r="L280" s="1133" t="s">
        <v>3909</v>
      </c>
      <c r="M280" s="1133" t="s">
        <v>1788</v>
      </c>
      <c r="N280" s="1133" t="s">
        <v>2073</v>
      </c>
      <c r="O280" s="1133" t="s">
        <v>4046</v>
      </c>
      <c r="P280" s="1134" t="s">
        <v>3527</v>
      </c>
      <c r="Q280" s="1133" t="s">
        <v>8106</v>
      </c>
      <c r="R280" s="1133"/>
      <c r="S280" s="1133" t="s">
        <v>8107</v>
      </c>
      <c r="T280" s="1133" t="s">
        <v>286</v>
      </c>
      <c r="U280" s="1133"/>
      <c r="V280" s="1032"/>
      <c r="W280" s="1133" t="s">
        <v>8082</v>
      </c>
      <c r="X280" s="1133" t="s">
        <v>706</v>
      </c>
      <c r="Y280" s="1133" t="s">
        <v>8108</v>
      </c>
      <c r="Z280" s="1133"/>
      <c r="AA280" s="1133"/>
      <c r="AB280" s="1133"/>
      <c r="AC280" s="1133" t="s">
        <v>7763</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8109</v>
      </c>
      <c r="C281" s="1132" t="s">
        <v>1043</v>
      </c>
      <c r="D281" s="1133" t="s">
        <v>4646</v>
      </c>
      <c r="E281" s="1133" t="s">
        <v>410</v>
      </c>
      <c r="F281" s="1050" t="s">
        <v>565</v>
      </c>
      <c r="G281" s="1133" t="s">
        <v>1911</v>
      </c>
      <c r="H281" s="1023" t="s">
        <v>1324</v>
      </c>
      <c r="I281" s="1133" t="str">
        <f>HYPERLINK("https://youtu.be/9O9oqhlyCxY","45.20")</f>
        <v>45.20</v>
      </c>
      <c r="J281" s="1133" t="s">
        <v>8110</v>
      </c>
      <c r="K281" s="1023" t="s">
        <v>3672</v>
      </c>
      <c r="L281" s="1133" t="s">
        <v>321</v>
      </c>
      <c r="M281" s="1133" t="s">
        <v>1396</v>
      </c>
      <c r="N281" s="1133" t="s">
        <v>8075</v>
      </c>
      <c r="O281" s="1133" t="s">
        <v>1043</v>
      </c>
      <c r="P281" s="1134"/>
      <c r="Q281" s="1133" t="s">
        <v>1862</v>
      </c>
      <c r="R281" s="1133"/>
      <c r="S281" s="1133" t="s">
        <v>428</v>
      </c>
      <c r="T281" s="1133" t="s">
        <v>518</v>
      </c>
      <c r="U281" s="1133"/>
      <c r="V281" s="1273"/>
      <c r="W281" s="1133"/>
      <c r="X281" s="1133" t="s">
        <v>618</v>
      </c>
      <c r="Y281" s="1133"/>
      <c r="Z281" s="1133"/>
      <c r="AA281" s="1133"/>
      <c r="AB281" s="1133" t="s">
        <v>4398</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7768</v>
      </c>
      <c r="B282" s="1284" t="s">
        <v>8111</v>
      </c>
      <c r="C282" s="1132" t="s">
        <v>883</v>
      </c>
      <c r="D282" s="983" t="s">
        <v>1615</v>
      </c>
      <c r="E282" s="1285" t="s">
        <v>411</v>
      </c>
      <c r="F282" s="1035" t="s">
        <v>2577</v>
      </c>
      <c r="G282" s="1285" t="s">
        <v>4557</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7542</v>
      </c>
      <c r="B283" s="1288" t="s">
        <v>8111</v>
      </c>
      <c r="C283" s="1132" t="s">
        <v>8112</v>
      </c>
      <c r="D283" s="1285" t="s">
        <v>1616</v>
      </c>
      <c r="E283" s="1285" t="s">
        <v>412</v>
      </c>
      <c r="F283" s="1035" t="s">
        <v>1578</v>
      </c>
      <c r="G283" s="1285" t="s">
        <v>8112</v>
      </c>
      <c r="H283" s="1040"/>
      <c r="I283" s="1285"/>
      <c r="J283" s="1285"/>
      <c r="K283" s="1285"/>
      <c r="L283" s="1285" t="s">
        <v>959</v>
      </c>
      <c r="M283" s="1285" t="s">
        <v>191</v>
      </c>
      <c r="N283" s="1285"/>
      <c r="O283" s="1285" t="s">
        <v>1045</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7551</v>
      </c>
      <c r="B284" s="1290" t="s">
        <v>7528</v>
      </c>
      <c r="C284" s="1132" t="s">
        <v>5871</v>
      </c>
      <c r="D284" s="1133" t="s">
        <v>5846</v>
      </c>
      <c r="E284" s="1133" t="s">
        <v>2954</v>
      </c>
      <c r="F284" s="1050" t="s">
        <v>432</v>
      </c>
      <c r="G284" s="1133" t="s">
        <v>5871</v>
      </c>
      <c r="H284" s="1023" t="s">
        <v>5771</v>
      </c>
      <c r="I284" s="1133"/>
      <c r="J284" s="1133" t="s">
        <v>5297</v>
      </c>
      <c r="K284" s="1133"/>
      <c r="L284" s="1133" t="s">
        <v>8113</v>
      </c>
      <c r="M284" s="1133"/>
      <c r="N284" s="1133"/>
      <c r="O284" s="1133" t="s">
        <v>5871</v>
      </c>
      <c r="P284" s="1134"/>
      <c r="Q284" s="1133"/>
      <c r="R284" s="1023" t="s">
        <v>8114</v>
      </c>
      <c r="S284" s="1133"/>
      <c r="T284" s="1133" t="s">
        <v>5871</v>
      </c>
      <c r="U284" s="1133"/>
      <c r="V284" s="1032"/>
      <c r="W284" s="1133"/>
      <c r="X284" s="1133" t="s">
        <v>3611</v>
      </c>
      <c r="Y284" s="1133" t="s">
        <v>3598</v>
      </c>
      <c r="Z284" s="1133" t="s">
        <v>8115</v>
      </c>
      <c r="AA284" s="1133" t="s">
        <v>6255</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7722</v>
      </c>
      <c r="B285" s="1291" t="s">
        <v>8116</v>
      </c>
      <c r="C285" s="1132" t="s">
        <v>8117</v>
      </c>
      <c r="D285" s="1029" t="s">
        <v>1478</v>
      </c>
      <c r="E285" s="1133" t="s">
        <v>4427</v>
      </c>
      <c r="F285" s="1035" t="s">
        <v>3084</v>
      </c>
      <c r="G285" s="1133" t="s">
        <v>8117</v>
      </c>
      <c r="H285" s="1023" t="s">
        <v>1327</v>
      </c>
      <c r="I285" s="1133" t="s">
        <v>1478</v>
      </c>
      <c r="J285" s="1133" t="s">
        <v>3840</v>
      </c>
      <c r="K285" s="1133"/>
      <c r="L285" s="1133" t="s">
        <v>960</v>
      </c>
      <c r="M285" s="1133"/>
      <c r="N285" s="1133"/>
      <c r="O285" s="1133" t="s">
        <v>8118</v>
      </c>
      <c r="P285" s="1134"/>
      <c r="Q285" s="1133" t="s">
        <v>192</v>
      </c>
      <c r="R285" s="1133"/>
      <c r="S285" s="1133"/>
      <c r="T285" s="1133" t="s">
        <v>521</v>
      </c>
      <c r="U285" s="1133"/>
      <c r="V285" s="1273"/>
      <c r="W285" s="1133"/>
      <c r="X285" s="1133" t="s">
        <v>8119</v>
      </c>
      <c r="Y285" s="1133"/>
      <c r="Z285" s="1133"/>
      <c r="AA285" s="1133"/>
      <c r="AB285" s="1133"/>
      <c r="AC285" s="1133"/>
      <c r="AD285" s="1133"/>
      <c r="AE285" s="1133"/>
      <c r="AF285" s="1133"/>
      <c r="AG285" s="1133" t="s">
        <v>8120</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7732</v>
      </c>
      <c r="B286" s="1290" t="s">
        <v>8116</v>
      </c>
      <c r="C286" s="1018" t="s">
        <v>8121</v>
      </c>
      <c r="D286" s="1133" t="s">
        <v>8122</v>
      </c>
      <c r="E286" s="1133"/>
      <c r="F286" s="1035" t="s">
        <v>8123</v>
      </c>
      <c r="G286" s="1023" t="s">
        <v>7431</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8124</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7637</v>
      </c>
      <c r="B287" s="1271" t="s">
        <v>8125</v>
      </c>
      <c r="C287" s="1132" t="s">
        <v>4219</v>
      </c>
      <c r="D287" s="1040"/>
      <c r="E287" s="1023" t="s">
        <v>4360</v>
      </c>
      <c r="F287" s="1279"/>
      <c r="G287" s="1023" t="s">
        <v>4219</v>
      </c>
      <c r="H287" s="1023" t="s">
        <v>3252</v>
      </c>
      <c r="I287" s="1040"/>
      <c r="J287" s="1040"/>
      <c r="K287" s="1040"/>
      <c r="L287" s="1040"/>
      <c r="M287" s="1040"/>
      <c r="N287" s="1040" t="s">
        <v>4340</v>
      </c>
      <c r="O287" s="1040"/>
      <c r="P287" s="1134" t="s">
        <v>8126</v>
      </c>
      <c r="Q287" s="1040"/>
      <c r="R287" s="1040"/>
      <c r="S287" s="1040"/>
      <c r="T287" s="1040"/>
      <c r="U287" s="1023" t="s">
        <v>8054</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8127</v>
      </c>
      <c r="C288" s="1132" t="s">
        <v>4511</v>
      </c>
      <c r="D288" s="1133" t="s">
        <v>1617</v>
      </c>
      <c r="E288" s="1133" t="s">
        <v>2736</v>
      </c>
      <c r="F288" s="1050" t="s">
        <v>4104</v>
      </c>
      <c r="G288" s="1134" t="s">
        <v>1365</v>
      </c>
      <c r="H288" s="1040"/>
      <c r="I288" s="1133"/>
      <c r="J288" s="1133"/>
      <c r="K288" s="1133"/>
      <c r="L288" s="1133"/>
      <c r="M288" s="1133"/>
      <c r="N288" s="1133"/>
      <c r="O288" s="1133"/>
      <c r="P288" s="1134" t="s">
        <v>5300</v>
      </c>
      <c r="Q288" s="1133" t="s">
        <v>2636</v>
      </c>
      <c r="R288" s="1133" t="s">
        <v>1617</v>
      </c>
      <c r="S288" s="1133"/>
      <c r="T288" s="1133" t="s">
        <v>4511</v>
      </c>
      <c r="U288" s="1133"/>
      <c r="V288" s="1272" t="s">
        <v>6245</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8128</v>
      </c>
      <c r="C289" s="1132" t="s">
        <v>622</v>
      </c>
      <c r="D289" s="1133"/>
      <c r="E289" s="1133" t="s">
        <v>369</v>
      </c>
      <c r="F289" s="1055" t="s">
        <v>2578</v>
      </c>
      <c r="G289" s="1134" t="s">
        <v>138</v>
      </c>
      <c r="H289" s="1023" t="s">
        <v>3828</v>
      </c>
      <c r="I289" s="1133"/>
      <c r="J289" s="1133" t="s">
        <v>1617</v>
      </c>
      <c r="K289" s="1133"/>
      <c r="L289" s="1133"/>
      <c r="M289" s="1133" t="s">
        <v>1184</v>
      </c>
      <c r="N289" s="1133"/>
      <c r="O289" s="1133" t="s">
        <v>3828</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7641</v>
      </c>
      <c r="B290" s="1271" t="s">
        <v>7528</v>
      </c>
      <c r="C290" s="1132" t="s">
        <v>8129</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8130</v>
      </c>
      <c r="B291" s="1271" t="s">
        <v>7528</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7646</v>
      </c>
      <c r="B292" s="1290" t="s">
        <v>7528</v>
      </c>
      <c r="C292" s="1018" t="s">
        <v>8131</v>
      </c>
      <c r="D292" s="1023" t="s">
        <v>8131</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6666</v>
      </c>
      <c r="B293" s="1271" t="s">
        <v>7754</v>
      </c>
      <c r="C293" s="1132" t="s">
        <v>4176</v>
      </c>
      <c r="D293" s="980" t="s">
        <v>1618</v>
      </c>
      <c r="E293" s="1139"/>
      <c r="F293" s="1279"/>
      <c r="G293" s="1139"/>
      <c r="H293" s="1023" t="s">
        <v>1732</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7757</v>
      </c>
      <c r="C294" s="1132" t="s">
        <v>4838</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7528</v>
      </c>
      <c r="C295" s="1132" t="s">
        <v>6843</v>
      </c>
      <c r="D295" s="1139" t="s">
        <v>8132</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8133</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8134</v>
      </c>
      <c r="B297" s="1302" t="s">
        <v>8135</v>
      </c>
      <c r="C297" s="1018" t="s">
        <v>8136</v>
      </c>
      <c r="D297" s="1259"/>
      <c r="E297" s="1040"/>
      <c r="F297" s="1303"/>
      <c r="G297" s="1040"/>
      <c r="H297" s="1023" t="s">
        <v>4855</v>
      </c>
      <c r="I297" s="1040"/>
      <c r="J297" s="1040"/>
      <c r="K297" s="1040"/>
      <c r="L297" s="1040"/>
      <c r="M297" s="1040"/>
      <c r="N297" s="1040"/>
      <c r="O297" s="1040"/>
      <c r="P297" s="1134"/>
      <c r="Q297" s="1040"/>
      <c r="R297" s="1040"/>
      <c r="S297" s="1040"/>
      <c r="T297" s="1040"/>
      <c r="U297" s="1023" t="s">
        <v>8136</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8137</v>
      </c>
      <c r="C298" s="1132" t="s">
        <v>7170</v>
      </c>
      <c r="D298" s="1133" t="s">
        <v>8138</v>
      </c>
      <c r="E298" s="1133" t="s">
        <v>7170</v>
      </c>
      <c r="F298" s="1021"/>
      <c r="G298" s="1133"/>
      <c r="I298" s="1133"/>
      <c r="J298" s="1133"/>
      <c r="K298" s="1134" t="s">
        <v>8139</v>
      </c>
      <c r="L298" s="1133"/>
      <c r="M298" s="1133"/>
      <c r="N298" s="1133"/>
      <c r="O298" s="1133"/>
      <c r="P298" s="1134" t="s">
        <v>8140</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8141</v>
      </c>
      <c r="C299" s="1132" t="s">
        <v>424</v>
      </c>
      <c r="D299" s="1029" t="s">
        <v>1623</v>
      </c>
      <c r="E299" s="1023" t="s">
        <v>424</v>
      </c>
      <c r="F299" s="1050" t="s">
        <v>2580</v>
      </c>
      <c r="G299" s="1023" t="s">
        <v>8142</v>
      </c>
      <c r="H299" s="1023" t="s">
        <v>1338</v>
      </c>
      <c r="I299" s="1023" t="str">
        <f>HYPERLINK("https://youtu.be/ZpzmhXUsVhA","1:19.38")</f>
        <v>1:19.38</v>
      </c>
      <c r="J299" s="1040"/>
      <c r="K299" s="1023" t="s">
        <v>3678</v>
      </c>
      <c r="L299" s="1040" t="s">
        <v>969</v>
      </c>
      <c r="M299" s="1040" t="s">
        <v>6121</v>
      </c>
      <c r="N299" s="1040" t="s">
        <v>8143</v>
      </c>
      <c r="O299" s="1023" t="s">
        <v>8144</v>
      </c>
      <c r="P299" s="1134" t="s">
        <v>8145</v>
      </c>
      <c r="Q299" s="1040"/>
      <c r="R299" s="1040"/>
      <c r="S299" s="1040"/>
      <c r="T299" s="1040"/>
      <c r="U299" s="1282" t="s">
        <v>8146</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8147</v>
      </c>
      <c r="B300" s="1306" t="s">
        <v>8135</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8137</v>
      </c>
      <c r="C301" s="1132" t="s">
        <v>5557</v>
      </c>
      <c r="D301" s="1133" t="s">
        <v>1014</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8141</v>
      </c>
      <c r="C302" s="1132" t="s">
        <v>2222</v>
      </c>
      <c r="D302" s="1308" t="s">
        <v>8148</v>
      </c>
      <c r="E302" s="1133" t="s">
        <v>3589</v>
      </c>
      <c r="F302" s="1105" t="s">
        <v>685</v>
      </c>
      <c r="G302" s="1178" t="s">
        <v>2579</v>
      </c>
      <c r="H302" s="1023" t="s">
        <v>2839</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8149</v>
      </c>
      <c r="B303" s="1309" t="s">
        <v>8150</v>
      </c>
      <c r="C303" s="1132" t="s">
        <v>4237</v>
      </c>
      <c r="D303" s="1261" t="s">
        <v>1714</v>
      </c>
      <c r="E303" s="1133" t="s">
        <v>4237</v>
      </c>
      <c r="F303" s="1021"/>
      <c r="G303" s="1133"/>
      <c r="H303" s="1040"/>
      <c r="I303" s="1133"/>
      <c r="J303" s="1133"/>
      <c r="K303" s="1133" t="s">
        <v>2339</v>
      </c>
      <c r="L303" s="1133"/>
      <c r="M303" s="1133"/>
      <c r="N303" s="1133"/>
      <c r="O303" s="1133"/>
      <c r="P303" s="1134" t="s">
        <v>8151</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8152</v>
      </c>
      <c r="C304" s="1132" t="s">
        <v>8092</v>
      </c>
      <c r="D304" s="1029" t="s">
        <v>1624</v>
      </c>
      <c r="E304" s="1023" t="s">
        <v>425</v>
      </c>
      <c r="F304" s="1055" t="s">
        <v>2581</v>
      </c>
      <c r="G304" s="1023" t="s">
        <v>1941</v>
      </c>
      <c r="H304" s="1023" t="s">
        <v>1339</v>
      </c>
      <c r="I304" s="1040"/>
      <c r="J304" s="1040"/>
      <c r="K304" s="1040"/>
      <c r="L304" s="1023" t="s">
        <v>970</v>
      </c>
      <c r="M304" s="1040" t="s">
        <v>817</v>
      </c>
      <c r="N304" s="1040"/>
      <c r="O304" s="1023" t="s">
        <v>8092</v>
      </c>
      <c r="P304" s="1134" t="s">
        <v>1443</v>
      </c>
      <c r="Q304" s="1040"/>
      <c r="R304" s="1040"/>
      <c r="S304" s="1040"/>
      <c r="T304" s="1040" t="s">
        <v>1607</v>
      </c>
      <c r="U304" s="1040"/>
      <c r="V304" s="1032"/>
      <c r="W304" s="1040"/>
      <c r="X304" s="1040"/>
      <c r="Y304" s="1040"/>
      <c r="Z304" s="1040"/>
      <c r="AA304" s="1023" t="s">
        <v>5430</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8153</v>
      </c>
      <c r="B305" s="1302" t="s">
        <v>8154</v>
      </c>
      <c r="C305" s="1132" t="s">
        <v>6328</v>
      </c>
      <c r="D305" s="1133"/>
      <c r="E305" s="1133" t="s">
        <v>6328</v>
      </c>
      <c r="F305" s="1021"/>
      <c r="G305" s="1133"/>
      <c r="H305" s="1040"/>
      <c r="I305" s="1133" t="s">
        <v>8024</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8155</v>
      </c>
      <c r="C306" s="1132" t="s">
        <v>7942</v>
      </c>
      <c r="D306" s="1133"/>
      <c r="E306" s="1133" t="s">
        <v>1406</v>
      </c>
      <c r="F306" s="1096"/>
      <c r="G306" s="1133"/>
      <c r="H306" s="1040"/>
      <c r="I306" s="1133" t="s">
        <v>7942</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8156</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8157</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8158</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8159</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7542</v>
      </c>
      <c r="B311" s="1309" t="s">
        <v>7644</v>
      </c>
      <c r="C311" s="1132" t="s">
        <v>3359</v>
      </c>
      <c r="D311" s="1133"/>
      <c r="E311" s="1133" t="s">
        <v>3770</v>
      </c>
      <c r="F311" s="1021"/>
      <c r="G311" s="1133" t="s">
        <v>3359</v>
      </c>
      <c r="H311" s="1040"/>
      <c r="I311" s="1133" t="s">
        <v>6890</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8160</v>
      </c>
      <c r="B312" s="1311"/>
      <c r="C312" s="1018" t="s">
        <v>8161</v>
      </c>
      <c r="D312" s="1139"/>
      <c r="E312" s="1139"/>
      <c r="F312" s="1096"/>
      <c r="G312" s="1023" t="s">
        <v>8161</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8162</v>
      </c>
      <c r="B313" s="1309" t="s">
        <v>8163</v>
      </c>
      <c r="C313" s="1132" t="s">
        <v>3639</v>
      </c>
      <c r="D313" s="1029" t="s">
        <v>3639</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8164</v>
      </c>
      <c r="C314" s="1132" t="s">
        <v>3946</v>
      </c>
      <c r="D314" s="1180"/>
      <c r="E314" s="1180" t="s">
        <v>4185</v>
      </c>
      <c r="F314" s="1096"/>
      <c r="G314" s="1180"/>
      <c r="H314" s="1040"/>
      <c r="I314" s="1023" t="s">
        <v>3946</v>
      </c>
      <c r="J314" s="1180"/>
      <c r="K314" s="1180"/>
      <c r="L314" s="1180"/>
      <c r="M314" s="1180" t="s">
        <v>7583</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8165</v>
      </c>
      <c r="B315" s="1310" t="s">
        <v>8166</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8167</v>
      </c>
      <c r="C316" s="1132" t="s">
        <v>5367</v>
      </c>
      <c r="D316" s="1139"/>
      <c r="E316" s="1139"/>
      <c r="F316" s="1096"/>
      <c r="G316" s="1139"/>
      <c r="H316" s="1040"/>
      <c r="I316" s="1139"/>
      <c r="J316" s="1139"/>
      <c r="K316" s="1139"/>
      <c r="L316" s="1139"/>
      <c r="M316" s="1139"/>
      <c r="N316" s="1139" t="s">
        <v>5367</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8168</v>
      </c>
      <c r="B317" s="1310" t="s">
        <v>8169</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8170</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8171</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8172</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8173</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8173</v>
      </c>
      <c r="C321" s="1132" t="s">
        <v>6546</v>
      </c>
      <c r="D321" s="1139"/>
      <c r="E321" s="1139"/>
      <c r="F321" s="1021"/>
      <c r="G321" s="1139"/>
      <c r="H321" s="1040"/>
      <c r="I321" s="1023" t="s">
        <v>6546</v>
      </c>
      <c r="J321" s="1139"/>
      <c r="K321" s="1139"/>
      <c r="L321" s="1139"/>
      <c r="M321" s="1139"/>
      <c r="N321" s="1139" t="s">
        <v>5924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8174</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8175</v>
      </c>
      <c r="B323" s="1313" t="s">
        <v>8176</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8177</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8178</v>
      </c>
      <c r="C325" s="1132" t="s">
        <v>3033</v>
      </c>
      <c r="D325" s="1023" t="s">
        <v>406</v>
      </c>
      <c r="E325" s="1023" t="s">
        <v>5416</v>
      </c>
      <c r="F325" s="1050" t="s">
        <v>3564</v>
      </c>
      <c r="G325" s="1040" t="s">
        <v>1906</v>
      </c>
      <c r="H325" s="1040"/>
      <c r="I325" s="1040"/>
      <c r="J325" s="1040"/>
      <c r="K325" s="1040"/>
      <c r="L325" s="1040"/>
      <c r="M325" s="1040"/>
      <c r="N325" s="1040"/>
      <c r="O325" s="1040"/>
      <c r="P325" s="1134"/>
      <c r="Q325" s="1040"/>
      <c r="R325" s="1023" t="s">
        <v>5416</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8179</v>
      </c>
      <c r="B326" s="1313" t="s">
        <v>7638</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7640</v>
      </c>
      <c r="C327" s="1132" t="s">
        <v>4728</v>
      </c>
      <c r="D327" s="1040" t="s">
        <v>5130</v>
      </c>
      <c r="E327" s="1023" t="s">
        <v>4481</v>
      </c>
      <c r="F327" s="1050" t="s">
        <v>7014</v>
      </c>
      <c r="G327" s="1023" t="s">
        <v>4728</v>
      </c>
      <c r="H327" s="1040"/>
      <c r="I327" s="1040"/>
      <c r="J327" s="1040"/>
      <c r="K327" s="1040"/>
      <c r="L327" s="1040"/>
      <c r="M327" s="1040"/>
      <c r="N327" s="1040"/>
      <c r="O327" s="1040"/>
      <c r="P327" s="1134"/>
      <c r="Q327" s="1040"/>
      <c r="R327" s="1023" t="s">
        <v>7810</v>
      </c>
      <c r="S327" s="1040"/>
      <c r="T327" s="1040"/>
      <c r="U327" s="1040"/>
      <c r="V327" s="1032"/>
      <c r="W327" s="1040"/>
      <c r="X327" s="1023" t="s">
        <v>6113</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7810</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8180</v>
      </c>
      <c r="B328" s="1313" t="s">
        <v>7528</v>
      </c>
      <c r="C328" s="1109" t="s">
        <v>3532</v>
      </c>
      <c r="D328" s="1062"/>
      <c r="E328" s="1061" t="s">
        <v>1700</v>
      </c>
      <c r="F328" s="1105" t="s">
        <v>3532</v>
      </c>
      <c r="G328" s="1061" t="s">
        <v>2389</v>
      </c>
      <c r="H328" s="1040"/>
      <c r="I328" s="1062"/>
      <c r="J328" s="1061" t="s">
        <v>1700</v>
      </c>
      <c r="K328" s="1062"/>
      <c r="L328" s="1061" t="s">
        <v>8181</v>
      </c>
      <c r="M328" s="1061" t="s">
        <v>8182</v>
      </c>
      <c r="N328" s="1062"/>
      <c r="O328" s="1062"/>
      <c r="P328" s="1060"/>
      <c r="Q328" s="1062"/>
      <c r="R328" s="1062"/>
      <c r="S328" s="1062"/>
      <c r="T328" s="1062"/>
      <c r="U328" s="1062"/>
      <c r="V328" s="1304"/>
      <c r="W328" s="1062"/>
      <c r="X328" s="1061" t="s">
        <v>2839</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8183</v>
      </c>
      <c r="B329" s="1313" t="s">
        <v>8184</v>
      </c>
      <c r="C329" s="1132" t="s">
        <v>8185</v>
      </c>
      <c r="D329" s="1040"/>
      <c r="E329" s="1023" t="s">
        <v>8185</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8186</v>
      </c>
      <c r="C330" s="1109" t="s">
        <v>8187</v>
      </c>
      <c r="D330" s="1040"/>
      <c r="E330" s="1023" t="s">
        <v>8188</v>
      </c>
      <c r="F330" s="1105" t="s">
        <v>8187</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8189</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8190</v>
      </c>
      <c r="B331" s="1302" t="s">
        <v>8191</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8192</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8193</v>
      </c>
      <c r="C333" s="1132" t="s">
        <v>8194</v>
      </c>
      <c r="D333" s="1040"/>
      <c r="E333" s="1023" t="s">
        <v>8194</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8195</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8196</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8197</v>
      </c>
      <c r="C336" s="1132" t="s">
        <v>8198</v>
      </c>
      <c r="D336" s="1040"/>
      <c r="E336" s="1023" t="s">
        <v>3925</v>
      </c>
      <c r="F336" s="1105" t="s">
        <v>1104</v>
      </c>
      <c r="G336" s="1023" t="s">
        <v>8198</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8199</v>
      </c>
      <c r="C337" s="1132" t="s">
        <v>8200</v>
      </c>
      <c r="D337" s="1139" t="s">
        <v>8201</v>
      </c>
      <c r="E337" s="1139"/>
      <c r="F337" s="1050" t="s">
        <v>8202</v>
      </c>
      <c r="G337" s="1023" t="s">
        <v>8203</v>
      </c>
      <c r="H337" s="1040"/>
      <c r="I337" s="1139"/>
      <c r="J337" s="1139"/>
      <c r="K337" s="1139"/>
      <c r="L337" s="1139"/>
      <c r="M337" s="1139"/>
      <c r="N337" s="1139"/>
      <c r="O337" s="1139"/>
      <c r="P337" s="1141"/>
      <c r="Q337" s="1139"/>
      <c r="R337" s="1023" t="s">
        <v>8204</v>
      </c>
      <c r="S337" s="1139"/>
      <c r="T337" s="1023" t="s">
        <v>8205</v>
      </c>
      <c r="U337" s="1139"/>
      <c r="V337" s="1032"/>
      <c r="W337" s="1139"/>
      <c r="X337" s="1139"/>
      <c r="Y337" s="1139"/>
      <c r="Z337" s="1023" t="s">
        <v>8200</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8206</v>
      </c>
      <c r="B338" s="1302" t="s">
        <v>8207</v>
      </c>
      <c r="C338" s="1132"/>
      <c r="D338" s="1143"/>
      <c r="E338" s="1139"/>
      <c r="F338" s="1315"/>
      <c r="G338" s="1040" t="s">
        <v>8208</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8209</v>
      </c>
      <c r="C339" s="1132"/>
      <c r="D339" s="1143"/>
      <c r="E339" s="1139"/>
      <c r="F339" s="1315"/>
      <c r="G339" s="1040" t="s">
        <v>8210</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8211</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8212</v>
      </c>
      <c r="B341" s="1302" t="s">
        <v>7528</v>
      </c>
      <c r="C341" s="1018" t="s">
        <v>5846</v>
      </c>
      <c r="D341" s="1143" t="s">
        <v>5554</v>
      </c>
      <c r="E341" s="1139"/>
      <c r="F341" s="1105" t="s">
        <v>5846</v>
      </c>
      <c r="G341" s="1023" t="s">
        <v>4911</v>
      </c>
      <c r="H341" s="1040"/>
      <c r="I341" s="1139"/>
      <c r="J341" s="1023" t="s">
        <v>3962</v>
      </c>
      <c r="K341" s="1139"/>
      <c r="L341" s="1139"/>
      <c r="M341" s="1139"/>
      <c r="N341" s="1139"/>
      <c r="O341" s="1139"/>
      <c r="P341" s="1141"/>
      <c r="Q341" s="1139"/>
      <c r="R341" s="1139" t="s">
        <v>7159</v>
      </c>
      <c r="S341" s="1139"/>
      <c r="T341" s="1139"/>
      <c r="U341" s="1139"/>
      <c r="V341" s="1304"/>
      <c r="W341" s="1139"/>
      <c r="X341" s="1139" t="s">
        <v>6454</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8213</v>
      </c>
      <c r="B342" s="1302" t="s">
        <v>8214</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8215</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8211</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8216</v>
      </c>
      <c r="B345" s="1302" t="s">
        <v>8217</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8218</v>
      </c>
      <c r="C346" s="1018" t="s">
        <v>8219</v>
      </c>
      <c r="D346" s="1040" t="s">
        <v>1008</v>
      </c>
      <c r="E346" s="1023" t="s">
        <v>8220</v>
      </c>
      <c r="F346" s="1111" t="s">
        <v>8221</v>
      </c>
      <c r="G346" s="1040"/>
      <c r="H346" s="1040"/>
      <c r="I346" s="1040"/>
      <c r="J346" s="1023" t="s">
        <v>8222</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8223</v>
      </c>
      <c r="C347" s="1018" t="s">
        <v>8224</v>
      </c>
      <c r="D347" s="1040"/>
      <c r="E347" s="1040"/>
      <c r="F347" s="1104"/>
      <c r="G347" s="1040" t="s">
        <v>8225</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8224</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8226</v>
      </c>
      <c r="B348" s="1310" t="s">
        <v>8227</v>
      </c>
      <c r="C348" s="1132" t="s">
        <v>5846</v>
      </c>
      <c r="D348" s="1316"/>
      <c r="E348" s="1316"/>
      <c r="F348" s="1105" t="s">
        <v>8114</v>
      </c>
      <c r="G348" s="1178" t="s">
        <v>8228</v>
      </c>
      <c r="H348" s="1040"/>
      <c r="I348" s="1316"/>
      <c r="J348" s="1023" t="s">
        <v>5846</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8229</v>
      </c>
      <c r="C349" s="1132" t="s">
        <v>4616</v>
      </c>
      <c r="D349" s="1040"/>
      <c r="E349" s="1023" t="s">
        <v>5813</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8230</v>
      </c>
      <c r="B350" s="1302" t="s">
        <v>8207</v>
      </c>
      <c r="C350" s="1023" t="s">
        <v>8231</v>
      </c>
      <c r="D350" s="1179"/>
      <c r="E350" s="1179"/>
      <c r="F350" s="1096"/>
      <c r="G350" s="1023" t="s">
        <v>8231</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8232</v>
      </c>
      <c r="C351" s="1132"/>
      <c r="D351" s="1179"/>
      <c r="E351" s="1179"/>
      <c r="F351" s="1096"/>
      <c r="G351" s="1040" t="s">
        <v>8231</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8233</v>
      </c>
      <c r="B352" s="1302" t="s">
        <v>7528</v>
      </c>
      <c r="C352" s="1132" t="s">
        <v>8234</v>
      </c>
      <c r="D352" s="1179"/>
      <c r="E352" s="1179"/>
      <c r="F352" s="1096"/>
      <c r="G352" s="1023" t="s">
        <v>8234</v>
      </c>
      <c r="H352" s="1040"/>
      <c r="I352" s="1179"/>
      <c r="J352" s="1179"/>
      <c r="K352" s="1179"/>
      <c r="L352" s="1179"/>
      <c r="M352" s="1023" t="s">
        <v>8235</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8236</v>
      </c>
      <c r="B353" s="1302" t="s">
        <v>8237</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8238</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6159</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8239</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8240</v>
      </c>
      <c r="C1" s="23" t="s">
        <v>10</v>
      </c>
      <c r="F1" s="23" t="s">
        <v>34</v>
      </c>
      <c r="H1" s="24" t="s">
        <v>35</v>
      </c>
      <c r="K1" s="26" t="s">
        <v>36</v>
      </c>
      <c r="O1" s="28" t="s">
        <v>7752</v>
      </c>
      <c r="R1" s="29" t="s">
        <v>38</v>
      </c>
      <c r="U1" s="30" t="s">
        <v>39</v>
      </c>
      <c r="X1" s="32" t="s">
        <v>7999</v>
      </c>
      <c r="AA1" s="33" t="s">
        <v>8066</v>
      </c>
      <c r="AD1" s="34" t="s">
        <v>42</v>
      </c>
      <c r="AG1" s="1318"/>
      <c r="AH1" s="1318"/>
    </row>
    <row r="2" ht="38.25" customHeight="1">
      <c r="A2" s="35" t="s">
        <v>43</v>
      </c>
      <c r="B2" s="36" t="s">
        <v>44</v>
      </c>
      <c r="C2" s="36" t="s">
        <v>45</v>
      </c>
      <c r="F2" s="36" t="s">
        <v>8241</v>
      </c>
      <c r="H2" s="1319" t="s">
        <v>8242</v>
      </c>
      <c r="I2" s="1320"/>
      <c r="J2" s="1320"/>
      <c r="K2" s="1321" t="s">
        <v>8243</v>
      </c>
      <c r="L2" s="1322" t="s">
        <v>8244</v>
      </c>
      <c r="M2" s="1321" t="s">
        <v>8245</v>
      </c>
      <c r="N2" s="1321" t="s">
        <v>8246</v>
      </c>
      <c r="O2" s="1323" t="s">
        <v>8247</v>
      </c>
      <c r="P2" s="1323" t="s">
        <v>8248</v>
      </c>
      <c r="Q2" s="1323"/>
      <c r="R2" s="42" t="s">
        <v>48</v>
      </c>
      <c r="S2" s="42" t="s">
        <v>8249</v>
      </c>
      <c r="T2" s="42"/>
      <c r="U2" s="44" t="s">
        <v>50</v>
      </c>
      <c r="V2" s="44" t="s">
        <v>54</v>
      </c>
      <c r="W2" s="44" t="s">
        <v>62</v>
      </c>
      <c r="X2" s="45" t="s">
        <v>52</v>
      </c>
      <c r="Y2" s="45"/>
      <c r="Z2" s="45"/>
      <c r="AA2" s="47" t="s">
        <v>51</v>
      </c>
      <c r="AB2" s="1324" t="s">
        <v>8250</v>
      </c>
      <c r="AC2" s="47"/>
      <c r="AD2" s="1325" t="s">
        <v>8251</v>
      </c>
      <c r="AE2" s="1325"/>
      <c r="AF2" s="1325"/>
      <c r="AG2" s="1326"/>
      <c r="AH2" s="1326"/>
    </row>
    <row r="3">
      <c r="A3" s="1327" t="s">
        <v>4264</v>
      </c>
      <c r="B3" s="1328" t="s">
        <v>6321</v>
      </c>
      <c r="C3" s="1329" t="s">
        <v>546</v>
      </c>
      <c r="D3" s="1330" t="s">
        <v>546</v>
      </c>
      <c r="E3" s="1331" t="s">
        <v>437</v>
      </c>
      <c r="F3" s="1332" t="s">
        <v>332</v>
      </c>
      <c r="G3" s="1328" t="s">
        <v>332</v>
      </c>
      <c r="H3" s="1333"/>
      <c r="I3" s="1334"/>
      <c r="J3" s="1335"/>
      <c r="K3" s="1336"/>
      <c r="L3" s="981"/>
      <c r="M3" s="981"/>
      <c r="N3" s="981"/>
      <c r="O3" s="981"/>
      <c r="P3" s="981"/>
      <c r="Q3" s="1337"/>
      <c r="R3" s="1338" t="s">
        <v>6315</v>
      </c>
      <c r="S3" s="1333"/>
      <c r="T3" s="1333"/>
      <c r="U3" s="1339" t="s">
        <v>7992</v>
      </c>
      <c r="V3" s="1337"/>
      <c r="W3" s="1337"/>
      <c r="X3" s="1339" t="s">
        <v>8252</v>
      </c>
      <c r="Y3" s="1337"/>
      <c r="Z3" s="1337"/>
      <c r="AA3" s="1340" t="s">
        <v>8253</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8254</v>
      </c>
      <c r="N4" s="980" t="s">
        <v>1157</v>
      </c>
      <c r="O4" s="981"/>
      <c r="P4" s="981"/>
      <c r="Q4" s="1337"/>
      <c r="R4" s="1343" t="s">
        <v>6108</v>
      </c>
      <c r="S4" s="981"/>
      <c r="T4" s="981"/>
      <c r="U4" s="1344" t="s">
        <v>2118</v>
      </c>
      <c r="V4" s="1337"/>
      <c r="W4" s="1337"/>
      <c r="X4" s="1338" t="s">
        <v>8255</v>
      </c>
      <c r="Y4" s="1337"/>
      <c r="Z4" s="1337"/>
      <c r="AA4" s="983" t="s">
        <v>1245</v>
      </c>
      <c r="AB4" s="1337"/>
      <c r="AC4" s="981"/>
      <c r="AD4" s="1337"/>
      <c r="AE4" s="1337"/>
      <c r="AF4" s="1337"/>
      <c r="AG4" s="1341"/>
      <c r="AH4" s="1341"/>
    </row>
    <row r="5">
      <c r="A5" s="1327" t="s">
        <v>4053</v>
      </c>
      <c r="B5" s="1328" t="s">
        <v>333</v>
      </c>
      <c r="C5" s="1329" t="s">
        <v>1258</v>
      </c>
      <c r="D5" s="1330" t="s">
        <v>546</v>
      </c>
      <c r="E5" s="1331" t="s">
        <v>1258</v>
      </c>
      <c r="F5" s="1332" t="s">
        <v>649</v>
      </c>
      <c r="G5" s="1328" t="s">
        <v>334</v>
      </c>
      <c r="H5" s="981"/>
      <c r="I5" s="97"/>
      <c r="J5" s="92"/>
      <c r="K5" s="981"/>
      <c r="L5" s="981"/>
      <c r="M5" s="981"/>
      <c r="N5" s="981"/>
      <c r="O5" s="981"/>
      <c r="P5" s="981"/>
      <c r="Q5" s="1337"/>
      <c r="R5" s="1344" t="s">
        <v>4521</v>
      </c>
      <c r="S5" s="1345" t="s">
        <v>1751</v>
      </c>
      <c r="T5" s="981"/>
      <c r="U5" s="983" t="s">
        <v>1039</v>
      </c>
      <c r="V5" s="1337"/>
      <c r="W5" s="1337"/>
      <c r="X5" s="983" t="s">
        <v>8256</v>
      </c>
      <c r="Y5" s="1337"/>
      <c r="Z5" s="1337"/>
      <c r="AA5" s="1346" t="s">
        <v>8257</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7314</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8258</v>
      </c>
      <c r="T7" s="981"/>
      <c r="U7" s="1337"/>
      <c r="V7" s="1337"/>
      <c r="W7" s="1337"/>
      <c r="X7" s="981"/>
      <c r="Y7" s="1337"/>
      <c r="Z7" s="1337"/>
      <c r="AA7" s="1338" t="s">
        <v>8259</v>
      </c>
      <c r="AB7" s="1338" t="s">
        <v>6447</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8260</v>
      </c>
      <c r="L8" s="1343" t="s">
        <v>6279</v>
      </c>
      <c r="M8" s="981"/>
      <c r="N8" s="981"/>
      <c r="O8" s="981"/>
      <c r="P8" s="1344" t="s">
        <v>8261</v>
      </c>
      <c r="Q8" s="1337"/>
      <c r="R8" s="1337"/>
      <c r="S8" s="981"/>
      <c r="T8" s="981"/>
      <c r="U8" s="1337"/>
      <c r="V8" s="1337"/>
      <c r="W8" s="1337"/>
      <c r="X8" s="1338" t="s">
        <v>8255</v>
      </c>
      <c r="Y8" s="1337"/>
      <c r="Z8" s="1337"/>
      <c r="AA8" s="981"/>
      <c r="AB8" s="1337"/>
      <c r="AC8" s="981"/>
      <c r="AD8" s="1337"/>
      <c r="AE8" s="1337"/>
      <c r="AF8" s="1337"/>
      <c r="AG8" s="1341"/>
      <c r="AH8" s="1341"/>
    </row>
    <row r="9">
      <c r="A9" s="987" t="s">
        <v>7477</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7873</v>
      </c>
      <c r="AB9" s="1350"/>
      <c r="AC9" s="1349"/>
      <c r="AD9" s="1337"/>
      <c r="AE9" s="1350"/>
      <c r="AF9" s="1350"/>
      <c r="AG9" s="1352"/>
      <c r="AH9" s="1352"/>
    </row>
    <row r="10">
      <c r="A10" s="864" t="s">
        <v>899</v>
      </c>
      <c r="B10" s="1328" t="s">
        <v>3872</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8262</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7909</v>
      </c>
      <c r="AE11" s="1337"/>
      <c r="AF11" s="1337"/>
      <c r="AG11" s="1341"/>
      <c r="AH11" s="1341"/>
    </row>
    <row r="12">
      <c r="A12" s="987" t="s">
        <v>4548</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8263</v>
      </c>
      <c r="X12" s="981"/>
      <c r="Y12" s="1337"/>
      <c r="Z12" s="1337"/>
      <c r="AA12" s="981"/>
      <c r="AB12" s="1337"/>
      <c r="AC12" s="981"/>
      <c r="AD12" s="1337"/>
      <c r="AE12" s="1337"/>
      <c r="AF12" s="1337"/>
      <c r="AG12" s="1341"/>
      <c r="AH12" s="1341"/>
    </row>
    <row r="13">
      <c r="A13" s="1327" t="s">
        <v>8264</v>
      </c>
      <c r="B13" s="1328" t="s">
        <v>983</v>
      </c>
      <c r="C13" s="1329" t="s">
        <v>649</v>
      </c>
      <c r="D13" s="1330" t="s">
        <v>1258</v>
      </c>
      <c r="E13" s="1331" t="s">
        <v>1258</v>
      </c>
      <c r="F13" s="1332" t="s">
        <v>649</v>
      </c>
      <c r="G13" s="1328" t="s">
        <v>649</v>
      </c>
      <c r="H13" s="981"/>
      <c r="I13" s="97"/>
      <c r="J13" s="92"/>
      <c r="K13" s="1338" t="s">
        <v>8265</v>
      </c>
      <c r="L13" s="1338" t="s">
        <v>8266</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3872</v>
      </c>
      <c r="C14" s="1329" t="s">
        <v>1258</v>
      </c>
      <c r="D14" s="1330" t="s">
        <v>1258</v>
      </c>
      <c r="E14" s="1331" t="s">
        <v>546</v>
      </c>
      <c r="F14" s="1332" t="s">
        <v>437</v>
      </c>
      <c r="G14" s="1328" t="s">
        <v>437</v>
      </c>
      <c r="H14" s="981"/>
      <c r="I14" s="97"/>
      <c r="J14" s="92"/>
      <c r="K14" s="981"/>
      <c r="L14" s="983" t="s">
        <v>6836</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8267</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5720</v>
      </c>
      <c r="X16" s="981"/>
      <c r="Y16" s="1337"/>
      <c r="Z16" s="1337"/>
      <c r="AA16" s="981"/>
      <c r="AB16" s="1337"/>
      <c r="AC16" s="981"/>
      <c r="AD16" s="1337"/>
      <c r="AE16" s="1337"/>
      <c r="AF16" s="1337"/>
      <c r="AG16" s="1341"/>
      <c r="AH16" s="1341"/>
    </row>
    <row r="17">
      <c r="A17" s="1327" t="s">
        <v>8268</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5352</v>
      </c>
      <c r="T17" s="981"/>
      <c r="U17" s="1337"/>
      <c r="V17" s="1337"/>
      <c r="W17" s="1337"/>
      <c r="X17" s="981"/>
      <c r="Y17" s="1337"/>
      <c r="Z17" s="1337"/>
      <c r="AA17" s="981"/>
      <c r="AB17" s="1337"/>
      <c r="AC17" s="981"/>
      <c r="AD17" s="1337"/>
      <c r="AE17" s="1337"/>
      <c r="AF17" s="1337"/>
      <c r="AG17" s="1341"/>
      <c r="AH17" s="1341"/>
    </row>
    <row r="18">
      <c r="A18" s="1327" t="s">
        <v>8269</v>
      </c>
      <c r="B18" s="1328" t="s">
        <v>334</v>
      </c>
      <c r="C18" s="1329" t="s">
        <v>546</v>
      </c>
      <c r="D18" s="1330" t="s">
        <v>1258</v>
      </c>
      <c r="E18" s="1331" t="s">
        <v>1258</v>
      </c>
      <c r="F18" s="1332" t="s">
        <v>546</v>
      </c>
      <c r="G18" s="1328" t="s">
        <v>546</v>
      </c>
      <c r="H18" s="981"/>
      <c r="I18" s="97"/>
      <c r="J18" s="92"/>
      <c r="K18" s="981"/>
      <c r="L18" s="1338" t="s">
        <v>8266</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5342</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3745</v>
      </c>
      <c r="S19" s="1333"/>
      <c r="T19" s="1333"/>
      <c r="U19" s="1351" t="s">
        <v>7639</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8270</v>
      </c>
      <c r="AE20" s="1337"/>
      <c r="AF20" s="1337"/>
      <c r="AG20" s="1341"/>
      <c r="AH20" s="1341"/>
    </row>
    <row r="21">
      <c r="A21" s="864" t="s">
        <v>6623</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8271</v>
      </c>
      <c r="X21" s="981"/>
      <c r="Y21" s="1337"/>
      <c r="Z21" s="1337"/>
      <c r="AA21" s="981"/>
      <c r="AB21" s="1337"/>
      <c r="AC21" s="981"/>
      <c r="AD21" s="1337"/>
      <c r="AE21" s="1337"/>
      <c r="AF21" s="1337"/>
      <c r="AG21" s="1341"/>
      <c r="AH21" s="1341"/>
    </row>
    <row r="22">
      <c r="A22" s="1327" t="s">
        <v>4884</v>
      </c>
      <c r="B22" s="1328" t="s">
        <v>649</v>
      </c>
      <c r="C22" s="1329" t="s">
        <v>546</v>
      </c>
      <c r="D22" s="1330" t="s">
        <v>1258</v>
      </c>
      <c r="E22" s="1331" t="s">
        <v>1258</v>
      </c>
      <c r="F22" s="1332" t="s">
        <v>546</v>
      </c>
      <c r="G22" s="1328" t="s">
        <v>546</v>
      </c>
      <c r="H22" s="981"/>
      <c r="I22" s="97"/>
      <c r="J22" s="92"/>
      <c r="K22" s="981"/>
      <c r="L22" s="981"/>
      <c r="M22" s="981"/>
      <c r="N22" s="981"/>
      <c r="O22" s="981"/>
      <c r="P22" s="1338" t="s">
        <v>8272</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8273</v>
      </c>
      <c r="AE23" s="1337"/>
      <c r="AF23" s="1337"/>
      <c r="AG23" s="1341"/>
      <c r="AH23" s="1341"/>
    </row>
    <row r="24">
      <c r="A24" s="1327" t="s">
        <v>7019</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8274</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8275</v>
      </c>
      <c r="W26" s="1337"/>
      <c r="X26" s="981"/>
      <c r="Y26" s="1337"/>
      <c r="Z26" s="1337"/>
      <c r="AA26" s="981"/>
      <c r="AB26" s="1337"/>
      <c r="AC26" s="981"/>
      <c r="AD26" s="1337"/>
      <c r="AE26" s="1337"/>
      <c r="AF26" s="1337"/>
      <c r="AG26" s="1341"/>
      <c r="AH26" s="1341"/>
    </row>
    <row r="27">
      <c r="A27" s="1361" t="s">
        <v>5761</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6411</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6611</v>
      </c>
      <c r="B29" s="1328" t="s">
        <v>546</v>
      </c>
      <c r="C29" s="1329" t="s">
        <v>1258</v>
      </c>
      <c r="D29" s="1330" t="s">
        <v>1258</v>
      </c>
      <c r="E29" s="1331" t="s">
        <v>1258</v>
      </c>
      <c r="F29" s="1332" t="s">
        <v>546</v>
      </c>
      <c r="G29" s="1328" t="s">
        <v>546</v>
      </c>
      <c r="H29" s="981"/>
      <c r="I29" s="97"/>
      <c r="J29" s="92"/>
      <c r="K29" s="981"/>
      <c r="L29" s="983" t="s">
        <v>8276</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8277</v>
      </c>
      <c r="C1" s="23" t="s">
        <v>10</v>
      </c>
      <c r="F1" s="23" t="s">
        <v>34</v>
      </c>
      <c r="H1" s="1363" t="s">
        <v>8278</v>
      </c>
      <c r="W1" s="1364" t="s">
        <v>8279</v>
      </c>
      <c r="AM1" s="1365" t="s">
        <v>8280</v>
      </c>
      <c r="BG1" s="1366" t="s">
        <v>8281</v>
      </c>
      <c r="BQ1" s="1367" t="s">
        <v>8282</v>
      </c>
      <c r="BV1" s="1368" t="s">
        <v>8283</v>
      </c>
      <c r="CE1" s="1363" t="s">
        <v>8284</v>
      </c>
      <c r="CM1" s="1369" t="s">
        <v>8285</v>
      </c>
      <c r="CP1" s="1370" t="s">
        <v>8286</v>
      </c>
      <c r="CT1" s="1371" t="s">
        <v>8287</v>
      </c>
      <c r="CU1" s="1372" t="s">
        <v>8288</v>
      </c>
    </row>
    <row r="2">
      <c r="A2" s="1373" t="s">
        <v>43</v>
      </c>
      <c r="B2" s="36" t="s">
        <v>44</v>
      </c>
      <c r="C2" s="36" t="s">
        <v>45</v>
      </c>
      <c r="F2" s="36" t="s">
        <v>8289</v>
      </c>
      <c r="H2" s="1374" t="s">
        <v>8290</v>
      </c>
      <c r="I2" s="1374" t="s">
        <v>8291</v>
      </c>
      <c r="J2" s="1374" t="s">
        <v>8292</v>
      </c>
      <c r="K2" s="1374" t="s">
        <v>8293</v>
      </c>
      <c r="L2" s="1374" t="s">
        <v>8294</v>
      </c>
      <c r="M2" s="1374" t="s">
        <v>8295</v>
      </c>
      <c r="N2" s="1374" t="s">
        <v>8296</v>
      </c>
      <c r="O2" s="1374" t="s">
        <v>8297</v>
      </c>
      <c r="P2" s="1374" t="s">
        <v>8298</v>
      </c>
      <c r="Q2" s="1374" t="s">
        <v>8299</v>
      </c>
      <c r="R2" s="1374" t="s">
        <v>8300</v>
      </c>
      <c r="S2" s="1374" t="s">
        <v>8301</v>
      </c>
      <c r="T2" s="1374" t="s">
        <v>8302</v>
      </c>
      <c r="U2" s="1374" t="s">
        <v>8303</v>
      </c>
      <c r="V2" s="1374" t="s">
        <v>8304</v>
      </c>
      <c r="W2" s="1375" t="s">
        <v>8305</v>
      </c>
      <c r="X2" s="1375" t="s">
        <v>8306</v>
      </c>
      <c r="Y2" s="1375" t="s">
        <v>8307</v>
      </c>
      <c r="Z2" s="1375" t="s">
        <v>8308</v>
      </c>
      <c r="AA2" s="1375" t="s">
        <v>8309</v>
      </c>
      <c r="AB2" s="1375" t="s">
        <v>8310</v>
      </c>
      <c r="AC2" s="1375" t="s">
        <v>8311</v>
      </c>
      <c r="AD2" s="1375" t="s">
        <v>8312</v>
      </c>
      <c r="AE2" s="1375" t="s">
        <v>8313</v>
      </c>
      <c r="AF2" s="1375" t="s">
        <v>8314</v>
      </c>
      <c r="AG2" s="1375" t="s">
        <v>8315</v>
      </c>
      <c r="AH2" s="1375" t="s">
        <v>8316</v>
      </c>
      <c r="AI2" s="1375" t="s">
        <v>8317</v>
      </c>
      <c r="AJ2" s="1375" t="s">
        <v>8318</v>
      </c>
      <c r="AK2" s="1375" t="s">
        <v>8319</v>
      </c>
      <c r="AL2" s="1375" t="s">
        <v>8320</v>
      </c>
      <c r="AM2" s="1376" t="s">
        <v>8321</v>
      </c>
      <c r="AN2" s="1376" t="s">
        <v>8322</v>
      </c>
      <c r="AO2" s="1376" t="s">
        <v>8323</v>
      </c>
      <c r="AP2" s="1376" t="s">
        <v>8324</v>
      </c>
      <c r="AQ2" s="1376" t="s">
        <v>8325</v>
      </c>
      <c r="AR2" s="1376" t="s">
        <v>8326</v>
      </c>
      <c r="AS2" s="1376" t="s">
        <v>8327</v>
      </c>
      <c r="AT2" s="1376" t="s">
        <v>8328</v>
      </c>
      <c r="AU2" s="1376" t="s">
        <v>8329</v>
      </c>
      <c r="AV2" s="1376" t="s">
        <v>8330</v>
      </c>
      <c r="AW2" s="1376" t="s">
        <v>8331</v>
      </c>
      <c r="AX2" s="1376" t="s">
        <v>8332</v>
      </c>
      <c r="AY2" s="1376" t="s">
        <v>8333</v>
      </c>
      <c r="AZ2" s="1376" t="s">
        <v>8334</v>
      </c>
      <c r="BA2" s="1376" t="s">
        <v>8335</v>
      </c>
      <c r="BB2" s="1376" t="s">
        <v>8336</v>
      </c>
      <c r="BC2" s="1376" t="s">
        <v>8337</v>
      </c>
      <c r="BD2" s="1376" t="s">
        <v>8338</v>
      </c>
      <c r="BE2" s="1376" t="s">
        <v>8339</v>
      </c>
      <c r="BF2" s="1376" t="s">
        <v>8340</v>
      </c>
      <c r="BG2" s="1377" t="s">
        <v>8341</v>
      </c>
      <c r="BH2" s="1377" t="s">
        <v>8342</v>
      </c>
      <c r="BI2" s="1377" t="s">
        <v>8343</v>
      </c>
      <c r="BJ2" s="1377" t="s">
        <v>8344</v>
      </c>
      <c r="BK2" s="1377" t="s">
        <v>8345</v>
      </c>
      <c r="BL2" s="1377" t="s">
        <v>8346</v>
      </c>
      <c r="BM2" s="1377" t="s">
        <v>8347</v>
      </c>
      <c r="BN2" s="1377" t="s">
        <v>8348</v>
      </c>
      <c r="BO2" s="1377" t="s">
        <v>8349</v>
      </c>
      <c r="BP2" s="1377" t="s">
        <v>8350</v>
      </c>
      <c r="BQ2" s="1378" t="s">
        <v>8351</v>
      </c>
      <c r="BR2" s="1378" t="s">
        <v>8352</v>
      </c>
      <c r="BS2" s="1378" t="s">
        <v>8353</v>
      </c>
      <c r="BT2" s="1378" t="s">
        <v>8354</v>
      </c>
      <c r="BU2" s="1378" t="s">
        <v>8355</v>
      </c>
      <c r="BV2" s="1379" t="s">
        <v>8356</v>
      </c>
      <c r="BW2" s="1379" t="s">
        <v>8357</v>
      </c>
      <c r="BX2" s="1379" t="s">
        <v>8358</v>
      </c>
      <c r="BY2" s="1379" t="s">
        <v>8359</v>
      </c>
      <c r="BZ2" s="1379" t="s">
        <v>8360</v>
      </c>
      <c r="CA2" s="1379" t="s">
        <v>8361</v>
      </c>
      <c r="CB2" s="1379" t="s">
        <v>8362</v>
      </c>
      <c r="CC2" s="1379" t="s">
        <v>8363</v>
      </c>
      <c r="CD2" s="1379" t="s">
        <v>8364</v>
      </c>
      <c r="CE2" s="1380" t="s">
        <v>8290</v>
      </c>
      <c r="CF2" s="1380" t="s">
        <v>8293</v>
      </c>
      <c r="CG2" s="1380" t="s">
        <v>8297</v>
      </c>
      <c r="CH2" s="1380" t="s">
        <v>8299</v>
      </c>
      <c r="CI2" s="1380" t="s">
        <v>8300</v>
      </c>
      <c r="CJ2" s="1380" t="s">
        <v>8303</v>
      </c>
      <c r="CK2" s="1380" t="s">
        <v>8365</v>
      </c>
      <c r="CL2" s="1380" t="s">
        <v>8366</v>
      </c>
      <c r="CM2" s="1381" t="s">
        <v>8367</v>
      </c>
      <c r="CN2" s="1381" t="s">
        <v>8368</v>
      </c>
      <c r="CO2" s="1381" t="s">
        <v>8369</v>
      </c>
      <c r="CP2" s="1321" t="s">
        <v>8370</v>
      </c>
      <c r="CQ2" s="1321" t="s">
        <v>8371</v>
      </c>
      <c r="CR2" s="1321" t="s">
        <v>8372</v>
      </c>
      <c r="CS2" s="1321" t="s">
        <v>8373</v>
      </c>
      <c r="CT2" s="1382" t="s">
        <v>8374</v>
      </c>
      <c r="CU2" s="1383" t="s">
        <v>8375</v>
      </c>
    </row>
    <row r="3">
      <c r="A3" s="1384" t="s">
        <v>2461</v>
      </c>
      <c r="B3" s="787" t="s">
        <v>8376</v>
      </c>
      <c r="C3" s="783" t="s">
        <v>7456</v>
      </c>
      <c r="D3" s="784" t="s">
        <v>6284</v>
      </c>
      <c r="E3" s="785" t="s">
        <v>2775</v>
      </c>
      <c r="F3" s="786" t="s">
        <v>1348</v>
      </c>
      <c r="G3" s="787" t="s">
        <v>1348</v>
      </c>
      <c r="H3" s="983" t="s">
        <v>8377</v>
      </c>
      <c r="I3" s="983" t="s">
        <v>8378</v>
      </c>
      <c r="J3" s="1339" t="s">
        <v>8379</v>
      </c>
      <c r="K3" s="983" t="s">
        <v>8380</v>
      </c>
      <c r="L3" s="1059" t="s">
        <v>8381</v>
      </c>
      <c r="M3" s="1344" t="s">
        <v>8382</v>
      </c>
      <c r="N3" s="1344" t="s">
        <v>8383</v>
      </c>
      <c r="O3" s="1343" t="s">
        <v>8384</v>
      </c>
      <c r="P3" s="1343" t="s">
        <v>8385</v>
      </c>
      <c r="Q3" s="983" t="s">
        <v>8386</v>
      </c>
      <c r="R3" s="983" t="s">
        <v>8387</v>
      </c>
      <c r="S3" s="983" t="s">
        <v>8388</v>
      </c>
      <c r="T3" s="983" t="s">
        <v>8389</v>
      </c>
      <c r="U3" s="983" t="s">
        <v>8390</v>
      </c>
      <c r="V3" s="983" t="s">
        <v>8391</v>
      </c>
      <c r="W3" s="1343" t="s">
        <v>2133</v>
      </c>
      <c r="X3" s="983" t="s">
        <v>1823</v>
      </c>
      <c r="Y3" s="983" t="s">
        <v>2741</v>
      </c>
      <c r="Z3" s="1338" t="s">
        <v>8392</v>
      </c>
      <c r="AA3" s="1344" t="s">
        <v>8393</v>
      </c>
      <c r="AB3" s="1338" t="s">
        <v>8394</v>
      </c>
      <c r="AC3" s="983" t="s">
        <v>8395</v>
      </c>
      <c r="AD3" s="983" t="s">
        <v>4481</v>
      </c>
      <c r="AE3" s="1343" t="s">
        <v>8396</v>
      </c>
      <c r="AF3" s="983" t="s">
        <v>8397</v>
      </c>
      <c r="AG3" s="1343" t="s">
        <v>8398</v>
      </c>
      <c r="AH3" s="1344" t="s">
        <v>8399</v>
      </c>
      <c r="AI3" s="983" t="s">
        <v>6709</v>
      </c>
      <c r="AJ3" s="1344" t="s">
        <v>8400</v>
      </c>
      <c r="AK3" s="983" t="s">
        <v>8401</v>
      </c>
      <c r="AL3" s="1338" t="s">
        <v>5330</v>
      </c>
      <c r="AM3" s="1344" t="s">
        <v>8402</v>
      </c>
      <c r="AN3" s="1338" t="s">
        <v>8403</v>
      </c>
      <c r="AO3" s="1338" t="s">
        <v>8404</v>
      </c>
      <c r="AP3" s="1344" t="s">
        <v>8405</v>
      </c>
      <c r="AQ3" s="1344" t="s">
        <v>8406</v>
      </c>
      <c r="AR3" s="1344" t="s">
        <v>8407</v>
      </c>
      <c r="AS3" s="1344" t="s">
        <v>8408</v>
      </c>
      <c r="AT3" s="1344" t="s">
        <v>8409</v>
      </c>
      <c r="AU3" s="983" t="s">
        <v>8410</v>
      </c>
      <c r="AV3" s="1385" t="s">
        <v>8411</v>
      </c>
      <c r="AW3" s="1343" t="s">
        <v>8412</v>
      </c>
      <c r="AX3" s="1344" t="s">
        <v>8413</v>
      </c>
      <c r="AY3" s="1344" t="s">
        <v>8414</v>
      </c>
      <c r="AZ3" s="1344" t="s">
        <v>8415</v>
      </c>
      <c r="BA3" s="1344" t="s">
        <v>8416</v>
      </c>
      <c r="BB3" s="1343" t="s">
        <v>8417</v>
      </c>
      <c r="BC3" s="983" t="s">
        <v>8418</v>
      </c>
      <c r="BD3" s="983" t="s">
        <v>8419</v>
      </c>
      <c r="BE3" s="1343" t="s">
        <v>8420</v>
      </c>
      <c r="BF3" s="1344" t="s">
        <v>8421</v>
      </c>
      <c r="BG3" s="983" t="s">
        <v>8422</v>
      </c>
      <c r="BH3" s="1338" t="s">
        <v>8423</v>
      </c>
      <c r="BI3" s="1338" t="s">
        <v>8424</v>
      </c>
      <c r="BJ3" s="1344" t="s">
        <v>8425</v>
      </c>
      <c r="BK3" s="1344" t="s">
        <v>8426</v>
      </c>
      <c r="BL3" s="1344" t="s">
        <v>8427</v>
      </c>
      <c r="BM3" s="1343" t="s">
        <v>8428</v>
      </c>
      <c r="BN3" s="1344" t="s">
        <v>8429</v>
      </c>
      <c r="BO3" s="1344" t="s">
        <v>8430</v>
      </c>
      <c r="BP3" s="1338" t="s">
        <v>8431</v>
      </c>
      <c r="BQ3" s="1338" t="s">
        <v>8432</v>
      </c>
      <c r="BR3" s="1338" t="s">
        <v>8433</v>
      </c>
      <c r="BS3" s="1338" t="s">
        <v>8434</v>
      </c>
      <c r="BT3" s="1338" t="s">
        <v>8435</v>
      </c>
      <c r="BU3" s="1338" t="s">
        <v>8436</v>
      </c>
      <c r="BV3" s="1386" t="s">
        <v>2469</v>
      </c>
      <c r="BW3" s="1344" t="s">
        <v>2479</v>
      </c>
      <c r="BX3" s="1343" t="s">
        <v>2491</v>
      </c>
      <c r="BY3" s="1338" t="s">
        <v>8437</v>
      </c>
      <c r="BZ3" s="1344" t="s">
        <v>8438</v>
      </c>
      <c r="CA3" s="1338" t="s">
        <v>1279</v>
      </c>
      <c r="CB3" s="1338" t="s">
        <v>8439</v>
      </c>
      <c r="CC3" s="1338" t="s">
        <v>3650</v>
      </c>
      <c r="CD3" s="1387" t="s">
        <v>2521</v>
      </c>
      <c r="CE3" s="1343" t="s">
        <v>8440</v>
      </c>
      <c r="CF3" s="1344" t="s">
        <v>8441</v>
      </c>
      <c r="CG3" s="1344" t="s">
        <v>8442</v>
      </c>
      <c r="CH3" s="1338" t="s">
        <v>8443</v>
      </c>
      <c r="CI3" s="1344" t="s">
        <v>8444</v>
      </c>
      <c r="CJ3" s="1343" t="s">
        <v>8445</v>
      </c>
      <c r="CK3" s="1338" t="s">
        <v>8446</v>
      </c>
      <c r="CL3" s="983" t="s">
        <v>7420</v>
      </c>
      <c r="CM3" s="1338" t="s">
        <v>8447</v>
      </c>
      <c r="CN3" s="1338" t="s">
        <v>8448</v>
      </c>
      <c r="CO3" s="1344" t="s">
        <v>8449</v>
      </c>
      <c r="CP3" s="1343" t="s">
        <v>8450</v>
      </c>
      <c r="CQ3" s="1338" t="s">
        <v>8451</v>
      </c>
      <c r="CR3" s="1338" t="s">
        <v>8452</v>
      </c>
      <c r="CS3" s="1344" t="s">
        <v>8453</v>
      </c>
      <c r="CT3" s="1338" t="s">
        <v>8454</v>
      </c>
      <c r="CU3" s="1338" t="s">
        <v>8455</v>
      </c>
    </row>
    <row r="4">
      <c r="A4" s="1388" t="s">
        <v>7521</v>
      </c>
      <c r="B4" s="787" t="s">
        <v>8456</v>
      </c>
      <c r="C4" s="783" t="s">
        <v>3574</v>
      </c>
      <c r="D4" s="784" t="s">
        <v>3872</v>
      </c>
      <c r="E4" s="785" t="s">
        <v>649</v>
      </c>
      <c r="F4" s="786" t="s">
        <v>4783</v>
      </c>
      <c r="G4" s="787" t="s">
        <v>3846</v>
      </c>
      <c r="H4" s="1343" t="s">
        <v>8457</v>
      </c>
      <c r="I4" s="1338" t="s">
        <v>4267</v>
      </c>
      <c r="J4" s="1338" t="s">
        <v>8458</v>
      </c>
      <c r="K4" s="983" t="s">
        <v>8459</v>
      </c>
      <c r="L4" s="1338" t="s">
        <v>8460</v>
      </c>
      <c r="M4" s="981"/>
      <c r="N4" s="981"/>
      <c r="O4" s="983" t="s">
        <v>8461</v>
      </c>
      <c r="P4" s="981"/>
      <c r="Q4" s="980" t="s">
        <v>8462</v>
      </c>
      <c r="R4" s="1344" t="s">
        <v>8463</v>
      </c>
      <c r="S4" s="981"/>
      <c r="T4" s="1338" t="s">
        <v>8464</v>
      </c>
      <c r="U4" s="1338" t="s">
        <v>8465</v>
      </c>
      <c r="V4" s="980" t="s">
        <v>8466</v>
      </c>
      <c r="W4" s="981"/>
      <c r="X4" s="1343" t="s">
        <v>6275</v>
      </c>
      <c r="Y4" s="1344" t="s">
        <v>2543</v>
      </c>
      <c r="Z4" s="981"/>
      <c r="AA4" s="1338" t="s">
        <v>8467</v>
      </c>
      <c r="AB4" s="981"/>
      <c r="AC4" s="981"/>
      <c r="AD4" s="980" t="s">
        <v>8468</v>
      </c>
      <c r="AE4" s="1333"/>
      <c r="AF4" s="983" t="s">
        <v>464</v>
      </c>
      <c r="AG4" s="1333"/>
      <c r="AH4" s="1338" t="s">
        <v>8469</v>
      </c>
      <c r="AI4" s="981"/>
      <c r="AJ4" s="1338" t="s">
        <v>8470</v>
      </c>
      <c r="AK4" s="1344" t="s">
        <v>6250</v>
      </c>
      <c r="AL4" s="1389" t="s">
        <v>8471</v>
      </c>
      <c r="AM4" s="1338" t="s">
        <v>8472</v>
      </c>
      <c r="AN4" s="981"/>
      <c r="AO4" s="981"/>
      <c r="AP4" s="1338" t="s">
        <v>8473</v>
      </c>
      <c r="AQ4" s="1338" t="s">
        <v>8474</v>
      </c>
      <c r="AR4" s="1338" t="s">
        <v>8475</v>
      </c>
      <c r="AS4" s="1338" t="s">
        <v>8476</v>
      </c>
      <c r="AT4" s="1338" t="s">
        <v>8477</v>
      </c>
      <c r="AU4" s="1338" t="s">
        <v>8478</v>
      </c>
      <c r="AV4" s="1338" t="s">
        <v>8479</v>
      </c>
      <c r="AW4" s="1338" t="s">
        <v>8480</v>
      </c>
      <c r="AX4" s="1338" t="s">
        <v>8475</v>
      </c>
      <c r="AY4" s="981"/>
      <c r="AZ4" s="1338" t="s">
        <v>8481</v>
      </c>
      <c r="BA4" s="1338" t="s">
        <v>8482</v>
      </c>
      <c r="BB4" s="1338" t="s">
        <v>8483</v>
      </c>
      <c r="BC4" s="1338" t="s">
        <v>8484</v>
      </c>
      <c r="BD4" s="1338" t="s">
        <v>8485</v>
      </c>
      <c r="BE4" s="1338" t="s">
        <v>8486</v>
      </c>
      <c r="BF4" s="1338" t="s">
        <v>8487</v>
      </c>
      <c r="BG4" s="891" t="s">
        <v>8488</v>
      </c>
      <c r="BH4" s="919"/>
      <c r="BI4" s="919"/>
      <c r="BJ4" s="919"/>
      <c r="BK4" s="1390" t="s">
        <v>8489</v>
      </c>
      <c r="BL4" s="919"/>
      <c r="BM4" s="848" t="s">
        <v>8490</v>
      </c>
      <c r="BN4" s="891" t="s">
        <v>8491</v>
      </c>
      <c r="BO4" s="919"/>
      <c r="BP4" s="919"/>
      <c r="BQ4" s="1391"/>
      <c r="BR4" s="981"/>
      <c r="BS4" s="1344" t="s">
        <v>8492</v>
      </c>
      <c r="BT4" s="981"/>
      <c r="BU4" s="981"/>
      <c r="BV4" s="981"/>
      <c r="BW4" s="981"/>
      <c r="BX4" s="981"/>
      <c r="BY4" s="981"/>
      <c r="BZ4" s="981"/>
      <c r="CA4" s="981"/>
      <c r="CB4" s="981"/>
      <c r="CC4" s="1344" t="s">
        <v>450</v>
      </c>
      <c r="CD4" s="1333"/>
      <c r="CE4" s="1392" t="s">
        <v>8493</v>
      </c>
      <c r="CF4" s="1392" t="s">
        <v>8494</v>
      </c>
      <c r="CG4" s="1392" t="s">
        <v>8495</v>
      </c>
      <c r="CH4" s="1393"/>
      <c r="CI4" s="1392" t="s">
        <v>8496</v>
      </c>
      <c r="CJ4" s="1392" t="s">
        <v>8455</v>
      </c>
      <c r="CK4" s="1393"/>
      <c r="CL4" s="1392" t="s">
        <v>8497</v>
      </c>
      <c r="CM4" s="1394" t="s">
        <v>2156</v>
      </c>
      <c r="CN4" s="1395" t="s">
        <v>3384</v>
      </c>
      <c r="CO4" s="1396"/>
      <c r="CP4" s="1392" t="s">
        <v>8498</v>
      </c>
      <c r="CQ4" s="1396"/>
      <c r="CR4" s="1396"/>
      <c r="CS4" s="1392" t="s">
        <v>8499</v>
      </c>
      <c r="CT4" s="981"/>
      <c r="CU4" s="981"/>
    </row>
    <row r="5">
      <c r="A5" s="1397" t="s">
        <v>7523</v>
      </c>
      <c r="B5" s="787" t="s">
        <v>8500</v>
      </c>
      <c r="C5" s="783" t="s">
        <v>438</v>
      </c>
      <c r="D5" s="784" t="s">
        <v>983</v>
      </c>
      <c r="E5" s="785" t="s">
        <v>984</v>
      </c>
      <c r="F5" s="786" t="s">
        <v>4900</v>
      </c>
      <c r="G5" s="787" t="s">
        <v>4408</v>
      </c>
      <c r="H5" s="980" t="s">
        <v>8501</v>
      </c>
      <c r="I5" s="983" t="s">
        <v>8502</v>
      </c>
      <c r="J5" s="980" t="s">
        <v>6467</v>
      </c>
      <c r="K5" s="1338" t="s">
        <v>8503</v>
      </c>
      <c r="L5" s="1343" t="s">
        <v>8504</v>
      </c>
      <c r="M5" s="1343" t="s">
        <v>3758</v>
      </c>
      <c r="N5" s="980" t="s">
        <v>8505</v>
      </c>
      <c r="O5" s="983" t="s">
        <v>8506</v>
      </c>
      <c r="P5" s="1338" t="s">
        <v>8507</v>
      </c>
      <c r="Q5" s="1344" t="s">
        <v>8508</v>
      </c>
      <c r="R5" s="983" t="s">
        <v>8509</v>
      </c>
      <c r="S5" s="1343" t="s">
        <v>8510</v>
      </c>
      <c r="T5" s="983" t="s">
        <v>8511</v>
      </c>
      <c r="U5" s="1344" t="s">
        <v>8512</v>
      </c>
      <c r="V5" s="1343" t="s">
        <v>8513</v>
      </c>
      <c r="W5" s="980" t="s">
        <v>2358</v>
      </c>
      <c r="X5" s="1346" t="s">
        <v>1693</v>
      </c>
      <c r="Y5" s="980" t="s">
        <v>2020</v>
      </c>
      <c r="Z5" s="1346" t="s">
        <v>8514</v>
      </c>
      <c r="AA5" s="980" t="s">
        <v>4458</v>
      </c>
      <c r="AB5" s="980"/>
      <c r="AC5" s="980" t="s">
        <v>3457</v>
      </c>
      <c r="AD5" s="980" t="s">
        <v>3884</v>
      </c>
      <c r="AE5" s="980" t="s">
        <v>8515</v>
      </c>
      <c r="AF5" s="1346" t="s">
        <v>8516</v>
      </c>
      <c r="AG5" s="983" t="s">
        <v>8517</v>
      </c>
      <c r="AH5" s="983" t="s">
        <v>8518</v>
      </c>
      <c r="AI5" s="1346" t="s">
        <v>8519</v>
      </c>
      <c r="AJ5" s="981"/>
      <c r="AK5" s="980"/>
      <c r="AL5" s="980"/>
      <c r="AM5" s="983" t="s">
        <v>8520</v>
      </c>
      <c r="AN5" s="983" t="s">
        <v>8521</v>
      </c>
      <c r="AO5" s="1343" t="s">
        <v>8522</v>
      </c>
      <c r="AP5" s="1343" t="s">
        <v>8523</v>
      </c>
      <c r="AQ5" s="1343" t="s">
        <v>8524</v>
      </c>
      <c r="AR5" s="983" t="s">
        <v>8525</v>
      </c>
      <c r="AS5" s="1343" t="s">
        <v>8526</v>
      </c>
      <c r="AT5" s="1343" t="s">
        <v>8527</v>
      </c>
      <c r="AU5" s="1344" t="s">
        <v>8528</v>
      </c>
      <c r="AV5" s="1343" t="s">
        <v>8529</v>
      </c>
      <c r="AW5" s="983" t="s">
        <v>8530</v>
      </c>
      <c r="AX5" s="1343" t="s">
        <v>8531</v>
      </c>
      <c r="AY5" s="1343" t="s">
        <v>8532</v>
      </c>
      <c r="AZ5" s="1346" t="s">
        <v>5168</v>
      </c>
      <c r="BA5" s="1343" t="s">
        <v>6703</v>
      </c>
      <c r="BB5" s="983" t="s">
        <v>8533</v>
      </c>
      <c r="BC5" s="1343" t="s">
        <v>8534</v>
      </c>
      <c r="BD5" s="1344" t="s">
        <v>4676</v>
      </c>
      <c r="BE5" s="980"/>
      <c r="BF5" s="1343" t="s">
        <v>8535</v>
      </c>
      <c r="BG5" s="1344" t="s">
        <v>8536</v>
      </c>
      <c r="BH5" s="1343" t="s">
        <v>8537</v>
      </c>
      <c r="BI5" s="1344" t="s">
        <v>8538</v>
      </c>
      <c r="BJ5" s="1338" t="s">
        <v>8430</v>
      </c>
      <c r="BK5" s="980"/>
      <c r="BL5" s="1338" t="s">
        <v>8539</v>
      </c>
      <c r="BM5" s="1346" t="s">
        <v>8540</v>
      </c>
      <c r="BN5" s="980"/>
      <c r="BO5" s="1338" t="s">
        <v>8541</v>
      </c>
      <c r="BP5" s="980"/>
      <c r="BQ5" s="980" t="s">
        <v>8542</v>
      </c>
      <c r="BR5" s="981"/>
      <c r="BS5" s="980" t="s">
        <v>8543</v>
      </c>
      <c r="BT5" s="981"/>
      <c r="BU5" s="980" t="s">
        <v>8544</v>
      </c>
      <c r="BV5" s="981"/>
      <c r="BW5" s="1337"/>
      <c r="BX5" s="1346" t="s">
        <v>3967</v>
      </c>
      <c r="BY5" s="981"/>
      <c r="BZ5" s="981"/>
      <c r="CA5" s="1346" t="s">
        <v>3490</v>
      </c>
      <c r="CB5" s="1344" t="s">
        <v>257</v>
      </c>
      <c r="CC5" s="983" t="s">
        <v>1607</v>
      </c>
      <c r="CD5" s="1346"/>
      <c r="CE5" s="980" t="s">
        <v>8545</v>
      </c>
      <c r="CF5" s="980" t="s">
        <v>8546</v>
      </c>
      <c r="CG5" s="980"/>
      <c r="CH5" s="980"/>
      <c r="CI5" s="980"/>
      <c r="CJ5" s="980"/>
      <c r="CK5" s="980"/>
      <c r="CL5" s="980"/>
      <c r="CM5" s="980"/>
      <c r="CN5" s="1344" t="s">
        <v>8547</v>
      </c>
      <c r="CO5" s="1338" t="s">
        <v>8548</v>
      </c>
      <c r="CP5" s="1344" t="s">
        <v>8549</v>
      </c>
      <c r="CQ5" s="980" t="s">
        <v>8550</v>
      </c>
      <c r="CR5" s="980"/>
      <c r="CS5" s="980"/>
      <c r="CT5" s="1346" t="s">
        <v>8551</v>
      </c>
      <c r="CU5" s="980"/>
    </row>
    <row r="6">
      <c r="A6" s="1398" t="s">
        <v>7019</v>
      </c>
      <c r="B6" s="787" t="s">
        <v>8552</v>
      </c>
      <c r="C6" s="783" t="s">
        <v>437</v>
      </c>
      <c r="D6" s="784" t="s">
        <v>437</v>
      </c>
      <c r="E6" s="785" t="s">
        <v>437</v>
      </c>
      <c r="F6" s="786" t="s">
        <v>6284</v>
      </c>
      <c r="G6" s="787" t="s">
        <v>3574</v>
      </c>
      <c r="H6" s="1399" t="s">
        <v>8553</v>
      </c>
      <c r="I6" s="1399" t="s">
        <v>8554</v>
      </c>
      <c r="J6" s="981"/>
      <c r="K6" s="980" t="s">
        <v>8555</v>
      </c>
      <c r="L6" s="981"/>
      <c r="M6" s="983" t="s">
        <v>8556</v>
      </c>
      <c r="N6" s="981"/>
      <c r="O6" s="983" t="s">
        <v>8557</v>
      </c>
      <c r="P6" s="983" t="s">
        <v>8558</v>
      </c>
      <c r="Q6" s="981"/>
      <c r="R6" s="983" t="s">
        <v>8559</v>
      </c>
      <c r="S6" s="981"/>
      <c r="T6" s="980" t="s">
        <v>8560</v>
      </c>
      <c r="U6" s="983" t="s">
        <v>7051</v>
      </c>
      <c r="V6" s="1338" t="s">
        <v>8561</v>
      </c>
      <c r="W6" s="983" t="s">
        <v>1294</v>
      </c>
      <c r="X6" s="983" t="s">
        <v>1636</v>
      </c>
      <c r="Y6" s="983" t="s">
        <v>1581</v>
      </c>
      <c r="Z6" s="1344" t="s">
        <v>5432</v>
      </c>
      <c r="AA6" s="1333"/>
      <c r="AB6" s="1400" t="s">
        <v>8562</v>
      </c>
      <c r="AC6" s="983" t="s">
        <v>3416</v>
      </c>
      <c r="AD6" s="983" t="s">
        <v>4728</v>
      </c>
      <c r="AE6" s="1333"/>
      <c r="AF6" s="1343" t="s">
        <v>7374</v>
      </c>
      <c r="AG6" s="981"/>
      <c r="AH6" s="983" t="s">
        <v>8563</v>
      </c>
      <c r="AI6" s="1344" t="s">
        <v>5058</v>
      </c>
      <c r="AJ6" s="981"/>
      <c r="AK6" s="983" t="s">
        <v>8564</v>
      </c>
      <c r="AL6" s="981"/>
      <c r="AM6" s="983" t="s">
        <v>8565</v>
      </c>
      <c r="AN6" s="980" t="s">
        <v>8566</v>
      </c>
      <c r="AO6" s="980" t="s">
        <v>8567</v>
      </c>
      <c r="AP6" s="983" t="s">
        <v>8568</v>
      </c>
      <c r="AQ6" s="981"/>
      <c r="AR6" s="980" t="s">
        <v>8569</v>
      </c>
      <c r="AS6" s="981"/>
      <c r="AT6" s="983" t="s">
        <v>8570</v>
      </c>
      <c r="AU6" s="983" t="s">
        <v>8571</v>
      </c>
      <c r="AV6" s="981"/>
      <c r="AW6" s="983" t="s">
        <v>8572</v>
      </c>
      <c r="AX6" s="981"/>
      <c r="AY6" s="981"/>
      <c r="AZ6" s="983" t="s">
        <v>1574</v>
      </c>
      <c r="BA6" s="983" t="s">
        <v>5375</v>
      </c>
      <c r="BB6" s="983" t="s">
        <v>8573</v>
      </c>
      <c r="BC6" s="983" t="s">
        <v>8574</v>
      </c>
      <c r="BD6" s="983" t="s">
        <v>8575</v>
      </c>
      <c r="BE6" s="981"/>
      <c r="BF6" s="981"/>
      <c r="BG6" s="981"/>
      <c r="BH6" s="981"/>
      <c r="BI6" s="981"/>
      <c r="BJ6" s="981"/>
      <c r="BK6" s="981"/>
      <c r="BL6" s="981"/>
      <c r="BM6" s="981"/>
      <c r="BN6" s="981"/>
      <c r="BO6" s="981"/>
      <c r="BP6" s="981"/>
      <c r="BQ6" s="981"/>
      <c r="BR6" s="981"/>
      <c r="BS6" s="981"/>
      <c r="BT6" s="981"/>
      <c r="BU6" s="981"/>
      <c r="BV6" s="981"/>
      <c r="BW6" s="1338" t="s">
        <v>5454</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7135</v>
      </c>
      <c r="B7" s="787" t="s">
        <v>7104</v>
      </c>
      <c r="C7" s="783" t="s">
        <v>546</v>
      </c>
      <c r="D7" s="784" t="s">
        <v>332</v>
      </c>
      <c r="E7" s="785" t="s">
        <v>649</v>
      </c>
      <c r="F7" s="786" t="s">
        <v>333</v>
      </c>
      <c r="G7" s="787" t="s">
        <v>5878</v>
      </c>
      <c r="H7" s="980" t="s">
        <v>8576</v>
      </c>
      <c r="I7" s="980" t="s">
        <v>7310</v>
      </c>
      <c r="J7" s="980"/>
      <c r="K7" s="1343" t="s">
        <v>8577</v>
      </c>
      <c r="L7" s="1344" t="s">
        <v>8578</v>
      </c>
      <c r="M7" s="980"/>
      <c r="N7" s="980"/>
      <c r="O7" s="983" t="s">
        <v>8579</v>
      </c>
      <c r="P7" s="980" t="s">
        <v>8580</v>
      </c>
      <c r="Q7" s="980" t="s">
        <v>8581</v>
      </c>
      <c r="R7" s="1338" t="s">
        <v>8582</v>
      </c>
      <c r="S7" s="980"/>
      <c r="T7" s="983" t="s">
        <v>8583</v>
      </c>
      <c r="U7" s="1343" t="s">
        <v>8584</v>
      </c>
      <c r="V7" s="980"/>
      <c r="W7" s="980" t="s">
        <v>7547</v>
      </c>
      <c r="X7" s="980"/>
      <c r="Y7" s="980" t="s">
        <v>8585</v>
      </c>
      <c r="Z7" s="1343" t="s">
        <v>122</v>
      </c>
      <c r="AA7" s="1333"/>
      <c r="AB7" s="1333"/>
      <c r="AC7" s="980" t="s">
        <v>8586</v>
      </c>
      <c r="AD7" s="981"/>
      <c r="AE7" s="1344" t="s">
        <v>8587</v>
      </c>
      <c r="AF7" s="980" t="s">
        <v>8588</v>
      </c>
      <c r="AG7" s="980"/>
      <c r="AH7" s="980" t="s">
        <v>2555</v>
      </c>
      <c r="AI7" s="980" t="s">
        <v>1894</v>
      </c>
      <c r="AJ7" s="981"/>
      <c r="AK7" s="980"/>
      <c r="AL7" s="980"/>
      <c r="AM7" s="980" t="s">
        <v>8589</v>
      </c>
      <c r="AN7" s="981"/>
      <c r="AO7" s="981"/>
      <c r="AP7" s="980" t="s">
        <v>8590</v>
      </c>
      <c r="AQ7" s="983" t="s">
        <v>8591</v>
      </c>
      <c r="AR7" s="980" t="s">
        <v>8592</v>
      </c>
      <c r="AS7" s="980"/>
      <c r="AT7" s="980" t="s">
        <v>8593</v>
      </c>
      <c r="AU7" s="983" t="s">
        <v>8594</v>
      </c>
      <c r="AV7" s="980"/>
      <c r="AW7" s="1385" t="s">
        <v>8595</v>
      </c>
      <c r="AX7" s="113"/>
      <c r="AY7" s="113" t="s">
        <v>8596</v>
      </c>
      <c r="AZ7" s="980" t="s">
        <v>3101</v>
      </c>
      <c r="BA7" s="980"/>
      <c r="BB7" s="980" t="s">
        <v>8575</v>
      </c>
      <c r="BC7" s="1344" t="s">
        <v>8597</v>
      </c>
      <c r="BD7" s="980" t="s">
        <v>8598</v>
      </c>
      <c r="BE7" s="980"/>
      <c r="BF7" s="980"/>
      <c r="BG7" s="980" t="s">
        <v>8599</v>
      </c>
      <c r="BH7" s="980"/>
      <c r="BI7" s="980"/>
      <c r="BJ7" s="980"/>
      <c r="BK7" s="980" t="s">
        <v>8600</v>
      </c>
      <c r="BL7" s="980"/>
      <c r="BM7" s="980"/>
      <c r="BN7" s="980"/>
      <c r="BO7" s="980"/>
      <c r="BP7" s="980" t="s">
        <v>8601</v>
      </c>
      <c r="BQ7" s="981"/>
      <c r="BR7" s="981"/>
      <c r="BS7" s="981"/>
      <c r="BT7" s="981"/>
      <c r="BU7" s="981"/>
      <c r="BV7" s="980"/>
      <c r="BW7" s="980" t="s">
        <v>7815</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8602</v>
      </c>
      <c r="C8" s="783" t="s">
        <v>546</v>
      </c>
      <c r="D8" s="784" t="s">
        <v>332</v>
      </c>
      <c r="E8" s="785" t="s">
        <v>438</v>
      </c>
      <c r="F8" s="786" t="s">
        <v>4116</v>
      </c>
      <c r="G8" s="787" t="s">
        <v>1812</v>
      </c>
      <c r="H8" s="1403"/>
      <c r="I8" s="1399" t="s">
        <v>8603</v>
      </c>
      <c r="J8" s="981"/>
      <c r="K8" s="983" t="s">
        <v>8604</v>
      </c>
      <c r="L8" s="980" t="s">
        <v>8605</v>
      </c>
      <c r="M8" s="1019" t="s">
        <v>8606</v>
      </c>
      <c r="N8" s="981"/>
      <c r="O8" s="983" t="s">
        <v>8607</v>
      </c>
      <c r="P8" s="983" t="s">
        <v>8608</v>
      </c>
      <c r="Q8" s="981"/>
      <c r="R8" s="1343" t="s">
        <v>8609</v>
      </c>
      <c r="S8" s="983" t="s">
        <v>8610</v>
      </c>
      <c r="T8" s="981"/>
      <c r="U8" s="983" t="s">
        <v>8611</v>
      </c>
      <c r="V8" s="1333"/>
      <c r="W8" s="980" t="s">
        <v>5156</v>
      </c>
      <c r="X8" s="983" t="s">
        <v>8612</v>
      </c>
      <c r="Y8" s="983" t="s">
        <v>3040</v>
      </c>
      <c r="Z8" s="981"/>
      <c r="AA8" s="981"/>
      <c r="AB8" s="981"/>
      <c r="AC8" s="983" t="s">
        <v>4157</v>
      </c>
      <c r="AD8" s="1019" t="s">
        <v>4281</v>
      </c>
      <c r="AE8" s="981"/>
      <c r="AF8" s="981"/>
      <c r="AG8" s="1338" t="s">
        <v>8613</v>
      </c>
      <c r="AH8" s="1346" t="s">
        <v>5483</v>
      </c>
      <c r="AI8" s="1343" t="s">
        <v>1296</v>
      </c>
      <c r="AJ8" s="981"/>
      <c r="AK8" s="1346" t="s">
        <v>4836</v>
      </c>
      <c r="AL8" s="980"/>
      <c r="AM8" s="983" t="s">
        <v>8614</v>
      </c>
      <c r="AN8" s="981"/>
      <c r="AO8" s="981"/>
      <c r="AP8" s="983" t="s">
        <v>8615</v>
      </c>
      <c r="AQ8" s="983" t="s">
        <v>8590</v>
      </c>
      <c r="AR8" s="983" t="s">
        <v>8616</v>
      </c>
      <c r="AS8" s="980" t="s">
        <v>8617</v>
      </c>
      <c r="AT8" s="983" t="s">
        <v>8618</v>
      </c>
      <c r="AU8" s="983" t="s">
        <v>8619</v>
      </c>
      <c r="AV8" s="981"/>
      <c r="AW8" s="980" t="s">
        <v>8614</v>
      </c>
      <c r="AX8" s="981"/>
      <c r="AY8" s="981"/>
      <c r="AZ8" s="1343" t="s">
        <v>8620</v>
      </c>
      <c r="BA8" s="1333"/>
      <c r="BB8" s="983" t="s">
        <v>8621</v>
      </c>
      <c r="BC8" s="983" t="s">
        <v>8622</v>
      </c>
      <c r="BD8" s="1343" t="s">
        <v>8623</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8624</v>
      </c>
      <c r="CF8" s="1395" t="s">
        <v>8625</v>
      </c>
      <c r="CG8" s="1395" t="s">
        <v>8626</v>
      </c>
      <c r="CH8" s="1393"/>
      <c r="CI8" s="1393"/>
      <c r="CJ8" s="1394" t="s">
        <v>8627</v>
      </c>
      <c r="CK8" s="1393"/>
      <c r="CL8" s="1394" t="s">
        <v>4116</v>
      </c>
      <c r="CM8" s="1393"/>
      <c r="CN8" s="1404" t="s">
        <v>6253</v>
      </c>
      <c r="CO8" s="1393"/>
      <c r="CP8" s="1393"/>
      <c r="CQ8" s="1393"/>
      <c r="CR8" s="1394" t="s">
        <v>7002</v>
      </c>
      <c r="CS8" s="1393"/>
      <c r="CT8" s="981"/>
      <c r="CU8" s="981"/>
    </row>
    <row r="9">
      <c r="A9" s="1405" t="s">
        <v>8628</v>
      </c>
      <c r="B9" s="787" t="s">
        <v>8629</v>
      </c>
      <c r="C9" s="783" t="s">
        <v>1258</v>
      </c>
      <c r="D9" s="784" t="s">
        <v>437</v>
      </c>
      <c r="E9" s="785" t="s">
        <v>438</v>
      </c>
      <c r="F9" s="786" t="s">
        <v>222</v>
      </c>
      <c r="G9" s="787" t="s">
        <v>7002</v>
      </c>
      <c r="H9" s="983" t="s">
        <v>8630</v>
      </c>
      <c r="I9" s="983" t="s">
        <v>8631</v>
      </c>
      <c r="J9" s="1333"/>
      <c r="K9" s="981"/>
      <c r="L9" s="981"/>
      <c r="M9" s="981"/>
      <c r="N9" s="981"/>
      <c r="O9" s="981"/>
      <c r="P9" s="980" t="s">
        <v>8632</v>
      </c>
      <c r="Q9" s="981"/>
      <c r="R9" s="983" t="s">
        <v>8633</v>
      </c>
      <c r="S9" s="981"/>
      <c r="T9" s="981"/>
      <c r="U9" s="1406" t="s">
        <v>8634</v>
      </c>
      <c r="V9" s="1333"/>
      <c r="W9" s="1407" t="s">
        <v>784</v>
      </c>
      <c r="X9" s="1355" t="s">
        <v>3777</v>
      </c>
      <c r="Y9" s="1075" t="s">
        <v>5055</v>
      </c>
      <c r="Z9" s="1333"/>
      <c r="AA9" s="1333" t="s">
        <v>8635</v>
      </c>
      <c r="AB9" s="1333"/>
      <c r="AC9" s="1343" t="s">
        <v>8636</v>
      </c>
      <c r="AD9" s="983" t="s">
        <v>819</v>
      </c>
      <c r="AE9" s="1333"/>
      <c r="AF9" s="1333"/>
      <c r="AG9" s="1333"/>
      <c r="AH9" s="981"/>
      <c r="AI9" s="981"/>
      <c r="AJ9" s="981"/>
      <c r="AK9" s="1346" t="s">
        <v>325</v>
      </c>
      <c r="AL9" s="980"/>
      <c r="AM9" s="1343" t="s">
        <v>8637</v>
      </c>
      <c r="AN9" s="1346" t="s">
        <v>8614</v>
      </c>
      <c r="AO9" s="981"/>
      <c r="AP9" s="983" t="s">
        <v>8638</v>
      </c>
      <c r="AQ9" s="1333"/>
      <c r="AR9" s="981"/>
      <c r="AS9" s="981"/>
      <c r="AT9" s="983" t="s">
        <v>8639</v>
      </c>
      <c r="AU9" s="980"/>
      <c r="AV9" s="980"/>
      <c r="AW9" s="983" t="s">
        <v>8640</v>
      </c>
      <c r="AX9" s="981"/>
      <c r="AY9" s="981"/>
      <c r="AZ9" s="981"/>
      <c r="BA9" s="981"/>
      <c r="BB9" s="983" t="s">
        <v>8641</v>
      </c>
      <c r="BC9" s="1346" t="s">
        <v>8642</v>
      </c>
      <c r="BD9" s="981"/>
      <c r="BE9" s="981"/>
      <c r="BF9" s="981"/>
      <c r="BG9" s="919"/>
      <c r="BH9" s="878" t="s">
        <v>8643</v>
      </c>
      <c r="BI9" s="919"/>
      <c r="BJ9" s="919"/>
      <c r="BK9" s="919"/>
      <c r="BL9" s="919"/>
      <c r="BM9" s="919"/>
      <c r="BN9" s="919"/>
      <c r="BO9" s="919"/>
      <c r="BP9" s="919"/>
      <c r="BQ9" s="981"/>
      <c r="BR9" s="981"/>
      <c r="BS9" s="1343" t="s">
        <v>8644</v>
      </c>
      <c r="BT9" s="981"/>
      <c r="BU9" s="981"/>
      <c r="BV9" s="1408" t="s">
        <v>1135</v>
      </c>
      <c r="BW9" s="1343" t="s">
        <v>3640</v>
      </c>
      <c r="BX9" s="1344" t="s">
        <v>2317</v>
      </c>
      <c r="BY9" s="1406" t="s">
        <v>3279</v>
      </c>
      <c r="BZ9" s="1333"/>
      <c r="CA9" s="1344" t="s">
        <v>2045</v>
      </c>
      <c r="CB9" s="1406" t="s">
        <v>2857</v>
      </c>
      <c r="CC9" s="1400" t="s">
        <v>3513</v>
      </c>
      <c r="CD9" s="1348"/>
      <c r="CE9" s="1393"/>
      <c r="CF9" s="1393"/>
      <c r="CG9" s="1393"/>
      <c r="CH9" s="1393"/>
      <c r="CI9" s="1393"/>
      <c r="CJ9" s="1393"/>
      <c r="CK9" s="1393"/>
      <c r="CL9" s="1393"/>
      <c r="CM9" s="1395" t="s">
        <v>2157</v>
      </c>
      <c r="CN9" s="1393"/>
      <c r="CO9" s="1393"/>
      <c r="CP9" s="1393"/>
      <c r="CQ9" s="1409" t="s">
        <v>8645</v>
      </c>
      <c r="CR9" s="1393"/>
      <c r="CS9" s="1393"/>
      <c r="CT9" s="1333"/>
      <c r="CU9" s="1333"/>
    </row>
    <row r="10">
      <c r="A10" s="1410" t="s">
        <v>8646</v>
      </c>
      <c r="B10" s="787" t="s">
        <v>8647</v>
      </c>
      <c r="C10" s="783" t="s">
        <v>1258</v>
      </c>
      <c r="D10" s="784" t="s">
        <v>437</v>
      </c>
      <c r="E10" s="785" t="s">
        <v>649</v>
      </c>
      <c r="F10" s="786" t="s">
        <v>4116</v>
      </c>
      <c r="G10" s="787" t="s">
        <v>2996</v>
      </c>
      <c r="H10" s="1399" t="s">
        <v>8648</v>
      </c>
      <c r="I10" s="1399" t="s">
        <v>8649</v>
      </c>
      <c r="J10" s="981"/>
      <c r="K10" s="983" t="s">
        <v>8650</v>
      </c>
      <c r="L10" s="983" t="s">
        <v>8651</v>
      </c>
      <c r="M10" s="981"/>
      <c r="N10" s="981"/>
      <c r="O10" s="983" t="s">
        <v>8652</v>
      </c>
      <c r="P10" s="983" t="s">
        <v>8653</v>
      </c>
      <c r="Q10" s="1343" t="s">
        <v>5142</v>
      </c>
      <c r="R10" s="983" t="s">
        <v>8654</v>
      </c>
      <c r="S10" s="983" t="s">
        <v>8655</v>
      </c>
      <c r="T10" s="983" t="s">
        <v>8656</v>
      </c>
      <c r="U10" s="983" t="s">
        <v>6059</v>
      </c>
      <c r="V10" s="981"/>
      <c r="W10" s="981"/>
      <c r="X10" s="983" t="s">
        <v>147</v>
      </c>
      <c r="Y10" s="1019" t="s">
        <v>2259</v>
      </c>
      <c r="Z10" s="981"/>
      <c r="AA10" s="983" t="s">
        <v>6152</v>
      </c>
      <c r="AB10" s="981"/>
      <c r="AC10" s="983" t="s">
        <v>2257</v>
      </c>
      <c r="AD10" s="983" t="s">
        <v>2299</v>
      </c>
      <c r="AE10" s="983" t="s">
        <v>1273</v>
      </c>
      <c r="AF10" s="981"/>
      <c r="AG10" s="981"/>
      <c r="AH10" s="981"/>
      <c r="AI10" s="981"/>
      <c r="AJ10" s="981"/>
      <c r="AK10" s="981"/>
      <c r="AL10" s="981"/>
      <c r="AM10" s="980" t="s">
        <v>8657</v>
      </c>
      <c r="AN10" s="1344" t="s">
        <v>8658</v>
      </c>
      <c r="AO10" s="981"/>
      <c r="AP10" s="1188" t="s">
        <v>8657</v>
      </c>
      <c r="AQ10" s="983" t="s">
        <v>8659</v>
      </c>
      <c r="AR10" s="983" t="s">
        <v>8660</v>
      </c>
      <c r="AS10" s="981"/>
      <c r="AT10" s="983" t="s">
        <v>8661</v>
      </c>
      <c r="AU10" s="983" t="s">
        <v>8662</v>
      </c>
      <c r="AV10" s="983" t="s">
        <v>8663</v>
      </c>
      <c r="AW10" s="983" t="s">
        <v>8664</v>
      </c>
      <c r="AX10" s="983" t="s">
        <v>8665</v>
      </c>
      <c r="AY10" s="981"/>
      <c r="AZ10" s="981"/>
      <c r="BA10" s="981"/>
      <c r="BB10" s="983" t="s">
        <v>8662</v>
      </c>
      <c r="BC10" s="981"/>
      <c r="BD10" s="983" t="s">
        <v>8666</v>
      </c>
      <c r="BE10" s="1344" t="s">
        <v>8667</v>
      </c>
      <c r="BF10" s="981"/>
      <c r="BG10" s="1411" t="s">
        <v>8668</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8669</v>
      </c>
      <c r="CU10" s="981"/>
    </row>
    <row r="11">
      <c r="A11" s="1413" t="s">
        <v>2994</v>
      </c>
      <c r="B11" s="787" t="s">
        <v>8670</v>
      </c>
      <c r="C11" s="783" t="s">
        <v>546</v>
      </c>
      <c r="D11" s="784" t="s">
        <v>437</v>
      </c>
      <c r="E11" s="785" t="s">
        <v>437</v>
      </c>
      <c r="F11" s="786" t="s">
        <v>3063</v>
      </c>
      <c r="G11" s="787" t="s">
        <v>1812</v>
      </c>
      <c r="H11" s="1403"/>
      <c r="I11" s="1403" t="s">
        <v>8671</v>
      </c>
      <c r="J11" s="981"/>
      <c r="K11" s="980" t="s">
        <v>8672</v>
      </c>
      <c r="L11" s="983" t="s">
        <v>8673</v>
      </c>
      <c r="M11" s="980" t="s">
        <v>8604</v>
      </c>
      <c r="N11" s="981"/>
      <c r="O11" s="980" t="s">
        <v>8674</v>
      </c>
      <c r="P11" s="980" t="s">
        <v>8675</v>
      </c>
      <c r="Q11" s="980" t="s">
        <v>8676</v>
      </c>
      <c r="R11" s="980" t="s">
        <v>8677</v>
      </c>
      <c r="S11" s="983" t="s">
        <v>3031</v>
      </c>
      <c r="T11" s="981"/>
      <c r="U11" s="980" t="s">
        <v>4007</v>
      </c>
      <c r="V11" s="981"/>
      <c r="W11" s="980" t="s">
        <v>5012</v>
      </c>
      <c r="X11" s="983" t="s">
        <v>3670</v>
      </c>
      <c r="Y11" s="983" t="s">
        <v>8678</v>
      </c>
      <c r="Z11" s="981"/>
      <c r="AA11" s="983" t="s">
        <v>5773</v>
      </c>
      <c r="AB11" s="981"/>
      <c r="AC11" s="980" t="s">
        <v>5912</v>
      </c>
      <c r="AD11" s="980" t="s">
        <v>2060</v>
      </c>
      <c r="AE11" s="980"/>
      <c r="AF11" s="980" t="s">
        <v>5720</v>
      </c>
      <c r="AG11" s="981"/>
      <c r="AH11" s="981"/>
      <c r="AI11" s="981"/>
      <c r="AJ11" s="981"/>
      <c r="AK11" s="981"/>
      <c r="AL11" s="981"/>
      <c r="AM11" s="983" t="s">
        <v>8679</v>
      </c>
      <c r="AN11" s="1344" t="s">
        <v>8658</v>
      </c>
      <c r="AO11" s="1344" t="s">
        <v>8680</v>
      </c>
      <c r="AP11" s="980" t="s">
        <v>8664</v>
      </c>
      <c r="AQ11" s="980" t="s">
        <v>8664</v>
      </c>
      <c r="AR11" s="1343" t="s">
        <v>8681</v>
      </c>
      <c r="AS11" s="980" t="s">
        <v>8424</v>
      </c>
      <c r="AT11" s="980"/>
      <c r="AU11" s="1343" t="s">
        <v>8682</v>
      </c>
      <c r="AV11" s="980" t="s">
        <v>8639</v>
      </c>
      <c r="AW11" s="980" t="s">
        <v>8683</v>
      </c>
      <c r="AX11" s="981"/>
      <c r="AY11" s="1338" t="s">
        <v>8684</v>
      </c>
      <c r="AZ11" s="980" t="s">
        <v>5168</v>
      </c>
      <c r="BA11" s="980"/>
      <c r="BB11" s="980" t="s">
        <v>8419</v>
      </c>
      <c r="BC11" s="1346" t="s">
        <v>8685</v>
      </c>
      <c r="BD11" s="1346" t="s">
        <v>8686</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8687</v>
      </c>
      <c r="CT11" s="981"/>
      <c r="CU11" s="981"/>
    </row>
    <row r="12">
      <c r="A12" s="1415" t="s">
        <v>3196</v>
      </c>
      <c r="B12" s="787" t="s">
        <v>8688</v>
      </c>
      <c r="C12" s="783" t="s">
        <v>1258</v>
      </c>
      <c r="D12" s="784" t="s">
        <v>1258</v>
      </c>
      <c r="E12" s="785" t="s">
        <v>546</v>
      </c>
      <c r="F12" s="786" t="s">
        <v>7456</v>
      </c>
      <c r="G12" s="787" t="s">
        <v>6284</v>
      </c>
      <c r="H12" s="1403"/>
      <c r="I12" s="1399" t="s">
        <v>8689</v>
      </c>
      <c r="J12" s="981"/>
      <c r="K12" s="983" t="s">
        <v>8690</v>
      </c>
      <c r="L12" s="983" t="s">
        <v>8691</v>
      </c>
      <c r="M12" s="983" t="s">
        <v>8692</v>
      </c>
      <c r="N12" s="981"/>
      <c r="O12" s="1019" t="s">
        <v>8693</v>
      </c>
      <c r="P12" s="983" t="s">
        <v>8694</v>
      </c>
      <c r="Q12" s="981"/>
      <c r="R12" s="983" t="s">
        <v>8695</v>
      </c>
      <c r="S12" s="983" t="s">
        <v>8696</v>
      </c>
      <c r="T12" s="980" t="s">
        <v>8697</v>
      </c>
      <c r="U12" s="983" t="s">
        <v>8698</v>
      </c>
      <c r="V12" s="981"/>
      <c r="W12" s="981"/>
      <c r="X12" s="1019" t="s">
        <v>8699</v>
      </c>
      <c r="Y12" s="983" t="s">
        <v>8700</v>
      </c>
      <c r="Z12" s="981"/>
      <c r="AA12" s="1019" t="s">
        <v>8701</v>
      </c>
      <c r="AB12" s="980" t="s">
        <v>8702</v>
      </c>
      <c r="AC12" s="983" t="s">
        <v>8703</v>
      </c>
      <c r="AD12" s="983" t="s">
        <v>8704</v>
      </c>
      <c r="AE12" s="983" t="s">
        <v>4543</v>
      </c>
      <c r="AF12" s="983" t="s">
        <v>8705</v>
      </c>
      <c r="AG12" s="981"/>
      <c r="AH12" s="981"/>
      <c r="AI12" s="981"/>
      <c r="AJ12" s="981"/>
      <c r="AK12" s="981"/>
      <c r="AL12" s="981"/>
      <c r="AM12" s="983" t="s">
        <v>8706</v>
      </c>
      <c r="AN12" s="983" t="s">
        <v>8707</v>
      </c>
      <c r="AO12" s="983" t="s">
        <v>8708</v>
      </c>
      <c r="AP12" s="981"/>
      <c r="AQ12" s="980" t="s">
        <v>8614</v>
      </c>
      <c r="AR12" s="983" t="s">
        <v>8709</v>
      </c>
      <c r="AS12" s="981"/>
      <c r="AT12" s="983" t="s">
        <v>8710</v>
      </c>
      <c r="AU12" s="983" t="s">
        <v>8711</v>
      </c>
      <c r="AV12" s="981"/>
      <c r="AW12" s="983" t="s">
        <v>8712</v>
      </c>
      <c r="AX12" s="981"/>
      <c r="AY12" s="981"/>
      <c r="AZ12" s="981"/>
      <c r="BA12" s="981"/>
      <c r="BB12" s="983" t="s">
        <v>8713</v>
      </c>
      <c r="BC12" s="983" t="s">
        <v>8714</v>
      </c>
      <c r="BD12" s="981"/>
      <c r="BE12" s="981"/>
      <c r="BF12" s="981"/>
      <c r="BG12" s="1412"/>
      <c r="BH12" s="1412"/>
      <c r="BI12" s="1412"/>
      <c r="BJ12" s="1412"/>
      <c r="BK12" s="1412"/>
      <c r="BL12" s="1411" t="s">
        <v>8715</v>
      </c>
      <c r="BM12" s="1412"/>
      <c r="BN12" s="1412"/>
      <c r="BO12" s="1412"/>
      <c r="BP12" s="1412"/>
      <c r="BQ12" s="981"/>
      <c r="BR12" s="981"/>
      <c r="BS12" s="981"/>
      <c r="BT12" s="981"/>
      <c r="BU12" s="981"/>
      <c r="BV12" s="983" t="s">
        <v>3204</v>
      </c>
      <c r="BW12" s="1337"/>
      <c r="BX12" s="981"/>
      <c r="BY12" s="981"/>
      <c r="BZ12" s="981"/>
      <c r="CA12" s="1337"/>
      <c r="CB12" s="981"/>
      <c r="CC12" s="981"/>
      <c r="CD12" s="1337"/>
      <c r="CE12" s="983" t="s">
        <v>8716</v>
      </c>
      <c r="CF12" s="981"/>
      <c r="CG12" s="981"/>
      <c r="CH12" s="981"/>
      <c r="CI12" s="981"/>
      <c r="CJ12" s="981"/>
      <c r="CK12" s="981"/>
      <c r="CL12" s="981"/>
      <c r="CM12" s="981"/>
      <c r="CN12" s="981"/>
      <c r="CO12" s="981"/>
      <c r="CP12" s="981"/>
      <c r="CQ12" s="981"/>
      <c r="CR12" s="981"/>
      <c r="CS12" s="981"/>
      <c r="CT12" s="981"/>
      <c r="CU12" s="981"/>
    </row>
    <row r="13">
      <c r="A13" s="1401" t="s">
        <v>3905</v>
      </c>
      <c r="B13" s="787" t="s">
        <v>8717</v>
      </c>
      <c r="C13" s="783" t="s">
        <v>1258</v>
      </c>
      <c r="D13" s="784" t="s">
        <v>1258</v>
      </c>
      <c r="E13" s="785" t="s">
        <v>1258</v>
      </c>
      <c r="F13" s="786" t="s">
        <v>546</v>
      </c>
      <c r="G13" s="787" t="s">
        <v>2433</v>
      </c>
      <c r="H13" s="1403"/>
      <c r="I13" s="1403" t="s">
        <v>3914</v>
      </c>
      <c r="J13" s="980" t="s">
        <v>8718</v>
      </c>
      <c r="K13" s="980" t="s">
        <v>8719</v>
      </c>
      <c r="L13" s="980" t="s">
        <v>8720</v>
      </c>
      <c r="M13" s="980" t="s">
        <v>8721</v>
      </c>
      <c r="N13" s="980" t="s">
        <v>8722</v>
      </c>
      <c r="O13" s="980" t="s">
        <v>8723</v>
      </c>
      <c r="P13" s="980" t="s">
        <v>8724</v>
      </c>
      <c r="Q13" s="981"/>
      <c r="R13" s="1346" t="s">
        <v>8725</v>
      </c>
      <c r="S13" s="980" t="s">
        <v>8726</v>
      </c>
      <c r="T13" s="980" t="s">
        <v>8727</v>
      </c>
      <c r="U13" s="980" t="s">
        <v>8728</v>
      </c>
      <c r="V13" s="980" t="s">
        <v>4089</v>
      </c>
      <c r="W13" s="980" t="s">
        <v>5020</v>
      </c>
      <c r="X13" s="980" t="s">
        <v>8729</v>
      </c>
      <c r="Y13" s="980" t="s">
        <v>376</v>
      </c>
      <c r="Z13" s="1346" t="s">
        <v>3228</v>
      </c>
      <c r="AA13" s="980" t="s">
        <v>8730</v>
      </c>
      <c r="AB13" s="980"/>
      <c r="AC13" s="1346" t="s">
        <v>8731</v>
      </c>
      <c r="AD13" s="1346" t="s">
        <v>8732</v>
      </c>
      <c r="AE13" s="980" t="s">
        <v>5210</v>
      </c>
      <c r="AF13" s="980" t="s">
        <v>4096</v>
      </c>
      <c r="AG13" s="1346" t="s">
        <v>8733</v>
      </c>
      <c r="AH13" s="981"/>
      <c r="AI13" s="981"/>
      <c r="AJ13" s="981"/>
      <c r="AK13" s="981"/>
      <c r="AL13" s="980" t="s">
        <v>5629</v>
      </c>
      <c r="AM13" s="1346" t="s">
        <v>8734</v>
      </c>
      <c r="AN13" s="1346" t="s">
        <v>8735</v>
      </c>
      <c r="AO13" s="981"/>
      <c r="AP13" s="980" t="s">
        <v>8736</v>
      </c>
      <c r="AQ13" s="980" t="s">
        <v>8657</v>
      </c>
      <c r="AR13" s="1346" t="s">
        <v>8737</v>
      </c>
      <c r="AS13" s="980" t="s">
        <v>8738</v>
      </c>
      <c r="AT13" s="980" t="s">
        <v>8739</v>
      </c>
      <c r="AU13" s="980" t="s">
        <v>8740</v>
      </c>
      <c r="AV13" s="113" t="s">
        <v>8741</v>
      </c>
      <c r="AW13" s="980" t="s">
        <v>8742</v>
      </c>
      <c r="AX13" s="980" t="s">
        <v>8743</v>
      </c>
      <c r="AY13" s="981"/>
      <c r="AZ13" s="1346" t="s">
        <v>4956</v>
      </c>
      <c r="BA13" s="980"/>
      <c r="BB13" s="1346" t="s">
        <v>8744</v>
      </c>
      <c r="BC13" s="1346" t="s">
        <v>8745</v>
      </c>
      <c r="BD13" s="980" t="s">
        <v>8746</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5510</v>
      </c>
      <c r="BZ13" s="981"/>
      <c r="CA13" s="1337"/>
      <c r="CB13" s="980" t="s">
        <v>1755</v>
      </c>
      <c r="CC13" s="981"/>
      <c r="CD13" s="1337"/>
      <c r="CE13" s="1393"/>
      <c r="CF13" s="980" t="s">
        <v>8685</v>
      </c>
      <c r="CG13" s="981"/>
      <c r="CH13" s="1393"/>
      <c r="CI13" s="1409" t="s">
        <v>8550</v>
      </c>
      <c r="CJ13" s="1396" t="s">
        <v>8625</v>
      </c>
      <c r="CK13" s="1396"/>
      <c r="CL13" s="1404" t="s">
        <v>6284</v>
      </c>
      <c r="CM13" s="1396" t="s">
        <v>8747</v>
      </c>
      <c r="CN13" s="1396" t="s">
        <v>6253</v>
      </c>
      <c r="CO13" s="1396" t="s">
        <v>5878</v>
      </c>
      <c r="CP13" s="1396" t="s">
        <v>8748</v>
      </c>
      <c r="CQ13" s="1396" t="s">
        <v>8749</v>
      </c>
      <c r="CR13" s="1393"/>
      <c r="CS13" s="1393"/>
      <c r="CT13" s="981"/>
      <c r="CU13" s="981"/>
    </row>
    <row r="14">
      <c r="A14" s="1416" t="s">
        <v>2190</v>
      </c>
      <c r="B14" s="787" t="s">
        <v>8750</v>
      </c>
      <c r="C14" s="783" t="s">
        <v>1258</v>
      </c>
      <c r="D14" s="784" t="s">
        <v>1258</v>
      </c>
      <c r="E14" s="785" t="s">
        <v>1258</v>
      </c>
      <c r="F14" s="786" t="s">
        <v>332</v>
      </c>
      <c r="G14" s="787" t="s">
        <v>4637</v>
      </c>
      <c r="H14" s="1403" t="s">
        <v>8751</v>
      </c>
      <c r="I14" s="1399" t="s">
        <v>2202</v>
      </c>
      <c r="J14" s="980" t="s">
        <v>8752</v>
      </c>
      <c r="K14" s="980" t="s">
        <v>8753</v>
      </c>
      <c r="L14" s="980" t="s">
        <v>8754</v>
      </c>
      <c r="M14" s="980" t="s">
        <v>8755</v>
      </c>
      <c r="N14" s="980" t="s">
        <v>8756</v>
      </c>
      <c r="O14" s="980" t="s">
        <v>8757</v>
      </c>
      <c r="P14" s="980" t="s">
        <v>8758</v>
      </c>
      <c r="Q14" s="980" t="s">
        <v>8759</v>
      </c>
      <c r="R14" s="980" t="s">
        <v>8760</v>
      </c>
      <c r="S14" s="983" t="s">
        <v>8761</v>
      </c>
      <c r="T14" s="980" t="s">
        <v>8762</v>
      </c>
      <c r="U14" s="980" t="s">
        <v>8763</v>
      </c>
      <c r="V14" s="983" t="s">
        <v>8764</v>
      </c>
      <c r="W14" s="980" t="s">
        <v>2760</v>
      </c>
      <c r="X14" s="980" t="s">
        <v>8765</v>
      </c>
      <c r="Y14" s="1346" t="s">
        <v>2060</v>
      </c>
      <c r="Z14" s="981"/>
      <c r="AA14" s="981"/>
      <c r="AB14" s="981"/>
      <c r="AC14" s="1346" t="s">
        <v>8766</v>
      </c>
      <c r="AD14" s="1346" t="s">
        <v>5251</v>
      </c>
      <c r="AE14" s="983" t="s">
        <v>2531</v>
      </c>
      <c r="AF14" s="1346" t="s">
        <v>8767</v>
      </c>
      <c r="AG14" s="980" t="s">
        <v>8768</v>
      </c>
      <c r="AH14" s="981"/>
      <c r="AI14" s="981"/>
      <c r="AJ14" s="981"/>
      <c r="AK14" s="980" t="s">
        <v>8769</v>
      </c>
      <c r="AL14" s="980" t="s">
        <v>2927</v>
      </c>
      <c r="AM14" s="981"/>
      <c r="AN14" s="981"/>
      <c r="AO14" s="981"/>
      <c r="AP14" s="981"/>
      <c r="AQ14" s="981"/>
      <c r="AR14" s="981"/>
      <c r="AS14" s="981"/>
      <c r="AT14" s="980" t="s">
        <v>8770</v>
      </c>
      <c r="AU14" s="980" t="s">
        <v>8419</v>
      </c>
      <c r="AV14" s="981"/>
      <c r="AW14" s="980" t="s">
        <v>8771</v>
      </c>
      <c r="AX14" s="980" t="s">
        <v>8772</v>
      </c>
      <c r="AY14" s="981"/>
      <c r="AZ14" s="980"/>
      <c r="BA14" s="980"/>
      <c r="BB14" s="1333"/>
      <c r="BC14" s="980" t="s">
        <v>8685</v>
      </c>
      <c r="BD14" s="980" t="s">
        <v>8660</v>
      </c>
      <c r="BE14" s="980"/>
      <c r="BF14" s="980" t="s">
        <v>8773</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6103</v>
      </c>
      <c r="BZ14" s="980"/>
      <c r="CA14" s="1346" t="s">
        <v>3490</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8774</v>
      </c>
      <c r="CU14" s="980"/>
    </row>
    <row r="15">
      <c r="A15" s="1401" t="s">
        <v>1810</v>
      </c>
      <c r="B15" s="787" t="s">
        <v>8775</v>
      </c>
      <c r="C15" s="783" t="s">
        <v>649</v>
      </c>
      <c r="D15" s="784" t="s">
        <v>437</v>
      </c>
      <c r="E15" s="785" t="s">
        <v>546</v>
      </c>
      <c r="F15" s="786" t="s">
        <v>648</v>
      </c>
      <c r="G15" s="787" t="s">
        <v>2683</v>
      </c>
      <c r="H15" s="1403"/>
      <c r="I15" s="1417" t="s">
        <v>8776</v>
      </c>
      <c r="J15" s="981"/>
      <c r="K15" s="980" t="s">
        <v>8777</v>
      </c>
      <c r="L15" s="981"/>
      <c r="M15" s="1338" t="s">
        <v>8778</v>
      </c>
      <c r="N15" s="981"/>
      <c r="O15" s="981"/>
      <c r="P15" s="981"/>
      <c r="Q15" s="1338" t="s">
        <v>8779</v>
      </c>
      <c r="R15" s="981"/>
      <c r="S15" s="981"/>
      <c r="T15" s="981"/>
      <c r="U15" s="981"/>
      <c r="V15" s="981"/>
      <c r="W15" s="1346" t="s">
        <v>1645</v>
      </c>
      <c r="X15" s="980"/>
      <c r="Y15" s="983" t="s">
        <v>1152</v>
      </c>
      <c r="Z15" s="981"/>
      <c r="AA15" s="981"/>
      <c r="AB15" s="981"/>
      <c r="AC15" s="1346" t="s">
        <v>5322</v>
      </c>
      <c r="AD15" s="1344" t="s">
        <v>611</v>
      </c>
      <c r="AE15" s="981"/>
      <c r="AF15" s="981"/>
      <c r="AG15" s="981"/>
      <c r="AH15" s="981"/>
      <c r="AI15" s="981"/>
      <c r="AJ15" s="981"/>
      <c r="AK15" s="981"/>
      <c r="AL15" s="981"/>
      <c r="AM15" s="981"/>
      <c r="AN15" s="981"/>
      <c r="AO15" s="981"/>
      <c r="AP15" s="1346" t="s">
        <v>8638</v>
      </c>
      <c r="AQ15" s="980"/>
      <c r="AR15" s="1346" t="s">
        <v>8780</v>
      </c>
      <c r="AS15" s="980"/>
      <c r="AT15" s="981"/>
      <c r="AU15" s="1346" t="s">
        <v>8662</v>
      </c>
      <c r="AV15" s="980"/>
      <c r="AW15" s="1346" t="s">
        <v>8781</v>
      </c>
      <c r="AX15" s="981"/>
      <c r="AY15" s="981"/>
      <c r="AZ15" s="981"/>
      <c r="BA15" s="981"/>
      <c r="BB15" s="1344" t="s">
        <v>8782</v>
      </c>
      <c r="BC15" s="983" t="s">
        <v>8545</v>
      </c>
      <c r="BD15" s="981"/>
      <c r="BE15" s="981"/>
      <c r="BF15" s="981"/>
      <c r="BG15" s="981"/>
      <c r="BH15" s="981"/>
      <c r="BI15" s="981"/>
      <c r="BJ15" s="981"/>
      <c r="BK15" s="981"/>
      <c r="BL15" s="981"/>
      <c r="BM15" s="1338" t="s">
        <v>8783</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7459</v>
      </c>
      <c r="B16" s="787" t="s">
        <v>8784</v>
      </c>
      <c r="C16" s="783" t="s">
        <v>1258</v>
      </c>
      <c r="D16" s="784" t="s">
        <v>334</v>
      </c>
      <c r="E16" s="785" t="s">
        <v>546</v>
      </c>
      <c r="F16" s="786" t="s">
        <v>222</v>
      </c>
      <c r="G16" s="787" t="s">
        <v>1060</v>
      </c>
      <c r="H16" s="1419" t="str">
        <f>HYPERLINK("https://www.twitch.tv/videos/990301696","3:46.19")</f>
        <v>3:46.19</v>
      </c>
      <c r="I16" s="1403" t="s">
        <v>8785</v>
      </c>
      <c r="J16" s="980"/>
      <c r="K16" s="980" t="s">
        <v>8786</v>
      </c>
      <c r="L16" s="981"/>
      <c r="M16" s="1420" t="str">
        <f>HYPERLINK("https://youtu.be/muKa7MrNAp8","2:59.41")</f>
        <v>2:59.41</v>
      </c>
      <c r="N16" s="1407"/>
      <c r="O16" s="113" t="s">
        <v>8787</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8788</v>
      </c>
      <c r="X16" s="980"/>
      <c r="Y16" s="980" t="s">
        <v>8789</v>
      </c>
      <c r="Z16" s="981"/>
      <c r="AA16" s="981"/>
      <c r="AB16" s="981"/>
      <c r="AC16" s="981"/>
      <c r="AD16" s="980" t="s">
        <v>4281</v>
      </c>
      <c r="AE16" s="981"/>
      <c r="AF16" s="981"/>
      <c r="AG16" s="981"/>
      <c r="AH16" s="980" t="s">
        <v>5311</v>
      </c>
      <c r="AI16" s="980"/>
      <c r="AJ16" s="980"/>
      <c r="AK16" s="1343" t="s">
        <v>8790</v>
      </c>
      <c r="AL16" s="1333"/>
      <c r="AM16" s="1346" t="s">
        <v>8664</v>
      </c>
      <c r="AN16" s="981"/>
      <c r="AO16" s="981"/>
      <c r="AP16" s="981"/>
      <c r="AQ16" s="981"/>
      <c r="AR16" s="981"/>
      <c r="AS16" s="981"/>
      <c r="AT16" s="980" t="s">
        <v>8743</v>
      </c>
      <c r="AU16" s="980" t="s">
        <v>8791</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6475</v>
      </c>
      <c r="C17" s="783" t="s">
        <v>1258</v>
      </c>
      <c r="D17" s="784" t="s">
        <v>437</v>
      </c>
      <c r="E17" s="785" t="s">
        <v>437</v>
      </c>
      <c r="F17" s="786" t="s">
        <v>3872</v>
      </c>
      <c r="G17" s="787" t="s">
        <v>2939</v>
      </c>
      <c r="H17" s="1430" t="s">
        <v>8792</v>
      </c>
      <c r="I17" s="1403" t="s">
        <v>8793</v>
      </c>
      <c r="J17" s="980" t="s">
        <v>8794</v>
      </c>
      <c r="K17" s="1403" t="s">
        <v>8795</v>
      </c>
      <c r="L17" s="980" t="s">
        <v>4566</v>
      </c>
      <c r="M17" s="980" t="s">
        <v>8377</v>
      </c>
      <c r="N17" s="980" t="s">
        <v>8796</v>
      </c>
      <c r="O17" s="980" t="s">
        <v>8797</v>
      </c>
      <c r="P17" s="980" t="s">
        <v>8798</v>
      </c>
      <c r="Q17" s="980" t="s">
        <v>7145</v>
      </c>
      <c r="R17" s="980" t="s">
        <v>8799</v>
      </c>
      <c r="S17" s="1340" t="s">
        <v>8800</v>
      </c>
      <c r="T17" s="1343" t="s">
        <v>8801</v>
      </c>
      <c r="U17" s="1431" t="s">
        <v>8802</v>
      </c>
      <c r="V17" s="980" t="s">
        <v>8803</v>
      </c>
      <c r="W17" s="1346" t="s">
        <v>8804</v>
      </c>
      <c r="X17" s="980" t="s">
        <v>8805</v>
      </c>
      <c r="Y17" s="980" t="s">
        <v>248</v>
      </c>
      <c r="Z17" s="981"/>
      <c r="AA17" s="1343" t="s">
        <v>8806</v>
      </c>
      <c r="AB17" s="981"/>
      <c r="AC17" s="1346" t="s">
        <v>8807</v>
      </c>
      <c r="AD17" s="980" t="s">
        <v>6179</v>
      </c>
      <c r="AE17" s="983" t="s">
        <v>893</v>
      </c>
      <c r="AF17" s="981"/>
      <c r="AG17" s="981"/>
      <c r="AH17" s="981"/>
      <c r="AI17" s="981"/>
      <c r="AJ17" s="981"/>
      <c r="AK17" s="981"/>
      <c r="AL17" s="981"/>
      <c r="AM17" s="980"/>
      <c r="AN17" s="981"/>
      <c r="AO17" s="981"/>
      <c r="AP17" s="980" t="s">
        <v>8808</v>
      </c>
      <c r="AQ17" s="980" t="s">
        <v>8658</v>
      </c>
      <c r="AR17" s="981"/>
      <c r="AS17" s="983" t="s">
        <v>8809</v>
      </c>
      <c r="AT17" s="983" t="s">
        <v>8810</v>
      </c>
      <c r="AU17" s="981"/>
      <c r="AV17" s="981"/>
      <c r="AW17" s="981"/>
      <c r="AX17" s="981"/>
      <c r="AY17" s="980" t="s">
        <v>8745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8811</v>
      </c>
      <c r="C18" s="783" t="s">
        <v>649</v>
      </c>
      <c r="D18" s="784" t="s">
        <v>334</v>
      </c>
      <c r="E18" s="785" t="s">
        <v>1258</v>
      </c>
      <c r="F18" s="786" t="s">
        <v>648</v>
      </c>
      <c r="G18" s="787" t="s">
        <v>221</v>
      </c>
      <c r="H18" s="1433" t="s">
        <v>8812</v>
      </c>
      <c r="I18" s="1430" t="s">
        <v>8813</v>
      </c>
      <c r="J18" s="1344" t="s">
        <v>8814</v>
      </c>
      <c r="K18" s="1344" t="s">
        <v>8815</v>
      </c>
      <c r="L18" s="980" t="s">
        <v>8816</v>
      </c>
      <c r="M18" s="981"/>
      <c r="N18" s="1338" t="s">
        <v>3702</v>
      </c>
      <c r="O18" s="1344" t="s">
        <v>8817</v>
      </c>
      <c r="P18" s="981"/>
      <c r="Q18" s="980" t="s">
        <v>8818</v>
      </c>
      <c r="R18" s="980" t="s">
        <v>8819</v>
      </c>
      <c r="S18" s="1338" t="s">
        <v>8820</v>
      </c>
      <c r="T18" s="1344" t="s">
        <v>8821</v>
      </c>
      <c r="U18" s="980" t="s">
        <v>8822</v>
      </c>
      <c r="V18" s="980" t="s">
        <v>8823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8268</v>
      </c>
      <c r="B19" s="787" t="s">
        <v>8824</v>
      </c>
      <c r="C19" s="783" t="s">
        <v>332</v>
      </c>
      <c r="D19" s="784" t="s">
        <v>649</v>
      </c>
      <c r="E19" s="785" t="s">
        <v>546</v>
      </c>
      <c r="F19" s="786" t="s">
        <v>1198</v>
      </c>
      <c r="G19" s="787" t="s">
        <v>3063</v>
      </c>
      <c r="H19" s="1403"/>
      <c r="I19" s="1403"/>
      <c r="J19" s="981"/>
      <c r="K19" s="981"/>
      <c r="L19" s="981"/>
      <c r="M19" s="981"/>
      <c r="N19" s="981"/>
      <c r="O19" s="981"/>
      <c r="P19" s="981"/>
      <c r="Q19" s="981"/>
      <c r="R19" s="981"/>
      <c r="S19" s="981"/>
      <c r="T19" s="981"/>
      <c r="U19" s="981"/>
      <c r="V19" s="981"/>
      <c r="W19" s="1338" t="s">
        <v>8825</v>
      </c>
      <c r="X19" s="1344" t="s">
        <v>1654</v>
      </c>
      <c r="Y19" s="981"/>
      <c r="Z19" s="981"/>
      <c r="AA19" s="981"/>
      <c r="AB19" s="1344" t="s">
        <v>8826</v>
      </c>
      <c r="AC19" s="1344" t="s">
        <v>2463</v>
      </c>
      <c r="AD19" s="983" t="s">
        <v>2722</v>
      </c>
      <c r="AE19" s="1333"/>
      <c r="AF19" s="1338" t="s">
        <v>8827</v>
      </c>
      <c r="AG19" s="981"/>
      <c r="AH19" s="1343" t="s">
        <v>1788</v>
      </c>
      <c r="AI19" s="1338" t="s">
        <v>3152</v>
      </c>
      <c r="AJ19" s="981"/>
      <c r="AK19" s="980" t="s">
        <v>4283</v>
      </c>
      <c r="AL19" s="981"/>
      <c r="AM19" s="981"/>
      <c r="AN19" s="981"/>
      <c r="AO19" s="981"/>
      <c r="AP19" s="983" t="s">
        <v>8828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8829</v>
      </c>
      <c r="C20" s="783" t="s">
        <v>1258</v>
      </c>
      <c r="D20" s="784" t="s">
        <v>546</v>
      </c>
      <c r="E20" s="785" t="s">
        <v>1258</v>
      </c>
      <c r="F20" s="786" t="s">
        <v>437</v>
      </c>
      <c r="G20" s="787" t="s">
        <v>3101</v>
      </c>
      <c r="H20" s="1403"/>
      <c r="I20" s="1403" t="s">
        <v>8830</v>
      </c>
      <c r="J20" s="980"/>
      <c r="K20" s="1346" t="s">
        <v>8831</v>
      </c>
      <c r="L20" s="980"/>
      <c r="M20" s="1346" t="s">
        <v>8832</v>
      </c>
      <c r="N20" s="981"/>
      <c r="O20" s="1346" t="s">
        <v>8833</v>
      </c>
      <c r="P20" s="981"/>
      <c r="Q20" s="981"/>
      <c r="R20" s="980" t="s">
        <v>8834</v>
      </c>
      <c r="S20" s="1407" t="s">
        <v>8835</v>
      </c>
      <c r="T20" s="1346" t="s">
        <v>8836</v>
      </c>
      <c r="U20" s="980" t="s">
        <v>3788</v>
      </c>
      <c r="V20" s="980"/>
      <c r="W20" s="1346" t="s">
        <v>4448</v>
      </c>
      <c r="X20" s="980" t="s">
        <v>3821</v>
      </c>
      <c r="Y20" s="1346" t="s">
        <v>2834</v>
      </c>
      <c r="Z20" s="981"/>
      <c r="AA20" s="981"/>
      <c r="AB20" s="981"/>
      <c r="AC20" s="1346" t="s">
        <v>8837</v>
      </c>
      <c r="AD20" s="980" t="s">
        <v>5490</v>
      </c>
      <c r="AE20" s="980"/>
      <c r="AF20" s="1346" t="s">
        <v>8838</v>
      </c>
      <c r="AG20" s="1344" t="s">
        <v>8839</v>
      </c>
      <c r="AH20" s="983" t="s">
        <v>1267</v>
      </c>
      <c r="AI20" s="981"/>
      <c r="AJ20" s="981"/>
      <c r="AK20" s="1346" t="s">
        <v>709</v>
      </c>
      <c r="AL20" s="981"/>
      <c r="AM20" s="1346" t="s">
        <v>8666</v>
      </c>
      <c r="AN20" s="981"/>
      <c r="AO20" s="981"/>
      <c r="AP20" s="980" t="s">
        <v>8566</v>
      </c>
      <c r="AQ20" s="980"/>
      <c r="AR20" s="980" t="s">
        <v>8593</v>
      </c>
      <c r="AS20" s="980" t="s">
        <v>8840</v>
      </c>
      <c r="AT20" s="980" t="s">
        <v>8841</v>
      </c>
      <c r="AU20" s="980" t="s">
        <v>8842</v>
      </c>
      <c r="AV20" s="980"/>
      <c r="AW20" s="981"/>
      <c r="AX20" s="981"/>
      <c r="AY20" s="981"/>
      <c r="AZ20" s="1346" t="s">
        <v>1634</v>
      </c>
      <c r="BA20" s="980"/>
      <c r="BB20" s="1346" t="s">
        <v>8662</v>
      </c>
      <c r="BC20" s="1346" t="s">
        <v>8843</v>
      </c>
      <c r="BD20" s="1346" t="s">
        <v>8489</v>
      </c>
      <c r="BE20" s="980"/>
      <c r="BF20" s="980"/>
      <c r="BG20" s="981"/>
      <c r="BH20" s="981"/>
      <c r="BI20" s="981"/>
      <c r="BJ20" s="981"/>
      <c r="BK20" s="981"/>
      <c r="BL20" s="981"/>
      <c r="BM20" s="981"/>
      <c r="BN20" s="1346" t="s">
        <v>8844</v>
      </c>
      <c r="BO20" s="1346" t="s">
        <v>8845</v>
      </c>
      <c r="BP20" s="980"/>
      <c r="BQ20" s="981"/>
      <c r="BR20" s="981"/>
      <c r="BS20" s="981"/>
      <c r="BT20" s="981"/>
      <c r="BU20" s="981"/>
      <c r="BV20" s="1414" t="s">
        <v>4701</v>
      </c>
      <c r="BW20" s="1337"/>
      <c r="BX20" s="981"/>
      <c r="BY20" s="980" t="s">
        <v>2230</v>
      </c>
      <c r="BZ20" s="981"/>
      <c r="CA20" s="1337"/>
      <c r="CB20" s="980" t="s">
        <v>4543</v>
      </c>
      <c r="CC20" s="1346" t="s">
        <v>8846</v>
      </c>
      <c r="CD20" s="1346"/>
      <c r="CE20" s="981"/>
      <c r="CF20" s="981"/>
      <c r="CG20" s="981"/>
      <c r="CH20" s="981"/>
      <c r="CI20" s="981"/>
      <c r="CJ20" s="981"/>
      <c r="CK20" s="981"/>
      <c r="CL20" s="981"/>
      <c r="CM20" s="1346" t="s">
        <v>8847</v>
      </c>
      <c r="CN20" s="1346" t="s">
        <v>1950</v>
      </c>
      <c r="CO20" s="1346" t="s">
        <v>1812</v>
      </c>
      <c r="CP20" s="1346" t="s">
        <v>8848</v>
      </c>
      <c r="CQ20" s="980" t="s">
        <v>8849</v>
      </c>
      <c r="CR20" s="1346" t="s">
        <v>3348</v>
      </c>
      <c r="CS20" s="980" t="s">
        <v>8850</v>
      </c>
      <c r="CT20" s="981"/>
      <c r="CU20" s="981"/>
    </row>
    <row r="21">
      <c r="A21" s="1436" t="s">
        <v>4801</v>
      </c>
      <c r="B21" s="787" t="s">
        <v>8851</v>
      </c>
      <c r="C21" s="783" t="s">
        <v>1258</v>
      </c>
      <c r="D21" s="784" t="s">
        <v>1258</v>
      </c>
      <c r="E21" s="785" t="s">
        <v>1258</v>
      </c>
      <c r="F21" s="786" t="s">
        <v>546</v>
      </c>
      <c r="G21" s="787" t="s">
        <v>3384</v>
      </c>
      <c r="H21" s="1403"/>
      <c r="I21" s="1403" t="s">
        <v>8852</v>
      </c>
      <c r="J21" s="980"/>
      <c r="K21" s="980" t="s">
        <v>6814</v>
      </c>
      <c r="L21" s="980"/>
      <c r="M21" s="981"/>
      <c r="N21" s="981"/>
      <c r="O21" s="981"/>
      <c r="P21" s="981"/>
      <c r="Q21" s="981"/>
      <c r="R21" s="1346" t="s">
        <v>8853</v>
      </c>
      <c r="S21" s="981"/>
      <c r="T21" s="1346" t="s">
        <v>8854</v>
      </c>
      <c r="U21" s="1346" t="s">
        <v>8855</v>
      </c>
      <c r="V21" s="1346" t="s">
        <v>8856</v>
      </c>
      <c r="W21" s="1346" t="s">
        <v>3547</v>
      </c>
      <c r="X21" s="980" t="s">
        <v>2625</v>
      </c>
      <c r="Y21" s="1346" t="s">
        <v>8857</v>
      </c>
      <c r="Z21" s="981"/>
      <c r="AA21" s="981"/>
      <c r="AB21" s="981"/>
      <c r="AC21" s="983" t="s">
        <v>344</v>
      </c>
      <c r="AD21" s="1346" t="s">
        <v>3882</v>
      </c>
      <c r="AE21" s="980"/>
      <c r="AF21" s="1346" t="s">
        <v>8858</v>
      </c>
      <c r="AG21" s="980"/>
      <c r="AH21" s="1346" t="s">
        <v>8859</v>
      </c>
      <c r="AI21" s="981"/>
      <c r="AJ21" s="981"/>
      <c r="AK21" s="981"/>
      <c r="AL21" s="981"/>
      <c r="AM21" s="981"/>
      <c r="AN21" s="981"/>
      <c r="AO21" s="981"/>
      <c r="AP21" s="980" t="s">
        <v>8566</v>
      </c>
      <c r="AQ21" s="981"/>
      <c r="AR21" s="980" t="s">
        <v>8860</v>
      </c>
      <c r="AS21" s="981"/>
      <c r="AT21" s="981"/>
      <c r="AU21" s="980" t="s">
        <v>8861</v>
      </c>
      <c r="AV21" s="980"/>
      <c r="AW21" s="980" t="s">
        <v>8598</v>
      </c>
      <c r="AX21" s="981"/>
      <c r="AY21" s="981"/>
      <c r="AZ21" s="1346" t="s">
        <v>2156</v>
      </c>
      <c r="BA21" s="980"/>
      <c r="BB21" s="981"/>
      <c r="BC21" s="1346" t="s">
        <v>8862</v>
      </c>
      <c r="BD21" s="980" t="s">
        <v>8422</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6637</v>
      </c>
      <c r="B22" s="787" t="s">
        <v>8863</v>
      </c>
      <c r="C22" s="783" t="s">
        <v>1258</v>
      </c>
      <c r="D22" s="784" t="s">
        <v>1258</v>
      </c>
      <c r="E22" s="785" t="s">
        <v>1258</v>
      </c>
      <c r="F22" s="786" t="s">
        <v>1258</v>
      </c>
      <c r="G22" s="787" t="s">
        <v>222</v>
      </c>
      <c r="H22" s="1403"/>
      <c r="I22" s="1403" t="s">
        <v>8864</v>
      </c>
      <c r="J22" s="980"/>
      <c r="K22" s="1346" t="s">
        <v>8865</v>
      </c>
      <c r="L22" s="980"/>
      <c r="M22" s="980"/>
      <c r="N22" s="980"/>
      <c r="O22" s="1346" t="s">
        <v>8866</v>
      </c>
      <c r="P22" s="980"/>
      <c r="Q22" s="981"/>
      <c r="R22" s="981"/>
      <c r="S22" s="981"/>
      <c r="T22" s="980"/>
      <c r="U22" s="1346" t="s">
        <v>8867</v>
      </c>
      <c r="V22" s="980"/>
      <c r="W22" s="1346" t="s">
        <v>2307</v>
      </c>
      <c r="X22" s="980"/>
      <c r="Y22" s="1346" t="s">
        <v>3243</v>
      </c>
      <c r="Z22" s="980"/>
      <c r="AA22" s="980"/>
      <c r="AB22" s="980"/>
      <c r="AC22" s="1346" t="s">
        <v>8868</v>
      </c>
      <c r="AD22" s="1346" t="s">
        <v>4926</v>
      </c>
      <c r="AE22" s="980"/>
      <c r="AF22" s="980"/>
      <c r="AG22" s="980"/>
      <c r="AH22" s="981"/>
      <c r="AI22" s="981"/>
      <c r="AJ22" s="981"/>
      <c r="AK22" s="981"/>
      <c r="AL22" s="981"/>
      <c r="AM22" s="1346" t="s">
        <v>8869</v>
      </c>
      <c r="AN22" s="981"/>
      <c r="AO22" s="981"/>
      <c r="AP22" s="1346" t="s">
        <v>8870</v>
      </c>
      <c r="AQ22" s="980"/>
      <c r="AR22" s="1346" t="s">
        <v>8871</v>
      </c>
      <c r="AS22" s="980"/>
      <c r="AT22" s="1346" t="s">
        <v>8872</v>
      </c>
      <c r="AU22" s="1346" t="s">
        <v>8873</v>
      </c>
      <c r="AV22" s="980"/>
      <c r="AW22" s="980"/>
      <c r="AX22" s="981"/>
      <c r="AY22" s="981"/>
      <c r="AZ22" s="1346" t="s">
        <v>5168</v>
      </c>
      <c r="BA22" s="980"/>
      <c r="BB22" s="1346" t="s">
        <v>8599</v>
      </c>
      <c r="BC22" s="1346" t="s">
        <v>8659</v>
      </c>
      <c r="BD22" s="1346" t="s">
        <v>8746</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7489</v>
      </c>
      <c r="B23" s="787" t="s">
        <v>8874</v>
      </c>
      <c r="C23" s="783" t="s">
        <v>1258</v>
      </c>
      <c r="D23" s="784" t="s">
        <v>1258</v>
      </c>
      <c r="E23" s="785" t="s">
        <v>1258</v>
      </c>
      <c r="F23" s="786" t="s">
        <v>437</v>
      </c>
      <c r="G23" s="787" t="s">
        <v>222</v>
      </c>
      <c r="H23" s="1403" t="s">
        <v>8875</v>
      </c>
      <c r="I23" s="1403"/>
      <c r="J23" s="981"/>
      <c r="K23" s="1346" t="s">
        <v>8876</v>
      </c>
      <c r="L23" s="980"/>
      <c r="M23" s="981"/>
      <c r="N23" s="981"/>
      <c r="O23" s="981"/>
      <c r="P23" s="981"/>
      <c r="Q23" s="1346" t="s">
        <v>8877</v>
      </c>
      <c r="R23" s="1346" t="s">
        <v>8878</v>
      </c>
      <c r="S23" s="981"/>
      <c r="T23" s="1346" t="s">
        <v>8879</v>
      </c>
      <c r="U23" s="1438" t="s">
        <v>8880</v>
      </c>
      <c r="V23" s="1439"/>
      <c r="W23" s="1346" t="s">
        <v>368</v>
      </c>
      <c r="X23" s="980"/>
      <c r="Y23" s="1346" t="s">
        <v>5197</v>
      </c>
      <c r="Z23" s="981"/>
      <c r="AA23" s="981"/>
      <c r="AB23" s="981"/>
      <c r="AC23" s="1346" t="s">
        <v>8881</v>
      </c>
      <c r="AD23" s="1346" t="s">
        <v>4118</v>
      </c>
      <c r="AE23" s="1333"/>
      <c r="AF23" s="983" t="s">
        <v>724</v>
      </c>
      <c r="AG23" s="1333"/>
      <c r="AH23" s="1346" t="s">
        <v>7650</v>
      </c>
      <c r="AI23" s="1346" t="s">
        <v>5633</v>
      </c>
      <c r="AJ23" s="981"/>
      <c r="AK23" s="981"/>
      <c r="AL23" s="981"/>
      <c r="AM23" s="981"/>
      <c r="AN23" s="981"/>
      <c r="AO23" s="981"/>
      <c r="AP23" s="981"/>
      <c r="AQ23" s="981"/>
      <c r="AR23" s="981"/>
      <c r="AS23" s="981"/>
      <c r="AT23" s="981"/>
      <c r="AU23" s="981"/>
      <c r="AV23" s="981"/>
      <c r="AW23" s="981"/>
      <c r="AX23" s="980"/>
      <c r="AY23" s="1346" t="s">
        <v>8745</v>
      </c>
      <c r="AZ23" s="981"/>
      <c r="BA23" s="981"/>
      <c r="BB23" s="1346" t="s">
        <v>8667</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8882</v>
      </c>
      <c r="CU23" s="1333"/>
    </row>
    <row r="24">
      <c r="A24" s="1441" t="s">
        <v>5373</v>
      </c>
      <c r="B24" s="787" t="s">
        <v>8883</v>
      </c>
      <c r="C24" s="783" t="s">
        <v>1258</v>
      </c>
      <c r="D24" s="784" t="s">
        <v>1258</v>
      </c>
      <c r="E24" s="785" t="s">
        <v>546</v>
      </c>
      <c r="F24" s="786" t="s">
        <v>438</v>
      </c>
      <c r="G24" s="787" t="s">
        <v>5168</v>
      </c>
      <c r="H24" s="1419" t="s">
        <v>8884</v>
      </c>
      <c r="I24" s="1419" t="s">
        <v>5379</v>
      </c>
      <c r="J24" s="1333"/>
      <c r="K24" s="1346" t="s">
        <v>8885</v>
      </c>
      <c r="L24" s="980"/>
      <c r="M24" s="980"/>
      <c r="N24" s="1346" t="s">
        <v>8886</v>
      </c>
      <c r="O24" s="1346" t="s">
        <v>8887</v>
      </c>
      <c r="P24" s="1346" t="s">
        <v>8888</v>
      </c>
      <c r="Q24" s="1346" t="s">
        <v>8889</v>
      </c>
      <c r="R24" s="1346" t="s">
        <v>8890</v>
      </c>
      <c r="S24" s="1346" t="s">
        <v>5397</v>
      </c>
      <c r="T24" s="1346" t="s">
        <v>8891</v>
      </c>
      <c r="U24" s="1346" t="s">
        <v>8892</v>
      </c>
      <c r="V24" s="980"/>
      <c r="W24" s="1346" t="s">
        <v>6112</v>
      </c>
      <c r="X24" s="980"/>
      <c r="Y24" s="981"/>
      <c r="Z24" s="981"/>
      <c r="AA24" s="981"/>
      <c r="AB24" s="981"/>
      <c r="AC24" s="1346" t="s">
        <v>8893</v>
      </c>
      <c r="AD24" s="1346" t="s">
        <v>5919</v>
      </c>
      <c r="AE24" s="980"/>
      <c r="AF24" s="1346" t="s">
        <v>6967</v>
      </c>
      <c r="AG24" s="980"/>
      <c r="AH24" s="1346" t="s">
        <v>3334</v>
      </c>
      <c r="AI24" s="980"/>
      <c r="AJ24" s="980"/>
      <c r="AK24" s="981"/>
      <c r="AL24" s="981"/>
      <c r="AM24" s="1346" t="s">
        <v>8619</v>
      </c>
      <c r="AN24" s="1346" t="s">
        <v>8791</v>
      </c>
      <c r="AO24" s="1346" t="s">
        <v>8639</v>
      </c>
      <c r="AP24" s="1346" t="s">
        <v>8734</v>
      </c>
      <c r="AQ24" s="980"/>
      <c r="AR24" s="1346" t="s">
        <v>8840</v>
      </c>
      <c r="AS24" s="980"/>
      <c r="AT24" s="1346" t="s">
        <v>8894</v>
      </c>
      <c r="AU24" s="1346" t="s">
        <v>8895</v>
      </c>
      <c r="AV24" s="980"/>
      <c r="AW24" s="1346" t="s">
        <v>8666</v>
      </c>
      <c r="AX24" s="980"/>
      <c r="AY24" s="1346" t="s">
        <v>8828</v>
      </c>
      <c r="AZ24" s="981"/>
      <c r="BA24" s="981"/>
      <c r="BB24" s="1346" t="s">
        <v>8735</v>
      </c>
      <c r="BC24" s="980" t="s">
        <v>8828</v>
      </c>
      <c r="BD24" s="1346" t="s">
        <v>8842</v>
      </c>
      <c r="BE24" s="980"/>
      <c r="BF24" s="980"/>
      <c r="BG24" s="1442" t="s">
        <v>8896</v>
      </c>
      <c r="BH24" s="1442" t="s">
        <v>8897</v>
      </c>
      <c r="BI24" s="919"/>
      <c r="BJ24" s="919"/>
      <c r="BK24" s="919"/>
      <c r="BL24" s="920" t="s">
        <v>8898</v>
      </c>
      <c r="BM24" s="920" t="s">
        <v>8899</v>
      </c>
      <c r="BN24" s="919"/>
      <c r="BO24" s="919"/>
      <c r="BP24" s="919"/>
      <c r="BQ24" s="981"/>
      <c r="BR24" s="980" t="s">
        <v>8900</v>
      </c>
      <c r="BS24" s="981"/>
      <c r="BT24" s="981"/>
      <c r="BU24" s="981"/>
      <c r="BV24" s="1443" t="s">
        <v>162</v>
      </c>
      <c r="BW24" s="1346" t="s">
        <v>1696</v>
      </c>
      <c r="BX24" s="1346" t="s">
        <v>1629</v>
      </c>
      <c r="BY24" s="1343" t="s">
        <v>4972</v>
      </c>
      <c r="BZ24" s="1346" t="s">
        <v>2254</v>
      </c>
      <c r="CA24" s="1346" t="s">
        <v>5533</v>
      </c>
      <c r="CB24" s="1346" t="s">
        <v>2134</v>
      </c>
      <c r="CC24" s="1346" t="s">
        <v>8901</v>
      </c>
      <c r="CD24" s="1346"/>
      <c r="CE24" s="1409" t="s">
        <v>8862</v>
      </c>
      <c r="CF24" s="1409" t="s">
        <v>8902</v>
      </c>
      <c r="CG24" s="1409" t="s">
        <v>8903</v>
      </c>
      <c r="CH24" s="1396"/>
      <c r="CI24" s="1393"/>
      <c r="CJ24" s="1393"/>
      <c r="CK24" s="1393"/>
      <c r="CL24" s="1393"/>
      <c r="CM24" s="1393"/>
      <c r="CN24" s="1393"/>
      <c r="CO24" s="1393"/>
      <c r="CP24" s="1393"/>
      <c r="CQ24" s="1393"/>
      <c r="CR24" s="1393"/>
      <c r="CS24" s="1393"/>
      <c r="CT24" s="983" t="s">
        <v>4922</v>
      </c>
      <c r="CU24" s="1333"/>
    </row>
    <row r="25">
      <c r="A25" s="1444" t="s">
        <v>7474</v>
      </c>
      <c r="B25" s="787" t="s">
        <v>8904</v>
      </c>
      <c r="C25" s="783" t="s">
        <v>1258</v>
      </c>
      <c r="D25" s="784" t="s">
        <v>1258</v>
      </c>
      <c r="E25" s="785" t="s">
        <v>1258</v>
      </c>
      <c r="F25" s="786" t="s">
        <v>1258</v>
      </c>
      <c r="G25" s="787" t="s">
        <v>2874</v>
      </c>
      <c r="H25" s="1403"/>
      <c r="I25" s="1403" t="s">
        <v>8905</v>
      </c>
      <c r="J25" s="980"/>
      <c r="K25" s="980" t="s">
        <v>8906</v>
      </c>
      <c r="L25" s="980"/>
      <c r="M25" s="981"/>
      <c r="N25" s="1337" t="s">
        <v>8907</v>
      </c>
      <c r="O25" s="981"/>
      <c r="P25" s="981"/>
      <c r="Q25" s="981"/>
      <c r="R25" s="1346" t="s">
        <v>8908</v>
      </c>
      <c r="S25" s="981"/>
      <c r="T25" s="1346" t="s">
        <v>8909</v>
      </c>
      <c r="U25" s="1346" t="s">
        <v>8910</v>
      </c>
      <c r="V25" s="980"/>
      <c r="W25" s="1346" t="s">
        <v>2754</v>
      </c>
      <c r="X25" s="980"/>
      <c r="Y25" s="1346" t="s">
        <v>1013</v>
      </c>
      <c r="Z25" s="1337" t="s">
        <v>8911</v>
      </c>
      <c r="AA25" s="981"/>
      <c r="AB25" s="981"/>
      <c r="AC25" s="980"/>
      <c r="AD25" s="1346" t="s">
        <v>1980</v>
      </c>
      <c r="AE25" s="980"/>
      <c r="AF25" s="980"/>
      <c r="AG25" s="980"/>
      <c r="AH25" s="980"/>
      <c r="AI25" s="1337" t="s">
        <v>8912</v>
      </c>
      <c r="AJ25" s="981"/>
      <c r="AK25" s="981"/>
      <c r="AL25" s="981"/>
      <c r="AM25" s="1337" t="s">
        <v>8913</v>
      </c>
      <c r="AN25" s="981"/>
      <c r="AO25" s="981"/>
      <c r="AP25" s="980" t="s">
        <v>8914</v>
      </c>
      <c r="AQ25" s="981"/>
      <c r="AR25" s="1337" t="s">
        <v>8915</v>
      </c>
      <c r="AS25" s="981"/>
      <c r="AT25" s="1337" t="s">
        <v>8916</v>
      </c>
      <c r="AU25" s="980" t="s">
        <v>8917</v>
      </c>
      <c r="AV25" s="980"/>
      <c r="AW25" s="980" t="s">
        <v>8869</v>
      </c>
      <c r="AX25" s="981"/>
      <c r="AY25" s="1337" t="s">
        <v>8918</v>
      </c>
      <c r="AZ25" s="980"/>
      <c r="BA25" s="980"/>
      <c r="BB25" s="1337" t="s">
        <v>8919</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7513</v>
      </c>
      <c r="B26" s="787" t="s">
        <v>8904</v>
      </c>
      <c r="C26" s="783" t="s">
        <v>1258</v>
      </c>
      <c r="D26" s="784" t="s">
        <v>1258</v>
      </c>
      <c r="E26" s="785" t="s">
        <v>1258</v>
      </c>
      <c r="F26" s="786" t="s">
        <v>332</v>
      </c>
      <c r="G26" s="787" t="s">
        <v>3384</v>
      </c>
      <c r="H26" s="1403"/>
      <c r="I26" s="1403" t="s">
        <v>8920</v>
      </c>
      <c r="J26" s="980"/>
      <c r="K26" s="980" t="s">
        <v>8921</v>
      </c>
      <c r="L26" s="983" t="s">
        <v>3766</v>
      </c>
      <c r="M26" s="981"/>
      <c r="N26" s="981"/>
      <c r="O26" s="981"/>
      <c r="P26" s="980" t="s">
        <v>5784</v>
      </c>
      <c r="Q26" s="981"/>
      <c r="R26" s="983" t="s">
        <v>8922</v>
      </c>
      <c r="S26" s="981"/>
      <c r="T26" s="981"/>
      <c r="U26" s="980" t="s">
        <v>753</v>
      </c>
      <c r="V26" s="980"/>
      <c r="W26" s="1346" t="s">
        <v>4333</v>
      </c>
      <c r="X26" s="980" t="s">
        <v>3551</v>
      </c>
      <c r="Y26" s="983" t="s">
        <v>5821</v>
      </c>
      <c r="Z26" s="981"/>
      <c r="AA26" s="981"/>
      <c r="AB26" s="981"/>
      <c r="AC26" s="1346" t="s">
        <v>8923</v>
      </c>
      <c r="AD26" s="1346" t="s">
        <v>5746</v>
      </c>
      <c r="AE26" s="980"/>
      <c r="AF26" s="1346" t="s">
        <v>8924</v>
      </c>
      <c r="AG26" s="980"/>
      <c r="AH26" s="1346" t="s">
        <v>8925</v>
      </c>
      <c r="AI26" s="981"/>
      <c r="AJ26" s="981"/>
      <c r="AK26" s="1351" t="s">
        <v>3811</v>
      </c>
      <c r="AL26" s="1445"/>
      <c r="AM26" s="981"/>
      <c r="AN26" s="981"/>
      <c r="AO26" s="981"/>
      <c r="AP26" s="981"/>
      <c r="AQ26" s="981"/>
      <c r="AR26" s="1346" t="s">
        <v>8926</v>
      </c>
      <c r="AS26" s="980"/>
      <c r="AT26" s="981"/>
      <c r="AU26" s="981"/>
      <c r="AV26" s="981"/>
      <c r="AW26" s="1346" t="s">
        <v>8575</v>
      </c>
      <c r="AX26" s="981"/>
      <c r="AY26" s="981"/>
      <c r="AZ26" s="981"/>
      <c r="BA26" s="981"/>
      <c r="BB26" s="1346" t="s">
        <v>8419</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7492</v>
      </c>
      <c r="B27" s="787" t="s">
        <v>8927</v>
      </c>
      <c r="C27" s="783" t="s">
        <v>1258</v>
      </c>
      <c r="D27" s="784" t="s">
        <v>1258</v>
      </c>
      <c r="E27" s="785" t="s">
        <v>1258</v>
      </c>
      <c r="F27" s="786" t="s">
        <v>332</v>
      </c>
      <c r="G27" s="787" t="s">
        <v>2775</v>
      </c>
      <c r="H27" s="1403"/>
      <c r="I27" s="1403" t="s">
        <v>8928</v>
      </c>
      <c r="J27" s="981"/>
      <c r="K27" s="980" t="s">
        <v>8929</v>
      </c>
      <c r="L27" s="981"/>
      <c r="M27" s="981"/>
      <c r="N27" s="981"/>
      <c r="O27" s="981"/>
      <c r="P27" s="980" t="s">
        <v>8930</v>
      </c>
      <c r="Q27" s="981"/>
      <c r="R27" s="980" t="s">
        <v>8931</v>
      </c>
      <c r="S27" s="981"/>
      <c r="T27" s="980" t="s">
        <v>8932</v>
      </c>
      <c r="U27" s="983" t="s">
        <v>5474</v>
      </c>
      <c r="V27" s="981"/>
      <c r="W27" s="981"/>
      <c r="X27" s="980" t="s">
        <v>7719</v>
      </c>
      <c r="Y27" s="983" t="s">
        <v>7810</v>
      </c>
      <c r="Z27" s="981"/>
      <c r="AA27" s="980" t="s">
        <v>8933</v>
      </c>
      <c r="AB27" s="981"/>
      <c r="AC27" s="980" t="s">
        <v>8934</v>
      </c>
      <c r="AD27" s="983" t="s">
        <v>1501</v>
      </c>
      <c r="AE27" s="983" t="s">
        <v>5146</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1258</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8790</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1753</v>
      </c>
      <c r="BY28" s="981"/>
      <c r="BZ28" s="1338" t="s">
        <v>8935</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8936</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5362</v>
      </c>
      <c r="Z29" s="981"/>
      <c r="AA29" s="981"/>
      <c r="AB29" s="981"/>
      <c r="AC29" s="981"/>
      <c r="AD29" s="981"/>
      <c r="AE29" s="1333"/>
      <c r="AF29" s="1344" t="s">
        <v>5313</v>
      </c>
      <c r="AG29" s="981"/>
      <c r="AH29" s="981"/>
      <c r="AI29" s="981"/>
      <c r="AJ29" s="981"/>
      <c r="AK29" s="981"/>
      <c r="AL29" s="981"/>
      <c r="AM29" s="981"/>
      <c r="AN29" s="981"/>
      <c r="AO29" s="981"/>
      <c r="AP29" s="981"/>
      <c r="AQ29" s="981"/>
      <c r="AR29" s="981"/>
      <c r="AS29" s="981"/>
      <c r="AT29" s="981"/>
      <c r="AU29" s="981"/>
      <c r="AV29" s="981"/>
      <c r="AW29" s="981"/>
      <c r="AX29" s="980" t="s">
        <v>7583</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8937</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8938</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2156</v>
      </c>
      <c r="C31" s="783" t="s">
        <v>1258</v>
      </c>
      <c r="D31" s="784" t="s">
        <v>1258</v>
      </c>
      <c r="E31" s="785" t="s">
        <v>1258</v>
      </c>
      <c r="F31" s="786" t="s">
        <v>1258</v>
      </c>
      <c r="G31" s="787" t="s">
        <v>221</v>
      </c>
      <c r="H31" s="1403"/>
      <c r="I31" s="1403" t="s">
        <v>7583</v>
      </c>
      <c r="J31" s="981"/>
      <c r="K31" s="980" t="s">
        <v>8939</v>
      </c>
      <c r="L31" s="981"/>
      <c r="M31" s="981"/>
      <c r="N31" s="981"/>
      <c r="O31" s="981"/>
      <c r="P31" s="980" t="s">
        <v>8940</v>
      </c>
      <c r="Q31" s="981"/>
      <c r="R31" s="981"/>
      <c r="S31" s="981"/>
      <c r="T31" s="980" t="s">
        <v>8941</v>
      </c>
      <c r="U31" s="980" t="s">
        <v>8942</v>
      </c>
      <c r="V31" s="981"/>
      <c r="W31" s="980" t="s">
        <v>249</v>
      </c>
      <c r="X31" s="980" t="s">
        <v>8943</v>
      </c>
      <c r="Y31" s="980" t="s">
        <v>365</v>
      </c>
      <c r="Z31" s="981"/>
      <c r="AA31" s="981"/>
      <c r="AB31" s="981"/>
      <c r="AC31" s="981"/>
      <c r="AD31" s="981"/>
      <c r="AE31" s="981"/>
      <c r="AF31" s="981"/>
      <c r="AG31" s="981"/>
      <c r="AH31" s="981"/>
      <c r="AI31" s="981"/>
      <c r="AJ31" s="981"/>
      <c r="AK31" s="981"/>
      <c r="AL31" s="981"/>
      <c r="AM31" s="981"/>
      <c r="AN31" s="981"/>
      <c r="AO31" s="981"/>
      <c r="AP31" s="1019" t="s">
        <v>8683</v>
      </c>
      <c r="AQ31" s="1019"/>
      <c r="AR31" s="981"/>
      <c r="AS31" s="980" t="s">
        <v>8841</v>
      </c>
      <c r="AT31" s="981"/>
      <c r="AU31" s="980" t="s">
        <v>8926</v>
      </c>
      <c r="AV31" s="981"/>
      <c r="AW31" s="981"/>
      <c r="AX31" s="981"/>
      <c r="AY31" s="981"/>
      <c r="AZ31" s="980" t="s">
        <v>2377</v>
      </c>
      <c r="BA31" s="981"/>
      <c r="BB31" s="1019" t="s">
        <v>8944</v>
      </c>
      <c r="BC31" s="980" t="s">
        <v>8565</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6094</v>
      </c>
      <c r="Z32" s="981"/>
      <c r="AA32" s="981"/>
      <c r="AB32" s="981"/>
      <c r="AC32" s="1346" t="s">
        <v>8945</v>
      </c>
      <c r="AD32" s="980" t="s">
        <v>2128</v>
      </c>
      <c r="AE32" s="980"/>
      <c r="AF32" s="1346" t="s">
        <v>7245</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8791</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6212</v>
      </c>
      <c r="B33" s="787" t="s">
        <v>1498</v>
      </c>
      <c r="C33" s="783" t="s">
        <v>1258</v>
      </c>
      <c r="D33" s="784" t="s">
        <v>1258</v>
      </c>
      <c r="E33" s="785" t="s">
        <v>1258</v>
      </c>
      <c r="F33" s="786" t="s">
        <v>649</v>
      </c>
      <c r="G33" s="787" t="s">
        <v>333</v>
      </c>
      <c r="H33" s="1403" t="s">
        <v>8946</v>
      </c>
      <c r="I33" s="1403"/>
      <c r="J33" s="981"/>
      <c r="K33" s="981"/>
      <c r="L33" s="981"/>
      <c r="M33" s="981"/>
      <c r="N33" s="981"/>
      <c r="O33" s="981"/>
      <c r="P33" s="981"/>
      <c r="Q33" s="981"/>
      <c r="R33" s="981"/>
      <c r="S33" s="981"/>
      <c r="T33" s="983" t="s">
        <v>8947</v>
      </c>
      <c r="U33" s="980" t="s">
        <v>8948</v>
      </c>
      <c r="V33" s="980" t="s">
        <v>8949</v>
      </c>
      <c r="W33" s="981"/>
      <c r="X33" s="980" t="s">
        <v>8950</v>
      </c>
      <c r="Y33" s="980" t="s">
        <v>8951</v>
      </c>
      <c r="Z33" s="981"/>
      <c r="AA33" s="981"/>
      <c r="AB33" s="981"/>
      <c r="AC33" s="983" t="s">
        <v>1742</v>
      </c>
      <c r="AD33" s="980" t="s">
        <v>5553</v>
      </c>
      <c r="AE33" s="981"/>
      <c r="AF33" s="981"/>
      <c r="AG33" s="981"/>
      <c r="AH33" s="981"/>
      <c r="AI33" s="981"/>
      <c r="AJ33" s="981"/>
      <c r="AK33" s="981"/>
      <c r="AL33" s="981"/>
      <c r="AM33" s="980" t="s">
        <v>8952</v>
      </c>
      <c r="AN33" s="981"/>
      <c r="AO33" s="981"/>
      <c r="AP33" s="980" t="s">
        <v>8740</v>
      </c>
      <c r="AQ33" s="981"/>
      <c r="AR33" s="981"/>
      <c r="AS33" s="981"/>
      <c r="AT33" s="981"/>
      <c r="AU33" s="980" t="s">
        <v>8424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8953</v>
      </c>
      <c r="CF33" s="981"/>
      <c r="CG33" s="981"/>
      <c r="CH33" s="981"/>
      <c r="CI33" s="981"/>
      <c r="CJ33" s="981"/>
      <c r="CK33" s="981"/>
      <c r="CL33" s="981"/>
      <c r="CM33" s="981"/>
      <c r="CN33" s="981"/>
      <c r="CO33" s="981"/>
      <c r="CP33" s="981"/>
      <c r="CQ33" s="981"/>
      <c r="CR33" s="981"/>
      <c r="CS33" s="981"/>
      <c r="CT33" s="981"/>
      <c r="CU33" s="981"/>
    </row>
    <row r="34">
      <c r="A34" s="1434" t="s">
        <v>7518</v>
      </c>
      <c r="B34" s="787" t="s">
        <v>3574</v>
      </c>
      <c r="C34" s="783" t="s">
        <v>546</v>
      </c>
      <c r="D34" s="784" t="s">
        <v>546</v>
      </c>
      <c r="E34" s="785" t="s">
        <v>1258</v>
      </c>
      <c r="F34" s="786" t="s">
        <v>437</v>
      </c>
      <c r="G34" s="787" t="s">
        <v>437</v>
      </c>
      <c r="H34" s="1403"/>
      <c r="I34" s="1403"/>
      <c r="J34" s="981"/>
      <c r="K34" s="981"/>
      <c r="L34" s="981"/>
      <c r="M34" s="981"/>
      <c r="N34" s="981"/>
      <c r="O34" s="1338" t="s">
        <v>8954</v>
      </c>
      <c r="P34" s="1344" t="s">
        <v>8955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8956</v>
      </c>
      <c r="B35" s="787" t="s">
        <v>5694</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3756</v>
      </c>
      <c r="BZ35" s="1406" t="s">
        <v>8957</v>
      </c>
      <c r="CA35" s="1337"/>
      <c r="CB35" s="1406" t="s">
        <v>1076</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2996</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7002</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6542</v>
      </c>
      <c r="B38" s="787" t="s">
        <v>4055</v>
      </c>
      <c r="C38" s="783" t="s">
        <v>1258</v>
      </c>
      <c r="D38" s="784" t="s">
        <v>1258</v>
      </c>
      <c r="E38" s="785" t="s">
        <v>1258</v>
      </c>
      <c r="F38" s="786" t="s">
        <v>1258</v>
      </c>
      <c r="G38" s="787" t="s">
        <v>333</v>
      </c>
      <c r="H38" s="1403"/>
      <c r="I38" s="1403"/>
      <c r="J38" s="981"/>
      <c r="K38" s="981"/>
      <c r="L38" s="981"/>
      <c r="M38" s="981"/>
      <c r="N38" s="981"/>
      <c r="O38" s="981"/>
      <c r="P38" s="981"/>
      <c r="Q38" s="981"/>
      <c r="R38" s="981"/>
      <c r="S38" s="980" t="s">
        <v>8958</v>
      </c>
      <c r="T38" s="981"/>
      <c r="U38" s="980" t="s">
        <v>8959</v>
      </c>
      <c r="V38" s="981"/>
      <c r="W38" s="981"/>
      <c r="X38" s="980" t="s">
        <v>6438</v>
      </c>
      <c r="Y38" s="980" t="s">
        <v>2007</v>
      </c>
      <c r="Z38" s="981"/>
      <c r="AA38" s="980" t="s">
        <v>3149</v>
      </c>
      <c r="AB38" s="981"/>
      <c r="AC38" s="980" t="s">
        <v>8960</v>
      </c>
      <c r="AD38" s="980" t="s">
        <v>2127</v>
      </c>
      <c r="AE38" s="980" t="s">
        <v>6521</v>
      </c>
      <c r="AF38" s="980" t="s">
        <v>8961</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8962</v>
      </c>
      <c r="CF38" s="981"/>
      <c r="CG38" s="981"/>
      <c r="CH38" s="981"/>
      <c r="CI38" s="981"/>
      <c r="CJ38" s="980" t="s">
        <v>8963</v>
      </c>
      <c r="CK38" s="981"/>
      <c r="CL38" s="981"/>
      <c r="CM38" s="981"/>
      <c r="CN38" s="981"/>
      <c r="CO38" s="981"/>
      <c r="CP38" s="981"/>
      <c r="CQ38" s="981"/>
      <c r="CR38" s="981"/>
      <c r="CS38" s="981"/>
      <c r="CT38" s="981"/>
      <c r="CU38" s="981"/>
    </row>
    <row r="39">
      <c r="A39" s="1437" t="s">
        <v>1413</v>
      </c>
      <c r="B39" s="787" t="s">
        <v>4055</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5777</v>
      </c>
      <c r="B40" s="787" t="s">
        <v>7456</v>
      </c>
      <c r="C40" s="783" t="s">
        <v>1258</v>
      </c>
      <c r="D40" s="784" t="s">
        <v>1258</v>
      </c>
      <c r="E40" s="785" t="s">
        <v>1258</v>
      </c>
      <c r="F40" s="786" t="s">
        <v>1258</v>
      </c>
      <c r="G40" s="787" t="s">
        <v>1198</v>
      </c>
      <c r="H40" s="1403"/>
      <c r="I40" s="1403"/>
      <c r="J40" s="981"/>
      <c r="K40" s="981"/>
      <c r="L40" s="981"/>
      <c r="M40" s="981"/>
      <c r="N40" s="981"/>
      <c r="O40" s="981"/>
      <c r="P40" s="980" t="s">
        <v>8964</v>
      </c>
      <c r="Q40" s="981"/>
      <c r="R40" s="980" t="s">
        <v>8965</v>
      </c>
      <c r="S40" s="981"/>
      <c r="T40" s="981"/>
      <c r="U40" s="981"/>
      <c r="V40" s="981"/>
      <c r="W40" s="981"/>
      <c r="X40" s="980" t="s">
        <v>8838</v>
      </c>
      <c r="Y40" s="981"/>
      <c r="Z40" s="981"/>
      <c r="AA40" s="980" t="s">
        <v>8966</v>
      </c>
      <c r="AB40" s="981"/>
      <c r="AC40" s="981"/>
      <c r="AD40" s="981"/>
      <c r="AE40" s="980" t="s">
        <v>3926</v>
      </c>
      <c r="AF40" s="980" t="s">
        <v>8967</v>
      </c>
      <c r="AG40" s="980" t="s">
        <v>568</v>
      </c>
      <c r="AH40" s="1346" t="s">
        <v>8968</v>
      </c>
      <c r="AI40" s="981"/>
      <c r="AJ40" s="981"/>
      <c r="AK40" s="981"/>
      <c r="AL40" s="981"/>
      <c r="AM40" s="981"/>
      <c r="AN40" s="981"/>
      <c r="AO40" s="981"/>
      <c r="AP40" s="980" t="s">
        <v>8662</v>
      </c>
      <c r="AQ40" s="981"/>
      <c r="AR40" s="981"/>
      <c r="AS40" s="981"/>
      <c r="AT40" s="981"/>
      <c r="AU40" s="981"/>
      <c r="AV40" s="981"/>
      <c r="AW40" s="981"/>
      <c r="AX40" s="981"/>
      <c r="AY40" s="981"/>
      <c r="AZ40" s="981"/>
      <c r="BA40" s="981"/>
      <c r="BB40" s="980" t="s">
        <v>8917</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7208</v>
      </c>
      <c r="B42" s="787" t="s">
        <v>6253</v>
      </c>
      <c r="C42" s="783" t="s">
        <v>1258</v>
      </c>
      <c r="D42" s="784" t="s">
        <v>1258</v>
      </c>
      <c r="E42" s="785" t="s">
        <v>1258</v>
      </c>
      <c r="F42" s="786" t="s">
        <v>1258</v>
      </c>
      <c r="G42" s="787" t="s">
        <v>437</v>
      </c>
      <c r="H42" s="1446"/>
      <c r="I42" s="1446"/>
      <c r="J42" s="981"/>
      <c r="K42" s="981"/>
      <c r="L42" s="981"/>
      <c r="M42" s="981"/>
      <c r="N42" s="981"/>
      <c r="O42" s="981"/>
      <c r="P42" s="981"/>
      <c r="Q42" s="981"/>
      <c r="R42" s="980" t="s">
        <v>8969</v>
      </c>
      <c r="S42" s="981"/>
      <c r="T42" s="981"/>
      <c r="U42" s="980" t="s">
        <v>8970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8971</v>
      </c>
      <c r="B43" s="787" t="s">
        <v>3384</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8590</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2874</v>
      </c>
      <c r="C44" s="783" t="s">
        <v>1258</v>
      </c>
      <c r="D44" s="784" t="s">
        <v>1258</v>
      </c>
      <c r="E44" s="785" t="s">
        <v>1258</v>
      </c>
      <c r="F44" s="786" t="s">
        <v>546</v>
      </c>
      <c r="G44" s="787" t="s">
        <v>546</v>
      </c>
      <c r="H44" s="1403"/>
      <c r="I44" s="1403"/>
      <c r="J44" s="981"/>
      <c r="K44" s="981"/>
      <c r="L44" s="981"/>
      <c r="M44" s="981"/>
      <c r="N44" s="981"/>
      <c r="O44" s="981"/>
      <c r="P44" s="981"/>
      <c r="Q44" s="981"/>
      <c r="R44" s="983" t="s">
        <v>8972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6273</v>
      </c>
      <c r="B45" s="787" t="s">
        <v>222</v>
      </c>
      <c r="C45" s="783" t="s">
        <v>1258</v>
      </c>
      <c r="D45" s="784" t="s">
        <v>1258</v>
      </c>
      <c r="E45" s="785" t="s">
        <v>1258</v>
      </c>
      <c r="F45" s="786" t="s">
        <v>1258</v>
      </c>
      <c r="G45" s="787" t="s">
        <v>334</v>
      </c>
      <c r="H45" s="1403"/>
      <c r="I45" s="1403"/>
      <c r="J45" s="981"/>
      <c r="K45" s="980" t="s">
        <v>8973</v>
      </c>
      <c r="L45" s="981"/>
      <c r="M45" s="981"/>
      <c r="N45" s="981"/>
      <c r="O45" s="981"/>
      <c r="P45" s="981"/>
      <c r="Q45" s="981"/>
      <c r="R45" s="981"/>
      <c r="S45" s="981"/>
      <c r="T45" s="981"/>
      <c r="U45" s="981"/>
      <c r="V45" s="981"/>
      <c r="W45" s="1346" t="s">
        <v>6527</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8593</v>
      </c>
      <c r="AV45" s="980"/>
      <c r="AW45" s="981"/>
      <c r="AX45" s="981"/>
      <c r="AY45" s="981"/>
      <c r="AZ45" s="981"/>
      <c r="BA45" s="981"/>
      <c r="BB45" s="981"/>
      <c r="BC45" s="980" t="s">
        <v>8664</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6656</v>
      </c>
      <c r="B46" s="787" t="s">
        <v>222</v>
      </c>
      <c r="C46" s="783" t="s">
        <v>1258</v>
      </c>
      <c r="D46" s="784" t="s">
        <v>1258</v>
      </c>
      <c r="E46" s="785" t="s">
        <v>1258</v>
      </c>
      <c r="F46" s="786" t="s">
        <v>1258</v>
      </c>
      <c r="G46" s="787" t="s">
        <v>983</v>
      </c>
      <c r="H46" s="1403"/>
      <c r="I46" s="1403" t="s">
        <v>8974</v>
      </c>
      <c r="J46" s="981"/>
      <c r="K46" s="981"/>
      <c r="L46" s="981"/>
      <c r="M46" s="981"/>
      <c r="N46" s="981"/>
      <c r="O46" s="981"/>
      <c r="P46" s="981"/>
      <c r="Q46" s="981"/>
      <c r="R46" s="981"/>
      <c r="S46" s="981"/>
      <c r="T46" s="981"/>
      <c r="U46" s="980" t="s">
        <v>8975</v>
      </c>
      <c r="V46" s="981"/>
      <c r="W46" s="981"/>
      <c r="X46" s="981"/>
      <c r="Y46" s="981"/>
      <c r="Z46" s="981"/>
      <c r="AA46" s="981"/>
      <c r="AB46" s="981"/>
      <c r="AC46" s="980" t="s">
        <v>8976</v>
      </c>
      <c r="AD46" s="981"/>
      <c r="AE46" s="981"/>
      <c r="AF46" s="981"/>
      <c r="AG46" s="981"/>
      <c r="AH46" s="981"/>
      <c r="AI46" s="981"/>
      <c r="AJ46" s="981"/>
      <c r="AK46" s="981"/>
      <c r="AL46" s="981"/>
      <c r="AM46" s="981"/>
      <c r="AN46" s="981"/>
      <c r="AO46" s="981"/>
      <c r="AP46" s="980" t="s">
        <v>8977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8978</v>
      </c>
      <c r="CF46" s="981"/>
      <c r="CG46" s="981"/>
      <c r="CH46" s="981"/>
      <c r="CI46" s="981"/>
      <c r="CJ46" s="1458" t="s">
        <v>8979</v>
      </c>
      <c r="CK46" s="981"/>
      <c r="CL46" s="1346" t="s">
        <v>5137</v>
      </c>
      <c r="CM46" s="980" t="s">
        <v>8869</v>
      </c>
      <c r="CN46" s="980" t="s">
        <v>4116</v>
      </c>
      <c r="CO46" s="981"/>
      <c r="CP46" s="981"/>
      <c r="CQ46" s="981"/>
      <c r="CR46" s="981"/>
      <c r="CS46" s="981"/>
      <c r="CT46" s="981"/>
      <c r="CU46" s="981"/>
    </row>
    <row r="47">
      <c r="A47" s="1436" t="s">
        <v>3625</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6474</v>
      </c>
      <c r="B48" s="787" t="s">
        <v>2775</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8980</v>
      </c>
      <c r="V48" s="981"/>
      <c r="W48" s="981"/>
      <c r="X48" s="980" t="s">
        <v>3310</v>
      </c>
      <c r="Y48" s="981"/>
      <c r="Z48" s="981"/>
      <c r="AA48" s="981"/>
      <c r="AB48" s="981"/>
      <c r="AC48" s="981"/>
      <c r="AD48" s="980" t="s">
        <v>8107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2775</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7510</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8981</v>
      </c>
      <c r="S51" s="981"/>
      <c r="T51" s="981"/>
      <c r="U51" s="981"/>
      <c r="V51" s="981"/>
      <c r="W51" s="980" t="s">
        <v>8982</v>
      </c>
      <c r="X51" s="980" t="s">
        <v>8982</v>
      </c>
      <c r="Y51" s="980" t="s">
        <v>8983</v>
      </c>
      <c r="Z51" s="981"/>
      <c r="AA51" s="980" t="s">
        <v>8984</v>
      </c>
      <c r="AB51" s="981"/>
      <c r="AC51" s="980" t="s">
        <v>8122</v>
      </c>
      <c r="AD51" s="980" t="s">
        <v>8985</v>
      </c>
      <c r="AE51" s="980" t="s">
        <v>8986</v>
      </c>
      <c r="AF51" s="981"/>
      <c r="AG51" s="981"/>
      <c r="AH51" s="983" t="s">
        <v>8987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8988</v>
      </c>
      <c r="B52" s="787" t="s">
        <v>3063</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8989</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8990</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8993</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5564</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8994</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5953</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6631</v>
      </c>
      <c r="B57" s="787" t="s">
        <v>648</v>
      </c>
      <c r="C57" s="783" t="s">
        <v>1258</v>
      </c>
      <c r="D57" s="784" t="s">
        <v>1258</v>
      </c>
      <c r="E57" s="785" t="s">
        <v>1258</v>
      </c>
      <c r="F57" s="786" t="s">
        <v>332</v>
      </c>
      <c r="G57" s="787" t="s">
        <v>3872</v>
      </c>
      <c r="H57" s="1403"/>
      <c r="I57" s="1403"/>
      <c r="J57" s="981"/>
      <c r="K57" s="981"/>
      <c r="L57" s="981"/>
      <c r="M57" s="981"/>
      <c r="N57" s="981"/>
      <c r="O57" s="981"/>
      <c r="P57" s="981"/>
      <c r="Q57" s="981"/>
      <c r="R57" s="983" t="s">
        <v>8995</v>
      </c>
      <c r="S57" s="981"/>
      <c r="T57" s="981"/>
      <c r="U57" s="983" t="s">
        <v>8996</v>
      </c>
      <c r="V57" s="981"/>
      <c r="W57" s="980" t="s">
        <v>8997</v>
      </c>
      <c r="X57" s="980" t="s">
        <v>8997</v>
      </c>
      <c r="Y57" s="981"/>
      <c r="Z57" s="981"/>
      <c r="AA57" s="981"/>
      <c r="AB57" s="981"/>
      <c r="AC57" s="981"/>
      <c r="AD57" s="981"/>
      <c r="AE57" s="981"/>
      <c r="AF57" s="981"/>
      <c r="AG57" s="981"/>
      <c r="AH57" s="981"/>
      <c r="AI57" s="981"/>
      <c r="AJ57" s="981"/>
      <c r="AK57" s="981"/>
      <c r="AL57" s="981"/>
      <c r="AM57" s="981"/>
      <c r="AN57" s="981"/>
      <c r="AO57" s="981"/>
      <c r="AP57" s="980" t="s">
        <v>8998</v>
      </c>
      <c r="AQ57" s="983" t="s">
        <v>8999</v>
      </c>
      <c r="AR57" s="983" t="s">
        <v>9000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9001</v>
      </c>
      <c r="B58" s="787" t="s">
        <v>3872</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9002</v>
      </c>
      <c r="B59" s="787" t="s">
        <v>3872</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8568</v>
      </c>
      <c r="BD60" s="1346" t="s">
        <v>8926</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9003</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9004</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9005</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9006</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5991</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9007</v>
      </c>
      <c r="C1" s="1467" t="s">
        <v>9008</v>
      </c>
      <c r="D1" s="1468" t="s">
        <v>9009</v>
      </c>
      <c r="E1" s="1468" t="s">
        <v>8291</v>
      </c>
      <c r="F1" s="1468" t="s">
        <v>8292</v>
      </c>
      <c r="G1" s="1468" t="s">
        <v>9010</v>
      </c>
      <c r="H1" s="1469" t="s">
        <v>9011</v>
      </c>
      <c r="I1" s="1469" t="s">
        <v>9012</v>
      </c>
      <c r="J1" s="1470" t="s">
        <v>8303</v>
      </c>
      <c r="K1" s="1470" t="s">
        <v>9013</v>
      </c>
      <c r="L1" s="1470" t="s">
        <v>9014</v>
      </c>
      <c r="M1" s="1470" t="s">
        <v>9015</v>
      </c>
      <c r="N1" s="1470" t="s">
        <v>8366</v>
      </c>
      <c r="O1" s="1470" t="s">
        <v>9016</v>
      </c>
      <c r="P1" s="1470" t="s">
        <v>9017</v>
      </c>
      <c r="Q1" s="1471" t="s">
        <v>9018</v>
      </c>
      <c r="R1" s="1471" t="s">
        <v>8299</v>
      </c>
      <c r="S1" s="1471" t="s">
        <v>9019</v>
      </c>
      <c r="T1" s="1471" t="s">
        <v>9020</v>
      </c>
      <c r="U1" s="1471" t="s">
        <v>9021</v>
      </c>
      <c r="V1" s="1471" t="s">
        <v>9022</v>
      </c>
      <c r="W1" s="1472" t="s">
        <v>8293</v>
      </c>
      <c r="X1" s="1472" t="s">
        <v>8294</v>
      </c>
      <c r="Y1" s="1472" t="s">
        <v>9023</v>
      </c>
      <c r="Z1" s="1472" t="s">
        <v>9024</v>
      </c>
      <c r="AA1" s="1472" t="s">
        <v>8296</v>
      </c>
      <c r="AB1" s="1472" t="s">
        <v>9025</v>
      </c>
      <c r="AC1" s="1472" t="s">
        <v>9026</v>
      </c>
      <c r="AD1" s="1468" t="s">
        <v>9027</v>
      </c>
      <c r="AE1" s="1468" t="s">
        <v>9028</v>
      </c>
      <c r="AF1" s="1473" t="s">
        <v>8300</v>
      </c>
      <c r="AG1" s="1473" t="s">
        <v>9029</v>
      </c>
      <c r="AH1" s="1473" t="s">
        <v>9030</v>
      </c>
      <c r="AI1" s="1473" t="s">
        <v>8301</v>
      </c>
      <c r="AJ1" s="1473" t="s">
        <v>9031</v>
      </c>
      <c r="AK1" s="1473" t="s">
        <v>9032</v>
      </c>
      <c r="AL1" s="1473" t="s">
        <v>9033</v>
      </c>
      <c r="AM1" s="1474" t="s">
        <v>8302</v>
      </c>
      <c r="AN1" s="1474" t="s">
        <v>9034</v>
      </c>
      <c r="AO1" s="1474" t="s">
        <v>9035</v>
      </c>
      <c r="AP1" s="1474" t="s">
        <v>9036</v>
      </c>
      <c r="AQ1" s="1474" t="s">
        <v>9037</v>
      </c>
      <c r="AR1" s="1474" t="s">
        <v>9038</v>
      </c>
      <c r="AS1" s="1474" t="s">
        <v>9039</v>
      </c>
      <c r="AT1" s="1475" t="s">
        <v>9040</v>
      </c>
      <c r="AU1" s="1476" t="s">
        <v>9041</v>
      </c>
      <c r="AV1" s="1477" t="s">
        <v>9042</v>
      </c>
      <c r="AW1" s="1478" t="s">
        <v>9043</v>
      </c>
    </row>
    <row r="2" ht="15.75" customHeight="1">
      <c r="A2" s="1479" t="s">
        <v>9044</v>
      </c>
      <c r="B2" s="1480" t="s">
        <v>9045</v>
      </c>
      <c r="C2" s="1481">
        <v>0.04880543981481481</v>
      </c>
      <c r="D2" s="1482" t="s">
        <v>9046</v>
      </c>
      <c r="E2" s="1482" t="s">
        <v>9047</v>
      </c>
      <c r="F2" s="1483" t="s">
        <v>9048</v>
      </c>
      <c r="G2" s="1482" t="s">
        <v>9049</v>
      </c>
      <c r="H2" s="1484" t="s">
        <v>6325</v>
      </c>
      <c r="I2" s="1484" t="s">
        <v>9050</v>
      </c>
      <c r="J2" s="1485" t="s">
        <v>5265</v>
      </c>
      <c r="K2" s="1486" t="s">
        <v>9051</v>
      </c>
      <c r="L2" s="1486" t="s">
        <v>234</v>
      </c>
      <c r="M2" s="1486" t="s">
        <v>6299</v>
      </c>
      <c r="N2" s="1486" t="s">
        <v>4072</v>
      </c>
      <c r="O2" s="1486" t="s">
        <v>9052</v>
      </c>
      <c r="P2" s="1486" t="s">
        <v>9053</v>
      </c>
      <c r="Q2" s="1487" t="s">
        <v>4273</v>
      </c>
      <c r="R2" s="1488" t="s">
        <v>9054</v>
      </c>
      <c r="S2" s="1487" t="s">
        <v>6816</v>
      </c>
      <c r="T2" s="1488" t="s">
        <v>3277</v>
      </c>
      <c r="U2" s="1487" t="s">
        <v>6993</v>
      </c>
      <c r="V2" s="1487" t="s">
        <v>3776</v>
      </c>
      <c r="W2" s="1489" t="s">
        <v>6519</v>
      </c>
      <c r="X2" s="1490" t="s">
        <v>9055</v>
      </c>
      <c r="Y2" s="1490" t="s">
        <v>5854</v>
      </c>
      <c r="Z2" s="1491" t="s">
        <v>6853</v>
      </c>
      <c r="AA2" s="1490" t="s">
        <v>9056</v>
      </c>
      <c r="AB2" s="1490" t="s">
        <v>9057</v>
      </c>
      <c r="AC2" s="1491" t="s">
        <v>4098</v>
      </c>
      <c r="AD2" s="1492" t="s">
        <v>9058</v>
      </c>
      <c r="AE2" s="1493" t="s">
        <v>4804</v>
      </c>
      <c r="AF2" s="1494" t="s">
        <v>9059</v>
      </c>
      <c r="AG2" s="1494" t="s">
        <v>9060</v>
      </c>
      <c r="AH2" s="1494" t="s">
        <v>3852</v>
      </c>
      <c r="AI2" s="1495" t="s">
        <v>9061</v>
      </c>
      <c r="AJ2" s="1495" t="s">
        <v>9062</v>
      </c>
      <c r="AK2" s="1495" t="s">
        <v>9063</v>
      </c>
      <c r="AL2" s="1495" t="s">
        <v>5668</v>
      </c>
      <c r="AM2" s="1496" t="s">
        <v>9064</v>
      </c>
      <c r="AN2" s="1497" t="s">
        <v>9065</v>
      </c>
      <c r="AO2" s="1497" t="s">
        <v>7094</v>
      </c>
      <c r="AP2" s="1498" t="s">
        <v>9066</v>
      </c>
      <c r="AQ2" s="1496" t="s">
        <v>9067</v>
      </c>
      <c r="AR2" s="1497" t="s">
        <v>9068</v>
      </c>
      <c r="AS2" s="1496" t="s">
        <v>1332</v>
      </c>
      <c r="AT2" s="1499" t="s">
        <v>9069</v>
      </c>
      <c r="AU2" s="1500" t="s">
        <v>9070</v>
      </c>
      <c r="AV2" s="1500" t="str">
        <f t="shared" ref="AV2:AV101" si="1">TEXT(AU2-C2,"m:ss")</f>
        <v>2:24</v>
      </c>
      <c r="AW2" s="1501"/>
    </row>
    <row r="3" ht="15.75" customHeight="1">
      <c r="A3" s="1502" t="s">
        <v>9071</v>
      </c>
      <c r="B3" s="1503" t="s">
        <v>9072</v>
      </c>
      <c r="C3" s="1504">
        <v>0.04932685185185185</v>
      </c>
      <c r="D3" s="1505" t="s">
        <v>9073</v>
      </c>
      <c r="E3" s="1505" t="s">
        <v>6710</v>
      </c>
      <c r="F3" s="1505" t="s">
        <v>9074</v>
      </c>
      <c r="G3" s="1505" t="s">
        <v>9075</v>
      </c>
      <c r="H3" s="1506" t="s">
        <v>9076</v>
      </c>
      <c r="I3" s="1506" t="s">
        <v>5082</v>
      </c>
      <c r="J3" s="1507" t="s">
        <v>1351</v>
      </c>
      <c r="K3" s="1507" t="s">
        <v>9077</v>
      </c>
      <c r="L3" s="1507" t="s">
        <v>2950</v>
      </c>
      <c r="M3" s="1507" t="s">
        <v>9078</v>
      </c>
      <c r="N3" s="1507" t="s">
        <v>2502</v>
      </c>
      <c r="O3" s="1507" t="s">
        <v>9079</v>
      </c>
      <c r="P3" s="1507" t="s">
        <v>5606</v>
      </c>
      <c r="Q3" s="1508" t="s">
        <v>5814</v>
      </c>
      <c r="R3" s="1508" t="s">
        <v>9080</v>
      </c>
      <c r="S3" s="1508" t="s">
        <v>9081</v>
      </c>
      <c r="T3" s="1508" t="s">
        <v>9082</v>
      </c>
      <c r="U3" s="1509" t="s">
        <v>7355</v>
      </c>
      <c r="V3" s="1508" t="s">
        <v>9083</v>
      </c>
      <c r="W3" s="1510" t="s">
        <v>4154</v>
      </c>
      <c r="X3" s="1510" t="s">
        <v>6023</v>
      </c>
      <c r="Y3" s="1511" t="s">
        <v>9084</v>
      </c>
      <c r="Z3" s="1511" t="s">
        <v>1338</v>
      </c>
      <c r="AA3" s="1511" t="s">
        <v>5840</v>
      </c>
      <c r="AB3" s="1510" t="s">
        <v>6799</v>
      </c>
      <c r="AC3" s="1511" t="s">
        <v>9085</v>
      </c>
      <c r="AD3" s="1505" t="s">
        <v>9086</v>
      </c>
      <c r="AE3" s="1505" t="s">
        <v>9087</v>
      </c>
      <c r="AF3" s="1512" t="s">
        <v>9088</v>
      </c>
      <c r="AG3" s="1513" t="s">
        <v>4618</v>
      </c>
      <c r="AH3" s="1513" t="s">
        <v>9089</v>
      </c>
      <c r="AI3" s="1513" t="s">
        <v>9090</v>
      </c>
      <c r="AJ3" s="1512" t="s">
        <v>9091</v>
      </c>
      <c r="AK3" s="1513" t="s">
        <v>3381</v>
      </c>
      <c r="AL3" s="1513" t="s">
        <v>9092</v>
      </c>
      <c r="AM3" s="1514" t="s">
        <v>9093</v>
      </c>
      <c r="AN3" s="1514" t="s">
        <v>4758</v>
      </c>
      <c r="AO3" s="1515" t="s">
        <v>7303</v>
      </c>
      <c r="AP3" s="1515" t="s">
        <v>9094</v>
      </c>
      <c r="AQ3" s="1515" t="s">
        <v>9095</v>
      </c>
      <c r="AR3" s="1515" t="s">
        <v>4079</v>
      </c>
      <c r="AS3" s="1514" t="s">
        <v>4881</v>
      </c>
      <c r="AT3" s="1507" t="s">
        <v>5074</v>
      </c>
      <c r="AU3" s="1516" t="s">
        <v>9096</v>
      </c>
      <c r="AV3" s="1516" t="str">
        <f t="shared" si="1"/>
        <v>3:56</v>
      </c>
      <c r="AW3" s="1517"/>
    </row>
    <row r="4" ht="15.75" customHeight="1">
      <c r="A4" s="1518" t="s">
        <v>9097</v>
      </c>
      <c r="B4" s="1519" t="s">
        <v>9098</v>
      </c>
      <c r="C4" s="1520">
        <v>0.050637731481481485</v>
      </c>
      <c r="D4" s="1521" t="s">
        <v>9099</v>
      </c>
      <c r="E4" s="1521" t="s">
        <v>9100</v>
      </c>
      <c r="F4" s="1521" t="s">
        <v>9101</v>
      </c>
      <c r="G4" s="1521" t="s">
        <v>9102</v>
      </c>
      <c r="H4" s="1522" t="s">
        <v>9103</v>
      </c>
      <c r="I4" s="1522" t="s">
        <v>350</v>
      </c>
      <c r="J4" s="1523" t="s">
        <v>9104</v>
      </c>
      <c r="K4" s="1523" t="s">
        <v>6347</v>
      </c>
      <c r="L4" s="1523" t="s">
        <v>3810</v>
      </c>
      <c r="M4" s="1523" t="s">
        <v>9105</v>
      </c>
      <c r="N4" s="1523" t="s">
        <v>9064</v>
      </c>
      <c r="O4" s="1523" t="s">
        <v>9106</v>
      </c>
      <c r="P4" s="1523" t="s">
        <v>9107</v>
      </c>
      <c r="Q4" s="1524" t="s">
        <v>9108</v>
      </c>
      <c r="R4" s="1524" t="s">
        <v>9109</v>
      </c>
      <c r="S4" s="1524" t="s">
        <v>2268</v>
      </c>
      <c r="T4" s="1524" t="s">
        <v>9110</v>
      </c>
      <c r="U4" s="1524" t="s">
        <v>9111</v>
      </c>
      <c r="V4" s="1524" t="s">
        <v>4294</v>
      </c>
      <c r="W4" s="1525" t="s">
        <v>9112</v>
      </c>
      <c r="X4" s="1525" t="s">
        <v>9113</v>
      </c>
      <c r="Y4" s="1525">
        <v>47.93</v>
      </c>
      <c r="Z4" s="1525" t="s">
        <v>9114</v>
      </c>
      <c r="AA4" s="1525" t="s">
        <v>9115</v>
      </c>
      <c r="AB4" s="1525" t="s">
        <v>9116</v>
      </c>
      <c r="AC4" s="1525">
        <v>49.24</v>
      </c>
      <c r="AD4" s="1526" t="s">
        <v>9117</v>
      </c>
      <c r="AE4" s="1527" t="s">
        <v>5586</v>
      </c>
      <c r="AF4" s="1528" t="s">
        <v>2806</v>
      </c>
      <c r="AG4" s="1528" t="s">
        <v>4613</v>
      </c>
      <c r="AH4" s="1528" t="s">
        <v>5294</v>
      </c>
      <c r="AI4" s="1528" t="s">
        <v>9118</v>
      </c>
      <c r="AJ4" s="1528" t="s">
        <v>9119</v>
      </c>
      <c r="AK4" s="1528" t="s">
        <v>886</v>
      </c>
      <c r="AL4" s="1528" t="s">
        <v>9120</v>
      </c>
      <c r="AM4" s="1529" t="s">
        <v>9121</v>
      </c>
      <c r="AN4" s="1530" t="s">
        <v>9122</v>
      </c>
      <c r="AO4" s="1529" t="s">
        <v>9123</v>
      </c>
      <c r="AP4" s="1530" t="s">
        <v>9124</v>
      </c>
      <c r="AQ4" s="1529" t="s">
        <v>9125</v>
      </c>
      <c r="AR4" s="1529" t="s">
        <v>7533</v>
      </c>
      <c r="AS4" s="1529" t="s">
        <v>756</v>
      </c>
      <c r="AT4" s="1531" t="s">
        <v>9126</v>
      </c>
      <c r="AU4" s="1532" t="s">
        <v>9127</v>
      </c>
      <c r="AV4" s="1533" t="str">
        <f t="shared" si="1"/>
        <v>2:49</v>
      </c>
      <c r="AW4" s="1501"/>
    </row>
    <row r="5" ht="15.75" customHeight="1">
      <c r="A5" s="1534" t="s">
        <v>1058</v>
      </c>
      <c r="B5" s="1535" t="s">
        <v>9045</v>
      </c>
      <c r="C5" s="1536">
        <v>0.04898148148148148</v>
      </c>
      <c r="D5" s="1537" t="s">
        <v>9046</v>
      </c>
      <c r="E5" s="1537" t="s">
        <v>9047</v>
      </c>
      <c r="F5" s="1538" t="s">
        <v>9128</v>
      </c>
      <c r="G5" s="1539" t="s">
        <v>9049</v>
      </c>
      <c r="H5" s="1537" t="s">
        <v>6325</v>
      </c>
      <c r="I5" s="1537" t="s">
        <v>9050</v>
      </c>
      <c r="J5" s="1539" t="s">
        <v>5265</v>
      </c>
      <c r="K5" s="1540" t="s">
        <v>9129</v>
      </c>
      <c r="L5" s="1538" t="s">
        <v>2310</v>
      </c>
      <c r="M5" s="1540" t="s">
        <v>2574</v>
      </c>
      <c r="N5" s="1541" t="s">
        <v>4072</v>
      </c>
      <c r="O5" s="1542" t="s">
        <v>9130</v>
      </c>
      <c r="P5" s="1541" t="s">
        <v>9053</v>
      </c>
      <c r="Q5" s="1541" t="s">
        <v>4273</v>
      </c>
      <c r="R5" s="1539" t="s">
        <v>9054</v>
      </c>
      <c r="S5" s="1541" t="s">
        <v>6816</v>
      </c>
      <c r="T5" s="1539" t="s">
        <v>3277</v>
      </c>
      <c r="U5" s="1541" t="s">
        <v>6993</v>
      </c>
      <c r="V5" s="1543" t="s">
        <v>3776</v>
      </c>
      <c r="W5" s="1537" t="s">
        <v>6519</v>
      </c>
      <c r="X5" s="1539" t="s">
        <v>9055</v>
      </c>
      <c r="Y5" s="1539" t="s">
        <v>5854</v>
      </c>
      <c r="Z5" s="1542" t="s">
        <v>5091</v>
      </c>
      <c r="AA5" s="1539" t="s">
        <v>9056</v>
      </c>
      <c r="AB5" s="1538" t="s">
        <v>3297</v>
      </c>
      <c r="AC5" s="1541" t="s">
        <v>4098</v>
      </c>
      <c r="AD5" s="1539" t="s">
        <v>9058</v>
      </c>
      <c r="AE5" s="1540" t="s">
        <v>8107</v>
      </c>
      <c r="AF5" s="1454" t="s">
        <v>9131</v>
      </c>
      <c r="AG5" s="1333" t="s">
        <v>9132</v>
      </c>
      <c r="AH5" s="1538" t="s">
        <v>5658</v>
      </c>
      <c r="AI5" s="1541" t="s">
        <v>9061</v>
      </c>
      <c r="AJ5" s="1333" t="s">
        <v>9133</v>
      </c>
      <c r="AK5" s="1541" t="s">
        <v>9063</v>
      </c>
      <c r="AL5" s="1539" t="s">
        <v>5668</v>
      </c>
      <c r="AM5" s="1539" t="s">
        <v>9064</v>
      </c>
      <c r="AN5" s="1538" t="s">
        <v>6463</v>
      </c>
      <c r="AO5" s="1540" t="s">
        <v>381</v>
      </c>
      <c r="AP5" s="1539" t="s">
        <v>9066</v>
      </c>
      <c r="AQ5" s="1539" t="s">
        <v>9067</v>
      </c>
      <c r="AR5" s="1333" t="s">
        <v>7094</v>
      </c>
      <c r="AS5" s="1542" t="s">
        <v>4507</v>
      </c>
      <c r="AT5" s="1538" t="s">
        <v>9134</v>
      </c>
      <c r="AU5" s="1544" t="s">
        <v>9135</v>
      </c>
      <c r="AV5" s="1454" t="str">
        <f t="shared" si="1"/>
        <v>1:56</v>
      </c>
      <c r="AW5" s="1545" t="s">
        <v>9136</v>
      </c>
    </row>
    <row r="6">
      <c r="A6" s="1546" t="s">
        <v>2545</v>
      </c>
      <c r="B6" s="1547" t="s">
        <v>9045</v>
      </c>
      <c r="C6" s="1548">
        <v>0.04926921296296296</v>
      </c>
      <c r="D6" s="1549" t="s">
        <v>9137</v>
      </c>
      <c r="E6" s="1549" t="s">
        <v>9138</v>
      </c>
      <c r="F6" s="1549" t="s">
        <v>9139</v>
      </c>
      <c r="G6" s="1549" t="s">
        <v>9140</v>
      </c>
      <c r="H6" s="1550" t="s">
        <v>9141</v>
      </c>
      <c r="I6" s="1550" t="s">
        <v>4299</v>
      </c>
      <c r="J6" s="1551" t="s">
        <v>9142</v>
      </c>
      <c r="K6" s="1551" t="s">
        <v>7536</v>
      </c>
      <c r="L6" s="1551" t="s">
        <v>9143</v>
      </c>
      <c r="M6" s="1551" t="s">
        <v>9144</v>
      </c>
      <c r="N6" s="1551" t="s">
        <v>102</v>
      </c>
      <c r="O6" s="1551" t="s">
        <v>9145</v>
      </c>
      <c r="P6" s="1551" t="s">
        <v>1092</v>
      </c>
      <c r="Q6" s="1552" t="s">
        <v>9146</v>
      </c>
      <c r="R6" s="1553" t="s">
        <v>3643</v>
      </c>
      <c r="S6" s="1553" t="s">
        <v>9147</v>
      </c>
      <c r="T6" s="1553" t="s">
        <v>3023</v>
      </c>
      <c r="U6" s="1553" t="s">
        <v>9148</v>
      </c>
      <c r="V6" s="1553" t="s">
        <v>9149</v>
      </c>
      <c r="W6" s="1554" t="s">
        <v>9150</v>
      </c>
      <c r="X6" s="1554" t="s">
        <v>4791</v>
      </c>
      <c r="Y6" s="1554" t="s">
        <v>9151</v>
      </c>
      <c r="Z6" s="1554" t="s">
        <v>7048</v>
      </c>
      <c r="AA6" s="1554" t="s">
        <v>9152</v>
      </c>
      <c r="AB6" s="1554" t="s">
        <v>9153</v>
      </c>
      <c r="AC6" s="1554" t="s">
        <v>8563</v>
      </c>
      <c r="AD6" s="1549" t="s">
        <v>9154</v>
      </c>
      <c r="AE6" s="1549" t="s">
        <v>9155</v>
      </c>
      <c r="AF6" s="1555" t="s">
        <v>9156</v>
      </c>
      <c r="AG6" s="1555" t="s">
        <v>6047</v>
      </c>
      <c r="AH6" s="1555" t="s">
        <v>3271</v>
      </c>
      <c r="AI6" s="1556" t="s">
        <v>9157</v>
      </c>
      <c r="AJ6" s="1556" t="s">
        <v>9158</v>
      </c>
      <c r="AK6" s="1556" t="s">
        <v>9064</v>
      </c>
      <c r="AL6" s="1555" t="s">
        <v>1739</v>
      </c>
      <c r="AM6" s="1557" t="s">
        <v>5036</v>
      </c>
      <c r="AN6" s="1558" t="s">
        <v>6312</v>
      </c>
      <c r="AO6" s="1558" t="s">
        <v>9159</v>
      </c>
      <c r="AP6" s="1557" t="s">
        <v>9160</v>
      </c>
      <c r="AQ6" s="1557" t="s">
        <v>4777</v>
      </c>
      <c r="AR6" s="1558" t="s">
        <v>6872</v>
      </c>
      <c r="AS6" s="1557" t="s">
        <v>2072</v>
      </c>
      <c r="AT6" s="1559" t="s">
        <v>9161</v>
      </c>
      <c r="AU6" s="1560" t="s">
        <v>9162</v>
      </c>
      <c r="AV6" s="1560" t="str">
        <f t="shared" si="1"/>
        <v>2:02</v>
      </c>
      <c r="AW6" s="1561"/>
    </row>
    <row r="7" ht="15.75" customHeight="1">
      <c r="A7" s="1562" t="s">
        <v>435</v>
      </c>
      <c r="B7" s="1535" t="s">
        <v>9045</v>
      </c>
      <c r="C7" s="1536">
        <v>0.0493287037037037</v>
      </c>
      <c r="D7" s="1563" t="s">
        <v>9163</v>
      </c>
      <c r="E7" s="1564" t="s">
        <v>9164</v>
      </c>
      <c r="F7" s="1564" t="s">
        <v>9165</v>
      </c>
      <c r="G7" s="1564" t="s">
        <v>9166</v>
      </c>
      <c r="H7" s="1564" t="s">
        <v>9167</v>
      </c>
      <c r="I7" s="1565" t="s">
        <v>9168</v>
      </c>
      <c r="J7" s="1564" t="s">
        <v>9169</v>
      </c>
      <c r="K7" s="1564" t="s">
        <v>782</v>
      </c>
      <c r="L7" s="1564" t="s">
        <v>9170</v>
      </c>
      <c r="M7" s="1564" t="s">
        <v>2574</v>
      </c>
      <c r="N7" s="1564" t="s">
        <v>9171</v>
      </c>
      <c r="O7" s="1564" t="s">
        <v>9172</v>
      </c>
      <c r="P7" s="1564" t="s">
        <v>1284</v>
      </c>
      <c r="Q7" s="1566" t="s">
        <v>1565</v>
      </c>
      <c r="R7" s="1564" t="s">
        <v>4457</v>
      </c>
      <c r="S7" s="1564" t="s">
        <v>9169</v>
      </c>
      <c r="T7" s="1564" t="s">
        <v>5228</v>
      </c>
      <c r="U7" s="1566" t="s">
        <v>9173</v>
      </c>
      <c r="V7" s="1567" t="s">
        <v>8881</v>
      </c>
      <c r="W7" s="1564" t="s">
        <v>9174</v>
      </c>
      <c r="X7" s="1564" t="s">
        <v>6630</v>
      </c>
      <c r="Y7" s="1568">
        <v>46.72</v>
      </c>
      <c r="Z7" s="1568" t="s">
        <v>3704</v>
      </c>
      <c r="AA7" s="1564" t="s">
        <v>3716</v>
      </c>
      <c r="AB7" s="1569" t="s">
        <v>9057</v>
      </c>
      <c r="AC7" s="1564" t="s">
        <v>5557</v>
      </c>
      <c r="AD7" s="1564" t="s">
        <v>7012</v>
      </c>
      <c r="AE7" s="1570" t="s">
        <v>4804</v>
      </c>
      <c r="AF7" s="1568" t="s">
        <v>9175</v>
      </c>
      <c r="AG7" s="1567" t="s">
        <v>6187</v>
      </c>
      <c r="AH7" s="1569" t="s">
        <v>3852</v>
      </c>
      <c r="AI7" s="1564" t="s">
        <v>6083</v>
      </c>
      <c r="AJ7" s="1568" t="s">
        <v>9176</v>
      </c>
      <c r="AK7" s="1568" t="s">
        <v>5994</v>
      </c>
      <c r="AL7" s="1567" t="s">
        <v>6312</v>
      </c>
      <c r="AM7" s="1564" t="s">
        <v>9177</v>
      </c>
      <c r="AN7" s="1567" t="s">
        <v>4259</v>
      </c>
      <c r="AO7" s="1567" t="s">
        <v>2847</v>
      </c>
      <c r="AP7" s="1567" t="s">
        <v>9178</v>
      </c>
      <c r="AQ7" s="1454" t="s">
        <v>9179</v>
      </c>
      <c r="AR7" s="1567" t="s">
        <v>9180</v>
      </c>
      <c r="AS7" s="1567" t="s">
        <v>9181</v>
      </c>
      <c r="AT7" s="1567" t="s">
        <v>9182</v>
      </c>
      <c r="AU7" s="1571" t="s">
        <v>9183</v>
      </c>
      <c r="AV7" s="1454" t="str">
        <f t="shared" si="1"/>
        <v>2:15</v>
      </c>
      <c r="AW7" s="1545"/>
    </row>
    <row r="8" ht="15.75" customHeight="1">
      <c r="A8" s="1534" t="s">
        <v>6728</v>
      </c>
      <c r="B8" s="1535" t="s">
        <v>9045</v>
      </c>
      <c r="C8" s="1536">
        <v>0.049444444444444444</v>
      </c>
      <c r="D8" s="1542" t="s">
        <v>9184</v>
      </c>
      <c r="E8" s="1542" t="s">
        <v>9185</v>
      </c>
      <c r="F8" s="1565" t="s">
        <v>9186</v>
      </c>
      <c r="G8" s="1540" t="s">
        <v>9187</v>
      </c>
      <c r="H8" s="1565" t="s">
        <v>9188</v>
      </c>
      <c r="I8" s="1565" t="s">
        <v>2956</v>
      </c>
      <c r="J8" s="1542" t="s">
        <v>9189</v>
      </c>
      <c r="K8" s="1565" t="s">
        <v>3534</v>
      </c>
      <c r="L8" s="1565" t="s">
        <v>4194</v>
      </c>
      <c r="M8" s="1565" t="s">
        <v>6618</v>
      </c>
      <c r="N8" s="1542" t="s">
        <v>9190</v>
      </c>
      <c r="O8" s="1565" t="s">
        <v>9191</v>
      </c>
      <c r="P8" s="1454" t="s">
        <v>8097</v>
      </c>
      <c r="Q8" s="1542" t="s">
        <v>9192</v>
      </c>
      <c r="R8" s="1565" t="s">
        <v>6807</v>
      </c>
      <c r="S8" s="1565" t="s">
        <v>3441</v>
      </c>
      <c r="T8" s="1454" t="s">
        <v>9193</v>
      </c>
      <c r="U8" s="1565" t="s">
        <v>9194</v>
      </c>
      <c r="V8" s="1565" t="s">
        <v>5273</v>
      </c>
      <c r="W8" s="1572" t="s">
        <v>9195</v>
      </c>
      <c r="X8" s="1454" t="s">
        <v>2573</v>
      </c>
      <c r="Y8" s="1573" t="s">
        <v>9196</v>
      </c>
      <c r="Z8" s="1565" t="s">
        <v>7245</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9197</v>
      </c>
      <c r="AF8" s="1454" t="s">
        <v>9198</v>
      </c>
      <c r="AG8" s="1574" t="str">
        <f>HYPERLINK("https://www.twitch.tv/videos/566334947","1:28.73")</f>
        <v>1:28.73</v>
      </c>
      <c r="AH8" s="1565" t="s">
        <v>9199</v>
      </c>
      <c r="AI8" s="1575" t="str">
        <f>HYPERLINK("https://www.twitch.tv/videos/584107631","1:27.68")</f>
        <v>1:27.68</v>
      </c>
      <c r="AJ8" s="1454" t="s">
        <v>9200</v>
      </c>
      <c r="AK8" s="1565" t="s">
        <v>6809</v>
      </c>
      <c r="AL8" s="1565" t="s">
        <v>9201</v>
      </c>
      <c r="AM8" s="1542" t="s">
        <v>4551</v>
      </c>
      <c r="AN8" s="1542" t="s">
        <v>2786</v>
      </c>
      <c r="AO8" s="1542" t="s">
        <v>6009</v>
      </c>
      <c r="AP8" s="1565" t="s">
        <v>9202</v>
      </c>
      <c r="AQ8" s="1454" t="s">
        <v>9203</v>
      </c>
      <c r="AR8" s="1542" t="s">
        <v>9204</v>
      </c>
      <c r="AS8" s="1059" t="str">
        <f>HYPERLINK("https://www.twitch.tv/videos/571767101","42.91")</f>
        <v>42.91</v>
      </c>
      <c r="AT8" s="1538" t="s">
        <v>9205</v>
      </c>
      <c r="AU8" s="1571" t="s">
        <v>9206</v>
      </c>
      <c r="AV8" s="1454" t="str">
        <f t="shared" si="1"/>
        <v>2:32</v>
      </c>
      <c r="AW8" s="1576" t="s">
        <v>9207</v>
      </c>
    </row>
    <row r="9" ht="15.75" customHeight="1">
      <c r="A9" s="1534" t="s">
        <v>1810</v>
      </c>
      <c r="B9" s="1535" t="s">
        <v>9045</v>
      </c>
      <c r="C9" s="1536">
        <v>0.04949074074074074</v>
      </c>
      <c r="D9" s="1577" t="s">
        <v>9208</v>
      </c>
      <c r="E9" s="1573" t="s">
        <v>9209</v>
      </c>
      <c r="F9" s="1573" t="s">
        <v>2136</v>
      </c>
      <c r="G9" s="1573" t="s">
        <v>9210</v>
      </c>
      <c r="H9" s="1542" t="s">
        <v>9211</v>
      </c>
      <c r="I9" s="1564">
        <v>47.34</v>
      </c>
      <c r="J9" s="1573" t="s">
        <v>1637</v>
      </c>
      <c r="K9" s="1573" t="s">
        <v>7382</v>
      </c>
      <c r="L9" s="1573">
        <v>55.97</v>
      </c>
      <c r="M9" s="1573" t="s">
        <v>2051</v>
      </c>
      <c r="N9" s="1573" t="s">
        <v>9212</v>
      </c>
      <c r="O9" s="1578" t="s">
        <v>9052</v>
      </c>
      <c r="P9" s="1573">
        <v>47.49</v>
      </c>
      <c r="Q9" s="1573" t="s">
        <v>9213</v>
      </c>
      <c r="R9" s="1573" t="s">
        <v>1227</v>
      </c>
      <c r="S9" s="1579" t="s">
        <v>1833</v>
      </c>
      <c r="T9" s="1573" t="s">
        <v>9214</v>
      </c>
      <c r="U9" s="1542" t="s">
        <v>9215</v>
      </c>
      <c r="V9" s="1573">
        <v>59.32</v>
      </c>
      <c r="W9" s="1577" t="s">
        <v>9216</v>
      </c>
      <c r="X9" s="1580" t="s">
        <v>9217</v>
      </c>
      <c r="Y9" s="1573">
        <v>46.65</v>
      </c>
      <c r="Z9" s="1573" t="s">
        <v>9218</v>
      </c>
      <c r="AA9" s="1573" t="s">
        <v>2499</v>
      </c>
      <c r="AB9" s="1573" t="s">
        <v>9219</v>
      </c>
      <c r="AC9" s="1573">
        <v>47.89</v>
      </c>
      <c r="AD9" s="1573" t="s">
        <v>1832</v>
      </c>
      <c r="AE9" s="1573">
        <v>47.98</v>
      </c>
      <c r="AF9" s="1580" t="s">
        <v>9220</v>
      </c>
      <c r="AG9" s="1573" t="s">
        <v>9221</v>
      </c>
      <c r="AH9" s="1573">
        <v>57.45</v>
      </c>
      <c r="AI9" s="1568" t="s">
        <v>6733</v>
      </c>
      <c r="AJ9" s="1581" t="s">
        <v>9133</v>
      </c>
      <c r="AK9" s="1573" t="s">
        <v>5525</v>
      </c>
      <c r="AL9" s="1573">
        <v>56.23</v>
      </c>
      <c r="AM9" s="1577" t="s">
        <v>4026</v>
      </c>
      <c r="AN9" s="1577" t="s">
        <v>9222</v>
      </c>
      <c r="AO9" s="1573" t="s">
        <v>9223</v>
      </c>
      <c r="AP9" s="1573" t="s">
        <v>9224</v>
      </c>
      <c r="AQ9" s="1573" t="s">
        <v>9225</v>
      </c>
      <c r="AR9" s="1580" t="s">
        <v>3926</v>
      </c>
      <c r="AS9" s="1573">
        <v>46.19</v>
      </c>
      <c r="AT9" s="1582" t="s">
        <v>9069</v>
      </c>
      <c r="AU9" s="1454" t="s">
        <v>9226</v>
      </c>
      <c r="AV9" s="1454" t="str">
        <f t="shared" si="1"/>
        <v>1:33</v>
      </c>
      <c r="AW9" s="1576" t="s">
        <v>9227</v>
      </c>
    </row>
    <row r="10">
      <c r="A10" s="1583" t="s">
        <v>827</v>
      </c>
      <c r="B10" s="1584" t="s">
        <v>9045</v>
      </c>
      <c r="C10" s="1536">
        <v>0.04951388888888889</v>
      </c>
      <c r="D10" s="1567" t="s">
        <v>9184</v>
      </c>
      <c r="E10" s="1567" t="s">
        <v>253</v>
      </c>
      <c r="F10" s="1567" t="s">
        <v>9228</v>
      </c>
      <c r="G10" s="1568" t="s">
        <v>9229</v>
      </c>
      <c r="H10" s="1567" t="s">
        <v>9230</v>
      </c>
      <c r="I10" s="1567" t="s">
        <v>4559</v>
      </c>
      <c r="J10" s="1564" t="s">
        <v>1488</v>
      </c>
      <c r="K10" s="1567" t="s">
        <v>9231</v>
      </c>
      <c r="L10" s="1567" t="s">
        <v>9232</v>
      </c>
      <c r="M10" s="1570" t="s">
        <v>6299</v>
      </c>
      <c r="N10" s="1567" t="s">
        <v>5958</v>
      </c>
      <c r="O10" s="1567" t="s">
        <v>9233</v>
      </c>
      <c r="P10" s="1567" t="s">
        <v>6216</v>
      </c>
      <c r="Q10" s="1567" t="s">
        <v>4799</v>
      </c>
      <c r="R10" s="1567" t="s">
        <v>5843</v>
      </c>
      <c r="S10" s="1542" t="s">
        <v>2905</v>
      </c>
      <c r="T10" s="1567" t="s">
        <v>9234</v>
      </c>
      <c r="U10" s="1567" t="s">
        <v>9235</v>
      </c>
      <c r="V10" s="1567" t="s">
        <v>9236</v>
      </c>
      <c r="W10" s="1567" t="s">
        <v>9237</v>
      </c>
      <c r="X10" s="1542" t="s">
        <v>9238</v>
      </c>
      <c r="Y10" s="1567" t="s">
        <v>6216</v>
      </c>
      <c r="Z10" s="1578" t="s">
        <v>6853</v>
      </c>
      <c r="AA10" s="1542" t="s">
        <v>9090</v>
      </c>
      <c r="AB10" s="1567" t="s">
        <v>415</v>
      </c>
      <c r="AC10" s="1567" t="s">
        <v>3798</v>
      </c>
      <c r="AD10" s="1585" t="s">
        <v>3729</v>
      </c>
      <c r="AE10" s="1568">
        <v>47.81</v>
      </c>
      <c r="AF10" s="1567" t="s">
        <v>9239</v>
      </c>
      <c r="AG10" s="1567" t="s">
        <v>9240</v>
      </c>
      <c r="AH10" s="1567" t="s">
        <v>751</v>
      </c>
      <c r="AI10" s="1567" t="s">
        <v>9241</v>
      </c>
      <c r="AJ10" s="1567" t="s">
        <v>9242</v>
      </c>
      <c r="AK10" s="1567" t="s">
        <v>9243</v>
      </c>
      <c r="AL10" s="1567" t="s">
        <v>8684</v>
      </c>
      <c r="AM10" s="1567" t="s">
        <v>4551</v>
      </c>
      <c r="AN10" s="1578" t="s">
        <v>9065</v>
      </c>
      <c r="AO10" s="1578" t="s">
        <v>7094</v>
      </c>
      <c r="AP10" s="1567" t="s">
        <v>9244</v>
      </c>
      <c r="AQ10" s="1567" t="s">
        <v>9245</v>
      </c>
      <c r="AR10" s="1578" t="s">
        <v>9068</v>
      </c>
      <c r="AS10" s="1570" t="s">
        <v>1332</v>
      </c>
      <c r="AT10" s="1567" t="s">
        <v>9246</v>
      </c>
      <c r="AU10" s="1586" t="s">
        <v>9247</v>
      </c>
      <c r="AV10" s="1454" t="str">
        <f t="shared" si="1"/>
        <v>2:15</v>
      </c>
      <c r="AW10" s="1587" t="s">
        <v>9248</v>
      </c>
    </row>
    <row r="11" ht="15.75" customHeight="1">
      <c r="A11" s="1562" t="s">
        <v>330</v>
      </c>
      <c r="B11" s="1535" t="s">
        <v>9045</v>
      </c>
      <c r="C11" s="1536">
        <v>0.04957175925925926</v>
      </c>
      <c r="D11" s="1588" t="s">
        <v>9249</v>
      </c>
      <c r="E11" s="1564" t="s">
        <v>9250</v>
      </c>
      <c r="F11" s="1589" t="s">
        <v>9048</v>
      </c>
      <c r="G11" s="1567" t="s">
        <v>9251</v>
      </c>
      <c r="H11" s="1590" t="s">
        <v>5495</v>
      </c>
      <c r="I11" s="1567" t="s">
        <v>1385</v>
      </c>
      <c r="J11" s="1114" t="s">
        <v>9252</v>
      </c>
      <c r="K11" s="1567" t="s">
        <v>7838</v>
      </c>
      <c r="L11" s="1569" t="s">
        <v>234</v>
      </c>
      <c r="M11" s="1114" t="s">
        <v>9253</v>
      </c>
      <c r="N11" s="1564" t="s">
        <v>9254</v>
      </c>
      <c r="O11" s="1114" t="s">
        <v>9255</v>
      </c>
      <c r="P11" s="1567" t="s">
        <v>6607</v>
      </c>
      <c r="Q11" s="1567" t="s">
        <v>9213</v>
      </c>
      <c r="R11" s="1567" t="s">
        <v>5715</v>
      </c>
      <c r="S11" s="1567" t="s">
        <v>9256</v>
      </c>
      <c r="T11" s="1567" t="s">
        <v>4081</v>
      </c>
      <c r="U11" s="1567" t="s">
        <v>6296</v>
      </c>
      <c r="V11" s="980" t="s">
        <v>5572</v>
      </c>
      <c r="W11" s="1591" t="s">
        <v>9257</v>
      </c>
      <c r="X11" s="1567" t="s">
        <v>9258</v>
      </c>
      <c r="Y11" s="1564">
        <v>46.63</v>
      </c>
      <c r="Z11" s="1067" t="s">
        <v>306</v>
      </c>
      <c r="AA11" s="1564" t="s">
        <v>9259</v>
      </c>
      <c r="AB11" s="1569" t="s">
        <v>9057</v>
      </c>
      <c r="AC11" s="1567" t="s">
        <v>5555</v>
      </c>
      <c r="AD11" s="1567" t="s">
        <v>9260</v>
      </c>
      <c r="AE11" s="1568" t="s">
        <v>9261</v>
      </c>
      <c r="AF11" s="1564" t="s">
        <v>9262</v>
      </c>
      <c r="AG11" s="1573" t="s">
        <v>9263</v>
      </c>
      <c r="AH11" s="1567" t="s">
        <v>9264</v>
      </c>
      <c r="AI11" s="980" t="s">
        <v>9265</v>
      </c>
      <c r="AJ11" s="1568" t="s">
        <v>9266</v>
      </c>
      <c r="AK11" s="1567" t="s">
        <v>1297</v>
      </c>
      <c r="AL11" s="1567" t="s">
        <v>5210</v>
      </c>
      <c r="AM11" s="1567" t="s">
        <v>4081</v>
      </c>
      <c r="AN11" s="1114" t="s">
        <v>9267</v>
      </c>
      <c r="AO11" s="1567" t="s">
        <v>9180</v>
      </c>
      <c r="AP11" s="1567" t="s">
        <v>9268</v>
      </c>
      <c r="AQ11" s="1567" t="s">
        <v>9269</v>
      </c>
      <c r="AR11" s="1567" t="s">
        <v>4638</v>
      </c>
      <c r="AS11" s="1567" t="s">
        <v>9270</v>
      </c>
      <c r="AT11" s="1592" t="s">
        <v>9271</v>
      </c>
      <c r="AU11" s="1586" t="s">
        <v>9272</v>
      </c>
      <c r="AV11" s="1454" t="str">
        <f t="shared" si="1"/>
        <v>2:59</v>
      </c>
      <c r="AW11" s="1593"/>
    </row>
    <row r="12">
      <c r="A12" s="1562" t="s">
        <v>6613</v>
      </c>
      <c r="B12" s="1594" t="s">
        <v>9045</v>
      </c>
      <c r="C12" s="1536">
        <v>0.04958333333333333</v>
      </c>
      <c r="D12" s="980" t="s">
        <v>9273</v>
      </c>
      <c r="E12" s="1573" t="s">
        <v>6571</v>
      </c>
      <c r="F12" s="1573" t="s">
        <v>9274</v>
      </c>
      <c r="G12" s="1573" t="s">
        <v>9275</v>
      </c>
      <c r="H12" s="1577" t="s">
        <v>9276</v>
      </c>
      <c r="I12" s="1577" t="s">
        <v>5829</v>
      </c>
      <c r="J12" s="1577" t="s">
        <v>151</v>
      </c>
      <c r="K12" s="1577" t="s">
        <v>7003</v>
      </c>
      <c r="L12" s="1573">
        <v>56.42</v>
      </c>
      <c r="M12" s="1573" t="s">
        <v>1120</v>
      </c>
      <c r="N12" s="1573" t="s">
        <v>9277</v>
      </c>
      <c r="O12" s="1577" t="s">
        <v>9278</v>
      </c>
      <c r="P12" s="1577" t="s">
        <v>280</v>
      </c>
      <c r="Q12" s="1577" t="s">
        <v>9279</v>
      </c>
      <c r="R12" s="1573" t="s">
        <v>9280</v>
      </c>
      <c r="S12" s="1577" t="s">
        <v>9281</v>
      </c>
      <c r="T12" s="1577" t="s">
        <v>5036</v>
      </c>
      <c r="U12" s="1577" t="s">
        <v>9282</v>
      </c>
      <c r="V12" s="1573">
        <v>59.45</v>
      </c>
      <c r="W12" s="1577" t="s">
        <v>9283</v>
      </c>
      <c r="X12" s="1577" t="s">
        <v>9284</v>
      </c>
      <c r="Y12" s="1577" t="s">
        <v>5161</v>
      </c>
      <c r="Z12" s="1573" t="s">
        <v>4188</v>
      </c>
      <c r="AA12" s="1573" t="s">
        <v>3220</v>
      </c>
      <c r="AB12" s="1573" t="s">
        <v>4606</v>
      </c>
      <c r="AC12" s="1577" t="s">
        <v>4925</v>
      </c>
      <c r="AD12" s="1577" t="s">
        <v>9285</v>
      </c>
      <c r="AE12" s="1573">
        <v>47.89</v>
      </c>
      <c r="AF12" s="1573" t="s">
        <v>9286</v>
      </c>
      <c r="AG12" s="1570" t="s">
        <v>9060</v>
      </c>
      <c r="AH12" s="1573">
        <v>57.71</v>
      </c>
      <c r="AI12" s="1577" t="s">
        <v>2229</v>
      </c>
      <c r="AJ12" s="1573" t="s">
        <v>9287</v>
      </c>
      <c r="AK12" s="1577" t="s">
        <v>6820</v>
      </c>
      <c r="AL12" s="1573">
        <v>56.69</v>
      </c>
      <c r="AM12" s="1577" t="s">
        <v>9288</v>
      </c>
      <c r="AN12" s="1577" t="s">
        <v>4149</v>
      </c>
      <c r="AO12" s="1577" t="s">
        <v>2940</v>
      </c>
      <c r="AP12" s="1573" t="s">
        <v>9289</v>
      </c>
      <c r="AQ12" s="1577" t="s">
        <v>9290</v>
      </c>
      <c r="AR12" s="1577" t="s">
        <v>9291</v>
      </c>
      <c r="AS12" s="1573">
        <v>43.65</v>
      </c>
      <c r="AT12" s="1577" t="s">
        <v>9292</v>
      </c>
      <c r="AU12" s="1571" t="s">
        <v>9293</v>
      </c>
      <c r="AV12" s="1454" t="str">
        <f t="shared" si="1"/>
        <v>1:34</v>
      </c>
      <c r="AW12" s="1595" t="s">
        <v>9294</v>
      </c>
    </row>
    <row r="13" ht="15.75" customHeight="1">
      <c r="A13" s="1596" t="s">
        <v>2154</v>
      </c>
      <c r="B13" s="1597" t="s">
        <v>9072</v>
      </c>
      <c r="C13" s="1536">
        <v>0.04962962962962963</v>
      </c>
      <c r="D13" s="1598" t="s">
        <v>9295</v>
      </c>
      <c r="E13" s="980" t="s">
        <v>3300</v>
      </c>
      <c r="F13" s="980" t="s">
        <v>9296</v>
      </c>
      <c r="G13" s="1598" t="s">
        <v>9297</v>
      </c>
      <c r="H13" s="1599" t="s">
        <v>9076</v>
      </c>
      <c r="I13" s="980" t="s">
        <v>9298</v>
      </c>
      <c r="J13" s="980" t="s">
        <v>9299</v>
      </c>
      <c r="K13" s="1600" t="s">
        <v>9077</v>
      </c>
      <c r="L13" s="1601" t="s">
        <v>4735</v>
      </c>
      <c r="M13" s="980" t="s">
        <v>6594</v>
      </c>
      <c r="N13" s="1602" t="s">
        <v>5345</v>
      </c>
      <c r="O13" s="980" t="s">
        <v>6920</v>
      </c>
      <c r="P13" s="1602" t="s">
        <v>5555</v>
      </c>
      <c r="Q13" s="980" t="s">
        <v>9300</v>
      </c>
      <c r="R13" s="1600" t="s">
        <v>9080</v>
      </c>
      <c r="S13" s="1603" t="s">
        <v>9081</v>
      </c>
      <c r="T13" s="1604" t="s">
        <v>4026</v>
      </c>
      <c r="U13" s="1605" t="s">
        <v>9301</v>
      </c>
      <c r="V13" s="1606" t="s">
        <v>9083</v>
      </c>
      <c r="W13" s="1607" t="s">
        <v>4154</v>
      </c>
      <c r="X13" s="1607" t="s">
        <v>6023</v>
      </c>
      <c r="Y13" s="1600" t="s">
        <v>9084</v>
      </c>
      <c r="Z13" s="1607" t="s">
        <v>1338</v>
      </c>
      <c r="AA13" s="1608" t="s">
        <v>5840</v>
      </c>
      <c r="AB13" s="1600" t="s">
        <v>6799</v>
      </c>
      <c r="AC13" s="1609" t="s">
        <v>9085</v>
      </c>
      <c r="AD13" s="980" t="s">
        <v>9302</v>
      </c>
      <c r="AE13" s="1610" t="s">
        <v>9087</v>
      </c>
      <c r="AF13" s="1333" t="s">
        <v>9303</v>
      </c>
      <c r="AG13" s="1607" t="s">
        <v>4618</v>
      </c>
      <c r="AH13" s="1611" t="s">
        <v>9089</v>
      </c>
      <c r="AI13" s="1611" t="s">
        <v>9090</v>
      </c>
      <c r="AJ13" s="980" t="s">
        <v>9304</v>
      </c>
      <c r="AK13" s="1601" t="s">
        <v>6882</v>
      </c>
      <c r="AL13" s="1607" t="s">
        <v>9092</v>
      </c>
      <c r="AM13" s="980" t="s">
        <v>887</v>
      </c>
      <c r="AN13" s="1612" t="s">
        <v>4758</v>
      </c>
      <c r="AO13" s="1600" t="s">
        <v>7303</v>
      </c>
      <c r="AP13" s="1613" t="s">
        <v>9094</v>
      </c>
      <c r="AQ13" s="1614" t="s">
        <v>9095</v>
      </c>
      <c r="AR13" s="1614" t="s">
        <v>4079</v>
      </c>
      <c r="AS13" s="1615" t="s">
        <v>4881</v>
      </c>
      <c r="AT13" s="1600" t="s">
        <v>5074</v>
      </c>
      <c r="AU13" s="1586" t="s">
        <v>9305</v>
      </c>
      <c r="AV13" s="1454" t="str">
        <f t="shared" si="1"/>
        <v>3:54</v>
      </c>
      <c r="AW13" s="1587" t="s">
        <v>9306</v>
      </c>
    </row>
    <row r="14" ht="15.75" customHeight="1">
      <c r="A14" s="1596" t="s">
        <v>7135</v>
      </c>
      <c r="B14" s="1535" t="s">
        <v>9045</v>
      </c>
      <c r="C14" s="1536">
        <v>0.04967592592592593</v>
      </c>
      <c r="D14" s="980" t="s">
        <v>9307</v>
      </c>
      <c r="E14" s="1565" t="s">
        <v>956</v>
      </c>
      <c r="F14" s="1565" t="s">
        <v>9308</v>
      </c>
      <c r="G14" s="1565" t="s">
        <v>9309</v>
      </c>
      <c r="H14" s="980" t="s">
        <v>9310</v>
      </c>
      <c r="I14" s="1565" t="s">
        <v>9311</v>
      </c>
      <c r="J14" s="1565" t="s">
        <v>9312</v>
      </c>
      <c r="K14" s="1565" t="s">
        <v>6534</v>
      </c>
      <c r="L14" s="1565" t="s">
        <v>4512</v>
      </c>
      <c r="M14" s="1565" t="s">
        <v>8858</v>
      </c>
      <c r="N14" s="1565" t="s">
        <v>2225</v>
      </c>
      <c r="O14" s="1565" t="s">
        <v>3337</v>
      </c>
      <c r="P14" s="1565" t="s">
        <v>9311</v>
      </c>
      <c r="Q14" s="1565" t="s">
        <v>9313</v>
      </c>
      <c r="R14" s="1565" t="s">
        <v>1227</v>
      </c>
      <c r="S14" s="1616" t="s">
        <v>9314</v>
      </c>
      <c r="T14" s="1565" t="s">
        <v>4891</v>
      </c>
      <c r="U14" s="1565" t="s">
        <v>9315</v>
      </c>
      <c r="V14" s="1565" t="s">
        <v>9316</v>
      </c>
      <c r="W14" s="1565" t="s">
        <v>9317</v>
      </c>
      <c r="X14" s="1565" t="s">
        <v>1049</v>
      </c>
      <c r="Y14" s="1565" t="s">
        <v>4398</v>
      </c>
      <c r="Z14" s="1565" t="s">
        <v>9318</v>
      </c>
      <c r="AA14" s="1565" t="s">
        <v>9319</v>
      </c>
      <c r="AB14" s="1565" t="s">
        <v>1841</v>
      </c>
      <c r="AC14" s="1565" t="s">
        <v>761</v>
      </c>
      <c r="AD14" s="1565" t="s">
        <v>9320</v>
      </c>
      <c r="AE14" s="1565" t="s">
        <v>5071</v>
      </c>
      <c r="AF14" s="1542" t="s">
        <v>9321</v>
      </c>
      <c r="AG14" s="1565" t="s">
        <v>9322</v>
      </c>
      <c r="AH14" s="1565" t="s">
        <v>4824</v>
      </c>
      <c r="AI14" s="1565" t="s">
        <v>3021</v>
      </c>
      <c r="AJ14" s="1565" t="s">
        <v>9323</v>
      </c>
      <c r="AK14" s="1565" t="s">
        <v>4196</v>
      </c>
      <c r="AL14" s="1565" t="s">
        <v>9324</v>
      </c>
      <c r="AM14" s="1565" t="s">
        <v>9325</v>
      </c>
      <c r="AN14" s="980" t="s">
        <v>9170</v>
      </c>
      <c r="AO14" s="1565" t="s">
        <v>9326</v>
      </c>
      <c r="AP14" s="1565" t="s">
        <v>9327</v>
      </c>
      <c r="AQ14" s="1542" t="s">
        <v>9328</v>
      </c>
      <c r="AR14" s="1565" t="s">
        <v>1845</v>
      </c>
      <c r="AS14" s="1565" t="s">
        <v>1571</v>
      </c>
      <c r="AT14" s="1565" t="s">
        <v>9329</v>
      </c>
      <c r="AU14" s="1565" t="s">
        <v>9330</v>
      </c>
      <c r="AV14" s="1454" t="str">
        <f t="shared" si="1"/>
        <v>2:47</v>
      </c>
      <c r="AW14" s="1545" t="s">
        <v>9331</v>
      </c>
    </row>
    <row r="15" ht="15.75" customHeight="1">
      <c r="A15" s="1617" t="s">
        <v>2773</v>
      </c>
      <c r="B15" s="1535" t="s">
        <v>9045</v>
      </c>
      <c r="C15" s="1618">
        <v>0.04971064814814815</v>
      </c>
      <c r="D15" s="1407" t="s">
        <v>9332</v>
      </c>
      <c r="E15" s="1619" t="s">
        <v>511</v>
      </c>
      <c r="F15" s="1619" t="s">
        <v>9333</v>
      </c>
      <c r="G15" s="1619" t="s">
        <v>9334</v>
      </c>
      <c r="H15" s="1542" t="s">
        <v>9335</v>
      </c>
      <c r="I15" s="904" t="s">
        <v>5841</v>
      </c>
      <c r="J15" s="1602" t="s">
        <v>2548</v>
      </c>
      <c r="K15" s="1602" t="s">
        <v>4352</v>
      </c>
      <c r="L15" s="1602" t="s">
        <v>4735</v>
      </c>
      <c r="M15" s="1620" t="s">
        <v>6299</v>
      </c>
      <c r="N15" s="1602" t="s">
        <v>2700</v>
      </c>
      <c r="O15" s="1602" t="s">
        <v>9336</v>
      </c>
      <c r="P15" s="1602" t="s">
        <v>9337</v>
      </c>
      <c r="Q15" s="1542" t="s">
        <v>9338</v>
      </c>
      <c r="R15" s="1605" t="s">
        <v>9339</v>
      </c>
      <c r="S15" s="1542" t="s">
        <v>1833</v>
      </c>
      <c r="T15" s="1605" t="s">
        <v>9340</v>
      </c>
      <c r="U15" s="1542" t="s">
        <v>9341</v>
      </c>
      <c r="V15" s="1605" t="s">
        <v>3457</v>
      </c>
      <c r="W15" s="1621" t="s">
        <v>9342</v>
      </c>
      <c r="X15" s="1621" t="s">
        <v>4110</v>
      </c>
      <c r="Y15" s="1621" t="s">
        <v>8108</v>
      </c>
      <c r="Z15" s="1621" t="s">
        <v>9343</v>
      </c>
      <c r="AA15" s="1621" t="s">
        <v>6187</v>
      </c>
      <c r="AB15" s="1621" t="s">
        <v>4437</v>
      </c>
      <c r="AC15" s="1621" t="s">
        <v>1145</v>
      </c>
      <c r="AD15" s="1619" t="s">
        <v>9344</v>
      </c>
      <c r="AE15" s="1619" t="s">
        <v>5453</v>
      </c>
      <c r="AF15" s="1622" t="s">
        <v>9345</v>
      </c>
      <c r="AG15" s="1622" t="s">
        <v>7429</v>
      </c>
      <c r="AH15" s="1622" t="s">
        <v>5463</v>
      </c>
      <c r="AI15" s="1622" t="s">
        <v>9346</v>
      </c>
      <c r="AJ15" s="1622" t="s">
        <v>9347</v>
      </c>
      <c r="AK15" s="1622" t="s">
        <v>9348</v>
      </c>
      <c r="AL15" s="1622" t="s">
        <v>3582</v>
      </c>
      <c r="AM15" s="1623" t="s">
        <v>9349</v>
      </c>
      <c r="AN15" s="1624" t="s">
        <v>4735</v>
      </c>
      <c r="AO15" s="1624" t="s">
        <v>9350</v>
      </c>
      <c r="AP15" s="1623" t="s">
        <v>9351</v>
      </c>
      <c r="AQ15" s="1623" t="s">
        <v>9352</v>
      </c>
      <c r="AR15" s="1624" t="s">
        <v>9353</v>
      </c>
      <c r="AS15" s="1623" t="s">
        <v>273</v>
      </c>
      <c r="AT15" s="1571" t="s">
        <v>9354</v>
      </c>
      <c r="AU15" s="1586" t="s">
        <v>9355</v>
      </c>
      <c r="AV15" s="1454" t="str">
        <f t="shared" si="1"/>
        <v>2:35</v>
      </c>
      <c r="AW15" s="1625" t="s">
        <v>9356</v>
      </c>
    </row>
    <row r="16">
      <c r="A16" s="1596" t="s">
        <v>1880</v>
      </c>
      <c r="B16" s="1594" t="s">
        <v>9045</v>
      </c>
      <c r="C16" s="1626">
        <v>0.04976851851851852</v>
      </c>
      <c r="D16" s="1577" t="s">
        <v>9357</v>
      </c>
      <c r="E16" s="1577" t="s">
        <v>9358</v>
      </c>
      <c r="F16" s="1577" t="s">
        <v>6982</v>
      </c>
      <c r="G16" s="1580" t="s">
        <v>9359</v>
      </c>
      <c r="H16" s="1577" t="s">
        <v>9360</v>
      </c>
      <c r="I16" s="1577" t="s">
        <v>3757</v>
      </c>
      <c r="J16" s="1577" t="s">
        <v>9361</v>
      </c>
      <c r="K16" s="1582" t="s">
        <v>9051</v>
      </c>
      <c r="L16" s="1577" t="s">
        <v>8729</v>
      </c>
      <c r="M16" s="1577" t="s">
        <v>9362</v>
      </c>
      <c r="N16" s="1577" t="s">
        <v>690</v>
      </c>
      <c r="O16" s="1577" t="s">
        <v>9363</v>
      </c>
      <c r="P16" s="1577" t="s">
        <v>6607</v>
      </c>
      <c r="Q16" s="1577" t="s">
        <v>9364</v>
      </c>
      <c r="R16" s="1577" t="s">
        <v>6944</v>
      </c>
      <c r="S16" s="1577" t="s">
        <v>9365</v>
      </c>
      <c r="T16" s="1577" t="s">
        <v>5900</v>
      </c>
      <c r="U16" s="1577" t="s">
        <v>9366</v>
      </c>
      <c r="V16" s="1577" t="s">
        <v>9367</v>
      </c>
      <c r="W16" s="1577" t="s">
        <v>9368</v>
      </c>
      <c r="X16" s="1577" t="s">
        <v>9369</v>
      </c>
      <c r="Y16" s="1577" t="s">
        <v>9196</v>
      </c>
      <c r="Z16" s="1577" t="s">
        <v>9370</v>
      </c>
      <c r="AA16" s="1577" t="s">
        <v>9371</v>
      </c>
      <c r="AB16" s="1577" t="s">
        <v>9372</v>
      </c>
      <c r="AC16" s="1577" t="s">
        <v>597</v>
      </c>
      <c r="AD16" s="1577" t="s">
        <v>3240</v>
      </c>
      <c r="AE16" s="1577" t="s">
        <v>5632</v>
      </c>
      <c r="AF16" s="1577" t="s">
        <v>9373</v>
      </c>
      <c r="AG16" s="1577" t="s">
        <v>309</v>
      </c>
      <c r="AH16" s="1577" t="s">
        <v>9374</v>
      </c>
      <c r="AI16" s="1577" t="s">
        <v>3220</v>
      </c>
      <c r="AJ16" s="1577" t="s">
        <v>9375</v>
      </c>
      <c r="AK16" s="1577" t="s">
        <v>9376</v>
      </c>
      <c r="AL16" s="1577" t="s">
        <v>344</v>
      </c>
      <c r="AM16" s="1577" t="s">
        <v>2227</v>
      </c>
      <c r="AN16" s="1577" t="s">
        <v>234</v>
      </c>
      <c r="AO16" s="1577" t="s">
        <v>9377</v>
      </c>
      <c r="AP16" s="1577" t="s">
        <v>9378</v>
      </c>
      <c r="AQ16" s="1627" t="s">
        <v>9379</v>
      </c>
      <c r="AR16" s="1577" t="s">
        <v>9380</v>
      </c>
      <c r="AS16" s="1577" t="s">
        <v>839</v>
      </c>
      <c r="AT16" s="1577" t="s">
        <v>2411</v>
      </c>
      <c r="AU16" s="1565" t="s">
        <v>9381</v>
      </c>
      <c r="AV16" s="1454" t="str">
        <f t="shared" si="1"/>
        <v>2:14</v>
      </c>
      <c r="AW16" s="1628"/>
    </row>
    <row r="17" ht="15.75" customHeight="1">
      <c r="A17" s="1534" t="s">
        <v>6411</v>
      </c>
      <c r="B17" s="1629" t="s">
        <v>9045</v>
      </c>
      <c r="C17" s="1536">
        <v>0.04982638888888889</v>
      </c>
      <c r="D17" s="1407" t="s">
        <v>9382</v>
      </c>
      <c r="E17" s="1407" t="s">
        <v>4848</v>
      </c>
      <c r="F17" s="1407" t="s">
        <v>9383</v>
      </c>
      <c r="G17" s="1407" t="s">
        <v>9384</v>
      </c>
      <c r="H17" s="1407" t="s">
        <v>9385</v>
      </c>
      <c r="I17" s="1407" t="s">
        <v>5310</v>
      </c>
      <c r="J17" s="1407" t="s">
        <v>9386</v>
      </c>
      <c r="K17" s="980" t="s">
        <v>9387</v>
      </c>
      <c r="L17" s="1407" t="s">
        <v>9388</v>
      </c>
      <c r="M17" s="1407" t="s">
        <v>9389</v>
      </c>
      <c r="N17" s="1407" t="s">
        <v>2100</v>
      </c>
      <c r="O17" s="1407" t="s">
        <v>9390</v>
      </c>
      <c r="P17" s="980" t="s">
        <v>4486</v>
      </c>
      <c r="Q17" s="1407" t="s">
        <v>9391</v>
      </c>
      <c r="R17" s="1407" t="s">
        <v>1872</v>
      </c>
      <c r="S17" s="1407" t="s">
        <v>3441</v>
      </c>
      <c r="T17" s="1407" t="s">
        <v>9392</v>
      </c>
      <c r="U17" s="1407" t="s">
        <v>9393</v>
      </c>
      <c r="V17" s="1407" t="s">
        <v>7718</v>
      </c>
      <c r="W17" s="1407" t="s">
        <v>5543</v>
      </c>
      <c r="X17" s="1407" t="s">
        <v>9060</v>
      </c>
      <c r="Y17" s="1407" t="s">
        <v>9168</v>
      </c>
      <c r="Z17" s="1407" t="s">
        <v>7846</v>
      </c>
      <c r="AA17" s="1630" t="s">
        <v>9394</v>
      </c>
      <c r="AB17" s="1407" t="s">
        <v>5958</v>
      </c>
      <c r="AC17" s="1407" t="s">
        <v>1027</v>
      </c>
      <c r="AD17" s="1407" t="s">
        <v>7041</v>
      </c>
      <c r="AE17" s="1407" t="s">
        <v>4974</v>
      </c>
      <c r="AF17" s="1407" t="s">
        <v>9395</v>
      </c>
      <c r="AG17" s="1407" t="s">
        <v>1529</v>
      </c>
      <c r="AH17" s="980" t="s">
        <v>9396</v>
      </c>
      <c r="AI17" s="1407" t="s">
        <v>8774</v>
      </c>
      <c r="AJ17" s="1407" t="s">
        <v>9397</v>
      </c>
      <c r="AK17" s="1407" t="s">
        <v>9398</v>
      </c>
      <c r="AL17" s="1407" t="s">
        <v>4429</v>
      </c>
      <c r="AM17" s="1407" t="s">
        <v>3464</v>
      </c>
      <c r="AN17" s="1407" t="s">
        <v>9399</v>
      </c>
      <c r="AO17" s="1407" t="s">
        <v>9204</v>
      </c>
      <c r="AP17" s="1571" t="s">
        <v>9173</v>
      </c>
      <c r="AQ17" s="1407" t="s">
        <v>9400</v>
      </c>
      <c r="AR17" s="1407" t="s">
        <v>9401</v>
      </c>
      <c r="AS17" s="1407" t="s">
        <v>8587</v>
      </c>
      <c r="AT17" s="1407" t="s">
        <v>9402</v>
      </c>
      <c r="AU17" s="1389" t="s">
        <v>9403</v>
      </c>
      <c r="AV17" s="1454" t="str">
        <f t="shared" si="1"/>
        <v>2:18</v>
      </c>
      <c r="AW17" s="1631" t="s">
        <v>9404</v>
      </c>
    </row>
    <row r="18">
      <c r="A18" s="1632" t="s">
        <v>2650</v>
      </c>
      <c r="B18" s="1584" t="s">
        <v>9072</v>
      </c>
      <c r="C18" s="1633">
        <v>0.04985763888888889</v>
      </c>
      <c r="D18" s="1333" t="s">
        <v>9405</v>
      </c>
      <c r="E18" s="1634" t="s">
        <v>9406</v>
      </c>
      <c r="F18" s="1619" t="s">
        <v>1147</v>
      </c>
      <c r="G18" s="1634" t="s">
        <v>9407</v>
      </c>
      <c r="H18" s="1077" t="s">
        <v>9408</v>
      </c>
      <c r="I18" s="801" t="s">
        <v>239</v>
      </c>
      <c r="J18" s="1635" t="s">
        <v>9409</v>
      </c>
      <c r="K18" s="1636" t="s">
        <v>1619</v>
      </c>
      <c r="L18" s="1635" t="s">
        <v>9410</v>
      </c>
      <c r="M18" s="1635" t="s">
        <v>9411</v>
      </c>
      <c r="N18" s="1636" t="s">
        <v>9412</v>
      </c>
      <c r="O18" s="1635" t="s">
        <v>9413</v>
      </c>
      <c r="P18" s="1635" t="s">
        <v>4557</v>
      </c>
      <c r="Q18" s="1637" t="s">
        <v>9414</v>
      </c>
      <c r="R18" s="1638" t="s">
        <v>5569</v>
      </c>
      <c r="S18" s="1637" t="s">
        <v>9415</v>
      </c>
      <c r="T18" s="1177" t="s">
        <v>9416</v>
      </c>
      <c r="U18" s="1177" t="s">
        <v>9417</v>
      </c>
      <c r="V18" s="1638" t="s">
        <v>6428</v>
      </c>
      <c r="W18" s="1639" t="s">
        <v>9418</v>
      </c>
      <c r="X18" s="1640" t="s">
        <v>6850</v>
      </c>
      <c r="Y18" s="1621" t="s">
        <v>8563</v>
      </c>
      <c r="Z18" s="1640" t="s">
        <v>9419</v>
      </c>
      <c r="AA18" s="1641" t="s">
        <v>1926</v>
      </c>
      <c r="AB18" s="1639" t="s">
        <v>9420</v>
      </c>
      <c r="AC18" s="1639" t="s">
        <v>4974</v>
      </c>
      <c r="AD18" s="1634" t="s">
        <v>9421</v>
      </c>
      <c r="AE18" s="1634" t="s">
        <v>5420</v>
      </c>
      <c r="AF18" s="1642" t="s">
        <v>9422</v>
      </c>
      <c r="AG18" s="1643" t="s">
        <v>156</v>
      </c>
      <c r="AH18" s="1643" t="s">
        <v>9423</v>
      </c>
      <c r="AI18" s="1642" t="s">
        <v>9424</v>
      </c>
      <c r="AJ18" s="1643" t="s">
        <v>9425</v>
      </c>
      <c r="AK18" s="1643" t="s">
        <v>2335</v>
      </c>
      <c r="AL18" s="1642" t="s">
        <v>4142</v>
      </c>
      <c r="AM18" s="1614" t="s">
        <v>9093</v>
      </c>
      <c r="AN18" s="1644" t="s">
        <v>4631</v>
      </c>
      <c r="AO18" s="1644" t="s">
        <v>9426</v>
      </c>
      <c r="AP18" s="1644" t="s">
        <v>9427</v>
      </c>
      <c r="AQ18" s="1644" t="s">
        <v>4575</v>
      </c>
      <c r="AR18" s="1644" t="s">
        <v>9428</v>
      </c>
      <c r="AS18" s="1644" t="s">
        <v>931</v>
      </c>
      <c r="AT18" s="1635" t="s">
        <v>9429</v>
      </c>
      <c r="AU18" s="1645" t="s">
        <v>9403</v>
      </c>
      <c r="AV18" s="1646" t="str">
        <f t="shared" si="1"/>
        <v>2:15</v>
      </c>
      <c r="AW18" s="1647"/>
    </row>
    <row r="19" ht="15.75" customHeight="1">
      <c r="A19" s="1534" t="s">
        <v>2089</v>
      </c>
      <c r="B19" s="1535" t="s">
        <v>9045</v>
      </c>
      <c r="C19" s="1536">
        <v>0.049895833333333334</v>
      </c>
      <c r="D19" s="980" t="s">
        <v>9430</v>
      </c>
      <c r="E19" s="1648" t="s">
        <v>956</v>
      </c>
      <c r="F19" s="1619" t="s">
        <v>9431</v>
      </c>
      <c r="G19" s="1648" t="s">
        <v>9432</v>
      </c>
      <c r="H19" s="801" t="s">
        <v>9433</v>
      </c>
      <c r="I19" s="904" t="s">
        <v>5634</v>
      </c>
      <c r="J19" s="1602" t="s">
        <v>9434</v>
      </c>
      <c r="K19" s="1649" t="s">
        <v>9435</v>
      </c>
      <c r="L19" s="1602" t="s">
        <v>9143</v>
      </c>
      <c r="M19" s="1602" t="s">
        <v>5093</v>
      </c>
      <c r="N19" s="1602" t="s">
        <v>9436</v>
      </c>
      <c r="O19" s="1649" t="s">
        <v>9437</v>
      </c>
      <c r="P19" s="980" t="s">
        <v>1069</v>
      </c>
      <c r="Q19" s="1605" t="s">
        <v>3517</v>
      </c>
      <c r="R19" s="1650" t="s">
        <v>7843</v>
      </c>
      <c r="S19" s="1650" t="s">
        <v>9438</v>
      </c>
      <c r="T19" s="1650" t="s">
        <v>9439</v>
      </c>
      <c r="U19" s="1650" t="s">
        <v>1830</v>
      </c>
      <c r="V19" s="1605" t="s">
        <v>4465</v>
      </c>
      <c r="W19" s="1621" t="s">
        <v>9440</v>
      </c>
      <c r="X19" s="1651" t="s">
        <v>9441</v>
      </c>
      <c r="Y19" s="1621" t="s">
        <v>9442</v>
      </c>
      <c r="Z19" s="1621" t="s">
        <v>9443</v>
      </c>
      <c r="AA19" s="1621" t="s">
        <v>3324</v>
      </c>
      <c r="AB19" s="1651" t="s">
        <v>7362</v>
      </c>
      <c r="AC19" s="1651" t="s">
        <v>1220</v>
      </c>
      <c r="AD19" s="1648" t="s">
        <v>9444</v>
      </c>
      <c r="AE19" s="1648" t="s">
        <v>9445</v>
      </c>
      <c r="AF19" s="1652" t="s">
        <v>9446</v>
      </c>
      <c r="AG19" s="1622" t="s">
        <v>9447</v>
      </c>
      <c r="AH19" s="1622" t="s">
        <v>9448</v>
      </c>
      <c r="AI19" s="1622" t="s">
        <v>9449</v>
      </c>
      <c r="AJ19" s="1652" t="s">
        <v>9450</v>
      </c>
      <c r="AK19" s="1652" t="s">
        <v>962</v>
      </c>
      <c r="AL19" s="1622" t="s">
        <v>9451</v>
      </c>
      <c r="AM19" s="1624" t="s">
        <v>9452</v>
      </c>
      <c r="AN19" s="1623" t="s">
        <v>3165</v>
      </c>
      <c r="AO19" s="1624" t="s">
        <v>6988</v>
      </c>
      <c r="AP19" s="1623" t="s">
        <v>5722</v>
      </c>
      <c r="AQ19" s="1624" t="s">
        <v>9453</v>
      </c>
      <c r="AR19" s="1623" t="s">
        <v>1161</v>
      </c>
      <c r="AS19" s="1623" t="s">
        <v>3952</v>
      </c>
      <c r="AT19" s="1649" t="s">
        <v>6591</v>
      </c>
      <c r="AU19" s="1646" t="s">
        <v>9454</v>
      </c>
      <c r="AV19" s="1454" t="str">
        <f t="shared" si="1"/>
        <v>2:22</v>
      </c>
      <c r="AW19" s="1593" t="s">
        <v>9455</v>
      </c>
    </row>
    <row r="20">
      <c r="A20" s="1596" t="s">
        <v>1550</v>
      </c>
      <c r="B20" s="1584" t="s">
        <v>9045</v>
      </c>
      <c r="C20" s="1536">
        <v>0.04991898148148148</v>
      </c>
      <c r="D20" s="1653" t="s">
        <v>9456</v>
      </c>
      <c r="E20" s="1654" t="s">
        <v>9457</v>
      </c>
      <c r="F20" s="1654" t="s">
        <v>9458</v>
      </c>
      <c r="G20" s="1654" t="s">
        <v>9459</v>
      </c>
      <c r="H20" s="1654" t="s">
        <v>9460</v>
      </c>
      <c r="I20" s="1654">
        <v>48.07</v>
      </c>
      <c r="J20" s="1654" t="s">
        <v>9419</v>
      </c>
      <c r="K20" s="1654" t="s">
        <v>1791</v>
      </c>
      <c r="L20" s="1654">
        <v>56.32</v>
      </c>
      <c r="M20" s="1654" t="s">
        <v>175</v>
      </c>
      <c r="N20" s="1654" t="s">
        <v>9461</v>
      </c>
      <c r="O20" s="1654" t="s">
        <v>9462</v>
      </c>
      <c r="P20" s="1654">
        <v>47.77</v>
      </c>
      <c r="Q20" s="1654" t="s">
        <v>9463</v>
      </c>
      <c r="R20" s="1654" t="s">
        <v>6874</v>
      </c>
      <c r="S20" s="1654" t="s">
        <v>9464</v>
      </c>
      <c r="T20" s="1654" t="s">
        <v>2667</v>
      </c>
      <c r="U20" s="1654" t="s">
        <v>9465</v>
      </c>
      <c r="V20" s="1654">
        <v>59.79</v>
      </c>
      <c r="W20" s="1654" t="s">
        <v>9466</v>
      </c>
      <c r="X20" s="1654" t="s">
        <v>1926</v>
      </c>
      <c r="Y20" s="1654">
        <v>47.0</v>
      </c>
      <c r="Z20" s="1654" t="s">
        <v>9467</v>
      </c>
      <c r="AA20" s="1654" t="s">
        <v>9468</v>
      </c>
      <c r="AB20" s="1654" t="s">
        <v>6799</v>
      </c>
      <c r="AC20" s="1654">
        <v>47.56</v>
      </c>
      <c r="AD20" s="1654" t="s">
        <v>9086</v>
      </c>
      <c r="AE20" s="1654">
        <v>47.95</v>
      </c>
      <c r="AF20" s="1654" t="s">
        <v>9469</v>
      </c>
      <c r="AG20" s="1654" t="s">
        <v>9470</v>
      </c>
      <c r="AH20" s="1654">
        <v>57.67</v>
      </c>
      <c r="AI20" s="1654" t="s">
        <v>1049</v>
      </c>
      <c r="AJ20" s="1654" t="s">
        <v>9471</v>
      </c>
      <c r="AK20" s="1654" t="s">
        <v>7395</v>
      </c>
      <c r="AL20" s="1654">
        <v>56.37</v>
      </c>
      <c r="AM20" s="1654" t="s">
        <v>9472</v>
      </c>
      <c r="AN20" s="1654">
        <v>55.92</v>
      </c>
      <c r="AO20" s="1654" t="s">
        <v>4517</v>
      </c>
      <c r="AP20" s="1654" t="s">
        <v>8938</v>
      </c>
      <c r="AQ20" s="1654" t="s">
        <v>9473</v>
      </c>
      <c r="AR20" s="1654" t="s">
        <v>7532</v>
      </c>
      <c r="AS20" s="1654">
        <v>46.83</v>
      </c>
      <c r="AT20" s="1655" t="s">
        <v>9474</v>
      </c>
      <c r="AU20" s="1577" t="s">
        <v>9475</v>
      </c>
      <c r="AV20" s="1454" t="str">
        <f t="shared" si="1"/>
        <v>1:53</v>
      </c>
      <c r="AW20" s="1587" t="s">
        <v>9476</v>
      </c>
    </row>
    <row r="21">
      <c r="A21" s="1596" t="s">
        <v>2107</v>
      </c>
      <c r="B21" s="1584" t="s">
        <v>9045</v>
      </c>
      <c r="C21" s="1656">
        <v>0.049930555555555554</v>
      </c>
      <c r="D21" s="1657" t="s">
        <v>9477</v>
      </c>
      <c r="E21" s="1577" t="s">
        <v>6465</v>
      </c>
      <c r="F21" s="1577" t="s">
        <v>4238</v>
      </c>
      <c r="G21" s="1577" t="s">
        <v>9478</v>
      </c>
      <c r="H21" s="1577" t="s">
        <v>9479</v>
      </c>
      <c r="I21" s="1577" t="s">
        <v>5829</v>
      </c>
      <c r="J21" s="1577" t="s">
        <v>6438</v>
      </c>
      <c r="K21" s="1577" t="s">
        <v>9480</v>
      </c>
      <c r="L21" s="1577" t="s">
        <v>3582</v>
      </c>
      <c r="M21" s="1577" t="s">
        <v>1088</v>
      </c>
      <c r="N21" s="1577" t="s">
        <v>9481</v>
      </c>
      <c r="O21" s="1577" t="s">
        <v>800</v>
      </c>
      <c r="P21" s="1573">
        <v>47.54</v>
      </c>
      <c r="Q21" s="1658" t="s">
        <v>5836</v>
      </c>
      <c r="R21" s="1573" t="s">
        <v>9482</v>
      </c>
      <c r="S21" s="1658" t="s">
        <v>9314</v>
      </c>
      <c r="T21" s="1573" t="s">
        <v>9483</v>
      </c>
      <c r="U21" s="1658" t="s">
        <v>9484</v>
      </c>
      <c r="V21" s="1573">
        <v>58.55</v>
      </c>
      <c r="W21" s="1658" t="s">
        <v>9485</v>
      </c>
      <c r="X21" s="1658" t="s">
        <v>9486</v>
      </c>
      <c r="Y21" s="1542" t="s">
        <v>9196</v>
      </c>
      <c r="Z21" s="1658" t="s">
        <v>9487</v>
      </c>
      <c r="AA21" s="1577" t="s">
        <v>9488</v>
      </c>
      <c r="AB21" s="1658" t="s">
        <v>9372</v>
      </c>
      <c r="AC21" s="1454">
        <v>47.2</v>
      </c>
      <c r="AD21" s="1658" t="s">
        <v>9489</v>
      </c>
      <c r="AE21" s="1573">
        <v>47.88</v>
      </c>
      <c r="AF21" s="1658" t="s">
        <v>9490</v>
      </c>
      <c r="AG21" s="1658" t="s">
        <v>9491</v>
      </c>
      <c r="AH21" s="1658">
        <v>57.68</v>
      </c>
      <c r="AI21" s="1658" t="s">
        <v>2927</v>
      </c>
      <c r="AJ21" s="1573" t="s">
        <v>9492</v>
      </c>
      <c r="AK21" s="1542" t="s">
        <v>9493</v>
      </c>
      <c r="AL21" s="1658">
        <v>55.92</v>
      </c>
      <c r="AM21" s="1658" t="s">
        <v>2968</v>
      </c>
      <c r="AN21" s="1542" t="s">
        <v>5845</v>
      </c>
      <c r="AO21" s="1658" t="s">
        <v>7834</v>
      </c>
      <c r="AP21" s="1658" t="s">
        <v>9494</v>
      </c>
      <c r="AQ21" s="1658" t="s">
        <v>7011</v>
      </c>
      <c r="AR21" s="1658" t="s">
        <v>6537</v>
      </c>
      <c r="AS21" s="1659">
        <v>42.83</v>
      </c>
      <c r="AT21" s="1573" t="s">
        <v>9495</v>
      </c>
      <c r="AU21" s="1586" t="s">
        <v>9496</v>
      </c>
      <c r="AV21" s="1454" t="str">
        <f t="shared" si="1"/>
        <v>4:29</v>
      </c>
      <c r="AW21" s="1587" t="s">
        <v>9497</v>
      </c>
    </row>
    <row r="22" ht="15.75" customHeight="1">
      <c r="A22" s="1596" t="s">
        <v>2265</v>
      </c>
      <c r="B22" s="1535" t="s">
        <v>9045</v>
      </c>
      <c r="C22" s="1536">
        <v>0.0499537037037037</v>
      </c>
      <c r="D22" s="1565" t="s">
        <v>9498</v>
      </c>
      <c r="E22" s="1565" t="s">
        <v>2882</v>
      </c>
      <c r="F22" s="1565" t="s">
        <v>9499</v>
      </c>
      <c r="G22" s="1542" t="s">
        <v>9500</v>
      </c>
      <c r="H22" s="1565" t="s">
        <v>9501</v>
      </c>
      <c r="I22" s="1660" t="s">
        <v>9445</v>
      </c>
      <c r="J22" s="1565" t="s">
        <v>1417</v>
      </c>
      <c r="K22" s="1565" t="s">
        <v>5263</v>
      </c>
      <c r="L22" s="1565" t="s">
        <v>9502</v>
      </c>
      <c r="M22" s="1565" t="s">
        <v>9503</v>
      </c>
      <c r="N22" s="1565" t="s">
        <v>9504</v>
      </c>
      <c r="O22" s="1565" t="s">
        <v>9505</v>
      </c>
      <c r="P22" s="1565" t="s">
        <v>7733</v>
      </c>
      <c r="Q22" s="1565" t="s">
        <v>4632</v>
      </c>
      <c r="R22" s="1605" t="s">
        <v>5569</v>
      </c>
      <c r="S22" s="1565" t="s">
        <v>4072</v>
      </c>
      <c r="T22" s="1565" t="s">
        <v>9238</v>
      </c>
      <c r="U22" s="1565" t="s">
        <v>9506</v>
      </c>
      <c r="V22" s="1565" t="s">
        <v>9507</v>
      </c>
      <c r="W22" s="1565" t="s">
        <v>9508</v>
      </c>
      <c r="X22" s="1565" t="s">
        <v>7363</v>
      </c>
      <c r="Y22" s="1565" t="s">
        <v>4357</v>
      </c>
      <c r="Z22" s="1565" t="s">
        <v>9509</v>
      </c>
      <c r="AA22" s="1565" t="s">
        <v>7363</v>
      </c>
      <c r="AB22" s="1565" t="s">
        <v>9510</v>
      </c>
      <c r="AC22" s="1565" t="s">
        <v>5684</v>
      </c>
      <c r="AD22" s="1565" t="s">
        <v>7442</v>
      </c>
      <c r="AE22" s="1565" t="s">
        <v>5947</v>
      </c>
      <c r="AF22" s="1565" t="s">
        <v>9511</v>
      </c>
      <c r="AG22" s="1565" t="s">
        <v>5098</v>
      </c>
      <c r="AH22" s="1565" t="s">
        <v>5281</v>
      </c>
      <c r="AI22" s="1565" t="s">
        <v>9512</v>
      </c>
      <c r="AJ22" s="1541" t="s">
        <v>9062</v>
      </c>
      <c r="AK22" s="1565" t="s">
        <v>2532</v>
      </c>
      <c r="AL22" s="1565" t="s">
        <v>9513</v>
      </c>
      <c r="AM22" s="1565" t="s">
        <v>9217</v>
      </c>
      <c r="AN22" s="1565" t="s">
        <v>557</v>
      </c>
      <c r="AO22" s="1565" t="s">
        <v>9514</v>
      </c>
      <c r="AP22" s="1565" t="s">
        <v>9515</v>
      </c>
      <c r="AQ22" s="1565" t="s">
        <v>4834</v>
      </c>
      <c r="AR22" s="1565" t="s">
        <v>7533</v>
      </c>
      <c r="AS22" s="1565" t="s">
        <v>9516</v>
      </c>
      <c r="AT22" s="1565" t="s">
        <v>3124</v>
      </c>
      <c r="AU22" s="1565" t="s">
        <v>9517</v>
      </c>
      <c r="AV22" s="1454" t="str">
        <f t="shared" si="1"/>
        <v>3:21</v>
      </c>
      <c r="AW22" s="1631" t="s">
        <v>9518</v>
      </c>
    </row>
    <row r="23" ht="15.75" customHeight="1">
      <c r="A23" s="1534" t="s">
        <v>9519</v>
      </c>
      <c r="B23" s="1535" t="s">
        <v>9045</v>
      </c>
      <c r="C23" s="1536">
        <v>0.049965277777777775</v>
      </c>
      <c r="D23" s="980" t="s">
        <v>9520</v>
      </c>
      <c r="E23" s="1565" t="s">
        <v>4380</v>
      </c>
      <c r="F23" s="1565" t="s">
        <v>9521</v>
      </c>
      <c r="G23" s="1565" t="s">
        <v>9522</v>
      </c>
      <c r="H23" s="1454" t="s">
        <v>2289</v>
      </c>
      <c r="I23" s="1565" t="s">
        <v>1385</v>
      </c>
      <c r="J23" s="1565" t="s">
        <v>381</v>
      </c>
      <c r="K23" s="1565" t="s">
        <v>9523</v>
      </c>
      <c r="L23" s="1565" t="s">
        <v>5500</v>
      </c>
      <c r="M23" s="1565" t="s">
        <v>6618</v>
      </c>
      <c r="N23" s="1565" t="s">
        <v>9524</v>
      </c>
      <c r="O23" s="1565" t="s">
        <v>2616</v>
      </c>
      <c r="P23" s="1454" t="s">
        <v>5348</v>
      </c>
      <c r="Q23" s="1565" t="s">
        <v>9525</v>
      </c>
      <c r="R23" s="1565" t="s">
        <v>3302</v>
      </c>
      <c r="S23" s="1565" t="s">
        <v>7255</v>
      </c>
      <c r="T23" s="1565" t="s">
        <v>8826</v>
      </c>
      <c r="U23" s="1565" t="s">
        <v>9526</v>
      </c>
      <c r="V23" s="1565" t="s">
        <v>5049</v>
      </c>
      <c r="W23" s="1565" t="s">
        <v>9527</v>
      </c>
      <c r="X23" s="1454" t="s">
        <v>6850</v>
      </c>
      <c r="Y23" s="1454" t="s">
        <v>5618</v>
      </c>
      <c r="Z23" s="1565" t="s">
        <v>9528</v>
      </c>
      <c r="AA23" s="1565" t="s">
        <v>2332</v>
      </c>
      <c r="AB23" s="1565" t="s">
        <v>9529</v>
      </c>
      <c r="AC23" s="1565" t="s">
        <v>786</v>
      </c>
      <c r="AD23" s="1565" t="s">
        <v>5360</v>
      </c>
      <c r="AE23" s="1565" t="s">
        <v>9530</v>
      </c>
      <c r="AF23" s="1565" t="s">
        <v>945</v>
      </c>
      <c r="AG23" s="1565" t="s">
        <v>9531</v>
      </c>
      <c r="AH23" s="1565" t="s">
        <v>6177</v>
      </c>
      <c r="AI23" s="1565" t="s">
        <v>692</v>
      </c>
      <c r="AJ23" s="1454" t="s">
        <v>9532</v>
      </c>
      <c r="AK23" s="1622" t="s">
        <v>7188</v>
      </c>
      <c r="AL23" s="1565" t="s">
        <v>4624</v>
      </c>
      <c r="AM23" s="1565" t="s">
        <v>3716</v>
      </c>
      <c r="AN23" s="1454" t="s">
        <v>6312</v>
      </c>
      <c r="AO23" s="1454" t="s">
        <v>7533</v>
      </c>
      <c r="AP23" s="1454" t="s">
        <v>9533</v>
      </c>
      <c r="AQ23" s="1454" t="s">
        <v>9179</v>
      </c>
      <c r="AR23" s="1454" t="s">
        <v>490</v>
      </c>
      <c r="AS23" s="1454" t="s">
        <v>5854</v>
      </c>
      <c r="AT23" s="1454" t="s">
        <v>9395</v>
      </c>
      <c r="AU23" s="1565" t="s">
        <v>9534</v>
      </c>
      <c r="AV23" s="1454" t="str">
        <f t="shared" si="1"/>
        <v>3:46</v>
      </c>
      <c r="AW23" s="1628" t="s">
        <v>8596</v>
      </c>
    </row>
    <row r="24" ht="15.75" customHeight="1">
      <c r="A24" s="1661" t="s">
        <v>6365</v>
      </c>
      <c r="B24" s="1535" t="s">
        <v>9045</v>
      </c>
      <c r="C24" s="1536">
        <v>0.05</v>
      </c>
      <c r="D24" s="980" t="s">
        <v>9535</v>
      </c>
      <c r="E24" s="1565" t="s">
        <v>8858</v>
      </c>
      <c r="F24" s="1565" t="s">
        <v>9499</v>
      </c>
      <c r="G24" s="1454" t="s">
        <v>9536</v>
      </c>
      <c r="H24" s="1565" t="s">
        <v>9537</v>
      </c>
      <c r="I24" s="1454" t="s">
        <v>1849</v>
      </c>
      <c r="J24" s="1565" t="s">
        <v>2870</v>
      </c>
      <c r="K24" s="1565" t="s">
        <v>9538</v>
      </c>
      <c r="L24" s="1565" t="s">
        <v>3322</v>
      </c>
      <c r="M24" s="1565" t="s">
        <v>9539</v>
      </c>
      <c r="N24" s="1565" t="s">
        <v>9540</v>
      </c>
      <c r="O24" s="1565" t="s">
        <v>9485</v>
      </c>
      <c r="P24" s="1454" t="s">
        <v>4020</v>
      </c>
      <c r="Q24" s="1565" t="s">
        <v>1853</v>
      </c>
      <c r="R24" s="1565" t="s">
        <v>6816</v>
      </c>
      <c r="S24" s="1565" t="s">
        <v>8022</v>
      </c>
      <c r="T24" s="1565" t="s">
        <v>6876</v>
      </c>
      <c r="U24" s="1565" t="s">
        <v>9541</v>
      </c>
      <c r="V24" s="1565" t="s">
        <v>9542</v>
      </c>
      <c r="W24" s="1565" t="s">
        <v>9543</v>
      </c>
      <c r="X24" s="1565" t="s">
        <v>9371</v>
      </c>
      <c r="Y24" s="1565" t="s">
        <v>9544</v>
      </c>
      <c r="Z24" s="1565" t="s">
        <v>9545</v>
      </c>
      <c r="AA24" s="1565" t="s">
        <v>9369</v>
      </c>
      <c r="AB24" s="1565" t="s">
        <v>9546</v>
      </c>
      <c r="AC24" s="1454" t="s">
        <v>1890</v>
      </c>
      <c r="AD24" s="1565" t="s">
        <v>9547</v>
      </c>
      <c r="AE24" s="1454" t="s">
        <v>5606</v>
      </c>
      <c r="AF24" s="1662" t="s">
        <v>9059</v>
      </c>
      <c r="AG24" s="1565" t="s">
        <v>608</v>
      </c>
      <c r="AH24" s="1565" t="s">
        <v>8004</v>
      </c>
      <c r="AI24" s="1565" t="s">
        <v>309</v>
      </c>
      <c r="AJ24" s="1454" t="s">
        <v>9548</v>
      </c>
      <c r="AK24" s="1565" t="s">
        <v>9549</v>
      </c>
      <c r="AL24" s="1454" t="s">
        <v>3271</v>
      </c>
      <c r="AM24" s="1565" t="s">
        <v>2059</v>
      </c>
      <c r="AN24" s="1454" t="s">
        <v>2634</v>
      </c>
      <c r="AO24" s="1565" t="s">
        <v>3491</v>
      </c>
      <c r="AP24" s="1565" t="s">
        <v>9550</v>
      </c>
      <c r="AQ24" s="1454" t="s">
        <v>9551</v>
      </c>
      <c r="AR24" s="1565" t="s">
        <v>1758</v>
      </c>
      <c r="AS24" s="1454" t="s">
        <v>8587</v>
      </c>
      <c r="AT24" s="1565" t="s">
        <v>9552</v>
      </c>
      <c r="AU24" s="1565" t="s">
        <v>9553</v>
      </c>
      <c r="AV24" s="1454" t="str">
        <f t="shared" si="1"/>
        <v>1:53</v>
      </c>
      <c r="AW24" s="1628"/>
    </row>
    <row r="25" ht="15.75" customHeight="1">
      <c r="A25" s="1596" t="s">
        <v>2681</v>
      </c>
      <c r="B25" s="1584" t="s">
        <v>9072</v>
      </c>
      <c r="C25" s="1536">
        <v>0.05008101851851852</v>
      </c>
      <c r="D25" s="980" t="s">
        <v>9554</v>
      </c>
      <c r="E25" s="980" t="s">
        <v>9555</v>
      </c>
      <c r="F25" s="980" t="s">
        <v>9465</v>
      </c>
      <c r="G25" s="980" t="s">
        <v>9556</v>
      </c>
      <c r="H25" s="980" t="s">
        <v>9557</v>
      </c>
      <c r="I25" s="980" t="s">
        <v>9558</v>
      </c>
      <c r="J25" s="1600" t="s">
        <v>1351</v>
      </c>
      <c r="K25" s="980" t="s">
        <v>1091</v>
      </c>
      <c r="L25" s="980" t="s">
        <v>9410</v>
      </c>
      <c r="M25" s="1602" t="s">
        <v>9389</v>
      </c>
      <c r="N25" s="1600" t="s">
        <v>2502</v>
      </c>
      <c r="O25" s="980" t="s">
        <v>9559</v>
      </c>
      <c r="P25" s="1600" t="s">
        <v>5606</v>
      </c>
      <c r="Q25" s="1600" t="s">
        <v>5814</v>
      </c>
      <c r="R25" s="980" t="s">
        <v>6773</v>
      </c>
      <c r="S25" s="980" t="s">
        <v>336</v>
      </c>
      <c r="T25" s="1600" t="s">
        <v>9082</v>
      </c>
      <c r="U25" s="980" t="s">
        <v>9560</v>
      </c>
      <c r="V25" s="980" t="s">
        <v>9561</v>
      </c>
      <c r="W25" s="980" t="s">
        <v>6739</v>
      </c>
      <c r="X25" s="980" t="s">
        <v>5900</v>
      </c>
      <c r="Y25" s="980" t="s">
        <v>5161</v>
      </c>
      <c r="Z25" s="980" t="s">
        <v>1130</v>
      </c>
      <c r="AA25" s="980" t="s">
        <v>9424</v>
      </c>
      <c r="AB25" s="980" t="s">
        <v>2520</v>
      </c>
      <c r="AC25" s="980" t="s">
        <v>1834</v>
      </c>
      <c r="AD25" s="980" t="s">
        <v>6325</v>
      </c>
      <c r="AE25" s="980" t="s">
        <v>3316</v>
      </c>
      <c r="AF25" s="980" t="s">
        <v>9091</v>
      </c>
      <c r="AG25" s="980" t="s">
        <v>9562</v>
      </c>
      <c r="AH25" s="980" t="s">
        <v>5015</v>
      </c>
      <c r="AI25" s="980" t="s">
        <v>3426</v>
      </c>
      <c r="AJ25" s="980" t="s">
        <v>9563</v>
      </c>
      <c r="AK25" s="980" t="s">
        <v>9564</v>
      </c>
      <c r="AL25" s="980" t="s">
        <v>5314</v>
      </c>
      <c r="AM25" s="980" t="s">
        <v>9157</v>
      </c>
      <c r="AN25" s="980" t="s">
        <v>4421</v>
      </c>
      <c r="AO25" s="980" t="s">
        <v>6931</v>
      </c>
      <c r="AP25" s="980" t="s">
        <v>9565</v>
      </c>
      <c r="AQ25" s="980" t="s">
        <v>9566</v>
      </c>
      <c r="AR25" s="980" t="s">
        <v>9567</v>
      </c>
      <c r="AS25" s="980" t="s">
        <v>4675</v>
      </c>
      <c r="AT25" s="980" t="s">
        <v>9568</v>
      </c>
      <c r="AU25" s="1622" t="s">
        <v>9096</v>
      </c>
      <c r="AV25" s="1454" t="str">
        <f t="shared" si="1"/>
        <v>2:51</v>
      </c>
      <c r="AW25" s="1663"/>
    </row>
    <row r="26">
      <c r="A26" s="1596" t="s">
        <v>7511</v>
      </c>
      <c r="B26" s="1594" t="s">
        <v>9072</v>
      </c>
      <c r="C26" s="1536">
        <v>0.05016203703703704</v>
      </c>
      <c r="D26" s="1573" t="s">
        <v>9569</v>
      </c>
      <c r="E26" s="1664" t="s">
        <v>6710</v>
      </c>
      <c r="F26" s="1573" t="s">
        <v>9570</v>
      </c>
      <c r="G26" s="1573" t="s">
        <v>9571</v>
      </c>
      <c r="H26" s="1573" t="s">
        <v>9572</v>
      </c>
      <c r="I26" s="1573" t="s">
        <v>5420</v>
      </c>
      <c r="J26" s="1573" t="s">
        <v>9573</v>
      </c>
      <c r="K26" s="1573" t="s">
        <v>5240</v>
      </c>
      <c r="L26" s="980" t="s">
        <v>5156</v>
      </c>
      <c r="M26" s="1600" t="s">
        <v>9078</v>
      </c>
      <c r="N26" s="1573" t="s">
        <v>9574</v>
      </c>
      <c r="O26" s="1573" t="s">
        <v>9575</v>
      </c>
      <c r="P26" s="1573" t="s">
        <v>5973</v>
      </c>
      <c r="Q26" s="1573" t="s">
        <v>2808</v>
      </c>
      <c r="R26" s="1573" t="s">
        <v>969</v>
      </c>
      <c r="S26" s="1573" t="s">
        <v>9576</v>
      </c>
      <c r="T26" s="1573" t="s">
        <v>1390</v>
      </c>
      <c r="U26" s="1573" t="s">
        <v>9417</v>
      </c>
      <c r="V26" s="1573" t="s">
        <v>9577</v>
      </c>
      <c r="W26" s="1573" t="s">
        <v>9578</v>
      </c>
      <c r="X26" s="1573" t="s">
        <v>1300</v>
      </c>
      <c r="Y26" s="1573" t="s">
        <v>1092</v>
      </c>
      <c r="Z26" s="1573" t="s">
        <v>9487</v>
      </c>
      <c r="AA26" s="1573" t="s">
        <v>9579</v>
      </c>
      <c r="AB26" s="1573" t="s">
        <v>9580</v>
      </c>
      <c r="AC26" s="1573" t="s">
        <v>4804</v>
      </c>
      <c r="AD26" s="1573" t="s">
        <v>9581</v>
      </c>
      <c r="AE26" s="1573" t="s">
        <v>2657</v>
      </c>
      <c r="AF26" s="1573" t="s">
        <v>5862</v>
      </c>
      <c r="AG26" s="1573" t="s">
        <v>9582</v>
      </c>
      <c r="AH26" s="1573" t="s">
        <v>4300</v>
      </c>
      <c r="AI26" s="1565" t="s">
        <v>4166</v>
      </c>
      <c r="AJ26" s="1573" t="s">
        <v>9583</v>
      </c>
      <c r="AK26" s="1573" t="s">
        <v>9409</v>
      </c>
      <c r="AL26" s="1573" t="s">
        <v>2514</v>
      </c>
      <c r="AM26" s="1573" t="s">
        <v>4077</v>
      </c>
      <c r="AN26" s="1573" t="s">
        <v>6087</v>
      </c>
      <c r="AO26" s="1573" t="s">
        <v>9584</v>
      </c>
      <c r="AP26" s="1573" t="s">
        <v>9585</v>
      </c>
      <c r="AQ26" s="1573" t="s">
        <v>4062</v>
      </c>
      <c r="AR26" s="1573" t="s">
        <v>2744</v>
      </c>
      <c r="AS26" s="1573" t="s">
        <v>756</v>
      </c>
      <c r="AT26" s="1573" t="s">
        <v>9586</v>
      </c>
      <c r="AU26" s="1565" t="s">
        <v>9587</v>
      </c>
      <c r="AV26" s="1454" t="str">
        <f t="shared" si="1"/>
        <v>3:20</v>
      </c>
      <c r="AW26" s="1065"/>
    </row>
    <row r="27" ht="15.75" customHeight="1">
      <c r="A27" s="1562" t="s">
        <v>1413</v>
      </c>
      <c r="B27" s="1535" t="s">
        <v>9045</v>
      </c>
      <c r="C27" s="1536">
        <v>0.05025462962962963</v>
      </c>
      <c r="D27" s="980" t="s">
        <v>9588</v>
      </c>
      <c r="E27" s="1619" t="s">
        <v>9589</v>
      </c>
      <c r="F27" s="1648" t="s">
        <v>9590</v>
      </c>
      <c r="G27" s="1542" t="s">
        <v>9591</v>
      </c>
      <c r="H27" s="904" t="s">
        <v>9592</v>
      </c>
      <c r="I27" s="904" t="s">
        <v>1044</v>
      </c>
      <c r="J27" s="1602" t="s">
        <v>7382</v>
      </c>
      <c r="K27" s="1649" t="s">
        <v>8136</v>
      </c>
      <c r="L27" s="1649" t="s">
        <v>5206</v>
      </c>
      <c r="M27" s="1665" t="str">
        <f>HYPERLINK("https://youtu.be/teAIifUZjFw","1:14.18")</f>
        <v>1:14.18</v>
      </c>
      <c r="N27" s="1649" t="s">
        <v>3779</v>
      </c>
      <c r="O27" s="1649" t="s">
        <v>9593</v>
      </c>
      <c r="P27" s="1649" t="s">
        <v>2098</v>
      </c>
      <c r="Q27" s="1650" t="s">
        <v>9594</v>
      </c>
      <c r="R27" s="1605" t="s">
        <v>9595</v>
      </c>
      <c r="S27" s="1605" t="s">
        <v>5534</v>
      </c>
      <c r="T27" s="1666" t="str">
        <f>HYPERLINK("https://youtu.be/AiXricVH5ss","1:24.99")</f>
        <v>1:24.99</v>
      </c>
      <c r="U27" s="1667" t="str">
        <f>HYPERLINK("https://www.twitch.tv/videos/450151935","2:00.31")</f>
        <v>2:00.31</v>
      </c>
      <c r="V27" s="1605" t="s">
        <v>9083</v>
      </c>
      <c r="W27" s="1668" t="str">
        <f>HYPERLINK("https://youtu.be/eafNhBoXVWA","1:46.09")</f>
        <v>1:46.09</v>
      </c>
      <c r="X27" s="1651" t="s">
        <v>4483</v>
      </c>
      <c r="Y27" s="1651" t="s">
        <v>9311</v>
      </c>
      <c r="Z27" s="1651" t="s">
        <v>9596</v>
      </c>
      <c r="AA27" s="1621" t="s">
        <v>9263</v>
      </c>
      <c r="AB27" s="1651" t="s">
        <v>7170</v>
      </c>
      <c r="AC27" s="1651" t="s">
        <v>7213</v>
      </c>
      <c r="AD27" s="1669" t="str">
        <f>HYPERLINK("https://youtu.be/8FEcTKESSh0","1:49.80")</f>
        <v>1:49.80</v>
      </c>
      <c r="AE27" s="1619" t="s">
        <v>5071</v>
      </c>
      <c r="AF27" s="1652" t="s">
        <v>9597</v>
      </c>
      <c r="AG27" s="1652" t="s">
        <v>9598</v>
      </c>
      <c r="AH27" s="1652" t="s">
        <v>9599</v>
      </c>
      <c r="AI27" s="1652" t="s">
        <v>4078</v>
      </c>
      <c r="AJ27" s="1652" t="s">
        <v>9600</v>
      </c>
      <c r="AK27" s="1622" t="s">
        <v>9483</v>
      </c>
      <c r="AL27" s="1652" t="s">
        <v>9601</v>
      </c>
      <c r="AM27" s="1624" t="s">
        <v>9452</v>
      </c>
      <c r="AN27" s="1624" t="s">
        <v>8827</v>
      </c>
      <c r="AO27" s="1624" t="s">
        <v>9567</v>
      </c>
      <c r="AP27" s="1623" t="s">
        <v>9602</v>
      </c>
      <c r="AQ27" s="1623" t="s">
        <v>9603</v>
      </c>
      <c r="AR27" s="1624" t="s">
        <v>9604</v>
      </c>
      <c r="AS27" s="1623" t="s">
        <v>5662</v>
      </c>
      <c r="AT27" s="1665" t="str">
        <f>HYPERLINK("https://youtu.be/xDirVtS1AZ4?t=4416","2:27.45")</f>
        <v>2:27.45</v>
      </c>
      <c r="AU27" s="1646" t="s">
        <v>9605</v>
      </c>
      <c r="AV27" s="1454" t="str">
        <f t="shared" si="1"/>
        <v>2:34</v>
      </c>
      <c r="AW27" s="1593" t="s">
        <v>9606</v>
      </c>
    </row>
    <row r="28">
      <c r="A28" s="1596" t="s">
        <v>7019</v>
      </c>
      <c r="B28" s="1594" t="s">
        <v>9045</v>
      </c>
      <c r="C28" s="1536">
        <v>0.0502662037037037</v>
      </c>
      <c r="D28" s="980" t="s">
        <v>9607</v>
      </c>
      <c r="E28" s="1565" t="s">
        <v>9253</v>
      </c>
      <c r="F28" s="1565" t="s">
        <v>9608</v>
      </c>
      <c r="G28" s="1565" t="s">
        <v>9609</v>
      </c>
      <c r="H28" s="1565" t="s">
        <v>9610</v>
      </c>
      <c r="I28" s="980" t="s">
        <v>263</v>
      </c>
      <c r="J28" s="980" t="s">
        <v>6191</v>
      </c>
      <c r="K28" s="1565" t="s">
        <v>9538</v>
      </c>
      <c r="L28" s="1565" t="s">
        <v>3582</v>
      </c>
      <c r="M28" s="980" t="s">
        <v>2790</v>
      </c>
      <c r="N28" s="1565" t="s">
        <v>9611</v>
      </c>
      <c r="O28" s="1565" t="s">
        <v>9612</v>
      </c>
      <c r="P28" s="980" t="s">
        <v>9613</v>
      </c>
      <c r="Q28" s="1565" t="s">
        <v>9614</v>
      </c>
      <c r="R28" s="980" t="s">
        <v>9615</v>
      </c>
      <c r="S28" s="1565" t="s">
        <v>9616</v>
      </c>
      <c r="T28" s="980" t="s">
        <v>9617</v>
      </c>
      <c r="U28" s="1565" t="s">
        <v>1029</v>
      </c>
      <c r="V28" s="980" t="s">
        <v>5049</v>
      </c>
      <c r="W28" s="980" t="s">
        <v>6741</v>
      </c>
      <c r="X28" s="980" t="s">
        <v>6850</v>
      </c>
      <c r="Y28" s="980" t="s">
        <v>883</v>
      </c>
      <c r="Z28" s="980" t="s">
        <v>9618</v>
      </c>
      <c r="AA28" s="1565" t="s">
        <v>9619</v>
      </c>
      <c r="AB28" s="980" t="s">
        <v>7212</v>
      </c>
      <c r="AC28" s="1565" t="s">
        <v>9558</v>
      </c>
      <c r="AD28" s="980" t="s">
        <v>6351</v>
      </c>
      <c r="AE28" s="1565" t="s">
        <v>9155</v>
      </c>
      <c r="AF28" s="1565" t="s">
        <v>9620</v>
      </c>
      <c r="AG28" s="980" t="s">
        <v>1914</v>
      </c>
      <c r="AH28" s="980" t="s">
        <v>2641</v>
      </c>
      <c r="AI28" s="1565" t="s">
        <v>9621</v>
      </c>
      <c r="AJ28" s="980" t="s">
        <v>9622</v>
      </c>
      <c r="AK28" s="980" t="s">
        <v>6630</v>
      </c>
      <c r="AL28" s="980" t="s">
        <v>4624</v>
      </c>
      <c r="AM28" s="980" t="s">
        <v>9623</v>
      </c>
      <c r="AN28" s="980" t="s">
        <v>4624</v>
      </c>
      <c r="AO28" s="980" t="s">
        <v>1846</v>
      </c>
      <c r="AP28" s="1565" t="s">
        <v>9624</v>
      </c>
      <c r="AQ28" s="980" t="s">
        <v>2228</v>
      </c>
      <c r="AR28" s="1565" t="s">
        <v>8935</v>
      </c>
      <c r="AS28" s="980" t="s">
        <v>1972</v>
      </c>
      <c r="AT28" s="1565" t="s">
        <v>9625</v>
      </c>
      <c r="AU28" s="1565" t="s">
        <v>9626</v>
      </c>
      <c r="AV28" s="1454" t="str">
        <f t="shared" si="1"/>
        <v>2:28</v>
      </c>
      <c r="AW28" s="1595" t="s">
        <v>9627</v>
      </c>
    </row>
    <row r="29">
      <c r="A29" s="1596" t="s">
        <v>9628</v>
      </c>
      <c r="B29" s="1670" t="s">
        <v>9045</v>
      </c>
      <c r="C29" s="1536">
        <v>0.0503125</v>
      </c>
      <c r="D29" s="980" t="s">
        <v>9629</v>
      </c>
      <c r="E29" s="1619" t="s">
        <v>9630</v>
      </c>
      <c r="F29" s="1619" t="s">
        <v>6972</v>
      </c>
      <c r="G29" s="1619" t="s">
        <v>9631</v>
      </c>
      <c r="H29" s="839" t="s">
        <v>9632</v>
      </c>
      <c r="I29" s="839" t="s">
        <v>8107</v>
      </c>
      <c r="J29" s="1602" t="s">
        <v>1842</v>
      </c>
      <c r="K29" s="1602" t="s">
        <v>6107</v>
      </c>
      <c r="L29" s="1602" t="s">
        <v>3521</v>
      </c>
      <c r="M29" s="1602" t="s">
        <v>9633</v>
      </c>
      <c r="N29" s="1602" t="s">
        <v>7109</v>
      </c>
      <c r="O29" s="1602" t="s">
        <v>4154</v>
      </c>
      <c r="P29" s="1602" t="s">
        <v>4716</v>
      </c>
      <c r="Q29" s="1605" t="s">
        <v>9634</v>
      </c>
      <c r="R29" s="1605" t="s">
        <v>9635</v>
      </c>
      <c r="S29" s="1605" t="s">
        <v>549</v>
      </c>
      <c r="T29" s="1605" t="s">
        <v>9636</v>
      </c>
      <c r="U29" s="1605" t="s">
        <v>9637</v>
      </c>
      <c r="V29" s="1605" t="s">
        <v>9638</v>
      </c>
      <c r="W29" s="1621" t="s">
        <v>9639</v>
      </c>
      <c r="X29" s="1621" t="s">
        <v>4483</v>
      </c>
      <c r="Y29" s="1621" t="s">
        <v>1546</v>
      </c>
      <c r="Z29" s="1621" t="s">
        <v>2404</v>
      </c>
      <c r="AA29" s="1621" t="s">
        <v>9640</v>
      </c>
      <c r="AB29" s="1621" t="s">
        <v>3808</v>
      </c>
      <c r="AC29" s="1621" t="s">
        <v>9641</v>
      </c>
      <c r="AD29" s="1619" t="s">
        <v>9642</v>
      </c>
      <c r="AE29" s="1619" t="s">
        <v>5947</v>
      </c>
      <c r="AF29" s="1622" t="s">
        <v>9643</v>
      </c>
      <c r="AG29" s="1622" t="s">
        <v>7462</v>
      </c>
      <c r="AH29" s="1622" t="s">
        <v>9644</v>
      </c>
      <c r="AI29" s="1622" t="s">
        <v>5176</v>
      </c>
      <c r="AJ29" s="1622" t="s">
        <v>9645</v>
      </c>
      <c r="AK29" s="1622" t="s">
        <v>9646</v>
      </c>
      <c r="AL29" s="1622" t="s">
        <v>9647</v>
      </c>
      <c r="AM29" s="1624" t="s">
        <v>9346</v>
      </c>
      <c r="AN29" s="1624" t="s">
        <v>9648</v>
      </c>
      <c r="AO29" s="1624" t="s">
        <v>3219</v>
      </c>
      <c r="AP29" s="1624" t="s">
        <v>9649</v>
      </c>
      <c r="AQ29" s="1624" t="s">
        <v>9650</v>
      </c>
      <c r="AR29" s="1624" t="s">
        <v>3019</v>
      </c>
      <c r="AS29" s="1624" t="s">
        <v>302</v>
      </c>
      <c r="AT29" s="1602" t="s">
        <v>9651</v>
      </c>
      <c r="AU29" s="1586" t="s">
        <v>9652</v>
      </c>
      <c r="AV29" s="1454" t="str">
        <f t="shared" si="1"/>
        <v>2:59</v>
      </c>
      <c r="AW29" s="1587" t="s">
        <v>9653</v>
      </c>
    </row>
    <row r="30" ht="15.75" customHeight="1">
      <c r="A30" s="1534" t="s">
        <v>9654</v>
      </c>
      <c r="B30" s="1629" t="s">
        <v>9072</v>
      </c>
      <c r="C30" s="1536">
        <v>0.05042824074074074</v>
      </c>
      <c r="D30" s="980" t="s">
        <v>9382</v>
      </c>
      <c r="E30" s="1619" t="s">
        <v>6383</v>
      </c>
      <c r="F30" s="1619" t="s">
        <v>9655</v>
      </c>
      <c r="G30" s="1648" t="s">
        <v>9656</v>
      </c>
      <c r="H30" s="904" t="s">
        <v>9657</v>
      </c>
      <c r="I30" s="839" t="s">
        <v>3369</v>
      </c>
      <c r="J30" s="1602" t="s">
        <v>4867</v>
      </c>
      <c r="K30" s="1602" t="s">
        <v>5240</v>
      </c>
      <c r="L30" s="1602" t="s">
        <v>2475</v>
      </c>
      <c r="M30" s="1602" t="s">
        <v>1902</v>
      </c>
      <c r="N30" s="1602" t="s">
        <v>4197</v>
      </c>
      <c r="O30" s="1602" t="s">
        <v>9658</v>
      </c>
      <c r="P30" s="1649" t="s">
        <v>761</v>
      </c>
      <c r="Q30" s="1605" t="s">
        <v>9659</v>
      </c>
      <c r="R30" s="1605" t="s">
        <v>3441</v>
      </c>
      <c r="S30" s="1605" t="s">
        <v>7199</v>
      </c>
      <c r="T30" s="1650" t="s">
        <v>3220</v>
      </c>
      <c r="U30" s="1605" t="s">
        <v>9215</v>
      </c>
      <c r="V30" s="1650" t="s">
        <v>5030</v>
      </c>
      <c r="W30" s="1651" t="s">
        <v>6911</v>
      </c>
      <c r="X30" s="1621" t="s">
        <v>2613</v>
      </c>
      <c r="Y30" s="1651" t="s">
        <v>9660</v>
      </c>
      <c r="Z30" s="1621" t="s">
        <v>9661</v>
      </c>
      <c r="AA30" s="1651" t="s">
        <v>9662</v>
      </c>
      <c r="AB30" s="980" t="s">
        <v>9663</v>
      </c>
      <c r="AC30" s="1651" t="s">
        <v>3692</v>
      </c>
      <c r="AD30" s="1610" t="s">
        <v>9086</v>
      </c>
      <c r="AE30" s="1619" t="s">
        <v>3316</v>
      </c>
      <c r="AF30" s="1622" t="s">
        <v>9664</v>
      </c>
      <c r="AG30" s="1652" t="s">
        <v>4001</v>
      </c>
      <c r="AH30" s="1652" t="s">
        <v>6173</v>
      </c>
      <c r="AI30" s="1454" t="s">
        <v>9619</v>
      </c>
      <c r="AJ30" s="1652" t="s">
        <v>9665</v>
      </c>
      <c r="AK30" s="1622" t="s">
        <v>9666</v>
      </c>
      <c r="AL30" s="1652" t="s">
        <v>3698</v>
      </c>
      <c r="AM30" s="1624" t="s">
        <v>9667</v>
      </c>
      <c r="AN30" s="1624" t="s">
        <v>5144</v>
      </c>
      <c r="AO30" s="1624" t="s">
        <v>1939</v>
      </c>
      <c r="AP30" s="1624" t="s">
        <v>9668</v>
      </c>
      <c r="AQ30" s="1623" t="s">
        <v>9669</v>
      </c>
      <c r="AR30" s="1623" t="s">
        <v>3743</v>
      </c>
      <c r="AS30" s="1623" t="s">
        <v>5279</v>
      </c>
      <c r="AT30" s="1602" t="s">
        <v>9670</v>
      </c>
      <c r="AU30" s="1586" t="s">
        <v>9671</v>
      </c>
      <c r="AV30" s="1454" t="str">
        <f t="shared" si="1"/>
        <v>2:55</v>
      </c>
      <c r="AW30" s="1647"/>
    </row>
    <row r="31" ht="15.75" customHeight="1">
      <c r="A31" s="1534" t="s">
        <v>4350</v>
      </c>
      <c r="B31" s="1535" t="s">
        <v>9045</v>
      </c>
      <c r="C31" s="1671">
        <v>0.05043981481481481</v>
      </c>
      <c r="D31" s="980" t="s">
        <v>9672</v>
      </c>
      <c r="E31" s="1454" t="s">
        <v>6936</v>
      </c>
      <c r="F31" s="1454" t="s">
        <v>1573</v>
      </c>
      <c r="G31" s="1454" t="s">
        <v>9673</v>
      </c>
      <c r="H31" s="1454" t="s">
        <v>9276</v>
      </c>
      <c r="I31" s="1454" t="s">
        <v>4756</v>
      </c>
      <c r="J31" s="1454" t="s">
        <v>4493</v>
      </c>
      <c r="K31" s="1454" t="s">
        <v>9523</v>
      </c>
      <c r="L31" s="1454" t="s">
        <v>3880</v>
      </c>
      <c r="M31" s="1454" t="s">
        <v>9674</v>
      </c>
      <c r="N31" s="1454" t="s">
        <v>9082</v>
      </c>
      <c r="O31" s="1454" t="s">
        <v>9675</v>
      </c>
      <c r="P31" s="1454" t="s">
        <v>5453</v>
      </c>
      <c r="Q31" s="1454" t="s">
        <v>9676</v>
      </c>
      <c r="R31" s="1454" t="s">
        <v>9677</v>
      </c>
      <c r="S31" s="1454" t="s">
        <v>9678</v>
      </c>
      <c r="T31" s="1454" t="s">
        <v>9679</v>
      </c>
      <c r="U31" s="1454" t="s">
        <v>9680</v>
      </c>
      <c r="V31" s="1454" t="s">
        <v>2285</v>
      </c>
      <c r="W31" s="1454" t="s">
        <v>9681</v>
      </c>
      <c r="X31" s="1454" t="s">
        <v>9682</v>
      </c>
      <c r="Y31" s="1454" t="s">
        <v>9544</v>
      </c>
      <c r="Z31" s="1454" t="s">
        <v>1130</v>
      </c>
      <c r="AA31" s="1454" t="s">
        <v>3426</v>
      </c>
      <c r="AB31" s="1454" t="s">
        <v>4867</v>
      </c>
      <c r="AC31" s="1454" t="s">
        <v>7213</v>
      </c>
      <c r="AD31" s="1454" t="s">
        <v>6325</v>
      </c>
      <c r="AE31" s="1454" t="s">
        <v>5632</v>
      </c>
      <c r="AF31" s="1454" t="s">
        <v>9683</v>
      </c>
      <c r="AG31" s="1454" t="s">
        <v>5937</v>
      </c>
      <c r="AH31" s="1454" t="s">
        <v>4106</v>
      </c>
      <c r="AI31" s="1454" t="s">
        <v>5176</v>
      </c>
      <c r="AJ31" s="1454" t="s">
        <v>9684</v>
      </c>
      <c r="AK31" s="1454" t="s">
        <v>9685</v>
      </c>
      <c r="AL31" s="1454" t="s">
        <v>6045</v>
      </c>
      <c r="AM31" s="1454" t="s">
        <v>1232</v>
      </c>
      <c r="AN31" s="1454" t="s">
        <v>4200</v>
      </c>
      <c r="AO31" s="1454" t="s">
        <v>9686</v>
      </c>
      <c r="AP31" s="1575" t="str">
        <f>HYPERLINK("https://www.twitch.tv/videos/511415405","2:00.79")</f>
        <v>2:00.79</v>
      </c>
      <c r="AQ31" s="1454" t="s">
        <v>3607</v>
      </c>
      <c r="AR31" s="1454" t="s">
        <v>6931</v>
      </c>
      <c r="AS31" s="1454" t="s">
        <v>9151</v>
      </c>
      <c r="AT31" s="1454" t="s">
        <v>9687</v>
      </c>
      <c r="AU31" s="1454" t="s">
        <v>9688</v>
      </c>
      <c r="AV31" s="1454" t="str">
        <f t="shared" si="1"/>
        <v>2:36</v>
      </c>
      <c r="AW31" s="1576" t="s">
        <v>7583</v>
      </c>
    </row>
    <row r="32">
      <c r="A32" s="1596" t="s">
        <v>1196</v>
      </c>
      <c r="B32" s="1584" t="s">
        <v>9045</v>
      </c>
      <c r="C32" s="1536">
        <v>0.050486111111111114</v>
      </c>
      <c r="D32" s="1619" t="s">
        <v>9689</v>
      </c>
      <c r="E32" s="1619" t="s">
        <v>4275</v>
      </c>
      <c r="F32" s="1619" t="s">
        <v>9690</v>
      </c>
      <c r="G32" s="1619" t="s">
        <v>9691</v>
      </c>
      <c r="H32" s="980" t="s">
        <v>9692</v>
      </c>
      <c r="I32" s="839" t="s">
        <v>927</v>
      </c>
      <c r="J32" s="1602" t="s">
        <v>5929</v>
      </c>
      <c r="K32" s="1602" t="s">
        <v>7475</v>
      </c>
      <c r="L32" s="1602" t="s">
        <v>6577</v>
      </c>
      <c r="M32" s="1602" t="s">
        <v>5040</v>
      </c>
      <c r="N32" s="1602" t="s">
        <v>9693</v>
      </c>
      <c r="O32" s="1602" t="s">
        <v>9694</v>
      </c>
      <c r="P32" s="1602" t="s">
        <v>9445</v>
      </c>
      <c r="Q32" s="1605" t="s">
        <v>170</v>
      </c>
      <c r="R32" s="1605" t="s">
        <v>4814</v>
      </c>
      <c r="S32" s="1605" t="s">
        <v>9409</v>
      </c>
      <c r="T32" s="1605" t="s">
        <v>9695</v>
      </c>
      <c r="U32" s="1605" t="s">
        <v>9696</v>
      </c>
      <c r="V32" s="1605" t="s">
        <v>9697</v>
      </c>
      <c r="W32" s="1621" t="s">
        <v>9698</v>
      </c>
      <c r="X32" s="1621" t="s">
        <v>9699</v>
      </c>
      <c r="Y32" s="1621" t="s">
        <v>8070</v>
      </c>
      <c r="Z32" s="1621" t="s">
        <v>9700</v>
      </c>
      <c r="AA32" s="1565" t="s">
        <v>9701</v>
      </c>
      <c r="AB32" s="1621" t="s">
        <v>3409</v>
      </c>
      <c r="AC32" s="1621" t="s">
        <v>1044</v>
      </c>
      <c r="AD32" s="1619" t="s">
        <v>9702</v>
      </c>
      <c r="AE32" s="1619" t="s">
        <v>2224</v>
      </c>
      <c r="AF32" s="1622" t="s">
        <v>9703</v>
      </c>
      <c r="AG32" s="1622" t="s">
        <v>528</v>
      </c>
      <c r="AH32" s="1622" t="s">
        <v>9704</v>
      </c>
      <c r="AI32" s="1622" t="s">
        <v>2710</v>
      </c>
      <c r="AJ32" s="1622" t="s">
        <v>9705</v>
      </c>
      <c r="AK32" s="1622" t="s">
        <v>7029</v>
      </c>
      <c r="AL32" s="1622" t="s">
        <v>2891</v>
      </c>
      <c r="AM32" s="1624" t="s">
        <v>9706</v>
      </c>
      <c r="AN32" s="1624" t="s">
        <v>9410</v>
      </c>
      <c r="AO32" s="1624" t="s">
        <v>9707</v>
      </c>
      <c r="AP32" s="1624" t="s">
        <v>9708</v>
      </c>
      <c r="AQ32" s="1624" t="s">
        <v>9709</v>
      </c>
      <c r="AR32" s="1624" t="s">
        <v>1158</v>
      </c>
      <c r="AS32" s="1624" t="s">
        <v>1546</v>
      </c>
      <c r="AT32" s="1602" t="s">
        <v>9710</v>
      </c>
      <c r="AU32" s="1586" t="s">
        <v>9711</v>
      </c>
      <c r="AV32" s="1454" t="str">
        <f t="shared" si="1"/>
        <v>3:47</v>
      </c>
      <c r="AW32" s="1587"/>
    </row>
    <row r="33" ht="15.75" customHeight="1">
      <c r="A33" s="1596" t="s">
        <v>1723</v>
      </c>
      <c r="B33" s="1535" t="s">
        <v>9045</v>
      </c>
      <c r="C33" s="1536">
        <v>0.05049768518518519</v>
      </c>
      <c r="D33" s="980" t="s">
        <v>9712</v>
      </c>
      <c r="E33" s="1648" t="s">
        <v>9713</v>
      </c>
      <c r="F33" s="1669" t="str">
        <f>HYPERLINK("https://www.youtube.com/watch?v=rtR6KkKhM6I","1:59.91")</f>
        <v>1:59.91</v>
      </c>
      <c r="G33" s="1648" t="s">
        <v>9714</v>
      </c>
      <c r="H33" s="1672" t="str">
        <f>HYPERLINK("https://www.youtube.com/watch?v=cg-eipYsN1s","1:54.47")</f>
        <v>1:54.47</v>
      </c>
      <c r="I33" s="904" t="s">
        <v>9660</v>
      </c>
      <c r="J33" s="1649" t="s">
        <v>6537</v>
      </c>
      <c r="K33" s="1602" t="s">
        <v>7531</v>
      </c>
      <c r="L33" s="1665" t="str">
        <f>HYPERLINK("https://www.youtube.com/watch?v=tJdjPKdAbw4","57.01")</f>
        <v>57.01</v>
      </c>
      <c r="M33" s="1649" t="s">
        <v>6807</v>
      </c>
      <c r="N33" s="1602" t="s">
        <v>2304</v>
      </c>
      <c r="O33" s="1649" t="s">
        <v>9418</v>
      </c>
      <c r="P33" s="1649" t="s">
        <v>280</v>
      </c>
      <c r="Q33" s="1650" t="s">
        <v>238</v>
      </c>
      <c r="R33" s="1650" t="s">
        <v>9715</v>
      </c>
      <c r="S33" s="1667" t="str">
        <f>HYPERLINK("https://www.youtube.com/watch?v=_3ms_ZhYFzo","1:18.01")</f>
        <v>1:18.01</v>
      </c>
      <c r="T33" s="1650" t="s">
        <v>9716</v>
      </c>
      <c r="U33" s="1667" t="str">
        <f>HYPERLINK("https://www.youtube.com/watch?v=ZOy_TI3Zw14","2:02.38")</f>
        <v>2:02.38</v>
      </c>
      <c r="V33" s="1650" t="s">
        <v>9697</v>
      </c>
      <c r="W33" s="1651" t="s">
        <v>3314</v>
      </c>
      <c r="X33" s="1651" t="s">
        <v>7029</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7213</v>
      </c>
      <c r="AD33" s="1669" t="str">
        <f>HYPERLINK("https://www.youtube.com/watch?v=ikF77QyREZg","1:50.30")</f>
        <v>1:50.30</v>
      </c>
      <c r="AE33" s="1648" t="s">
        <v>9445</v>
      </c>
      <c r="AF33" s="1652" t="s">
        <v>9717</v>
      </c>
      <c r="AG33" s="1673" t="str">
        <f>HYPERLINK("https://www.youtube.com/watch?v=KXwTRrVVluY","1:30.62")</f>
        <v>1:30.62</v>
      </c>
      <c r="AH33" s="1652" t="s">
        <v>3056</v>
      </c>
      <c r="AI33" s="1652" t="s">
        <v>9598</v>
      </c>
      <c r="AJ33" s="1652" t="s">
        <v>9718</v>
      </c>
      <c r="AK33" s="1622" t="s">
        <v>9719</v>
      </c>
      <c r="AL33" s="1652" t="s">
        <v>9720</v>
      </c>
      <c r="AM33" s="1674" t="str">
        <f>HYPERLINK("https://www.youtube.com/watch?v=BAoEwuQ0LoI","1:25.68")</f>
        <v>1:25.68</v>
      </c>
      <c r="AN33" s="1674" t="str">
        <f>HYPERLINK("https://www.youtube.com/watch?v=F-LtZeEZXek","56.36")</f>
        <v>56.36</v>
      </c>
      <c r="AO33" s="1623" t="s">
        <v>9721</v>
      </c>
      <c r="AP33" s="1623" t="s">
        <v>9722</v>
      </c>
      <c r="AQ33" s="1623" t="s">
        <v>9723</v>
      </c>
      <c r="AR33" s="1674" t="str">
        <f>HYPERLINK("https://www.youtube.com/watch?v=WSIIkWWbKgE","1:21.74")</f>
        <v>1:21.74</v>
      </c>
      <c r="AS33" s="1623" t="s">
        <v>5654</v>
      </c>
      <c r="AT33" s="1665" t="str">
        <f>HYPERLINK("https://www.youtube.com/watch?v=H67SXBLcISI","2:29.09")</f>
        <v>2:29.09</v>
      </c>
      <c r="AU33" s="1646" t="s">
        <v>9724</v>
      </c>
      <c r="AV33" s="1454" t="str">
        <f t="shared" si="1"/>
        <v>2:03</v>
      </c>
      <c r="AW33" s="1675" t="s">
        <v>9725</v>
      </c>
    </row>
    <row r="34">
      <c r="A34" s="1596" t="s">
        <v>3099</v>
      </c>
      <c r="B34" s="1584" t="s">
        <v>9072</v>
      </c>
      <c r="C34" s="1536">
        <v>0.050520833333333334</v>
      </c>
      <c r="D34" s="1619" t="s">
        <v>9726</v>
      </c>
      <c r="E34" s="1657" t="s">
        <v>4610</v>
      </c>
      <c r="F34" s="1657" t="s">
        <v>9094</v>
      </c>
      <c r="G34" s="1619" t="s">
        <v>9727</v>
      </c>
      <c r="H34" s="1657" t="s">
        <v>9408</v>
      </c>
      <c r="I34" s="1657" t="s">
        <v>3123</v>
      </c>
      <c r="J34" s="1602" t="s">
        <v>9728</v>
      </c>
      <c r="K34" s="1676" t="s">
        <v>9729</v>
      </c>
      <c r="L34" s="1602" t="s">
        <v>9730</v>
      </c>
      <c r="M34" s="1542" t="s">
        <v>5880</v>
      </c>
      <c r="N34" s="1602" t="s">
        <v>887</v>
      </c>
      <c r="O34" s="1602" t="s">
        <v>9593</v>
      </c>
      <c r="P34" s="1602" t="s">
        <v>411</v>
      </c>
      <c r="Q34" s="1059" t="str">
        <f>HYPERLINK("https://www.twitch.tv/planktonsecretformula/v/1588460220?sr=a", "2:12.43")</f>
        <v>2:12.43</v>
      </c>
      <c r="R34" s="1605" t="s">
        <v>9677</v>
      </c>
      <c r="S34" s="1605" t="s">
        <v>9731</v>
      </c>
      <c r="T34" s="1637" t="s">
        <v>9732</v>
      </c>
      <c r="U34" s="1657" t="s">
        <v>9733</v>
      </c>
      <c r="V34" s="1657" t="s">
        <v>9734</v>
      </c>
      <c r="W34" s="1630" t="s">
        <v>9735</v>
      </c>
      <c r="X34" s="1621" t="s">
        <v>858</v>
      </c>
      <c r="Y34" s="1621" t="s">
        <v>7733</v>
      </c>
      <c r="Z34" s="1621" t="s">
        <v>9212</v>
      </c>
      <c r="AA34" s="1565" t="s">
        <v>9736</v>
      </c>
      <c r="AB34" s="1621" t="s">
        <v>4150</v>
      </c>
      <c r="AC34" s="1621" t="s">
        <v>942</v>
      </c>
      <c r="AD34" s="1619" t="s">
        <v>3959</v>
      </c>
      <c r="AE34" s="1619" t="s">
        <v>5973</v>
      </c>
      <c r="AF34" s="1622" t="s">
        <v>9737</v>
      </c>
      <c r="AG34" s="1657" t="s">
        <v>4645</v>
      </c>
      <c r="AH34" s="1622" t="s">
        <v>9738</v>
      </c>
      <c r="AI34" s="1622" t="s">
        <v>7835</v>
      </c>
      <c r="AJ34" s="1622" t="s">
        <v>9739</v>
      </c>
      <c r="AK34" s="1622" t="s">
        <v>9740</v>
      </c>
      <c r="AL34" s="1622" t="s">
        <v>9741</v>
      </c>
      <c r="AM34" s="1624" t="s">
        <v>3220</v>
      </c>
      <c r="AN34" s="1624" t="s">
        <v>9448</v>
      </c>
      <c r="AO34" s="1624" t="s">
        <v>3019</v>
      </c>
      <c r="AP34" s="1624" t="s">
        <v>9742</v>
      </c>
      <c r="AQ34" s="1059" t="str">
        <f>HYPERLINK("https://www.twitch.tv/planktonsecretformula/v/1678454360?sr=a&amp;t=0s", "1:37.46")</f>
        <v>1:37.46</v>
      </c>
      <c r="AR34" s="1624" t="s">
        <v>9743</v>
      </c>
      <c r="AS34" s="1624" t="s">
        <v>719</v>
      </c>
      <c r="AT34" s="1602" t="s">
        <v>9744</v>
      </c>
      <c r="AU34" s="1586" t="s">
        <v>9745</v>
      </c>
      <c r="AV34" s="1454" t="str">
        <f t="shared" si="1"/>
        <v>4:40</v>
      </c>
      <c r="AW34" s="1587" t="s">
        <v>9746</v>
      </c>
    </row>
    <row r="35" ht="15.75" customHeight="1">
      <c r="A35" s="1661" t="s">
        <v>9747</v>
      </c>
      <c r="B35" s="1535" t="s">
        <v>9045</v>
      </c>
      <c r="C35" s="1536">
        <v>0.050555555555555555</v>
      </c>
      <c r="D35" s="980" t="s">
        <v>9748</v>
      </c>
      <c r="E35" s="1619" t="s">
        <v>9749</v>
      </c>
      <c r="F35" s="1619" t="s">
        <v>9750</v>
      </c>
      <c r="G35" s="1619" t="s">
        <v>9751</v>
      </c>
      <c r="H35" s="839" t="s">
        <v>9752</v>
      </c>
      <c r="I35" s="839" t="s">
        <v>9753</v>
      </c>
      <c r="J35" s="1602" t="s">
        <v>9754</v>
      </c>
      <c r="K35" s="1602" t="s">
        <v>9755</v>
      </c>
      <c r="L35" s="1602" t="s">
        <v>9756</v>
      </c>
      <c r="M35" s="1602" t="s">
        <v>3213</v>
      </c>
      <c r="N35" s="1602" t="s">
        <v>9757</v>
      </c>
      <c r="O35" s="1602" t="s">
        <v>9658</v>
      </c>
      <c r="P35" s="1602" t="s">
        <v>4925</v>
      </c>
      <c r="Q35" s="1605" t="s">
        <v>9758</v>
      </c>
      <c r="R35" s="1605" t="s">
        <v>2715</v>
      </c>
      <c r="S35" s="1605" t="s">
        <v>6961</v>
      </c>
      <c r="T35" s="1605" t="s">
        <v>9759</v>
      </c>
      <c r="U35" s="1605" t="s">
        <v>9760</v>
      </c>
      <c r="V35" s="1605" t="s">
        <v>9083</v>
      </c>
      <c r="W35" s="1621" t="s">
        <v>9761</v>
      </c>
      <c r="X35" s="1621" t="s">
        <v>9762</v>
      </c>
      <c r="Y35" s="1621" t="s">
        <v>9763</v>
      </c>
      <c r="Z35" s="1621" t="s">
        <v>1381</v>
      </c>
      <c r="AA35" s="1621" t="s">
        <v>9764</v>
      </c>
      <c r="AB35" s="1621" t="s">
        <v>7071</v>
      </c>
      <c r="AC35" s="1651" t="s">
        <v>2176</v>
      </c>
      <c r="AD35" s="1619" t="s">
        <v>9765</v>
      </c>
      <c r="AE35" s="1619" t="s">
        <v>9445</v>
      </c>
      <c r="AF35" s="1622" t="s">
        <v>9766</v>
      </c>
      <c r="AG35" s="1622" t="s">
        <v>9767</v>
      </c>
      <c r="AH35" s="1622" t="s">
        <v>5685</v>
      </c>
      <c r="AI35" s="1622" t="s">
        <v>9768</v>
      </c>
      <c r="AJ35" s="1622" t="s">
        <v>9769</v>
      </c>
      <c r="AK35" s="1622" t="s">
        <v>4483</v>
      </c>
      <c r="AL35" s="1622" t="s">
        <v>5772</v>
      </c>
      <c r="AM35" s="1624" t="s">
        <v>1926</v>
      </c>
      <c r="AN35" s="1624" t="s">
        <v>4631</v>
      </c>
      <c r="AO35" s="1624" t="s">
        <v>9770</v>
      </c>
      <c r="AP35" s="1624" t="s">
        <v>9771</v>
      </c>
      <c r="AQ35" s="1624" t="s">
        <v>9772</v>
      </c>
      <c r="AR35" s="1624" t="s">
        <v>9461</v>
      </c>
      <c r="AS35" s="1624" t="s">
        <v>883</v>
      </c>
      <c r="AT35" s="1602" t="s">
        <v>9773</v>
      </c>
      <c r="AU35" s="1586" t="s">
        <v>9774</v>
      </c>
      <c r="AV35" s="1454" t="str">
        <f t="shared" si="1"/>
        <v>2:07</v>
      </c>
      <c r="AW35" s="1647"/>
    </row>
    <row r="36">
      <c r="A36" s="1596" t="s">
        <v>646</v>
      </c>
      <c r="B36" s="1584" t="s">
        <v>9045</v>
      </c>
      <c r="C36" s="1536">
        <v>0.050555555555555555</v>
      </c>
      <c r="D36" s="980" t="s">
        <v>9775</v>
      </c>
      <c r="E36" s="980" t="s">
        <v>9776</v>
      </c>
      <c r="F36" s="980" t="s">
        <v>9777</v>
      </c>
      <c r="G36" s="980" t="s">
        <v>9778</v>
      </c>
      <c r="H36" s="980" t="s">
        <v>9779</v>
      </c>
      <c r="I36" s="980" t="s">
        <v>2558</v>
      </c>
      <c r="J36" s="980" t="s">
        <v>1301</v>
      </c>
      <c r="K36" s="980" t="s">
        <v>9780</v>
      </c>
      <c r="L36" s="980" t="s">
        <v>4268</v>
      </c>
      <c r="M36" s="980" t="s">
        <v>4177</v>
      </c>
      <c r="N36" s="980" t="s">
        <v>9781</v>
      </c>
      <c r="O36" s="980" t="s">
        <v>9782</v>
      </c>
      <c r="P36" s="980" t="s">
        <v>9783</v>
      </c>
      <c r="Q36" s="980" t="s">
        <v>9784</v>
      </c>
      <c r="R36" s="980" t="s">
        <v>1940</v>
      </c>
      <c r="S36" s="980" t="s">
        <v>9785</v>
      </c>
      <c r="T36" s="980" t="s">
        <v>9646</v>
      </c>
      <c r="U36" s="980" t="s">
        <v>9786</v>
      </c>
      <c r="V36" s="980" t="s">
        <v>9787</v>
      </c>
      <c r="W36" s="980" t="s">
        <v>4765</v>
      </c>
      <c r="X36" s="980" t="s">
        <v>9788</v>
      </c>
      <c r="Y36" s="980" t="s">
        <v>5161</v>
      </c>
      <c r="Z36" s="980" t="s">
        <v>9789</v>
      </c>
      <c r="AA36" s="980" t="s">
        <v>9790</v>
      </c>
      <c r="AB36" s="980" t="s">
        <v>9791</v>
      </c>
      <c r="AC36" s="980" t="s">
        <v>7213</v>
      </c>
      <c r="AD36" s="980" t="s">
        <v>9792</v>
      </c>
      <c r="AE36" s="980" t="s">
        <v>9261</v>
      </c>
      <c r="AF36" s="980" t="s">
        <v>9793</v>
      </c>
      <c r="AG36" s="980" t="s">
        <v>5157</v>
      </c>
      <c r="AH36" s="980" t="s">
        <v>4452</v>
      </c>
      <c r="AI36" s="980" t="s">
        <v>9794</v>
      </c>
      <c r="AJ36" s="980" t="s">
        <v>9795</v>
      </c>
      <c r="AK36" s="980" t="s">
        <v>1674</v>
      </c>
      <c r="AL36" s="980" t="s">
        <v>9796</v>
      </c>
      <c r="AM36" s="980" t="s">
        <v>4047</v>
      </c>
      <c r="AN36" s="980" t="s">
        <v>4084</v>
      </c>
      <c r="AO36" s="980" t="s">
        <v>6387</v>
      </c>
      <c r="AP36" s="980" t="s">
        <v>9797</v>
      </c>
      <c r="AQ36" s="980" t="s">
        <v>9798</v>
      </c>
      <c r="AR36" s="980" t="s">
        <v>9350</v>
      </c>
      <c r="AS36" s="980" t="s">
        <v>839</v>
      </c>
      <c r="AT36" s="980" t="s">
        <v>9799</v>
      </c>
      <c r="AU36" s="1586" t="s">
        <v>9688</v>
      </c>
      <c r="AV36" s="1454" t="str">
        <f t="shared" si="1"/>
        <v>2:26</v>
      </c>
      <c r="AW36" s="1587" t="s">
        <v>9800</v>
      </c>
    </row>
    <row r="37" ht="15.75" customHeight="1">
      <c r="A37" s="1534" t="s">
        <v>741</v>
      </c>
      <c r="B37" s="1629" t="s">
        <v>9072</v>
      </c>
      <c r="C37" s="1536">
        <v>0.05056712962962963</v>
      </c>
      <c r="D37" s="1600" t="s">
        <v>9073</v>
      </c>
      <c r="E37" s="1648" t="s">
        <v>9589</v>
      </c>
      <c r="F37" s="1664" t="s">
        <v>9074</v>
      </c>
      <c r="G37" s="1565" t="s">
        <v>9801</v>
      </c>
      <c r="H37" s="1565" t="s">
        <v>9148</v>
      </c>
      <c r="I37" s="1664" t="s">
        <v>5082</v>
      </c>
      <c r="J37" s="1565" t="s">
        <v>1103</v>
      </c>
      <c r="K37" s="1565" t="s">
        <v>4891</v>
      </c>
      <c r="L37" s="1565" t="s">
        <v>2291</v>
      </c>
      <c r="M37" s="1565" t="s">
        <v>2244</v>
      </c>
      <c r="N37" s="1565" t="s">
        <v>9549</v>
      </c>
      <c r="O37" s="1565" t="s">
        <v>9802</v>
      </c>
      <c r="P37" s="1565" t="s">
        <v>4020</v>
      </c>
      <c r="Q37" s="1565" t="s">
        <v>9803</v>
      </c>
      <c r="R37" s="1565" t="s">
        <v>3120</v>
      </c>
      <c r="S37" s="1565" t="s">
        <v>9159</v>
      </c>
      <c r="T37" s="1565" t="s">
        <v>2360</v>
      </c>
      <c r="U37" s="1565" t="s">
        <v>9308</v>
      </c>
      <c r="V37" s="1565" t="s">
        <v>2885</v>
      </c>
      <c r="W37" s="1565" t="s">
        <v>9804</v>
      </c>
      <c r="X37" s="1565" t="s">
        <v>9805</v>
      </c>
      <c r="Y37" s="1565" t="s">
        <v>863</v>
      </c>
      <c r="Z37" s="1565" t="s">
        <v>9467</v>
      </c>
      <c r="AA37" s="1565" t="s">
        <v>7029</v>
      </c>
      <c r="AB37" s="1565" t="s">
        <v>6186</v>
      </c>
      <c r="AC37" s="1454" t="s">
        <v>536</v>
      </c>
      <c r="AD37" s="1565" t="s">
        <v>9806</v>
      </c>
      <c r="AE37" s="1565" t="s">
        <v>2657</v>
      </c>
      <c r="AF37" s="1565" t="s">
        <v>9807</v>
      </c>
      <c r="AG37" s="1565" t="s">
        <v>9646</v>
      </c>
      <c r="AH37" s="1565" t="s">
        <v>2964</v>
      </c>
      <c r="AI37" s="1565" t="s">
        <v>9808</v>
      </c>
      <c r="AJ37" s="1565" t="s">
        <v>3230</v>
      </c>
      <c r="AK37" s="1565" t="s">
        <v>5235</v>
      </c>
      <c r="AL37" s="1565" t="s">
        <v>4200</v>
      </c>
      <c r="AM37" s="1565" t="s">
        <v>3324</v>
      </c>
      <c r="AN37" s="1565" t="s">
        <v>344</v>
      </c>
      <c r="AO37" s="1565" t="s">
        <v>9809</v>
      </c>
      <c r="AP37" s="1565" t="s">
        <v>9810</v>
      </c>
      <c r="AQ37" s="1565" t="s">
        <v>6948</v>
      </c>
      <c r="AR37" s="1565" t="s">
        <v>2700</v>
      </c>
      <c r="AS37" s="1565" t="s">
        <v>4098</v>
      </c>
      <c r="AT37" s="1565" t="s">
        <v>5568</v>
      </c>
      <c r="AU37" s="1565" t="s">
        <v>9496</v>
      </c>
      <c r="AV37" s="1454" t="str">
        <f t="shared" si="1"/>
        <v>3:34</v>
      </c>
      <c r="AW37" s="1595" t="s">
        <v>9811</v>
      </c>
    </row>
    <row r="38" ht="15.75" customHeight="1">
      <c r="A38" s="1596" t="s">
        <v>646</v>
      </c>
      <c r="B38" s="1629" t="s">
        <v>9072</v>
      </c>
      <c r="C38" s="1671">
        <v>0.05056712962962963</v>
      </c>
      <c r="D38" s="980" t="s">
        <v>9812</v>
      </c>
      <c r="E38" s="1454" t="s">
        <v>9813</v>
      </c>
      <c r="F38" s="1454" t="s">
        <v>9526</v>
      </c>
      <c r="G38" s="1454" t="s">
        <v>9814</v>
      </c>
      <c r="H38" s="1454" t="s">
        <v>4456</v>
      </c>
      <c r="I38" s="1454" t="s">
        <v>1181</v>
      </c>
      <c r="J38" s="1565" t="s">
        <v>3478</v>
      </c>
      <c r="K38" s="1565" t="s">
        <v>3478</v>
      </c>
      <c r="L38" s="1454" t="s">
        <v>9815</v>
      </c>
      <c r="M38" s="1454" t="s">
        <v>9816</v>
      </c>
      <c r="N38" s="1454" t="s">
        <v>9472</v>
      </c>
      <c r="O38" s="1664" t="s">
        <v>9079</v>
      </c>
      <c r="P38" s="1454" t="s">
        <v>8104</v>
      </c>
      <c r="Q38" s="1454" t="s">
        <v>787</v>
      </c>
      <c r="R38" s="1565" t="s">
        <v>3478</v>
      </c>
      <c r="S38" s="1454" t="s">
        <v>9817</v>
      </c>
      <c r="T38" s="1454" t="s">
        <v>156</v>
      </c>
      <c r="U38" s="1454" t="s">
        <v>9818</v>
      </c>
      <c r="V38" s="1454" t="s">
        <v>9819</v>
      </c>
      <c r="W38" s="1454" t="s">
        <v>9820</v>
      </c>
      <c r="X38" s="1454" t="s">
        <v>9640</v>
      </c>
      <c r="Y38" s="1454" t="s">
        <v>9641</v>
      </c>
      <c r="Z38" s="1454" t="s">
        <v>151</v>
      </c>
      <c r="AA38" s="1454" t="s">
        <v>9821</v>
      </c>
      <c r="AB38" s="1454" t="s">
        <v>9326</v>
      </c>
      <c r="AC38" s="1454" t="s">
        <v>4486</v>
      </c>
      <c r="AD38" s="1454" t="s">
        <v>2324</v>
      </c>
      <c r="AE38" s="1454" t="s">
        <v>9763</v>
      </c>
      <c r="AF38" s="1454" t="s">
        <v>9822</v>
      </c>
      <c r="AG38" s="1454" t="s">
        <v>9823</v>
      </c>
      <c r="AH38" s="1454" t="s">
        <v>4473</v>
      </c>
      <c r="AI38" s="1454" t="s">
        <v>3805</v>
      </c>
      <c r="AJ38" s="1454" t="s">
        <v>9824</v>
      </c>
      <c r="AK38" s="1454" t="s">
        <v>1161</v>
      </c>
      <c r="AL38" s="1454" t="s">
        <v>9644</v>
      </c>
      <c r="AM38" s="1454" t="s">
        <v>874</v>
      </c>
      <c r="AN38" s="1565" t="s">
        <v>9825</v>
      </c>
      <c r="AO38" s="1565" t="s">
        <v>3478</v>
      </c>
      <c r="AP38" s="1454" t="s">
        <v>5474</v>
      </c>
      <c r="AQ38" s="1454" t="s">
        <v>252</v>
      </c>
      <c r="AR38" s="1454" t="s">
        <v>9826</v>
      </c>
      <c r="AS38" s="1454" t="s">
        <v>9827</v>
      </c>
      <c r="AT38" s="1454" t="s">
        <v>9828</v>
      </c>
      <c r="AU38" s="1565" t="s">
        <v>9829</v>
      </c>
      <c r="AV38" s="1454" t="str">
        <f t="shared" si="1"/>
        <v>3:07</v>
      </c>
      <c r="AW38" s="1628" t="s">
        <v>9830</v>
      </c>
    </row>
    <row r="39" ht="15.75" customHeight="1">
      <c r="A39" s="1534" t="s">
        <v>4264</v>
      </c>
      <c r="B39" s="1535" t="s">
        <v>9045</v>
      </c>
      <c r="C39" s="1671">
        <v>0.05060185185185185</v>
      </c>
      <c r="D39" s="980" t="s">
        <v>9831</v>
      </c>
      <c r="E39" s="1648" t="s">
        <v>3300</v>
      </c>
      <c r="F39" s="1648" t="s">
        <v>6124</v>
      </c>
      <c r="G39" s="1648" t="s">
        <v>9832</v>
      </c>
      <c r="H39" s="904" t="s">
        <v>9833</v>
      </c>
      <c r="I39" s="904" t="s">
        <v>4788</v>
      </c>
      <c r="J39" s="1649" t="s">
        <v>9277</v>
      </c>
      <c r="K39" s="1649" t="s">
        <v>7475</v>
      </c>
      <c r="L39" s="1649" t="s">
        <v>5633</v>
      </c>
      <c r="M39" s="1649" t="s">
        <v>9834</v>
      </c>
      <c r="N39" s="1649" t="s">
        <v>5390</v>
      </c>
      <c r="O39" s="1649" t="s">
        <v>9835</v>
      </c>
      <c r="P39" s="1649" t="s">
        <v>5947</v>
      </c>
      <c r="Q39" s="1650" t="s">
        <v>9836</v>
      </c>
      <c r="R39" s="1650" t="s">
        <v>5552</v>
      </c>
      <c r="S39" s="1650" t="s">
        <v>7071</v>
      </c>
      <c r="T39" s="1650" t="s">
        <v>9837</v>
      </c>
      <c r="U39" s="1650" t="s">
        <v>6260</v>
      </c>
      <c r="V39" s="1650" t="s">
        <v>3924</v>
      </c>
      <c r="W39" s="1651" t="s">
        <v>9838</v>
      </c>
      <c r="X39" s="1651" t="s">
        <v>7465</v>
      </c>
      <c r="Y39" s="1651" t="s">
        <v>1917</v>
      </c>
      <c r="Z39" s="1651" t="s">
        <v>1842</v>
      </c>
      <c r="AA39" s="1651" t="s">
        <v>9839</v>
      </c>
      <c r="AB39" s="1651" t="s">
        <v>9326</v>
      </c>
      <c r="AC39" s="1651" t="s">
        <v>5634</v>
      </c>
      <c r="AD39" s="1648" t="s">
        <v>6602</v>
      </c>
      <c r="AE39" s="1648" t="s">
        <v>7733</v>
      </c>
      <c r="AF39" s="1652" t="s">
        <v>9840</v>
      </c>
      <c r="AG39" s="1652" t="s">
        <v>9767</v>
      </c>
      <c r="AH39" s="1652" t="s">
        <v>8187</v>
      </c>
      <c r="AI39" s="1652" t="s">
        <v>5629</v>
      </c>
      <c r="AJ39" s="1652" t="s">
        <v>9841</v>
      </c>
      <c r="AK39" s="1652" t="s">
        <v>9842</v>
      </c>
      <c r="AL39" s="1652" t="s">
        <v>9843</v>
      </c>
      <c r="AM39" s="1623" t="s">
        <v>9844</v>
      </c>
      <c r="AN39" s="1623" t="s">
        <v>9845</v>
      </c>
      <c r="AO39" s="1623" t="s">
        <v>9846</v>
      </c>
      <c r="AP39" s="1623" t="s">
        <v>9847</v>
      </c>
      <c r="AQ39" s="1623" t="s">
        <v>9709</v>
      </c>
      <c r="AR39" s="1623" t="s">
        <v>9848</v>
      </c>
      <c r="AS39" s="1623" t="s">
        <v>4398</v>
      </c>
      <c r="AT39" s="1649" t="s">
        <v>9849</v>
      </c>
      <c r="AU39" s="1646" t="s">
        <v>9850</v>
      </c>
      <c r="AV39" s="1454" t="str">
        <f t="shared" si="1"/>
        <v>1:56</v>
      </c>
      <c r="AW39" s="1647"/>
    </row>
    <row r="40" ht="15.75" customHeight="1">
      <c r="A40" s="1562" t="s">
        <v>899</v>
      </c>
      <c r="B40" s="1535" t="s">
        <v>9045</v>
      </c>
      <c r="C40" s="1536">
        <v>0.05061342592592592</v>
      </c>
      <c r="D40" s="980" t="s">
        <v>9851</v>
      </c>
      <c r="E40" s="1565" t="s">
        <v>9253</v>
      </c>
      <c r="F40" s="1565" t="s">
        <v>5512</v>
      </c>
      <c r="G40" s="1454" t="s">
        <v>9852</v>
      </c>
      <c r="H40" s="1565" t="s">
        <v>9853</v>
      </c>
      <c r="I40" s="1565" t="s">
        <v>388</v>
      </c>
      <c r="J40" s="1565" t="s">
        <v>7837</v>
      </c>
      <c r="K40" s="1454" t="s">
        <v>9523</v>
      </c>
      <c r="L40" s="1565" t="s">
        <v>9854</v>
      </c>
      <c r="M40" s="1565" t="s">
        <v>9855</v>
      </c>
      <c r="N40" s="1565" t="s">
        <v>4405</v>
      </c>
      <c r="O40" s="1565" t="s">
        <v>9856</v>
      </c>
      <c r="P40" s="1565" t="s">
        <v>1585</v>
      </c>
      <c r="Q40" s="1540" t="s">
        <v>9857</v>
      </c>
      <c r="R40" s="1565" t="s">
        <v>9858</v>
      </c>
      <c r="S40" s="1454" t="s">
        <v>9859</v>
      </c>
      <c r="T40" s="1565" t="s">
        <v>9623</v>
      </c>
      <c r="U40" s="1565" t="s">
        <v>6713</v>
      </c>
      <c r="V40" s="1565" t="s">
        <v>2480</v>
      </c>
      <c r="W40" s="1574" t="str">
        <f>HYPERLINK("https://www.youtube.com/watch?v=nn1ub1z3NYM","1:45.96")</f>
        <v>1:45.96</v>
      </c>
      <c r="X40" s="1565" t="s">
        <v>5770</v>
      </c>
      <c r="Y40" s="1454" t="s">
        <v>5618</v>
      </c>
      <c r="Z40" s="1565" t="s">
        <v>1500</v>
      </c>
      <c r="AA40" s="1565" t="s">
        <v>9860</v>
      </c>
      <c r="AB40" s="1565" t="s">
        <v>9861</v>
      </c>
      <c r="AC40" s="1565" t="s">
        <v>1044</v>
      </c>
      <c r="AD40" s="1565" t="s">
        <v>9862</v>
      </c>
      <c r="AE40" s="1540" t="s">
        <v>4629</v>
      </c>
      <c r="AF40" s="1454" t="s">
        <v>9863</v>
      </c>
      <c r="AG40" s="1565" t="s">
        <v>1938</v>
      </c>
      <c r="AH40" s="1565" t="s">
        <v>3056</v>
      </c>
      <c r="AI40" s="1565" t="s">
        <v>9864</v>
      </c>
      <c r="AJ40" s="1454" t="s">
        <v>8459</v>
      </c>
      <c r="AK40" s="1565" t="s">
        <v>9865</v>
      </c>
      <c r="AL40" s="1454" t="s">
        <v>4358</v>
      </c>
      <c r="AM40" s="1454" t="s">
        <v>9866</v>
      </c>
      <c r="AN40" s="1454" t="s">
        <v>2514</v>
      </c>
      <c r="AO40" s="1565" t="s">
        <v>3608</v>
      </c>
      <c r="AP40" s="1565" t="s">
        <v>9867</v>
      </c>
      <c r="AQ40" s="1565" t="s">
        <v>9868</v>
      </c>
      <c r="AR40" s="1565" t="s">
        <v>1301</v>
      </c>
      <c r="AS40" s="1565" t="s">
        <v>4712</v>
      </c>
      <c r="AT40" s="1565" t="s">
        <v>9869</v>
      </c>
      <c r="AU40" s="1565" t="s">
        <v>9870</v>
      </c>
      <c r="AV40" s="1454" t="str">
        <f t="shared" si="1"/>
        <v>2:25</v>
      </c>
      <c r="AW40" s="1595"/>
    </row>
    <row r="41">
      <c r="A41" s="1562" t="s">
        <v>9871</v>
      </c>
      <c r="B41" s="1594" t="s">
        <v>9045</v>
      </c>
      <c r="C41" s="1536">
        <v>0.050625</v>
      </c>
      <c r="D41" s="1677" t="s">
        <v>9872</v>
      </c>
      <c r="E41" s="1565" t="s">
        <v>4741</v>
      </c>
      <c r="F41" s="1565" t="s">
        <v>9873</v>
      </c>
      <c r="G41" s="1565" t="s">
        <v>9874</v>
      </c>
      <c r="H41" s="1565" t="s">
        <v>1746</v>
      </c>
      <c r="I41" s="1565" t="s">
        <v>1834</v>
      </c>
      <c r="J41" s="1565" t="s">
        <v>9875</v>
      </c>
      <c r="K41" s="1565" t="s">
        <v>3629</v>
      </c>
      <c r="L41" s="1565" t="s">
        <v>9876</v>
      </c>
      <c r="M41" s="1565" t="s">
        <v>9877</v>
      </c>
      <c r="N41" s="1565" t="s">
        <v>9878</v>
      </c>
      <c r="O41" s="1565" t="s">
        <v>9879</v>
      </c>
      <c r="P41" s="1565" t="s">
        <v>9763</v>
      </c>
      <c r="Q41" s="1565" t="s">
        <v>4649</v>
      </c>
      <c r="R41" s="1565" t="s">
        <v>4017</v>
      </c>
      <c r="S41" s="1565" t="s">
        <v>2685</v>
      </c>
      <c r="T41" s="1565" t="s">
        <v>2360</v>
      </c>
      <c r="U41" s="1565" t="s">
        <v>9880</v>
      </c>
      <c r="V41" s="1565" t="s">
        <v>2215</v>
      </c>
      <c r="W41" s="1565" t="s">
        <v>7128</v>
      </c>
      <c r="X41" s="1565" t="s">
        <v>9881</v>
      </c>
      <c r="Y41" s="1565" t="s">
        <v>9882</v>
      </c>
      <c r="Z41" s="1565" t="s">
        <v>9883</v>
      </c>
      <c r="AA41" s="1565" t="s">
        <v>9884</v>
      </c>
      <c r="AB41" s="1565"/>
      <c r="AC41" s="1565" t="s">
        <v>9885</v>
      </c>
      <c r="AD41" s="1565" t="s">
        <v>9886</v>
      </c>
      <c r="AE41" s="1565" t="s">
        <v>4974</v>
      </c>
      <c r="AF41" s="1565" t="s">
        <v>9887</v>
      </c>
      <c r="AG41" s="1565" t="s">
        <v>9888</v>
      </c>
      <c r="AH41" s="1565" t="s">
        <v>9889</v>
      </c>
      <c r="AI41" s="1565" t="s">
        <v>728</v>
      </c>
      <c r="AJ41" s="1565" t="s">
        <v>9890</v>
      </c>
      <c r="AK41" s="1565" t="s">
        <v>9055</v>
      </c>
      <c r="AL41" s="1565" t="s">
        <v>9891</v>
      </c>
      <c r="AM41" s="1565" t="s">
        <v>9892</v>
      </c>
      <c r="AN41" s="1565" t="s">
        <v>9122</v>
      </c>
      <c r="AO41" s="1565" t="s">
        <v>5066</v>
      </c>
      <c r="AP41" s="1565" t="s">
        <v>9893</v>
      </c>
      <c r="AQ41" s="1565" t="s">
        <v>9894</v>
      </c>
      <c r="AR41" s="1565" t="s">
        <v>7535</v>
      </c>
      <c r="AS41" s="1565" t="s">
        <v>5822</v>
      </c>
      <c r="AT41" s="1565" t="s">
        <v>8764</v>
      </c>
      <c r="AU41" s="1565" t="s">
        <v>9895</v>
      </c>
      <c r="AV41" s="1454" t="str">
        <f t="shared" si="1"/>
        <v>2:05</v>
      </c>
      <c r="AW41" s="1628"/>
    </row>
    <row r="42">
      <c r="A42" s="1562" t="s">
        <v>9896</v>
      </c>
      <c r="B42" s="1584" t="s">
        <v>9045</v>
      </c>
      <c r="C42" s="1536">
        <v>0.0506712962962963</v>
      </c>
      <c r="D42" s="1677" t="s">
        <v>9897</v>
      </c>
      <c r="E42" s="1619" t="s">
        <v>3300</v>
      </c>
      <c r="F42" s="1619" t="s">
        <v>9393</v>
      </c>
      <c r="G42" s="1619" t="s">
        <v>9898</v>
      </c>
      <c r="H42" s="839" t="s">
        <v>9899</v>
      </c>
      <c r="I42" s="839" t="s">
        <v>9900</v>
      </c>
      <c r="J42" s="1602" t="s">
        <v>9901</v>
      </c>
      <c r="K42" s="1602" t="s">
        <v>8143</v>
      </c>
      <c r="L42" s="1602" t="s">
        <v>4332</v>
      </c>
      <c r="M42" s="1602" t="s">
        <v>8144</v>
      </c>
      <c r="N42" s="1602" t="s">
        <v>9902</v>
      </c>
      <c r="O42" s="1602" t="s">
        <v>2248</v>
      </c>
      <c r="P42" s="1602" t="s">
        <v>8107</v>
      </c>
      <c r="Q42" s="1605" t="s">
        <v>7376</v>
      </c>
      <c r="R42" s="1605" t="s">
        <v>9903</v>
      </c>
      <c r="S42" s="1605" t="s">
        <v>9904</v>
      </c>
      <c r="T42" s="1605" t="s">
        <v>9905</v>
      </c>
      <c r="U42" s="1605" t="s">
        <v>9906</v>
      </c>
      <c r="V42" s="1605" t="s">
        <v>9907</v>
      </c>
      <c r="W42" s="1621" t="s">
        <v>9908</v>
      </c>
      <c r="X42" s="1621" t="s">
        <v>9909</v>
      </c>
      <c r="Y42" s="1621" t="s">
        <v>6316</v>
      </c>
      <c r="Z42" s="1621" t="s">
        <v>9910</v>
      </c>
      <c r="AA42" s="1565" t="s">
        <v>1679</v>
      </c>
      <c r="AB42" s="1621" t="s">
        <v>9911</v>
      </c>
      <c r="AC42" s="1621" t="s">
        <v>7213</v>
      </c>
      <c r="AD42" s="1619" t="s">
        <v>9912</v>
      </c>
      <c r="AE42" s="1619" t="s">
        <v>536</v>
      </c>
      <c r="AF42" s="1622" t="s">
        <v>9913</v>
      </c>
      <c r="AG42" s="1622" t="s">
        <v>4001</v>
      </c>
      <c r="AH42" s="1622" t="s">
        <v>5281</v>
      </c>
      <c r="AI42" s="1622" t="s">
        <v>9914</v>
      </c>
      <c r="AJ42" s="1622" t="s">
        <v>9915</v>
      </c>
      <c r="AK42" s="1622" t="s">
        <v>174</v>
      </c>
      <c r="AL42" s="1622" t="s">
        <v>2625</v>
      </c>
      <c r="AM42" s="1624" t="s">
        <v>9394</v>
      </c>
      <c r="AN42" s="1624" t="s">
        <v>9647</v>
      </c>
      <c r="AO42" s="1624" t="s">
        <v>9584</v>
      </c>
      <c r="AP42" s="1624" t="s">
        <v>9916</v>
      </c>
      <c r="AQ42" s="1624" t="s">
        <v>9917</v>
      </c>
      <c r="AR42" s="1624" t="s">
        <v>4872</v>
      </c>
      <c r="AS42" s="1624" t="s">
        <v>9918</v>
      </c>
      <c r="AT42" s="1602" t="s">
        <v>9919</v>
      </c>
      <c r="AU42" s="1586" t="s">
        <v>9711</v>
      </c>
      <c r="AV42" s="1454" t="str">
        <f t="shared" si="1"/>
        <v>3:31</v>
      </c>
      <c r="AW42" s="1647"/>
    </row>
    <row r="43" ht="15.75" customHeight="1">
      <c r="A43" s="1661" t="s">
        <v>9920</v>
      </c>
      <c r="B43" s="1535" t="s">
        <v>9045</v>
      </c>
      <c r="C43" s="1536">
        <v>0.05070601851851852</v>
      </c>
      <c r="D43" s="980" t="s">
        <v>9921</v>
      </c>
      <c r="E43" s="1648" t="s">
        <v>3200</v>
      </c>
      <c r="F43" s="1648" t="s">
        <v>9244</v>
      </c>
      <c r="G43" s="1648" t="s">
        <v>9922</v>
      </c>
      <c r="H43" s="904" t="s">
        <v>9923</v>
      </c>
      <c r="I43" s="904" t="s">
        <v>388</v>
      </c>
      <c r="J43" s="1649" t="s">
        <v>9924</v>
      </c>
      <c r="K43" s="1649" t="s">
        <v>3552</v>
      </c>
      <c r="L43" s="1649" t="s">
        <v>5521</v>
      </c>
      <c r="M43" s="1649" t="s">
        <v>9925</v>
      </c>
      <c r="N43" s="1649" t="s">
        <v>9759</v>
      </c>
      <c r="O43" s="1649" t="s">
        <v>9926</v>
      </c>
      <c r="P43" s="1649" t="s">
        <v>5081</v>
      </c>
      <c r="Q43" s="1650" t="s">
        <v>9927</v>
      </c>
      <c r="R43" s="1650" t="s">
        <v>732</v>
      </c>
      <c r="S43" s="1650" t="s">
        <v>5066</v>
      </c>
      <c r="T43" s="1650" t="s">
        <v>9762</v>
      </c>
      <c r="U43" s="1650" t="s">
        <v>9928</v>
      </c>
      <c r="V43" s="1650" t="s">
        <v>2480</v>
      </c>
      <c r="W43" s="1651" t="s">
        <v>9929</v>
      </c>
      <c r="X43" s="1651" t="s">
        <v>6187</v>
      </c>
      <c r="Y43" s="1651" t="s">
        <v>8261</v>
      </c>
      <c r="Z43" s="1651" t="s">
        <v>9930</v>
      </c>
      <c r="AA43" s="1651" t="s">
        <v>9931</v>
      </c>
      <c r="AB43" s="1651" t="s">
        <v>2644</v>
      </c>
      <c r="AC43" s="1651" t="s">
        <v>3116</v>
      </c>
      <c r="AD43" s="1648" t="s">
        <v>9932</v>
      </c>
      <c r="AE43" s="1648" t="s">
        <v>6318</v>
      </c>
      <c r="AF43" s="1652" t="s">
        <v>9198</v>
      </c>
      <c r="AG43" s="1652" t="s">
        <v>9933</v>
      </c>
      <c r="AH43" s="1652" t="s">
        <v>2257</v>
      </c>
      <c r="AI43" s="1652" t="s">
        <v>9934</v>
      </c>
      <c r="AJ43" s="1652" t="s">
        <v>9935</v>
      </c>
      <c r="AK43" s="1652" t="s">
        <v>9936</v>
      </c>
      <c r="AL43" s="1652" t="s">
        <v>5491</v>
      </c>
      <c r="AM43" s="1623" t="s">
        <v>9788</v>
      </c>
      <c r="AN43" s="1623" t="s">
        <v>5491</v>
      </c>
      <c r="AO43" s="1623" t="s">
        <v>2304</v>
      </c>
      <c r="AP43" s="1623" t="s">
        <v>9937</v>
      </c>
      <c r="AQ43" s="1623" t="s">
        <v>9938</v>
      </c>
      <c r="AR43" s="1623" t="s">
        <v>4696</v>
      </c>
      <c r="AS43" s="1623" t="s">
        <v>4401</v>
      </c>
      <c r="AT43" s="1649" t="s">
        <v>9939</v>
      </c>
      <c r="AU43" s="1646" t="s">
        <v>9940</v>
      </c>
      <c r="AV43" s="1454" t="str">
        <f t="shared" si="1"/>
        <v>2:54</v>
      </c>
      <c r="AW43" s="1647"/>
    </row>
    <row r="44">
      <c r="A44" s="1596" t="s">
        <v>2826</v>
      </c>
      <c r="B44" s="1594" t="s">
        <v>9045</v>
      </c>
      <c r="C44" s="1536">
        <v>0.050826388888888886</v>
      </c>
      <c r="D44" s="1565" t="s">
        <v>9941</v>
      </c>
      <c r="E44" s="1565" t="s">
        <v>6990</v>
      </c>
      <c r="F44" s="1619" t="s">
        <v>9942</v>
      </c>
      <c r="G44" s="1565" t="s">
        <v>9943</v>
      </c>
      <c r="H44" s="1565" t="s">
        <v>6587</v>
      </c>
      <c r="I44" s="1565" t="s">
        <v>1291</v>
      </c>
      <c r="J44" s="1565" t="s">
        <v>9944</v>
      </c>
      <c r="K44" s="1565" t="s">
        <v>3975</v>
      </c>
      <c r="L44" s="1565" t="s">
        <v>5935</v>
      </c>
      <c r="M44" s="1565" t="s">
        <v>9945</v>
      </c>
      <c r="N44" s="1565" t="s">
        <v>6838</v>
      </c>
      <c r="O44" s="1565" t="s">
        <v>9946</v>
      </c>
      <c r="P44" s="1565" t="s">
        <v>9530</v>
      </c>
      <c r="Q44" s="1565" t="s">
        <v>9947</v>
      </c>
      <c r="R44" s="1565" t="s">
        <v>9948</v>
      </c>
      <c r="S44" s="1565" t="s">
        <v>9949</v>
      </c>
      <c r="T44" s="1565" t="s">
        <v>1709</v>
      </c>
      <c r="U44" s="1565" t="s">
        <v>9950</v>
      </c>
      <c r="V44" s="1565" t="s">
        <v>8189</v>
      </c>
      <c r="W44" s="1565" t="s">
        <v>5551</v>
      </c>
      <c r="X44" s="1565" t="s">
        <v>9951</v>
      </c>
      <c r="Y44" s="1565" t="s">
        <v>8098</v>
      </c>
      <c r="Z44" s="1565" t="s">
        <v>9952</v>
      </c>
      <c r="AA44" s="1621" t="s">
        <v>9953</v>
      </c>
      <c r="AB44" s="1565" t="s">
        <v>1842</v>
      </c>
      <c r="AC44" s="1565" t="s">
        <v>7213</v>
      </c>
      <c r="AD44" s="1565" t="s">
        <v>9954</v>
      </c>
      <c r="AE44" s="1565" t="s">
        <v>4974</v>
      </c>
      <c r="AF44" s="1565" t="s">
        <v>9955</v>
      </c>
      <c r="AG44" s="1565" t="s">
        <v>1175</v>
      </c>
      <c r="AH44" s="1565" t="s">
        <v>3899</v>
      </c>
      <c r="AI44" s="1565" t="s">
        <v>9956</v>
      </c>
      <c r="AJ44" s="1565" t="s">
        <v>9957</v>
      </c>
      <c r="AK44" s="1565" t="s">
        <v>9865</v>
      </c>
      <c r="AL44" s="1565" t="s">
        <v>4363</v>
      </c>
      <c r="AM44" s="1565" t="s">
        <v>9865</v>
      </c>
      <c r="AN44" s="1565" t="s">
        <v>9122</v>
      </c>
      <c r="AO44" s="1565" t="s">
        <v>6931</v>
      </c>
      <c r="AP44" s="1565" t="s">
        <v>9958</v>
      </c>
      <c r="AQ44" s="1565" t="s">
        <v>9959</v>
      </c>
      <c r="AR44" s="1565" t="s">
        <v>5183</v>
      </c>
      <c r="AS44" s="1565" t="s">
        <v>6154</v>
      </c>
      <c r="AT44" s="1565" t="s">
        <v>9960</v>
      </c>
      <c r="AU44" s="1565" t="s">
        <v>9961</v>
      </c>
      <c r="AV44" s="1454" t="str">
        <f t="shared" si="1"/>
        <v>2:25</v>
      </c>
      <c r="AW44" s="1628"/>
    </row>
    <row r="45" ht="15.75" customHeight="1">
      <c r="A45" s="1596" t="s">
        <v>4650</v>
      </c>
      <c r="B45" s="1535" t="s">
        <v>9045</v>
      </c>
      <c r="C45" s="1671">
        <v>0.050868055555555555</v>
      </c>
      <c r="D45" s="980" t="s">
        <v>9962</v>
      </c>
      <c r="E45" s="1454" t="s">
        <v>7191</v>
      </c>
      <c r="F45" s="1454" t="s">
        <v>9963</v>
      </c>
      <c r="G45" s="1454" t="s">
        <v>9964</v>
      </c>
      <c r="H45" s="1454" t="s">
        <v>9148</v>
      </c>
      <c r="I45" s="1454" t="s">
        <v>1291</v>
      </c>
      <c r="J45" s="1454" t="s">
        <v>4872</v>
      </c>
      <c r="K45" s="1454" t="s">
        <v>9538</v>
      </c>
      <c r="L45" s="1454" t="s">
        <v>9396</v>
      </c>
      <c r="M45" s="1454" t="s">
        <v>5451</v>
      </c>
      <c r="N45" s="1454" t="s">
        <v>8562</v>
      </c>
      <c r="O45" s="1454" t="s">
        <v>9965</v>
      </c>
      <c r="P45" s="1454" t="s">
        <v>4299</v>
      </c>
      <c r="Q45" s="1454" t="s">
        <v>9966</v>
      </c>
      <c r="R45" s="1454" t="s">
        <v>6882</v>
      </c>
      <c r="S45" s="1454" t="s">
        <v>9353</v>
      </c>
      <c r="T45" s="1454" t="s">
        <v>4618</v>
      </c>
      <c r="U45" s="1454" t="s">
        <v>9967</v>
      </c>
      <c r="V45" s="1454" t="s">
        <v>9577</v>
      </c>
      <c r="W45" s="1454" t="s">
        <v>9968</v>
      </c>
      <c r="X45" s="1454" t="s">
        <v>9582</v>
      </c>
      <c r="Y45" s="1454" t="s">
        <v>3636</v>
      </c>
      <c r="Z45" s="1454" t="s">
        <v>9969</v>
      </c>
      <c r="AA45" s="1454" t="s">
        <v>9970</v>
      </c>
      <c r="AB45" s="1454" t="s">
        <v>194</v>
      </c>
      <c r="AC45" s="1454" t="s">
        <v>3018</v>
      </c>
      <c r="AD45" s="1454" t="s">
        <v>9971</v>
      </c>
      <c r="AE45" s="1454" t="s">
        <v>619</v>
      </c>
      <c r="AF45" s="1454" t="s">
        <v>9972</v>
      </c>
      <c r="AG45" s="1454" t="s">
        <v>6053</v>
      </c>
      <c r="AH45" s="1454" t="s">
        <v>9149</v>
      </c>
      <c r="AI45" s="1454" t="s">
        <v>6957</v>
      </c>
      <c r="AJ45" s="1454" t="s">
        <v>9973</v>
      </c>
      <c r="AK45" s="1454" t="s">
        <v>5479</v>
      </c>
      <c r="AL45" s="1454" t="s">
        <v>3209</v>
      </c>
      <c r="AM45" s="1454" t="s">
        <v>9974</v>
      </c>
      <c r="AN45" s="1454" t="s">
        <v>3344</v>
      </c>
      <c r="AO45" s="1454" t="s">
        <v>9523</v>
      </c>
      <c r="AP45" s="1454" t="s">
        <v>9975</v>
      </c>
      <c r="AQ45" s="1454" t="s">
        <v>9976</v>
      </c>
      <c r="AR45" s="1454" t="s">
        <v>9387</v>
      </c>
      <c r="AS45" s="1454" t="s">
        <v>5146</v>
      </c>
      <c r="AT45" s="1454" t="s">
        <v>9977</v>
      </c>
      <c r="AU45" s="1454" t="s">
        <v>9978</v>
      </c>
      <c r="AV45" s="1454" t="str">
        <f t="shared" si="1"/>
        <v>2:44</v>
      </c>
      <c r="AW45" s="1576"/>
    </row>
    <row r="46" ht="15.75" customHeight="1">
      <c r="A46" s="1596" t="s">
        <v>1810</v>
      </c>
      <c r="B46" s="1678" t="s">
        <v>9098</v>
      </c>
      <c r="C46" s="1679">
        <v>0.05092592592592592</v>
      </c>
      <c r="D46" s="1680" t="s">
        <v>9099</v>
      </c>
      <c r="E46" s="1681" t="s">
        <v>9100</v>
      </c>
      <c r="F46" s="1680" t="s">
        <v>9101</v>
      </c>
      <c r="G46" s="1565" t="s">
        <v>9979</v>
      </c>
      <c r="H46" s="1680" t="s">
        <v>9103</v>
      </c>
      <c r="I46" s="1454" t="s">
        <v>1408</v>
      </c>
      <c r="J46" s="1648" t="s">
        <v>9980</v>
      </c>
      <c r="K46" s="1454" t="s">
        <v>9759</v>
      </c>
      <c r="L46" s="1648" t="s">
        <v>2330</v>
      </c>
      <c r="M46" s="1454" t="s">
        <v>2715</v>
      </c>
      <c r="N46" s="1680" t="s">
        <v>9064</v>
      </c>
      <c r="O46" s="1454" t="s">
        <v>9981</v>
      </c>
      <c r="P46" s="1648" t="s">
        <v>638</v>
      </c>
      <c r="Q46" s="1681" t="s">
        <v>9108</v>
      </c>
      <c r="R46" s="1680" t="s">
        <v>9109</v>
      </c>
      <c r="S46" s="1454" t="s">
        <v>1161</v>
      </c>
      <c r="T46" s="1648" t="s">
        <v>7265</v>
      </c>
      <c r="U46" s="1681" t="s">
        <v>9111</v>
      </c>
      <c r="V46" s="1680" t="s">
        <v>4294</v>
      </c>
      <c r="W46" s="1454" t="s">
        <v>9982</v>
      </c>
      <c r="X46" s="1680" t="s">
        <v>9113</v>
      </c>
      <c r="Y46" s="1454" t="s">
        <v>5719</v>
      </c>
      <c r="Z46" s="1619" t="s">
        <v>9983</v>
      </c>
      <c r="AA46" s="1454" t="s">
        <v>2306</v>
      </c>
      <c r="AB46" s="1648" t="s">
        <v>9426</v>
      </c>
      <c r="AC46" s="1565" t="s">
        <v>9984</v>
      </c>
      <c r="AD46" s="1648" t="s">
        <v>9985</v>
      </c>
      <c r="AE46" s="1565" t="s">
        <v>9986</v>
      </c>
      <c r="AF46" s="1648" t="s">
        <v>9987</v>
      </c>
      <c r="AG46" s="1454" t="s">
        <v>8010</v>
      </c>
      <c r="AH46" s="1619" t="s">
        <v>9876</v>
      </c>
      <c r="AI46" s="1681" t="s">
        <v>9118</v>
      </c>
      <c r="AJ46" s="1648" t="s">
        <v>9988</v>
      </c>
      <c r="AK46" s="1454" t="s">
        <v>5958</v>
      </c>
      <c r="AL46" s="1680" t="s">
        <v>9120</v>
      </c>
      <c r="AM46" s="1454" t="s">
        <v>9488</v>
      </c>
      <c r="AN46" s="1648" t="s">
        <v>3919</v>
      </c>
      <c r="AO46" s="1565" t="s">
        <v>4901</v>
      </c>
      <c r="AP46" s="1619" t="s">
        <v>9989</v>
      </c>
      <c r="AQ46" s="1565" t="s">
        <v>9990</v>
      </c>
      <c r="AR46" s="1619" t="s">
        <v>9991</v>
      </c>
      <c r="AS46" s="1454" t="s">
        <v>973</v>
      </c>
      <c r="AT46" s="1680" t="s">
        <v>9126</v>
      </c>
      <c r="AU46" s="1681" t="s">
        <v>9127</v>
      </c>
      <c r="AV46" s="1454" t="str">
        <f t="shared" si="1"/>
        <v>2:24</v>
      </c>
      <c r="AW46" s="1595"/>
    </row>
    <row r="47">
      <c r="A47" s="1596" t="s">
        <v>2582</v>
      </c>
      <c r="B47" s="1597" t="s">
        <v>9072</v>
      </c>
      <c r="C47" s="1536">
        <v>0.05092592592592592</v>
      </c>
      <c r="D47" s="980" t="s">
        <v>9992</v>
      </c>
      <c r="E47" s="1619" t="s">
        <v>9993</v>
      </c>
      <c r="F47" s="1619" t="s">
        <v>9994</v>
      </c>
      <c r="G47" s="1619" t="s">
        <v>9995</v>
      </c>
      <c r="H47" s="839" t="s">
        <v>9996</v>
      </c>
      <c r="I47" s="839" t="s">
        <v>2962</v>
      </c>
      <c r="J47" s="1602" t="s">
        <v>9214</v>
      </c>
      <c r="K47" s="1602" t="s">
        <v>3594</v>
      </c>
      <c r="L47" s="1602" t="s">
        <v>5872</v>
      </c>
      <c r="M47" s="1602" t="s">
        <v>3134</v>
      </c>
      <c r="N47" s="1602" t="s">
        <v>874</v>
      </c>
      <c r="O47" s="1602" t="s">
        <v>9997</v>
      </c>
      <c r="P47" s="1602" t="s">
        <v>774</v>
      </c>
      <c r="Q47" s="1605" t="s">
        <v>7247</v>
      </c>
      <c r="R47" s="1605" t="s">
        <v>6904</v>
      </c>
      <c r="S47" s="1605" t="s">
        <v>7531</v>
      </c>
      <c r="T47" s="1605" t="s">
        <v>9998</v>
      </c>
      <c r="U47" s="1682" t="s">
        <v>7355</v>
      </c>
      <c r="V47" s="1605" t="s">
        <v>9999</v>
      </c>
      <c r="W47" s="1621" t="s">
        <v>6852</v>
      </c>
      <c r="X47" s="1621" t="s">
        <v>10000</v>
      </c>
      <c r="Y47" s="1621" t="s">
        <v>10001</v>
      </c>
      <c r="Z47" s="1621" t="s">
        <v>7199</v>
      </c>
      <c r="AA47" s="1621" t="s">
        <v>1869</v>
      </c>
      <c r="AB47" s="1621" t="s">
        <v>10002</v>
      </c>
      <c r="AC47" s="1621" t="s">
        <v>2449</v>
      </c>
      <c r="AD47" s="1619" t="s">
        <v>10003</v>
      </c>
      <c r="AE47" s="1619" t="s">
        <v>5287</v>
      </c>
      <c r="AF47" s="1622" t="s">
        <v>10004</v>
      </c>
      <c r="AG47" s="1622" t="s">
        <v>5234</v>
      </c>
      <c r="AH47" s="1622" t="s">
        <v>4473</v>
      </c>
      <c r="AI47" s="1622" t="s">
        <v>10005</v>
      </c>
      <c r="AJ47" s="1611" t="s">
        <v>9091</v>
      </c>
      <c r="AK47" s="1622" t="s">
        <v>194</v>
      </c>
      <c r="AL47" s="1622" t="s">
        <v>5959</v>
      </c>
      <c r="AM47" s="1624" t="s">
        <v>4078</v>
      </c>
      <c r="AN47" s="1624" t="s">
        <v>3734</v>
      </c>
      <c r="AO47" s="1624" t="s">
        <v>2402</v>
      </c>
      <c r="AP47" s="1624" t="s">
        <v>10006</v>
      </c>
      <c r="AQ47" s="1624" t="s">
        <v>4315</v>
      </c>
      <c r="AR47" s="1624" t="s">
        <v>7236</v>
      </c>
      <c r="AS47" s="1624" t="s">
        <v>6607</v>
      </c>
      <c r="AT47" s="1602" t="s">
        <v>10007</v>
      </c>
      <c r="AU47" s="1019" t="s">
        <v>10008</v>
      </c>
      <c r="AV47" s="1454" t="str">
        <f t="shared" si="1"/>
        <v>4:25</v>
      </c>
      <c r="AW47" s="1593"/>
    </row>
    <row r="48" ht="15.75" customHeight="1">
      <c r="A48" s="1534" t="s">
        <v>4503</v>
      </c>
      <c r="B48" s="1629" t="s">
        <v>9072</v>
      </c>
      <c r="C48" s="1536">
        <v>0.05100810185185185</v>
      </c>
      <c r="D48" s="980" t="s">
        <v>10009</v>
      </c>
      <c r="E48" s="1619" t="s">
        <v>10010</v>
      </c>
      <c r="F48" s="1619" t="s">
        <v>10011</v>
      </c>
      <c r="G48" s="1648" t="s">
        <v>10012</v>
      </c>
      <c r="H48" s="839" t="s">
        <v>10013</v>
      </c>
      <c r="I48" s="839" t="s">
        <v>1408</v>
      </c>
      <c r="J48" s="1602" t="s">
        <v>5183</v>
      </c>
      <c r="K48" s="1602" t="s">
        <v>9757</v>
      </c>
      <c r="L48" s="1602" t="s">
        <v>4417</v>
      </c>
      <c r="M48" s="1602" t="s">
        <v>1451</v>
      </c>
      <c r="N48" s="1602" t="s">
        <v>9061</v>
      </c>
      <c r="O48" s="1602" t="s">
        <v>9257</v>
      </c>
      <c r="P48" s="1602" t="s">
        <v>10014</v>
      </c>
      <c r="Q48" s="1605" t="s">
        <v>10015</v>
      </c>
      <c r="R48" s="1605" t="s">
        <v>3441</v>
      </c>
      <c r="S48" s="1605" t="s">
        <v>7170</v>
      </c>
      <c r="T48" s="1605" t="s">
        <v>10016</v>
      </c>
      <c r="U48" s="1605" t="s">
        <v>10017</v>
      </c>
      <c r="V48" s="1650" t="s">
        <v>1362</v>
      </c>
      <c r="W48" s="1621" t="s">
        <v>10018</v>
      </c>
      <c r="X48" s="1621" t="s">
        <v>9808</v>
      </c>
      <c r="Y48" s="1621" t="s">
        <v>4020</v>
      </c>
      <c r="Z48" s="1621" t="s">
        <v>7127</v>
      </c>
      <c r="AA48" s="1621" t="s">
        <v>1022</v>
      </c>
      <c r="AB48" s="1621" t="s">
        <v>3947</v>
      </c>
      <c r="AC48" s="1651" t="s">
        <v>7698</v>
      </c>
      <c r="AD48" s="1619" t="s">
        <v>10019</v>
      </c>
      <c r="AE48" s="1648" t="s">
        <v>4962</v>
      </c>
      <c r="AF48" s="1622" t="s">
        <v>10020</v>
      </c>
      <c r="AG48" s="1622" t="s">
        <v>10021</v>
      </c>
      <c r="AH48" s="1622" t="s">
        <v>10022</v>
      </c>
      <c r="AI48" s="1622" t="s">
        <v>9470</v>
      </c>
      <c r="AJ48" s="1622" t="s">
        <v>10023</v>
      </c>
      <c r="AK48" s="1622" t="s">
        <v>10024</v>
      </c>
      <c r="AL48" s="1622" t="s">
        <v>4537</v>
      </c>
      <c r="AM48" s="1624" t="s">
        <v>10025</v>
      </c>
      <c r="AN48" s="1624" t="s">
        <v>3416</v>
      </c>
      <c r="AO48" s="1624" t="s">
        <v>10026</v>
      </c>
      <c r="AP48" s="1624" t="s">
        <v>10027</v>
      </c>
      <c r="AQ48" s="1624" t="s">
        <v>4315</v>
      </c>
      <c r="AR48" s="1624" t="s">
        <v>10028</v>
      </c>
      <c r="AS48" s="1624" t="s">
        <v>4559</v>
      </c>
      <c r="AT48" s="1602" t="s">
        <v>10029</v>
      </c>
      <c r="AU48" s="1586" t="s">
        <v>10030</v>
      </c>
      <c r="AV48" s="1454" t="str">
        <f t="shared" si="1"/>
        <v>3:17</v>
      </c>
      <c r="AW48" s="1587" t="s">
        <v>10031</v>
      </c>
    </row>
    <row r="49" ht="15.75" customHeight="1">
      <c r="A49" s="1596" t="s">
        <v>981</v>
      </c>
      <c r="B49" s="1584" t="s">
        <v>9072</v>
      </c>
      <c r="C49" s="1536">
        <v>0.05112268518518519</v>
      </c>
      <c r="D49" s="1619" t="s">
        <v>10032</v>
      </c>
      <c r="E49" s="1619" t="s">
        <v>4662</v>
      </c>
      <c r="F49" s="1619" t="s">
        <v>10033</v>
      </c>
      <c r="G49" s="1619" t="s">
        <v>10034</v>
      </c>
      <c r="H49" s="980" t="s">
        <v>10035</v>
      </c>
      <c r="I49" s="839" t="s">
        <v>5420</v>
      </c>
      <c r="J49" s="1602" t="s">
        <v>4081</v>
      </c>
      <c r="K49" s="1602" t="s">
        <v>10036</v>
      </c>
      <c r="L49" s="1542" t="s">
        <v>3651</v>
      </c>
      <c r="M49" s="1602" t="s">
        <v>4457</v>
      </c>
      <c r="N49" s="1602" t="s">
        <v>9788</v>
      </c>
      <c r="O49" s="1602" t="s">
        <v>10037</v>
      </c>
      <c r="P49" s="1602" t="s">
        <v>1524</v>
      </c>
      <c r="Q49" s="1605" t="s">
        <v>10038</v>
      </c>
      <c r="R49" s="1683" t="s">
        <v>10039</v>
      </c>
      <c r="S49" s="1605" t="s">
        <v>415</v>
      </c>
      <c r="T49" s="1605" t="s">
        <v>10040</v>
      </c>
      <c r="U49" s="1605" t="s">
        <v>10041</v>
      </c>
      <c r="V49" s="1605" t="s">
        <v>10042</v>
      </c>
      <c r="W49" s="1621" t="s">
        <v>10043</v>
      </c>
      <c r="X49" s="1621" t="s">
        <v>10044</v>
      </c>
      <c r="Y49" s="1639" t="s">
        <v>973</v>
      </c>
      <c r="Z49" s="1621" t="s">
        <v>10045</v>
      </c>
      <c r="AA49" s="1565" t="s">
        <v>10046</v>
      </c>
      <c r="AB49" s="1621" t="s">
        <v>2847</v>
      </c>
      <c r="AC49" s="1621" t="s">
        <v>5089</v>
      </c>
      <c r="AD49" s="1619" t="s">
        <v>10047</v>
      </c>
      <c r="AE49" s="1619" t="s">
        <v>5586</v>
      </c>
      <c r="AF49" s="1622" t="s">
        <v>9275</v>
      </c>
      <c r="AG49" s="1622" t="s">
        <v>274</v>
      </c>
      <c r="AH49" s="1622" t="s">
        <v>463</v>
      </c>
      <c r="AI49" s="1622" t="s">
        <v>10048</v>
      </c>
      <c r="AJ49" s="1622" t="s">
        <v>10049</v>
      </c>
      <c r="AK49" s="1622" t="s">
        <v>4153</v>
      </c>
      <c r="AL49" s="1622" t="s">
        <v>10050</v>
      </c>
      <c r="AM49" s="1624" t="s">
        <v>10051</v>
      </c>
      <c r="AN49" s="1684" t="s">
        <v>3221</v>
      </c>
      <c r="AO49" s="1624" t="s">
        <v>8143</v>
      </c>
      <c r="AP49" s="1624" t="s">
        <v>10052</v>
      </c>
      <c r="AQ49" s="1624" t="s">
        <v>10053</v>
      </c>
      <c r="AR49" s="1624" t="s">
        <v>10054</v>
      </c>
      <c r="AS49" s="1624" t="s">
        <v>9003</v>
      </c>
      <c r="AT49" s="1602" t="s">
        <v>10055</v>
      </c>
      <c r="AU49" s="1586" t="s">
        <v>10056</v>
      </c>
      <c r="AV49" s="1454" t="str">
        <f t="shared" si="1"/>
        <v>4:57</v>
      </c>
      <c r="AW49" s="1647"/>
    </row>
    <row r="50">
      <c r="A50" s="1596" t="s">
        <v>2375</v>
      </c>
      <c r="B50" s="1594" t="s">
        <v>9072</v>
      </c>
      <c r="C50" s="1536">
        <v>0.05112268518518519</v>
      </c>
      <c r="D50" s="1565" t="s">
        <v>10057</v>
      </c>
      <c r="E50" s="1565" t="s">
        <v>4523</v>
      </c>
      <c r="F50" s="1565" t="s">
        <v>6166</v>
      </c>
      <c r="G50" s="1664" t="s">
        <v>9075</v>
      </c>
      <c r="H50" s="980" t="s">
        <v>10058</v>
      </c>
      <c r="I50" s="1565" t="s">
        <v>767</v>
      </c>
      <c r="J50" s="1565" t="s">
        <v>7534</v>
      </c>
      <c r="K50" s="1565" t="s">
        <v>2503</v>
      </c>
      <c r="L50" s="1565" t="s">
        <v>1362</v>
      </c>
      <c r="M50" s="1565" t="s">
        <v>10059</v>
      </c>
      <c r="N50" s="1565" t="s">
        <v>9157</v>
      </c>
      <c r="O50" s="1565" t="s">
        <v>10060</v>
      </c>
      <c r="P50" s="1565" t="s">
        <v>3636</v>
      </c>
      <c r="Q50" s="1565" t="s">
        <v>10061</v>
      </c>
      <c r="R50" s="1565" t="s">
        <v>10062</v>
      </c>
      <c r="S50" s="1565" t="s">
        <v>3782</v>
      </c>
      <c r="T50" s="1565" t="s">
        <v>7465</v>
      </c>
      <c r="U50" s="1605" t="s">
        <v>9494</v>
      </c>
      <c r="V50" s="1565" t="s">
        <v>10063</v>
      </c>
      <c r="W50" s="1565" t="s">
        <v>10064</v>
      </c>
      <c r="X50" s="1565" t="s">
        <v>1484</v>
      </c>
      <c r="Y50" s="1565" t="s">
        <v>8104</v>
      </c>
      <c r="Z50" s="1565" t="s">
        <v>9312</v>
      </c>
      <c r="AA50" s="1621" t="s">
        <v>614</v>
      </c>
      <c r="AB50" s="1565" t="s">
        <v>10065</v>
      </c>
      <c r="AC50" s="1565" t="s">
        <v>5287</v>
      </c>
      <c r="AD50" s="1565" t="s">
        <v>10066</v>
      </c>
      <c r="AE50" s="1565" t="s">
        <v>3636</v>
      </c>
      <c r="AF50" s="1565" t="s">
        <v>10067</v>
      </c>
      <c r="AG50" s="1565" t="s">
        <v>10068</v>
      </c>
      <c r="AH50" s="1565" t="s">
        <v>2527</v>
      </c>
      <c r="AI50" s="1565" t="s">
        <v>6199</v>
      </c>
      <c r="AJ50" s="1565" t="s">
        <v>10069</v>
      </c>
      <c r="AK50" s="1565" t="s">
        <v>9584</v>
      </c>
      <c r="AL50" s="1565" t="s">
        <v>10070</v>
      </c>
      <c r="AM50" s="1565" t="s">
        <v>2710</v>
      </c>
      <c r="AN50" s="1565" t="s">
        <v>10071</v>
      </c>
      <c r="AO50" s="1565" t="s">
        <v>7382</v>
      </c>
      <c r="AP50" s="1565" t="s">
        <v>10072</v>
      </c>
      <c r="AQ50" s="1565" t="s">
        <v>10073</v>
      </c>
      <c r="AR50" s="1565" t="s">
        <v>2256</v>
      </c>
      <c r="AS50" s="1565" t="s">
        <v>8098</v>
      </c>
      <c r="AT50" s="1565" t="s">
        <v>10074</v>
      </c>
      <c r="AU50" s="1565" t="s">
        <v>10075</v>
      </c>
      <c r="AV50" s="1454" t="str">
        <f t="shared" si="1"/>
        <v>3:15</v>
      </c>
      <c r="AW50" s="1032"/>
    </row>
    <row r="51">
      <c r="A51" s="1596" t="s">
        <v>2716</v>
      </c>
      <c r="B51" s="1594" t="s">
        <v>9045</v>
      </c>
      <c r="C51" s="1536">
        <v>0.051145833333333335</v>
      </c>
      <c r="D51" s="980" t="s">
        <v>10076</v>
      </c>
      <c r="E51" s="1660" t="s">
        <v>4138</v>
      </c>
      <c r="F51" s="1660" t="s">
        <v>1684</v>
      </c>
      <c r="G51" s="1660" t="s">
        <v>10077</v>
      </c>
      <c r="H51" s="980" t="s">
        <v>10078</v>
      </c>
      <c r="I51" s="1660" t="s">
        <v>9984</v>
      </c>
      <c r="J51" s="1660" t="s">
        <v>10079</v>
      </c>
      <c r="K51" s="1660" t="s">
        <v>10079</v>
      </c>
      <c r="L51" s="1660" t="s">
        <v>4142</v>
      </c>
      <c r="M51" s="1660" t="s">
        <v>3466</v>
      </c>
      <c r="N51" s="1660" t="s">
        <v>10080</v>
      </c>
      <c r="O51" s="1660" t="s">
        <v>10081</v>
      </c>
      <c r="P51" s="1660" t="s">
        <v>9087</v>
      </c>
      <c r="Q51" s="1660" t="s">
        <v>10082</v>
      </c>
      <c r="R51" s="1660" t="s">
        <v>10083</v>
      </c>
      <c r="S51" s="1538" t="s">
        <v>6780</v>
      </c>
      <c r="T51" s="1660" t="s">
        <v>10084</v>
      </c>
      <c r="U51" s="1660" t="s">
        <v>230</v>
      </c>
      <c r="V51" s="1660" t="s">
        <v>10085</v>
      </c>
      <c r="W51" s="1660" t="s">
        <v>10086</v>
      </c>
      <c r="X51" s="1660" t="s">
        <v>10087</v>
      </c>
      <c r="Y51" s="1660" t="s">
        <v>597</v>
      </c>
      <c r="Z51" s="1660" t="s">
        <v>10088</v>
      </c>
      <c r="AA51" s="1660" t="s">
        <v>9821</v>
      </c>
      <c r="AB51" s="1660" t="s">
        <v>5929</v>
      </c>
      <c r="AC51" s="1660" t="s">
        <v>1234</v>
      </c>
      <c r="AD51" s="1660" t="s">
        <v>10089</v>
      </c>
      <c r="AE51" s="1660" t="s">
        <v>9530</v>
      </c>
      <c r="AF51" s="1660" t="s">
        <v>10090</v>
      </c>
      <c r="AG51" s="1660" t="s">
        <v>10091</v>
      </c>
      <c r="AH51" s="1660" t="s">
        <v>3762</v>
      </c>
      <c r="AI51" s="1660" t="s">
        <v>10092</v>
      </c>
      <c r="AJ51" s="1660" t="s">
        <v>10093</v>
      </c>
      <c r="AK51" s="1660" t="s">
        <v>10094</v>
      </c>
      <c r="AL51" s="1660" t="s">
        <v>4983</v>
      </c>
      <c r="AM51" s="1660" t="s">
        <v>3619</v>
      </c>
      <c r="AN51" s="1660" t="s">
        <v>5658</v>
      </c>
      <c r="AO51" s="1660" t="s">
        <v>5183</v>
      </c>
      <c r="AP51" s="1660" t="s">
        <v>10095</v>
      </c>
      <c r="AQ51" s="1660" t="s">
        <v>3373</v>
      </c>
      <c r="AR51" s="1660" t="s">
        <v>10096</v>
      </c>
      <c r="AS51" s="1660" t="s">
        <v>1396</v>
      </c>
      <c r="AT51" s="1660" t="s">
        <v>701</v>
      </c>
      <c r="AU51" s="1660" t="s">
        <v>10097</v>
      </c>
      <c r="AV51" s="1454" t="str">
        <f t="shared" si="1"/>
        <v>3:47</v>
      </c>
      <c r="AW51" s="1685" t="s">
        <v>10098</v>
      </c>
    </row>
    <row r="52" ht="15.75" customHeight="1">
      <c r="A52" s="1534" t="s">
        <v>10099</v>
      </c>
      <c r="B52" s="1686" t="s">
        <v>9045</v>
      </c>
      <c r="C52" s="1536">
        <v>0.051180555555555556</v>
      </c>
      <c r="D52" s="980" t="s">
        <v>10100</v>
      </c>
      <c r="E52" s="1565" t="s">
        <v>10101</v>
      </c>
      <c r="F52" s="1565" t="s">
        <v>4155</v>
      </c>
      <c r="G52" s="1565" t="s">
        <v>10102</v>
      </c>
      <c r="H52" s="1565" t="s">
        <v>10103</v>
      </c>
      <c r="I52" s="1565" t="s">
        <v>161</v>
      </c>
      <c r="J52" s="1565" t="s">
        <v>887</v>
      </c>
      <c r="K52" s="1565" t="s">
        <v>7109</v>
      </c>
      <c r="L52" s="1565" t="s">
        <v>9264</v>
      </c>
      <c r="M52" s="1565" t="s">
        <v>5949</v>
      </c>
      <c r="N52" s="1565" t="s">
        <v>10104</v>
      </c>
      <c r="O52" s="1565" t="s">
        <v>10105</v>
      </c>
      <c r="P52" s="1565" t="s">
        <v>5617</v>
      </c>
      <c r="Q52" s="1565" t="s">
        <v>6825</v>
      </c>
      <c r="R52" s="1565" t="s">
        <v>10106</v>
      </c>
      <c r="S52" s="1565" t="s">
        <v>8935</v>
      </c>
      <c r="T52" s="1454" t="s">
        <v>4198</v>
      </c>
      <c r="U52" s="1454" t="s">
        <v>10107</v>
      </c>
      <c r="V52" s="1565" t="s">
        <v>1966</v>
      </c>
      <c r="W52" s="1565" t="s">
        <v>10108</v>
      </c>
      <c r="X52" s="1565" t="s">
        <v>10109</v>
      </c>
      <c r="Y52" s="1565" t="s">
        <v>9530</v>
      </c>
      <c r="Z52" s="1565" t="s">
        <v>10110</v>
      </c>
      <c r="AA52" s="1565" t="s">
        <v>10111</v>
      </c>
      <c r="AB52" s="1565" t="s">
        <v>10112</v>
      </c>
      <c r="AC52" s="1565" t="s">
        <v>849</v>
      </c>
      <c r="AD52" s="1565" t="s">
        <v>10019</v>
      </c>
      <c r="AE52" s="1565" t="s">
        <v>3218</v>
      </c>
      <c r="AF52" s="1454" t="s">
        <v>10113</v>
      </c>
      <c r="AG52" s="1565" t="s">
        <v>387</v>
      </c>
      <c r="AH52" s="1565" t="s">
        <v>10114</v>
      </c>
      <c r="AI52" s="1565" t="s">
        <v>10115</v>
      </c>
      <c r="AJ52" s="1565" t="s">
        <v>10116</v>
      </c>
      <c r="AK52" s="1565" t="s">
        <v>10117</v>
      </c>
      <c r="AL52" s="1565" t="s">
        <v>4882</v>
      </c>
      <c r="AM52" s="1565" t="s">
        <v>6928</v>
      </c>
      <c r="AN52" s="1565" t="s">
        <v>9720</v>
      </c>
      <c r="AO52" s="1574" t="str">
        <f>HYPERLINK("https://clips.twitch.tv/AltruisticEmpathicManateeDoritosChip","1:20.90")</f>
        <v>1:20.90</v>
      </c>
      <c r="AP52" s="1565" t="s">
        <v>10118</v>
      </c>
      <c r="AQ52" s="1565" t="s">
        <v>10119</v>
      </c>
      <c r="AR52" s="1565" t="s">
        <v>10120</v>
      </c>
      <c r="AS52" s="1565" t="s">
        <v>9151</v>
      </c>
      <c r="AT52" s="1565" t="s">
        <v>10121</v>
      </c>
      <c r="AU52" s="1565" t="s">
        <v>10122</v>
      </c>
      <c r="AV52" s="1454" t="str">
        <f t="shared" si="1"/>
        <v>2:40</v>
      </c>
      <c r="AW52" s="1628" t="s">
        <v>10123</v>
      </c>
    </row>
    <row r="53" ht="15.75" customHeight="1">
      <c r="A53" s="1596" t="s">
        <v>3750</v>
      </c>
      <c r="B53" s="1678" t="s">
        <v>9045</v>
      </c>
      <c r="C53" s="1687">
        <v>0.05123738425925926</v>
      </c>
      <c r="D53" s="1619" t="s">
        <v>10124</v>
      </c>
      <c r="E53" s="1619" t="s">
        <v>3910</v>
      </c>
      <c r="F53" s="1619" t="s">
        <v>10125</v>
      </c>
      <c r="G53" s="1619" t="s">
        <v>9548</v>
      </c>
      <c r="H53" s="839" t="s">
        <v>10126</v>
      </c>
      <c r="I53" s="839" t="s">
        <v>2558</v>
      </c>
      <c r="J53" s="1602" t="s">
        <v>9757</v>
      </c>
      <c r="K53" s="1602" t="s">
        <v>6843</v>
      </c>
      <c r="L53" s="1602" t="s">
        <v>10127</v>
      </c>
      <c r="M53" s="1602" t="s">
        <v>5569</v>
      </c>
      <c r="N53" s="1688" t="s">
        <v>1160</v>
      </c>
      <c r="O53" s="1602" t="s">
        <v>3459</v>
      </c>
      <c r="P53" s="1602" t="s">
        <v>9197</v>
      </c>
      <c r="Q53" s="1605" t="s">
        <v>10128</v>
      </c>
      <c r="R53" s="1605" t="s">
        <v>9715</v>
      </c>
      <c r="S53" s="1605" t="s">
        <v>10129</v>
      </c>
      <c r="T53" s="1605" t="s">
        <v>10130</v>
      </c>
      <c r="U53" s="1605" t="s">
        <v>10131</v>
      </c>
      <c r="V53" s="1605" t="s">
        <v>4225</v>
      </c>
      <c r="W53" s="1621" t="s">
        <v>10132</v>
      </c>
      <c r="X53" s="1621" t="s">
        <v>10133</v>
      </c>
      <c r="Y53" s="1621" t="s">
        <v>10134</v>
      </c>
      <c r="Z53" s="1621" t="s">
        <v>1351</v>
      </c>
      <c r="AA53" s="1621" t="s">
        <v>9470</v>
      </c>
      <c r="AB53" s="1621" t="s">
        <v>9859</v>
      </c>
      <c r="AC53" s="1621" t="s">
        <v>482</v>
      </c>
      <c r="AD53" s="1619" t="s">
        <v>10135</v>
      </c>
      <c r="AE53" s="1619" t="s">
        <v>5071</v>
      </c>
      <c r="AF53" s="1622" t="s">
        <v>10136</v>
      </c>
      <c r="AG53" s="1622" t="s">
        <v>10137</v>
      </c>
      <c r="AH53" s="1622" t="s">
        <v>10138</v>
      </c>
      <c r="AI53" s="1622" t="s">
        <v>312</v>
      </c>
      <c r="AJ53" s="1622" t="s">
        <v>10139</v>
      </c>
      <c r="AK53" s="1592" t="s">
        <v>9621</v>
      </c>
      <c r="AL53" s="1622" t="s">
        <v>9410</v>
      </c>
      <c r="AM53" s="1624" t="s">
        <v>10140</v>
      </c>
      <c r="AN53" s="1624" t="s">
        <v>570</v>
      </c>
      <c r="AO53" s="1624" t="s">
        <v>10141</v>
      </c>
      <c r="AP53" s="1624" t="s">
        <v>10142</v>
      </c>
      <c r="AQ53" s="980" t="s">
        <v>10143</v>
      </c>
      <c r="AR53" s="1689" t="s">
        <v>10144</v>
      </c>
      <c r="AS53" s="1624" t="s">
        <v>10145</v>
      </c>
      <c r="AT53" s="1602" t="s">
        <v>10146</v>
      </c>
      <c r="AU53" s="1586" t="s">
        <v>10147</v>
      </c>
      <c r="AV53" s="1454" t="str">
        <f t="shared" si="1"/>
        <v>4:25</v>
      </c>
      <c r="AW53" s="1587" t="s">
        <v>10148</v>
      </c>
    </row>
    <row r="54" ht="15.75" customHeight="1">
      <c r="A54" s="1596" t="s">
        <v>1723</v>
      </c>
      <c r="B54" s="1690" t="s">
        <v>9098</v>
      </c>
      <c r="C54" s="1671">
        <v>0.051319444444444445</v>
      </c>
      <c r="D54" s="980" t="s">
        <v>10149</v>
      </c>
      <c r="E54" s="1454" t="s">
        <v>10150</v>
      </c>
      <c r="F54" s="1454" t="s">
        <v>10151</v>
      </c>
      <c r="G54" s="1454" t="s">
        <v>10152</v>
      </c>
      <c r="H54" s="1454" t="s">
        <v>5102</v>
      </c>
      <c r="I54" s="1454" t="s">
        <v>6621</v>
      </c>
      <c r="J54" s="1454" t="s">
        <v>10153</v>
      </c>
      <c r="K54" s="1454" t="s">
        <v>9217</v>
      </c>
      <c r="L54" s="1454" t="s">
        <v>3900</v>
      </c>
      <c r="M54" s="1454" t="s">
        <v>9903</v>
      </c>
      <c r="N54" s="1454" t="s">
        <v>9699</v>
      </c>
      <c r="O54" s="1454" t="s">
        <v>10154</v>
      </c>
      <c r="P54" s="1691" t="s">
        <v>9107</v>
      </c>
      <c r="Q54" s="1454" t="s">
        <v>10155</v>
      </c>
      <c r="R54" s="1454" t="s">
        <v>5938</v>
      </c>
      <c r="S54" s="1454" t="s">
        <v>1158</v>
      </c>
      <c r="T54" s="1454" t="s">
        <v>10156</v>
      </c>
      <c r="U54" s="1454" t="s">
        <v>1004</v>
      </c>
      <c r="V54" s="1454" t="s">
        <v>451</v>
      </c>
      <c r="W54" s="1454" t="s">
        <v>10157</v>
      </c>
      <c r="X54" s="1454" t="s">
        <v>309</v>
      </c>
      <c r="Y54" s="1454" t="s">
        <v>10158</v>
      </c>
      <c r="Z54" s="1454" t="s">
        <v>6933</v>
      </c>
      <c r="AA54" s="1454" t="s">
        <v>9934</v>
      </c>
      <c r="AB54" s="1454" t="s">
        <v>4517</v>
      </c>
      <c r="AC54" s="1454" t="s">
        <v>6155</v>
      </c>
      <c r="AD54" s="1454" t="s">
        <v>10159</v>
      </c>
      <c r="AE54" s="1691" t="s">
        <v>5586</v>
      </c>
      <c r="AF54" s="1691" t="s">
        <v>2806</v>
      </c>
      <c r="AG54" s="1454" t="s">
        <v>4600</v>
      </c>
      <c r="AH54" s="1454" t="s">
        <v>10160</v>
      </c>
      <c r="AI54" s="1454" t="s">
        <v>10161</v>
      </c>
      <c r="AJ54" s="1454" t="s">
        <v>10162</v>
      </c>
      <c r="AK54" s="1454" t="s">
        <v>6107</v>
      </c>
      <c r="AL54" s="1454" t="s">
        <v>6338</v>
      </c>
      <c r="AM54" s="1691" t="s">
        <v>9121</v>
      </c>
      <c r="AN54" s="1565" t="s">
        <v>2475</v>
      </c>
      <c r="AO54" s="1454" t="s">
        <v>4959</v>
      </c>
      <c r="AP54" s="1454" t="s">
        <v>10163</v>
      </c>
      <c r="AQ54" s="1454" t="s">
        <v>10164</v>
      </c>
      <c r="AR54" s="1454" t="s">
        <v>8136</v>
      </c>
      <c r="AS54" s="1454" t="s">
        <v>4445</v>
      </c>
      <c r="AT54" s="1454" t="s">
        <v>10165</v>
      </c>
      <c r="AU54" s="1454" t="s">
        <v>10166</v>
      </c>
      <c r="AV54" s="1454" t="str">
        <f t="shared" si="1"/>
        <v>3:15</v>
      </c>
      <c r="AW54" s="1628" t="s">
        <v>10167</v>
      </c>
    </row>
    <row r="55">
      <c r="A55" s="1596" t="s">
        <v>1948</v>
      </c>
      <c r="B55" s="1584" t="s">
        <v>9045</v>
      </c>
      <c r="C55" s="1536">
        <v>0.05133101851851852</v>
      </c>
      <c r="D55" s="1677" t="s">
        <v>10168</v>
      </c>
      <c r="E55" s="1619" t="s">
        <v>10169</v>
      </c>
      <c r="F55" s="1619" t="s">
        <v>10170</v>
      </c>
      <c r="G55" s="1619" t="s">
        <v>10171</v>
      </c>
      <c r="H55" s="839" t="s">
        <v>10172</v>
      </c>
      <c r="I55" s="839" t="s">
        <v>3116</v>
      </c>
      <c r="J55" s="1602" t="s">
        <v>1867</v>
      </c>
      <c r="K55" s="1602" t="s">
        <v>10173</v>
      </c>
      <c r="L55" s="1602" t="s">
        <v>4186</v>
      </c>
      <c r="M55" s="1602" t="s">
        <v>10174</v>
      </c>
      <c r="N55" s="1602" t="s">
        <v>9319</v>
      </c>
      <c r="O55" s="1602" t="s">
        <v>10175</v>
      </c>
      <c r="P55" s="1602" t="s">
        <v>9261</v>
      </c>
      <c r="Q55" s="1605" t="s">
        <v>10176</v>
      </c>
      <c r="R55" s="1605" t="s">
        <v>9948</v>
      </c>
      <c r="S55" s="1605" t="s">
        <v>7484</v>
      </c>
      <c r="T55" s="1605" t="s">
        <v>9953</v>
      </c>
      <c r="U55" s="1605" t="s">
        <v>10177</v>
      </c>
      <c r="V55" s="1605" t="s">
        <v>9734</v>
      </c>
      <c r="W55" s="1621" t="s">
        <v>10178</v>
      </c>
      <c r="X55" s="1621" t="s">
        <v>10179</v>
      </c>
      <c r="Y55" s="1621" t="s">
        <v>5555</v>
      </c>
      <c r="Z55" s="1621" t="s">
        <v>1500</v>
      </c>
      <c r="AA55" s="1621" t="s">
        <v>10180</v>
      </c>
      <c r="AB55" s="1621" t="s">
        <v>6404</v>
      </c>
      <c r="AC55" s="1621" t="s">
        <v>263</v>
      </c>
      <c r="AD55" s="1619" t="s">
        <v>9537</v>
      </c>
      <c r="AE55" s="1619" t="s">
        <v>5555</v>
      </c>
      <c r="AF55" s="1622" t="s">
        <v>10181</v>
      </c>
      <c r="AG55" s="1622" t="s">
        <v>5898</v>
      </c>
      <c r="AH55" s="1622" t="s">
        <v>4068</v>
      </c>
      <c r="AI55" s="1622" t="s">
        <v>10182</v>
      </c>
      <c r="AJ55" s="1622" t="s">
        <v>10183</v>
      </c>
      <c r="AK55" s="1622" t="s">
        <v>10109</v>
      </c>
      <c r="AL55" s="1622" t="s">
        <v>3235</v>
      </c>
      <c r="AM55" s="1624" t="s">
        <v>9562</v>
      </c>
      <c r="AN55" s="1624" t="s">
        <v>4076</v>
      </c>
      <c r="AO55" s="1624" t="s">
        <v>10184</v>
      </c>
      <c r="AP55" s="1624" t="s">
        <v>10185</v>
      </c>
      <c r="AQ55" s="1624" t="s">
        <v>9772</v>
      </c>
      <c r="AR55" s="1624" t="s">
        <v>10186</v>
      </c>
      <c r="AS55" s="1624" t="s">
        <v>9053</v>
      </c>
      <c r="AT55" s="1602" t="s">
        <v>10187</v>
      </c>
      <c r="AU55" s="1586" t="s">
        <v>10188</v>
      </c>
      <c r="AV55" s="1454" t="str">
        <f t="shared" si="1"/>
        <v>1:34</v>
      </c>
      <c r="AW55" s="1647"/>
    </row>
    <row r="56">
      <c r="A56" s="1596" t="s">
        <v>2994</v>
      </c>
      <c r="B56" s="1584" t="s">
        <v>9045</v>
      </c>
      <c r="C56" s="1536">
        <v>0.05134259259259259</v>
      </c>
      <c r="D56" s="1619" t="s">
        <v>10189</v>
      </c>
      <c r="E56" s="1619" t="s">
        <v>6618</v>
      </c>
      <c r="F56" s="1619" t="s">
        <v>10190</v>
      </c>
      <c r="G56" s="1619" t="s">
        <v>10191</v>
      </c>
      <c r="H56" s="1619" t="s">
        <v>10192</v>
      </c>
      <c r="I56" s="1619" t="s">
        <v>1291</v>
      </c>
      <c r="J56" s="1602" t="s">
        <v>5036</v>
      </c>
      <c r="K56" s="1602" t="s">
        <v>6820</v>
      </c>
      <c r="L56" s="1602" t="s">
        <v>4906</v>
      </c>
      <c r="M56" s="1602" t="s">
        <v>3643</v>
      </c>
      <c r="N56" s="1602" t="s">
        <v>2077</v>
      </c>
      <c r="O56" s="1602" t="s">
        <v>10193</v>
      </c>
      <c r="P56" s="1602" t="s">
        <v>4557</v>
      </c>
      <c r="Q56" s="1605" t="s">
        <v>10194</v>
      </c>
      <c r="R56" s="1605" t="s">
        <v>2600</v>
      </c>
      <c r="S56" s="1605" t="s">
        <v>10195</v>
      </c>
      <c r="T56" s="1605" t="s">
        <v>10196</v>
      </c>
      <c r="U56" s="1605" t="s">
        <v>10041</v>
      </c>
      <c r="V56" s="1605" t="s">
        <v>10197</v>
      </c>
      <c r="W56" s="1621" t="s">
        <v>10198</v>
      </c>
      <c r="X56" s="1621" t="s">
        <v>9118</v>
      </c>
      <c r="Y56" s="1621" t="s">
        <v>9783</v>
      </c>
      <c r="Z56" s="1621" t="s">
        <v>3039</v>
      </c>
      <c r="AA56" s="1565" t="s">
        <v>592</v>
      </c>
      <c r="AB56" s="1621" t="s">
        <v>9377</v>
      </c>
      <c r="AC56" s="1621" t="s">
        <v>9660</v>
      </c>
      <c r="AD56" s="1619" t="s">
        <v>10199</v>
      </c>
      <c r="AE56" s="1619" t="s">
        <v>10200</v>
      </c>
      <c r="AF56" s="1622" t="s">
        <v>10201</v>
      </c>
      <c r="AG56" s="1622" t="s">
        <v>10202</v>
      </c>
      <c r="AH56" s="1622" t="s">
        <v>1973</v>
      </c>
      <c r="AI56" s="1622" t="s">
        <v>419</v>
      </c>
      <c r="AJ56" s="1622" t="s">
        <v>10203</v>
      </c>
      <c r="AK56" s="1622" t="s">
        <v>10204</v>
      </c>
      <c r="AL56" s="1622" t="s">
        <v>5756</v>
      </c>
      <c r="AM56" s="1624" t="s">
        <v>10205</v>
      </c>
      <c r="AN56" s="1624" t="s">
        <v>6577</v>
      </c>
      <c r="AO56" s="1624" t="s">
        <v>10206</v>
      </c>
      <c r="AP56" s="1624" t="s">
        <v>10207</v>
      </c>
      <c r="AQ56" s="1624" t="s">
        <v>9772</v>
      </c>
      <c r="AR56" s="1624" t="s">
        <v>9412</v>
      </c>
      <c r="AS56" s="1624" t="s">
        <v>1972</v>
      </c>
      <c r="AT56" s="1602" t="s">
        <v>10208</v>
      </c>
      <c r="AU56" s="1586" t="s">
        <v>10075</v>
      </c>
      <c r="AV56" s="1454" t="str">
        <f t="shared" si="1"/>
        <v>2:56</v>
      </c>
      <c r="AW56" s="1587" t="s">
        <v>10209</v>
      </c>
    </row>
    <row r="57" ht="15.75" customHeight="1">
      <c r="A57" s="1562" t="s">
        <v>1413</v>
      </c>
      <c r="B57" s="1690" t="s">
        <v>9098</v>
      </c>
      <c r="C57" s="1671">
        <v>0.05134259259259259</v>
      </c>
      <c r="D57" s="980" t="s">
        <v>10210</v>
      </c>
      <c r="E57" s="1648" t="s">
        <v>6033</v>
      </c>
      <c r="F57" s="1648" t="s">
        <v>10190</v>
      </c>
      <c r="G57" s="1648" t="s">
        <v>10211</v>
      </c>
      <c r="H57" s="904" t="s">
        <v>10212</v>
      </c>
      <c r="I57" s="1692" t="s">
        <v>350</v>
      </c>
      <c r="J57" s="1649" t="s">
        <v>10213</v>
      </c>
      <c r="K57" s="1649" t="s">
        <v>4047</v>
      </c>
      <c r="L57" s="1693" t="s">
        <v>3810</v>
      </c>
      <c r="M57" s="1649" t="s">
        <v>5715</v>
      </c>
      <c r="N57" s="1649" t="s">
        <v>7383</v>
      </c>
      <c r="O57" s="1693" t="s">
        <v>9106</v>
      </c>
      <c r="P57" s="1649" t="s">
        <v>388</v>
      </c>
      <c r="Q57" s="1650" t="s">
        <v>10214</v>
      </c>
      <c r="R57" s="1650" t="s">
        <v>1623</v>
      </c>
      <c r="S57" s="1650" t="s">
        <v>10215</v>
      </c>
      <c r="T57" s="1694" t="s">
        <v>9110</v>
      </c>
      <c r="U57" s="1650" t="s">
        <v>10216</v>
      </c>
      <c r="V57" s="1650" t="s">
        <v>4070</v>
      </c>
      <c r="W57" s="1695" t="s">
        <v>9112</v>
      </c>
      <c r="X57" s="1651" t="s">
        <v>4372</v>
      </c>
      <c r="Y57" s="1651" t="s">
        <v>6621</v>
      </c>
      <c r="Z57" s="1651" t="s">
        <v>7224</v>
      </c>
      <c r="AA57" s="1651" t="s">
        <v>9621</v>
      </c>
      <c r="AB57" s="1695" t="s">
        <v>9116</v>
      </c>
      <c r="AC57" s="1651" t="s">
        <v>7548</v>
      </c>
      <c r="AD57" s="1624" t="s">
        <v>10217</v>
      </c>
      <c r="AE57" s="1648" t="s">
        <v>10218</v>
      </c>
      <c r="AF57" s="1652" t="s">
        <v>10219</v>
      </c>
      <c r="AG57" s="1652" t="s">
        <v>10220</v>
      </c>
      <c r="AH57" s="1652" t="s">
        <v>10221</v>
      </c>
      <c r="AI57" s="1652" t="s">
        <v>10222</v>
      </c>
      <c r="AJ57" s="1652" t="s">
        <v>10223</v>
      </c>
      <c r="AK57" s="1696" t="s">
        <v>886</v>
      </c>
      <c r="AL57" s="1652" t="s">
        <v>1563</v>
      </c>
      <c r="AM57" s="1623" t="s">
        <v>10068</v>
      </c>
      <c r="AN57" s="1624" t="s">
        <v>4689</v>
      </c>
      <c r="AO57" s="1623" t="s">
        <v>10224</v>
      </c>
      <c r="AP57" s="1623" t="s">
        <v>10225</v>
      </c>
      <c r="AQ57" s="1623" t="s">
        <v>10226</v>
      </c>
      <c r="AR57" s="1623" t="s">
        <v>10227</v>
      </c>
      <c r="AS57" s="1623" t="s">
        <v>4629</v>
      </c>
      <c r="AT57" s="1649" t="s">
        <v>10228</v>
      </c>
      <c r="AU57" s="1646" t="s">
        <v>10229</v>
      </c>
      <c r="AV57" s="1454" t="str">
        <f t="shared" si="1"/>
        <v>1:58</v>
      </c>
      <c r="AW57" s="1647"/>
    </row>
    <row r="58" ht="15.75" customHeight="1">
      <c r="A58" s="1534" t="s">
        <v>3382</v>
      </c>
      <c r="B58" s="1535" t="s">
        <v>9045</v>
      </c>
      <c r="C58" s="1671">
        <v>0.05134259259259259</v>
      </c>
      <c r="D58" s="980" t="s">
        <v>10230</v>
      </c>
      <c r="E58" s="1454" t="s">
        <v>10231</v>
      </c>
      <c r="F58" s="1454" t="s">
        <v>10232</v>
      </c>
      <c r="G58" s="1454" t="s">
        <v>7260</v>
      </c>
      <c r="H58" s="1454" t="s">
        <v>9308</v>
      </c>
      <c r="I58" s="1454" t="s">
        <v>6341</v>
      </c>
      <c r="J58" s="1454" t="s">
        <v>10233</v>
      </c>
      <c r="K58" s="1454" t="s">
        <v>3975</v>
      </c>
      <c r="L58" s="1454" t="s">
        <v>10234</v>
      </c>
      <c r="M58" s="1454" t="s">
        <v>10235</v>
      </c>
      <c r="N58" s="1454" t="s">
        <v>2927</v>
      </c>
      <c r="O58" s="1454" t="s">
        <v>10236</v>
      </c>
      <c r="P58" s="1454" t="s">
        <v>1082</v>
      </c>
      <c r="Q58" s="1454" t="s">
        <v>2466</v>
      </c>
      <c r="R58" s="1454" t="s">
        <v>9948</v>
      </c>
      <c r="S58" s="1454" t="s">
        <v>9817</v>
      </c>
      <c r="T58" s="1454" t="s">
        <v>10237</v>
      </c>
      <c r="U58" s="1454" t="s">
        <v>10238</v>
      </c>
      <c r="V58" s="1454" t="s">
        <v>9561</v>
      </c>
      <c r="W58" s="1454" t="s">
        <v>10239</v>
      </c>
      <c r="X58" s="1454" t="s">
        <v>10240</v>
      </c>
      <c r="Y58" s="1454" t="s">
        <v>388</v>
      </c>
      <c r="Z58" s="1454" t="s">
        <v>7170</v>
      </c>
      <c r="AA58" s="1454" t="s">
        <v>9767</v>
      </c>
      <c r="AB58" s="1454" t="s">
        <v>9180</v>
      </c>
      <c r="AC58" s="1454" t="s">
        <v>849</v>
      </c>
      <c r="AD58" s="1454" t="s">
        <v>10241</v>
      </c>
      <c r="AE58" s="1454" t="s">
        <v>388</v>
      </c>
      <c r="AF58" s="1454" t="s">
        <v>10242</v>
      </c>
      <c r="AG58" s="1454" t="s">
        <v>10243</v>
      </c>
      <c r="AH58" s="1454" t="s">
        <v>5274</v>
      </c>
      <c r="AI58" s="1454" t="s">
        <v>10244</v>
      </c>
      <c r="AJ58" s="1454" t="s">
        <v>10183</v>
      </c>
      <c r="AK58" s="1454" t="s">
        <v>6901</v>
      </c>
      <c r="AL58" s="1454" t="s">
        <v>3318</v>
      </c>
      <c r="AM58" s="1454" t="s">
        <v>4151</v>
      </c>
      <c r="AN58" s="1454" t="s">
        <v>5785</v>
      </c>
      <c r="AO58" s="1454" t="s">
        <v>6534</v>
      </c>
      <c r="AP58" s="1454" t="s">
        <v>10245</v>
      </c>
      <c r="AQ58" s="1454" t="s">
        <v>10246</v>
      </c>
      <c r="AR58" s="1454" t="s">
        <v>10247</v>
      </c>
      <c r="AS58" s="1623" t="s">
        <v>4433</v>
      </c>
      <c r="AT58" s="1454" t="s">
        <v>10248</v>
      </c>
      <c r="AU58" s="1454" t="s">
        <v>9496</v>
      </c>
      <c r="AV58" s="1454" t="str">
        <f t="shared" si="1"/>
        <v>2:27</v>
      </c>
      <c r="AW58" s="1628"/>
    </row>
    <row r="59" ht="15.75" customHeight="1">
      <c r="A59" s="1596" t="s">
        <v>1346</v>
      </c>
      <c r="B59" s="1594" t="s">
        <v>9098</v>
      </c>
      <c r="C59" s="1536">
        <v>0.05140046296296296</v>
      </c>
      <c r="D59" s="1565" t="s">
        <v>10249</v>
      </c>
      <c r="E59" s="1565" t="s">
        <v>1747</v>
      </c>
      <c r="F59" s="1565" t="s">
        <v>10250</v>
      </c>
      <c r="G59" s="1681" t="s">
        <v>9102</v>
      </c>
      <c r="H59" s="980" t="s">
        <v>10251</v>
      </c>
      <c r="I59" s="1565" t="s">
        <v>1670</v>
      </c>
      <c r="J59" s="1681" t="s">
        <v>9104</v>
      </c>
      <c r="K59" s="1565" t="s">
        <v>7132</v>
      </c>
      <c r="L59" s="1565" t="s">
        <v>10252</v>
      </c>
      <c r="M59" s="1681" t="s">
        <v>9105</v>
      </c>
      <c r="N59" s="1565" t="s">
        <v>10253</v>
      </c>
      <c r="O59" s="1565" t="s">
        <v>10254</v>
      </c>
      <c r="P59" s="1565" t="s">
        <v>1044</v>
      </c>
      <c r="Q59" s="1565" t="s">
        <v>10038</v>
      </c>
      <c r="R59" s="1565" t="s">
        <v>10255</v>
      </c>
      <c r="S59" s="1565" t="s">
        <v>9093</v>
      </c>
      <c r="T59" s="1565" t="s">
        <v>10256</v>
      </c>
      <c r="U59" s="1565" t="s">
        <v>9963</v>
      </c>
      <c r="V59" s="1565" t="s">
        <v>5989</v>
      </c>
      <c r="W59" s="1565" t="s">
        <v>10257</v>
      </c>
      <c r="X59" s="1565" t="s">
        <v>629</v>
      </c>
      <c r="Y59" s="1565" t="s">
        <v>10258</v>
      </c>
      <c r="Z59" s="1565" t="s">
        <v>10259</v>
      </c>
      <c r="AA59" s="1697" t="s">
        <v>9115</v>
      </c>
      <c r="AB59" s="1565" t="s">
        <v>6082</v>
      </c>
      <c r="AC59" s="1565" t="s">
        <v>10260</v>
      </c>
      <c r="AD59" s="1565" t="s">
        <v>9479</v>
      </c>
      <c r="AE59" s="1565" t="s">
        <v>2606</v>
      </c>
      <c r="AF59" s="1565" t="s">
        <v>10261</v>
      </c>
      <c r="AG59" s="1681" t="s">
        <v>4613</v>
      </c>
      <c r="AH59" s="1681" t="s">
        <v>5294</v>
      </c>
      <c r="AI59" s="1565" t="s">
        <v>10262</v>
      </c>
      <c r="AJ59" s="1565" t="s">
        <v>10263</v>
      </c>
      <c r="AK59" s="1565" t="s">
        <v>7188</v>
      </c>
      <c r="AL59" s="1565" t="s">
        <v>3899</v>
      </c>
      <c r="AM59" s="1565" t="s">
        <v>10264</v>
      </c>
      <c r="AN59" s="1565" t="s">
        <v>3821</v>
      </c>
      <c r="AO59" s="1681" t="s">
        <v>9123</v>
      </c>
      <c r="AP59" s="1698" t="s">
        <v>9124</v>
      </c>
      <c r="AQ59" s="1565" t="s">
        <v>3246</v>
      </c>
      <c r="AR59" s="1565" t="s">
        <v>1619</v>
      </c>
      <c r="AS59" s="1565" t="s">
        <v>4716</v>
      </c>
      <c r="AT59" s="1565" t="s">
        <v>10265</v>
      </c>
      <c r="AU59" s="1565" t="s">
        <v>9496</v>
      </c>
      <c r="AV59" s="1454" t="str">
        <f t="shared" si="1"/>
        <v>2:22</v>
      </c>
      <c r="AW59" s="1595" t="s">
        <v>10266</v>
      </c>
    </row>
    <row r="60" ht="15.75" customHeight="1">
      <c r="A60" s="1596" t="s">
        <v>4053</v>
      </c>
      <c r="B60" s="1584" t="s">
        <v>9045</v>
      </c>
      <c r="C60" s="1536">
        <v>0.05153935185185185</v>
      </c>
      <c r="D60" s="1660" t="s">
        <v>10267</v>
      </c>
      <c r="E60" s="1660" t="s">
        <v>7760</v>
      </c>
      <c r="F60" s="1660" t="s">
        <v>10268</v>
      </c>
      <c r="G60" s="1660" t="s">
        <v>4967</v>
      </c>
      <c r="H60" s="980" t="s">
        <v>10269</v>
      </c>
      <c r="I60" s="1660" t="s">
        <v>1291</v>
      </c>
      <c r="J60" s="1660" t="s">
        <v>10270</v>
      </c>
      <c r="K60" s="1660" t="s">
        <v>3678</v>
      </c>
      <c r="L60" s="1660" t="s">
        <v>4225</v>
      </c>
      <c r="M60" s="1660" t="s">
        <v>6731</v>
      </c>
      <c r="N60" s="1660" t="s">
        <v>10271</v>
      </c>
      <c r="O60" s="1660" t="s">
        <v>3803</v>
      </c>
      <c r="P60" s="1660" t="s">
        <v>8104</v>
      </c>
      <c r="Q60" s="1660" t="s">
        <v>10272</v>
      </c>
      <c r="R60" s="1660" t="s">
        <v>3441</v>
      </c>
      <c r="S60" s="1699" t="s">
        <v>9901</v>
      </c>
      <c r="T60" s="1660" t="s">
        <v>9719</v>
      </c>
      <c r="U60" s="1660" t="s">
        <v>10273</v>
      </c>
      <c r="V60" s="1660" t="s">
        <v>1705</v>
      </c>
      <c r="W60" s="1660" t="s">
        <v>10274</v>
      </c>
      <c r="X60" s="1660" t="s">
        <v>1763</v>
      </c>
      <c r="Y60" s="1660" t="s">
        <v>3692</v>
      </c>
      <c r="Z60" s="1660" t="s">
        <v>6924</v>
      </c>
      <c r="AA60" s="1660" t="s">
        <v>964</v>
      </c>
      <c r="AB60" s="1660" t="s">
        <v>10275</v>
      </c>
      <c r="AC60" s="1660" t="s">
        <v>10260</v>
      </c>
      <c r="AD60" s="1660" t="s">
        <v>10276</v>
      </c>
      <c r="AE60" s="1660" t="s">
        <v>4974</v>
      </c>
      <c r="AF60" s="1542" t="s">
        <v>10277</v>
      </c>
      <c r="AG60" s="1660" t="s">
        <v>10278</v>
      </c>
      <c r="AH60" s="1660" t="s">
        <v>10279</v>
      </c>
      <c r="AI60" s="1660" t="s">
        <v>10280</v>
      </c>
      <c r="AJ60" s="1660" t="s">
        <v>10281</v>
      </c>
      <c r="AK60" s="1660" t="s">
        <v>5157</v>
      </c>
      <c r="AL60" s="1660" t="s">
        <v>10070</v>
      </c>
      <c r="AM60" s="1660" t="s">
        <v>10262</v>
      </c>
      <c r="AN60" s="1660" t="s">
        <v>2595</v>
      </c>
      <c r="AO60" s="1660" t="s">
        <v>5828</v>
      </c>
      <c r="AP60" s="1699" t="s">
        <v>10006</v>
      </c>
      <c r="AQ60" s="1660" t="s">
        <v>10282</v>
      </c>
      <c r="AR60" s="1660" t="s">
        <v>5036</v>
      </c>
      <c r="AS60" s="1660" t="s">
        <v>9151</v>
      </c>
      <c r="AT60" s="1660" t="s">
        <v>10283</v>
      </c>
      <c r="AU60" s="1660" t="s">
        <v>10284</v>
      </c>
      <c r="AV60" s="1454" t="str">
        <f t="shared" si="1"/>
        <v>2:41</v>
      </c>
      <c r="AW60" s="1700" t="s">
        <v>10285</v>
      </c>
    </row>
    <row r="61" ht="15.75" customHeight="1">
      <c r="A61" s="1534" t="s">
        <v>2028</v>
      </c>
      <c r="B61" s="1535" t="s">
        <v>9045</v>
      </c>
      <c r="C61" s="1536">
        <v>0.05157407407407407</v>
      </c>
      <c r="D61" s="980" t="s">
        <v>10286</v>
      </c>
      <c r="E61" s="1619" t="s">
        <v>10287</v>
      </c>
      <c r="F61" s="1619" t="s">
        <v>10288</v>
      </c>
      <c r="G61" s="1648" t="s">
        <v>9778</v>
      </c>
      <c r="H61" s="904" t="s">
        <v>10289</v>
      </c>
      <c r="I61" s="904" t="s">
        <v>2101</v>
      </c>
      <c r="J61" s="1649" t="s">
        <v>5525</v>
      </c>
      <c r="K61" s="1649" t="s">
        <v>3552</v>
      </c>
      <c r="L61" s="1649" t="s">
        <v>10290</v>
      </c>
      <c r="M61" s="1649" t="s">
        <v>9945</v>
      </c>
      <c r="N61" s="1649" t="s">
        <v>1230</v>
      </c>
      <c r="O61" s="1649" t="s">
        <v>10257</v>
      </c>
      <c r="P61" s="1649" t="s">
        <v>10291</v>
      </c>
      <c r="Q61" s="1650" t="s">
        <v>10292</v>
      </c>
      <c r="R61" s="1650" t="s">
        <v>10293</v>
      </c>
      <c r="S61" s="1650" t="s">
        <v>10294</v>
      </c>
      <c r="T61" s="1650" t="s">
        <v>6928</v>
      </c>
      <c r="U61" s="1650" t="s">
        <v>2751</v>
      </c>
      <c r="V61" s="1650" t="s">
        <v>5128</v>
      </c>
      <c r="W61" s="1651" t="s">
        <v>10295</v>
      </c>
      <c r="X61" s="1651" t="s">
        <v>10296</v>
      </c>
      <c r="Y61" s="1651" t="s">
        <v>10158</v>
      </c>
      <c r="Z61" s="1651" t="s">
        <v>9116</v>
      </c>
      <c r="AA61" s="1651" t="s">
        <v>6199</v>
      </c>
      <c r="AB61" s="1651" t="s">
        <v>5929</v>
      </c>
      <c r="AC61" s="1651" t="s">
        <v>6485</v>
      </c>
      <c r="AD61" s="1619" t="s">
        <v>10297</v>
      </c>
      <c r="AE61" s="1648" t="s">
        <v>5606</v>
      </c>
      <c r="AF61" s="1652" t="s">
        <v>10298</v>
      </c>
      <c r="AG61" s="1652" t="s">
        <v>10299</v>
      </c>
      <c r="AH61" s="1652" t="s">
        <v>10300</v>
      </c>
      <c r="AI61" s="1652" t="s">
        <v>1035</v>
      </c>
      <c r="AJ61" s="1652" t="s">
        <v>10301</v>
      </c>
      <c r="AK61" s="1622" t="s">
        <v>629</v>
      </c>
      <c r="AL61" s="1622" t="s">
        <v>10302</v>
      </c>
      <c r="AM61" s="1623" t="s">
        <v>3733</v>
      </c>
      <c r="AN61" s="1623" t="s">
        <v>10303</v>
      </c>
      <c r="AO61" s="1623" t="s">
        <v>10304</v>
      </c>
      <c r="AP61" s="1623" t="s">
        <v>10305</v>
      </c>
      <c r="AQ61" s="1623" t="s">
        <v>10306</v>
      </c>
      <c r="AR61" s="1624" t="s">
        <v>7475</v>
      </c>
      <c r="AS61" s="1623" t="s">
        <v>4433</v>
      </c>
      <c r="AT61" s="1649" t="s">
        <v>10307</v>
      </c>
      <c r="AU61" s="1646" t="s">
        <v>10308</v>
      </c>
      <c r="AV61" s="1454" t="str">
        <f t="shared" si="1"/>
        <v>4:40</v>
      </c>
      <c r="AW61" s="1647" t="s">
        <v>10309</v>
      </c>
    </row>
    <row r="62" ht="15.75" customHeight="1">
      <c r="A62" s="1596" t="s">
        <v>10310</v>
      </c>
      <c r="B62" s="1584" t="s">
        <v>9045</v>
      </c>
      <c r="C62" s="1536">
        <v>0.051631944444444446</v>
      </c>
      <c r="D62" s="1619" t="s">
        <v>10311</v>
      </c>
      <c r="E62" s="1619" t="s">
        <v>7603</v>
      </c>
      <c r="F62" s="1619" t="s">
        <v>9244</v>
      </c>
      <c r="G62" s="1619" t="s">
        <v>10312</v>
      </c>
      <c r="H62" s="839" t="s">
        <v>10313</v>
      </c>
      <c r="I62" s="839" t="s">
        <v>10314</v>
      </c>
      <c r="J62" s="1602" t="s">
        <v>10315</v>
      </c>
      <c r="K62" s="1602" t="s">
        <v>7188</v>
      </c>
      <c r="L62" s="1602" t="s">
        <v>4465</v>
      </c>
      <c r="M62" s="1602" t="s">
        <v>10316</v>
      </c>
      <c r="N62" s="1602" t="s">
        <v>9716</v>
      </c>
      <c r="O62" s="1602" t="s">
        <v>10317</v>
      </c>
      <c r="P62" s="1602" t="s">
        <v>2176</v>
      </c>
      <c r="Q62" s="1605" t="s">
        <v>10318</v>
      </c>
      <c r="R62" s="1605" t="s">
        <v>5938</v>
      </c>
      <c r="S62" s="1605" t="s">
        <v>5678</v>
      </c>
      <c r="T62" s="1605" t="s">
        <v>6322</v>
      </c>
      <c r="U62" s="1605" t="s">
        <v>10319</v>
      </c>
      <c r="V62" s="1605" t="s">
        <v>10320</v>
      </c>
      <c r="W62" s="1621" t="s">
        <v>10321</v>
      </c>
      <c r="X62" s="1621" t="s">
        <v>629</v>
      </c>
      <c r="Y62" s="1621" t="s">
        <v>5120</v>
      </c>
      <c r="Z62" s="1621" t="s">
        <v>10322</v>
      </c>
      <c r="AA62" s="1565" t="s">
        <v>10323</v>
      </c>
      <c r="AB62" s="1621" t="s">
        <v>9911</v>
      </c>
      <c r="AC62" s="1621" t="s">
        <v>4756</v>
      </c>
      <c r="AD62" s="1619" t="s">
        <v>10324</v>
      </c>
      <c r="AE62" s="1619" t="s">
        <v>9613</v>
      </c>
      <c r="AF62" s="1701" t="s">
        <v>10325</v>
      </c>
      <c r="AG62" s="1622" t="s">
        <v>7730</v>
      </c>
      <c r="AH62" s="1622" t="s">
        <v>10300</v>
      </c>
      <c r="AI62" s="1622" t="s">
        <v>4124</v>
      </c>
      <c r="AJ62" s="1622" t="s">
        <v>10326</v>
      </c>
      <c r="AK62" s="1622" t="s">
        <v>1521</v>
      </c>
      <c r="AL62" s="1622" t="s">
        <v>3487</v>
      </c>
      <c r="AM62" s="1624" t="s">
        <v>6199</v>
      </c>
      <c r="AN62" s="1624" t="s">
        <v>5756</v>
      </c>
      <c r="AO62" s="1624" t="s">
        <v>7533</v>
      </c>
      <c r="AP62" s="1624" t="s">
        <v>10327</v>
      </c>
      <c r="AQ62" s="1624" t="s">
        <v>3560</v>
      </c>
      <c r="AR62" s="1624" t="s">
        <v>9878</v>
      </c>
      <c r="AS62" s="1624" t="s">
        <v>4098</v>
      </c>
      <c r="AT62" s="1602" t="s">
        <v>10328</v>
      </c>
      <c r="AU62" s="1586" t="s">
        <v>10329</v>
      </c>
      <c r="AV62" s="1454" t="str">
        <f t="shared" si="1"/>
        <v>2:25</v>
      </c>
      <c r="AW62" s="1663" t="s">
        <v>10330</v>
      </c>
    </row>
    <row r="63" ht="15.75" customHeight="1">
      <c r="A63" s="1661" t="s">
        <v>10331</v>
      </c>
      <c r="B63" s="1535" t="s">
        <v>9045</v>
      </c>
      <c r="C63" s="1671">
        <v>0.051631944444444446</v>
      </c>
      <c r="D63" s="980" t="s">
        <v>10332</v>
      </c>
      <c r="E63" s="336" t="s">
        <v>8701</v>
      </c>
      <c r="F63" s="336" t="s">
        <v>9124</v>
      </c>
      <c r="G63" s="336" t="s">
        <v>10333</v>
      </c>
      <c r="H63" s="336" t="s">
        <v>10334</v>
      </c>
      <c r="I63" s="336" t="s">
        <v>10260</v>
      </c>
      <c r="J63" s="336" t="s">
        <v>3553</v>
      </c>
      <c r="K63" s="336" t="s">
        <v>10335</v>
      </c>
      <c r="L63" s="336" t="s">
        <v>5233</v>
      </c>
      <c r="M63" s="336" t="s">
        <v>714</v>
      </c>
      <c r="N63" s="336" t="s">
        <v>10336</v>
      </c>
      <c r="O63" s="336" t="s">
        <v>4765</v>
      </c>
      <c r="P63" s="336" t="s">
        <v>5082</v>
      </c>
      <c r="Q63" s="336" t="s">
        <v>10337</v>
      </c>
      <c r="R63" s="336" t="s">
        <v>10338</v>
      </c>
      <c r="S63" s="336" t="s">
        <v>10120</v>
      </c>
      <c r="T63" s="336" t="s">
        <v>9562</v>
      </c>
      <c r="U63" s="336" t="s">
        <v>10339</v>
      </c>
      <c r="V63" s="336" t="s">
        <v>10340</v>
      </c>
      <c r="W63" s="336" t="s">
        <v>10341</v>
      </c>
      <c r="X63" s="336" t="s">
        <v>10262</v>
      </c>
      <c r="Y63" s="336" t="s">
        <v>4756</v>
      </c>
      <c r="Z63" s="336" t="s">
        <v>6781</v>
      </c>
      <c r="AA63" s="336" t="s">
        <v>5937</v>
      </c>
      <c r="AB63" s="336" t="s">
        <v>10342</v>
      </c>
      <c r="AC63" s="336" t="s">
        <v>388</v>
      </c>
      <c r="AD63" s="336" t="s">
        <v>6145</v>
      </c>
      <c r="AE63" s="336" t="s">
        <v>3116</v>
      </c>
      <c r="AF63" s="336" t="s">
        <v>10012</v>
      </c>
      <c r="AG63" s="336" t="s">
        <v>10343</v>
      </c>
      <c r="AH63" s="336" t="s">
        <v>5493</v>
      </c>
      <c r="AI63" s="336" t="s">
        <v>3583</v>
      </c>
      <c r="AJ63" s="336" t="s">
        <v>10344</v>
      </c>
      <c r="AK63" s="336" t="s">
        <v>10180</v>
      </c>
      <c r="AL63" s="336" t="s">
        <v>5267</v>
      </c>
      <c r="AM63" s="336" t="s">
        <v>10345</v>
      </c>
      <c r="AN63" s="336" t="s">
        <v>8912</v>
      </c>
      <c r="AO63" s="336" t="s">
        <v>5169</v>
      </c>
      <c r="AP63" s="336" t="s">
        <v>10346</v>
      </c>
      <c r="AQ63" s="336" t="s">
        <v>3699</v>
      </c>
      <c r="AR63" s="336" t="s">
        <v>9701</v>
      </c>
      <c r="AS63" s="336" t="s">
        <v>4742</v>
      </c>
      <c r="AT63" s="336" t="s">
        <v>10347</v>
      </c>
      <c r="AU63" s="1702" t="str">
        <f>HYPERLINK("https://splits.io/pc9","1:16:48")</f>
        <v>1:16:48</v>
      </c>
      <c r="AV63" s="1454" t="str">
        <f t="shared" si="1"/>
        <v>2:27</v>
      </c>
      <c r="AW63" s="1703" t="s">
        <v>10348</v>
      </c>
    </row>
    <row r="64" ht="15.75" customHeight="1">
      <c r="A64" s="1534" t="s">
        <v>5926</v>
      </c>
      <c r="B64" s="1535" t="s">
        <v>9045</v>
      </c>
      <c r="C64" s="1671">
        <v>0.051631944444444446</v>
      </c>
      <c r="D64" s="980" t="s">
        <v>10349</v>
      </c>
      <c r="E64" s="336" t="s">
        <v>7760</v>
      </c>
      <c r="F64" s="336" t="s">
        <v>10350</v>
      </c>
      <c r="G64" s="336" t="s">
        <v>5424</v>
      </c>
      <c r="H64" s="336" t="s">
        <v>9923</v>
      </c>
      <c r="I64" s="336" t="s">
        <v>4756</v>
      </c>
      <c r="J64" s="336" t="s">
        <v>9234</v>
      </c>
      <c r="K64" s="336" t="s">
        <v>8924</v>
      </c>
      <c r="L64" s="336" t="s">
        <v>5912</v>
      </c>
      <c r="M64" s="336" t="s">
        <v>937</v>
      </c>
      <c r="N64" s="336" t="s">
        <v>10351</v>
      </c>
      <c r="O64" s="336" t="s">
        <v>10154</v>
      </c>
      <c r="P64" s="336" t="s">
        <v>10014</v>
      </c>
      <c r="Q64" s="336" t="s">
        <v>10352</v>
      </c>
      <c r="R64" s="336" t="s">
        <v>10293</v>
      </c>
      <c r="S64" s="336" t="s">
        <v>6809</v>
      </c>
      <c r="T64" s="336" t="s">
        <v>10353</v>
      </c>
      <c r="U64" s="336" t="s">
        <v>10354</v>
      </c>
      <c r="V64" s="336" t="s">
        <v>10355</v>
      </c>
      <c r="W64" s="336" t="s">
        <v>10356</v>
      </c>
      <c r="X64" s="336" t="s">
        <v>10357</v>
      </c>
      <c r="Y64" s="336" t="s">
        <v>1163</v>
      </c>
      <c r="Z64" s="336" t="s">
        <v>4867</v>
      </c>
      <c r="AA64" s="336" t="s">
        <v>10358</v>
      </c>
      <c r="AB64" s="336" t="s">
        <v>6847</v>
      </c>
      <c r="AC64" s="336" t="s">
        <v>10359</v>
      </c>
      <c r="AD64" s="336" t="s">
        <v>10360</v>
      </c>
      <c r="AE64" s="1660" t="s">
        <v>5555</v>
      </c>
      <c r="AF64" s="336" t="s">
        <v>10361</v>
      </c>
      <c r="AG64" s="336" t="s">
        <v>10362</v>
      </c>
      <c r="AH64" s="336" t="s">
        <v>2254</v>
      </c>
      <c r="AI64" s="336" t="s">
        <v>5295</v>
      </c>
      <c r="AJ64" s="336" t="s">
        <v>8759</v>
      </c>
      <c r="AK64" s="336" t="s">
        <v>1794</v>
      </c>
      <c r="AL64" s="336" t="s">
        <v>5756</v>
      </c>
      <c r="AM64" s="336" t="s">
        <v>10363</v>
      </c>
      <c r="AN64" s="336" t="s">
        <v>10364</v>
      </c>
      <c r="AO64" s="336" t="s">
        <v>9340</v>
      </c>
      <c r="AP64" s="336" t="s">
        <v>10365</v>
      </c>
      <c r="AQ64" s="336" t="s">
        <v>10366</v>
      </c>
      <c r="AR64" s="336" t="s">
        <v>4855</v>
      </c>
      <c r="AS64" s="336" t="s">
        <v>3043</v>
      </c>
      <c r="AT64" s="336" t="s">
        <v>10367</v>
      </c>
      <c r="AU64" s="336" t="s">
        <v>10368</v>
      </c>
      <c r="AV64" s="1454" t="str">
        <f t="shared" si="1"/>
        <v>3:33</v>
      </c>
      <c r="AW64" s="1703"/>
    </row>
    <row r="65" ht="15.75" customHeight="1">
      <c r="A65" s="1534" t="s">
        <v>4243</v>
      </c>
      <c r="B65" s="1535" t="s">
        <v>9045</v>
      </c>
      <c r="C65" s="1671">
        <v>0.05164351851851852</v>
      </c>
      <c r="D65" s="980" t="s">
        <v>10369</v>
      </c>
      <c r="E65" s="336" t="s">
        <v>9253</v>
      </c>
      <c r="F65" s="336" t="s">
        <v>10370</v>
      </c>
      <c r="G65" s="336" t="s">
        <v>9102</v>
      </c>
      <c r="H65" s="336" t="s">
        <v>10371</v>
      </c>
      <c r="I65" s="336" t="s">
        <v>1291</v>
      </c>
      <c r="J65" s="336" t="s">
        <v>806</v>
      </c>
      <c r="K65" s="336" t="s">
        <v>6758</v>
      </c>
      <c r="L65" s="336" t="s">
        <v>3734</v>
      </c>
      <c r="M65" s="336" t="s">
        <v>10316</v>
      </c>
      <c r="N65" s="336" t="s">
        <v>9441</v>
      </c>
      <c r="O65" s="336" t="s">
        <v>10018</v>
      </c>
      <c r="P65" s="336" t="s">
        <v>5216</v>
      </c>
      <c r="Q65" s="336" t="s">
        <v>10372</v>
      </c>
      <c r="R65" s="336" t="s">
        <v>8967</v>
      </c>
      <c r="S65" s="336" t="s">
        <v>10373</v>
      </c>
      <c r="T65" s="336" t="s">
        <v>10374</v>
      </c>
      <c r="U65" s="336" t="s">
        <v>10375</v>
      </c>
      <c r="V65" s="336" t="s">
        <v>10376</v>
      </c>
      <c r="W65" s="336" t="s">
        <v>10377</v>
      </c>
      <c r="X65" s="336" t="s">
        <v>608</v>
      </c>
      <c r="Y65" s="336" t="s">
        <v>10378</v>
      </c>
      <c r="Z65" s="336" t="s">
        <v>7224</v>
      </c>
      <c r="AA65" s="336" t="s">
        <v>5682</v>
      </c>
      <c r="AB65" s="336" t="s">
        <v>7534</v>
      </c>
      <c r="AC65" s="336" t="s">
        <v>7698</v>
      </c>
      <c r="AD65" s="336" t="s">
        <v>10379</v>
      </c>
      <c r="AE65" s="336" t="s">
        <v>1849</v>
      </c>
      <c r="AF65" s="336" t="s">
        <v>10380</v>
      </c>
      <c r="AG65" s="336" t="s">
        <v>527</v>
      </c>
      <c r="AH65" s="336" t="s">
        <v>5493</v>
      </c>
      <c r="AI65" s="336" t="s">
        <v>10381</v>
      </c>
      <c r="AJ65" s="336" t="s">
        <v>10382</v>
      </c>
      <c r="AK65" s="336" t="s">
        <v>10383</v>
      </c>
      <c r="AL65" s="336" t="s">
        <v>5213</v>
      </c>
      <c r="AM65" s="336" t="s">
        <v>9821</v>
      </c>
      <c r="AN65" s="336" t="s">
        <v>9502</v>
      </c>
      <c r="AO65" s="336" t="s">
        <v>10227</v>
      </c>
      <c r="AP65" s="336" t="s">
        <v>10384</v>
      </c>
      <c r="AQ65" s="336" t="s">
        <v>10385</v>
      </c>
      <c r="AR65" s="336" t="s">
        <v>3629</v>
      </c>
      <c r="AS65" s="336" t="s">
        <v>10386</v>
      </c>
      <c r="AT65" s="336" t="s">
        <v>10181</v>
      </c>
      <c r="AU65" s="336" t="s">
        <v>10387</v>
      </c>
      <c r="AV65" s="1454" t="str">
        <f t="shared" si="1"/>
        <v>3:13</v>
      </c>
      <c r="AW65" s="1703" t="s">
        <v>10388</v>
      </c>
    </row>
    <row r="66" ht="15.75" customHeight="1">
      <c r="A66" s="1562" t="s">
        <v>899</v>
      </c>
      <c r="B66" s="1690" t="s">
        <v>9098</v>
      </c>
      <c r="C66" s="1671">
        <v>0.05167824074074074</v>
      </c>
      <c r="D66" s="980" t="s">
        <v>10389</v>
      </c>
      <c r="E66" s="336" t="s">
        <v>10390</v>
      </c>
      <c r="F66" s="336" t="s">
        <v>5943</v>
      </c>
      <c r="G66" s="336" t="s">
        <v>10391</v>
      </c>
      <c r="H66" s="336" t="s">
        <v>10392</v>
      </c>
      <c r="I66" s="336" t="s">
        <v>1838</v>
      </c>
      <c r="J66" s="336" t="s">
        <v>10253</v>
      </c>
      <c r="K66" s="336" t="s">
        <v>9398</v>
      </c>
      <c r="L66" s="336" t="s">
        <v>1966</v>
      </c>
      <c r="M66" s="336" t="s">
        <v>6882</v>
      </c>
      <c r="N66" s="336" t="s">
        <v>10393</v>
      </c>
      <c r="O66" s="336" t="s">
        <v>10394</v>
      </c>
      <c r="P66" s="336" t="s">
        <v>2385</v>
      </c>
      <c r="Q66" s="336" t="s">
        <v>721</v>
      </c>
      <c r="R66" s="336" t="s">
        <v>10395</v>
      </c>
      <c r="S66" s="336" t="s">
        <v>10396</v>
      </c>
      <c r="T66" s="336" t="s">
        <v>10397</v>
      </c>
      <c r="U66" s="336" t="s">
        <v>9975</v>
      </c>
      <c r="V66" s="336" t="s">
        <v>487</v>
      </c>
      <c r="W66" s="336" t="s">
        <v>6005</v>
      </c>
      <c r="X66" s="336" t="s">
        <v>10398</v>
      </c>
      <c r="Y66" s="336" t="s">
        <v>942</v>
      </c>
      <c r="Z66" s="336" t="s">
        <v>3947</v>
      </c>
      <c r="AA66" s="336" t="s">
        <v>1620</v>
      </c>
      <c r="AB66" s="336" t="s">
        <v>10399</v>
      </c>
      <c r="AC66" s="336" t="s">
        <v>9298</v>
      </c>
      <c r="AD66" s="1660" t="s">
        <v>10400</v>
      </c>
      <c r="AE66" s="336" t="s">
        <v>1863</v>
      </c>
      <c r="AF66" s="336" t="s">
        <v>9863</v>
      </c>
      <c r="AG66" s="336" t="s">
        <v>7841</v>
      </c>
      <c r="AH66" s="336" t="s">
        <v>4465</v>
      </c>
      <c r="AI66" s="336" t="s">
        <v>1708</v>
      </c>
      <c r="AJ66" s="336" t="s">
        <v>10401</v>
      </c>
      <c r="AK66" s="336" t="s">
        <v>9193</v>
      </c>
      <c r="AL66" s="336" t="s">
        <v>5294</v>
      </c>
      <c r="AM66" s="336" t="s">
        <v>10402</v>
      </c>
      <c r="AN66" s="336" t="s">
        <v>10403</v>
      </c>
      <c r="AO66" s="336" t="s">
        <v>10404</v>
      </c>
      <c r="AP66" s="336" t="s">
        <v>10405</v>
      </c>
      <c r="AQ66" s="336" t="s">
        <v>10406</v>
      </c>
      <c r="AR66" s="336" t="s">
        <v>10407</v>
      </c>
      <c r="AS66" s="336" t="s">
        <v>2577</v>
      </c>
      <c r="AT66" s="336" t="s">
        <v>10408</v>
      </c>
      <c r="AU66" s="336" t="s">
        <v>10409</v>
      </c>
      <c r="AV66" s="1454" t="str">
        <f t="shared" si="1"/>
        <v>2:51</v>
      </c>
      <c r="AW66" s="1704"/>
    </row>
    <row r="67" ht="15.75" customHeight="1">
      <c r="A67" s="1596" t="s">
        <v>4650</v>
      </c>
      <c r="B67" s="1629" t="s">
        <v>9072</v>
      </c>
      <c r="C67" s="1671">
        <v>0.05170138888888889</v>
      </c>
      <c r="D67" s="980" t="s">
        <v>10410</v>
      </c>
      <c r="E67" s="336" t="s">
        <v>4280</v>
      </c>
      <c r="F67" s="336" t="s">
        <v>9967</v>
      </c>
      <c r="G67" s="336" t="s">
        <v>9874</v>
      </c>
      <c r="H67" s="336" t="s">
        <v>10411</v>
      </c>
      <c r="I67" s="336" t="s">
        <v>10412</v>
      </c>
      <c r="J67" s="336" t="s">
        <v>9980</v>
      </c>
      <c r="K67" s="336" t="s">
        <v>9340</v>
      </c>
      <c r="L67" s="336" t="s">
        <v>4101</v>
      </c>
      <c r="M67" s="336" t="s">
        <v>7100</v>
      </c>
      <c r="N67" s="336" t="s">
        <v>6215</v>
      </c>
      <c r="O67" s="336" t="s">
        <v>10105</v>
      </c>
      <c r="P67" s="336" t="s">
        <v>482</v>
      </c>
      <c r="Q67" s="336" t="s">
        <v>2831</v>
      </c>
      <c r="R67" s="336" t="s">
        <v>9142</v>
      </c>
      <c r="S67" s="336" t="s">
        <v>10304</v>
      </c>
      <c r="T67" s="336" t="s">
        <v>2927</v>
      </c>
      <c r="U67" s="336" t="s">
        <v>10413</v>
      </c>
      <c r="V67" s="336" t="s">
        <v>10414</v>
      </c>
      <c r="W67" s="336" t="s">
        <v>10341</v>
      </c>
      <c r="X67" s="336" t="s">
        <v>3733</v>
      </c>
      <c r="Y67" s="336" t="s">
        <v>2449</v>
      </c>
      <c r="Z67" s="336" t="s">
        <v>490</v>
      </c>
      <c r="AA67" s="336" t="s">
        <v>629</v>
      </c>
      <c r="AB67" s="336" t="s">
        <v>10415</v>
      </c>
      <c r="AC67" s="336" t="s">
        <v>5864</v>
      </c>
      <c r="AD67" s="336" t="s">
        <v>10035</v>
      </c>
      <c r="AE67" s="336" t="s">
        <v>143</v>
      </c>
      <c r="AF67" s="336" t="s">
        <v>10416</v>
      </c>
      <c r="AG67" s="336" t="s">
        <v>10417</v>
      </c>
      <c r="AH67" s="336" t="s">
        <v>10418</v>
      </c>
      <c r="AI67" s="336" t="s">
        <v>10419</v>
      </c>
      <c r="AJ67" s="336" t="s">
        <v>10420</v>
      </c>
      <c r="AK67" s="336" t="s">
        <v>9426</v>
      </c>
      <c r="AL67" s="336" t="s">
        <v>4540</v>
      </c>
      <c r="AM67" s="336" t="s">
        <v>10280</v>
      </c>
      <c r="AN67" s="336" t="s">
        <v>10421</v>
      </c>
      <c r="AO67" s="336" t="s">
        <v>10026</v>
      </c>
      <c r="AP67" s="336" t="s">
        <v>3331</v>
      </c>
      <c r="AQ67" s="336" t="s">
        <v>10422</v>
      </c>
      <c r="AR67" s="336" t="s">
        <v>10423</v>
      </c>
      <c r="AS67" s="336" t="s">
        <v>6607</v>
      </c>
      <c r="AT67" s="336" t="s">
        <v>10424</v>
      </c>
      <c r="AU67" s="336" t="s">
        <v>10425</v>
      </c>
      <c r="AV67" s="1454" t="str">
        <f t="shared" si="1"/>
        <v>2:37</v>
      </c>
      <c r="AW67" s="1704" t="s">
        <v>10426</v>
      </c>
    </row>
    <row r="68" ht="15.75" customHeight="1">
      <c r="A68" s="1596" t="s">
        <v>5133</v>
      </c>
      <c r="B68" s="1594" t="s">
        <v>9072</v>
      </c>
      <c r="C68" s="1536">
        <v>0.05171296296296296</v>
      </c>
      <c r="D68" s="1677" t="s">
        <v>10427</v>
      </c>
      <c r="E68" s="1660" t="s">
        <v>10428</v>
      </c>
      <c r="F68" s="1660" t="s">
        <v>1466</v>
      </c>
      <c r="G68" s="1660" t="s">
        <v>10429</v>
      </c>
      <c r="H68" s="1660" t="s">
        <v>10430</v>
      </c>
      <c r="I68" s="1660" t="s">
        <v>10431</v>
      </c>
      <c r="J68" s="1660" t="s">
        <v>887</v>
      </c>
      <c r="K68" s="1660" t="s">
        <v>4891</v>
      </c>
      <c r="L68" s="1660" t="s">
        <v>1957</v>
      </c>
      <c r="M68" s="1705" t="s">
        <v>10432</v>
      </c>
      <c r="N68" s="1660" t="s">
        <v>10433</v>
      </c>
      <c r="O68" s="1660" t="s">
        <v>1698</v>
      </c>
      <c r="P68" s="1660" t="s">
        <v>5120</v>
      </c>
      <c r="Q68" s="1660" t="s">
        <v>2678</v>
      </c>
      <c r="R68" s="1660" t="s">
        <v>10434</v>
      </c>
      <c r="S68" s="1660" t="s">
        <v>9177</v>
      </c>
      <c r="T68" s="1660" t="s">
        <v>10435</v>
      </c>
      <c r="U68" s="1660" t="s">
        <v>10232</v>
      </c>
      <c r="V68" s="1705" t="s">
        <v>10436</v>
      </c>
      <c r="W68" s="1705" t="s">
        <v>10437</v>
      </c>
      <c r="X68" s="1660" t="s">
        <v>10111</v>
      </c>
      <c r="Y68" s="980" t="s">
        <v>2558</v>
      </c>
      <c r="Z68" s="1660" t="s">
        <v>1519</v>
      </c>
      <c r="AA68" s="1660" t="s">
        <v>200</v>
      </c>
      <c r="AB68" s="1705" t="s">
        <v>10438</v>
      </c>
      <c r="AC68" s="1660" t="s">
        <v>1849</v>
      </c>
      <c r="AD68" s="1660" t="s">
        <v>10439</v>
      </c>
      <c r="AE68" s="1660" t="s">
        <v>3855</v>
      </c>
      <c r="AF68" s="1660" t="s">
        <v>10440</v>
      </c>
      <c r="AG68" s="1660" t="s">
        <v>527</v>
      </c>
      <c r="AH68" s="1660" t="s">
        <v>10441</v>
      </c>
      <c r="AI68" s="1660" t="s">
        <v>5518</v>
      </c>
      <c r="AJ68" s="1660" t="s">
        <v>10442</v>
      </c>
      <c r="AK68" s="1660" t="s">
        <v>10443</v>
      </c>
      <c r="AL68" s="1660" t="s">
        <v>1750</v>
      </c>
      <c r="AM68" s="1660" t="s">
        <v>10271</v>
      </c>
      <c r="AN68" s="1660" t="s">
        <v>10444</v>
      </c>
      <c r="AO68" s="1660" t="s">
        <v>2903</v>
      </c>
      <c r="AP68" s="1660" t="s">
        <v>2075</v>
      </c>
      <c r="AQ68" s="1660" t="s">
        <v>759</v>
      </c>
      <c r="AR68" s="1660" t="s">
        <v>10054</v>
      </c>
      <c r="AS68" s="1660" t="s">
        <v>8108</v>
      </c>
      <c r="AT68" s="1660" t="s">
        <v>10445</v>
      </c>
      <c r="AU68" s="1660" t="s">
        <v>10446</v>
      </c>
      <c r="AV68" s="1454" t="str">
        <f t="shared" si="1"/>
        <v>4:14</v>
      </c>
      <c r="AW68" s="1700" t="s">
        <v>10447</v>
      </c>
    </row>
    <row r="69" ht="15.75" customHeight="1">
      <c r="A69" s="1596" t="s">
        <v>2190</v>
      </c>
      <c r="B69" s="1686" t="s">
        <v>9072</v>
      </c>
      <c r="C69" s="1536">
        <v>0.05173611111111111</v>
      </c>
      <c r="D69" s="980" t="s">
        <v>10448</v>
      </c>
      <c r="E69" s="1660" t="s">
        <v>10449</v>
      </c>
      <c r="F69" s="1660" t="s">
        <v>10450</v>
      </c>
      <c r="G69" s="1660" t="s">
        <v>10451</v>
      </c>
      <c r="H69" s="1660" t="s">
        <v>6973</v>
      </c>
      <c r="I69" s="1660" t="s">
        <v>495</v>
      </c>
      <c r="J69" s="1660" t="s">
        <v>9483</v>
      </c>
      <c r="K69" s="1660" t="s">
        <v>9056</v>
      </c>
      <c r="L69" s="1660" t="s">
        <v>8185</v>
      </c>
      <c r="M69" s="1660" t="s">
        <v>3646</v>
      </c>
      <c r="N69" s="1660" t="s">
        <v>10452</v>
      </c>
      <c r="O69" s="1660" t="s">
        <v>10453</v>
      </c>
      <c r="P69" s="1660" t="s">
        <v>3757</v>
      </c>
      <c r="Q69" s="1660" t="s">
        <v>10454</v>
      </c>
      <c r="R69" s="1660" t="s">
        <v>10395</v>
      </c>
      <c r="S69" s="1660" t="s">
        <v>5652</v>
      </c>
      <c r="T69" s="1660" t="s">
        <v>10455</v>
      </c>
      <c r="U69" s="1660" t="s">
        <v>10456</v>
      </c>
      <c r="V69" s="1660" t="s">
        <v>128</v>
      </c>
      <c r="W69" s="1660" t="s">
        <v>5686</v>
      </c>
      <c r="X69" s="1660" t="s">
        <v>10299</v>
      </c>
      <c r="Y69" s="1660" t="s">
        <v>1163</v>
      </c>
      <c r="Z69" s="1660" t="s">
        <v>10457</v>
      </c>
      <c r="AA69" s="1660" t="s">
        <v>5937</v>
      </c>
      <c r="AB69" s="1660" t="s">
        <v>7532</v>
      </c>
      <c r="AC69" s="1660" t="s">
        <v>161</v>
      </c>
      <c r="AD69" s="1660" t="s">
        <v>10324</v>
      </c>
      <c r="AE69" s="1660" t="s">
        <v>9753</v>
      </c>
      <c r="AF69" s="1660" t="s">
        <v>9766</v>
      </c>
      <c r="AG69" s="1660" t="s">
        <v>10458</v>
      </c>
      <c r="AH69" s="1660" t="s">
        <v>10459</v>
      </c>
      <c r="AI69" s="1660" t="s">
        <v>10460</v>
      </c>
      <c r="AJ69" s="1660" t="s">
        <v>6171</v>
      </c>
      <c r="AK69" s="1660" t="s">
        <v>6988</v>
      </c>
      <c r="AL69" s="1660" t="s">
        <v>10461</v>
      </c>
      <c r="AM69" s="1660" t="s">
        <v>2983</v>
      </c>
      <c r="AN69" s="1660" t="s">
        <v>5213</v>
      </c>
      <c r="AO69" s="1660" t="s">
        <v>10224</v>
      </c>
      <c r="AP69" s="1660" t="s">
        <v>10462</v>
      </c>
      <c r="AQ69" s="1660" t="s">
        <v>10463</v>
      </c>
      <c r="AR69" s="1660" t="s">
        <v>197</v>
      </c>
      <c r="AS69" s="1660" t="s">
        <v>10464</v>
      </c>
      <c r="AT69" s="1660" t="s">
        <v>10465</v>
      </c>
      <c r="AU69" s="1660" t="s">
        <v>10466</v>
      </c>
      <c r="AV69" s="1454" t="str">
        <f t="shared" si="1"/>
        <v>3:51</v>
      </c>
      <c r="AW69" s="1700" t="s">
        <v>10467</v>
      </c>
    </row>
    <row r="70" ht="15.75" customHeight="1">
      <c r="A70" s="1596" t="s">
        <v>8268</v>
      </c>
      <c r="B70" s="1584" t="s">
        <v>9098</v>
      </c>
      <c r="C70" s="1536">
        <v>0.051805555555555556</v>
      </c>
      <c r="D70" s="1660" t="s">
        <v>10468</v>
      </c>
      <c r="E70" s="1660" t="s">
        <v>10469</v>
      </c>
      <c r="F70" s="980" t="s">
        <v>10470</v>
      </c>
      <c r="G70" s="1660" t="s">
        <v>10471</v>
      </c>
      <c r="H70" s="1568" t="s">
        <v>10472</v>
      </c>
      <c r="I70" s="1568">
        <v>49.81</v>
      </c>
      <c r="J70" s="1568" t="s">
        <v>10473</v>
      </c>
      <c r="K70" s="1568" t="s">
        <v>6340</v>
      </c>
      <c r="L70" s="1568">
        <v>59.57</v>
      </c>
      <c r="M70" s="1568" t="s">
        <v>10474</v>
      </c>
      <c r="N70" s="1568" t="s">
        <v>10475</v>
      </c>
      <c r="O70" s="1567" t="s">
        <v>6911</v>
      </c>
      <c r="P70" s="1567" t="s">
        <v>10476</v>
      </c>
      <c r="Q70" s="1567" t="s">
        <v>10477</v>
      </c>
      <c r="R70" s="1568" t="s">
        <v>10478</v>
      </c>
      <c r="S70" s="1568" t="s">
        <v>10120</v>
      </c>
      <c r="T70" s="1568" t="s">
        <v>10479</v>
      </c>
      <c r="U70" s="1568" t="s">
        <v>10480</v>
      </c>
      <c r="V70" s="1568" t="s">
        <v>4328</v>
      </c>
      <c r="W70" s="1568" t="s">
        <v>10481</v>
      </c>
      <c r="X70" s="1568" t="s">
        <v>10482</v>
      </c>
      <c r="Y70" s="1567" t="s">
        <v>9984</v>
      </c>
      <c r="Z70" s="1706" t="s">
        <v>9114</v>
      </c>
      <c r="AA70" s="1568" t="s">
        <v>966</v>
      </c>
      <c r="AB70" s="1567" t="s">
        <v>4352</v>
      </c>
      <c r="AC70" s="1568">
        <v>49.53</v>
      </c>
      <c r="AD70" s="1568" t="s">
        <v>2006</v>
      </c>
      <c r="AE70" s="1567" t="s">
        <v>10483</v>
      </c>
      <c r="AF70" s="1568" t="s">
        <v>9242</v>
      </c>
      <c r="AG70" s="1568" t="s">
        <v>10484</v>
      </c>
      <c r="AH70" s="1568">
        <v>59.93</v>
      </c>
      <c r="AI70" s="1568" t="s">
        <v>10485</v>
      </c>
      <c r="AJ70" s="1568" t="s">
        <v>10486</v>
      </c>
      <c r="AK70" s="1568" t="s">
        <v>5994</v>
      </c>
      <c r="AL70" s="1568">
        <v>59.13</v>
      </c>
      <c r="AM70" s="1568" t="s">
        <v>10423</v>
      </c>
      <c r="AN70" s="1568">
        <v>57.86</v>
      </c>
      <c r="AO70" s="1568" t="s">
        <v>7264</v>
      </c>
      <c r="AP70" s="1568" t="s">
        <v>10487</v>
      </c>
      <c r="AQ70" s="1568" t="s">
        <v>9990</v>
      </c>
      <c r="AR70" s="1568" t="s">
        <v>6272</v>
      </c>
      <c r="AS70" s="1568">
        <v>47.67</v>
      </c>
      <c r="AT70" s="1660" t="s">
        <v>10488</v>
      </c>
      <c r="AU70" s="1660" t="s">
        <v>10489</v>
      </c>
      <c r="AV70" s="1454" t="str">
        <f t="shared" si="1"/>
        <v>2:57</v>
      </c>
      <c r="AW70" s="1685" t="s">
        <v>10490</v>
      </c>
    </row>
    <row r="71">
      <c r="A71" s="954" t="s">
        <v>1256</v>
      </c>
      <c r="B71" s="1594" t="s">
        <v>9072</v>
      </c>
      <c r="C71" s="1707">
        <v>0.05181712962962963</v>
      </c>
      <c r="D71" s="1542" t="s">
        <v>10491</v>
      </c>
      <c r="E71" s="1542" t="s">
        <v>7609</v>
      </c>
      <c r="F71" s="1542" t="s">
        <v>10492</v>
      </c>
      <c r="G71" s="1542" t="s">
        <v>10493</v>
      </c>
      <c r="H71" s="1542" t="s">
        <v>10494</v>
      </c>
      <c r="I71" s="1542" t="s">
        <v>5058</v>
      </c>
      <c r="J71" s="1542" t="s">
        <v>9468</v>
      </c>
      <c r="K71" s="1542" t="s">
        <v>9082</v>
      </c>
      <c r="L71" s="1542" t="s">
        <v>10459</v>
      </c>
      <c r="M71" s="1542" t="s">
        <v>1452</v>
      </c>
      <c r="N71" s="1542" t="s">
        <v>9956</v>
      </c>
      <c r="O71" s="1542" t="s">
        <v>7041</v>
      </c>
      <c r="P71" s="1542" t="s">
        <v>9558</v>
      </c>
      <c r="Q71" s="1542" t="s">
        <v>10495</v>
      </c>
      <c r="R71" s="1542" t="s">
        <v>6853</v>
      </c>
      <c r="S71" s="1542" t="s">
        <v>3653</v>
      </c>
      <c r="T71" s="1542" t="s">
        <v>10496</v>
      </c>
      <c r="U71" s="1542" t="s">
        <v>10497</v>
      </c>
      <c r="V71" s="1542" t="s">
        <v>10414</v>
      </c>
      <c r="W71" s="1542" t="s">
        <v>9154</v>
      </c>
      <c r="X71" s="1542" t="s">
        <v>10044</v>
      </c>
      <c r="Y71" s="1542" t="s">
        <v>10498</v>
      </c>
      <c r="Z71" s="1542" t="s">
        <v>6425</v>
      </c>
      <c r="AA71" s="1542" t="s">
        <v>957</v>
      </c>
      <c r="AB71" s="1542" t="s">
        <v>10499</v>
      </c>
      <c r="AC71" s="1542" t="s">
        <v>2101</v>
      </c>
      <c r="AD71" s="1542" t="s">
        <v>10500</v>
      </c>
      <c r="AE71" s="1542" t="s">
        <v>2176</v>
      </c>
      <c r="AF71" s="1542" t="s">
        <v>10181</v>
      </c>
      <c r="AG71" s="1542" t="s">
        <v>174</v>
      </c>
      <c r="AH71" s="1542" t="s">
        <v>10501</v>
      </c>
      <c r="AI71" s="1542" t="s">
        <v>246</v>
      </c>
      <c r="AJ71" s="1542" t="s">
        <v>10502</v>
      </c>
      <c r="AK71" s="1542" t="s">
        <v>9770</v>
      </c>
      <c r="AL71" s="1542" t="s">
        <v>4770</v>
      </c>
      <c r="AM71" s="1542" t="s">
        <v>10503</v>
      </c>
      <c r="AN71" s="1542" t="s">
        <v>9815</v>
      </c>
      <c r="AO71" s="1542" t="s">
        <v>10504</v>
      </c>
      <c r="AP71" s="1542" t="s">
        <v>10505</v>
      </c>
      <c r="AQ71" s="1542" t="s">
        <v>10506</v>
      </c>
      <c r="AR71" s="1542" t="s">
        <v>10507</v>
      </c>
      <c r="AS71" s="1542" t="s">
        <v>353</v>
      </c>
      <c r="AT71" s="1542" t="s">
        <v>10508</v>
      </c>
      <c r="AU71" s="1565" t="s">
        <v>10509</v>
      </c>
      <c r="AV71" s="1454" t="str">
        <f t="shared" si="1"/>
        <v>3:49</v>
      </c>
      <c r="AW71" s="1708" t="s">
        <v>10510</v>
      </c>
    </row>
    <row r="72" ht="15.75" customHeight="1">
      <c r="A72" s="1534" t="s">
        <v>3135</v>
      </c>
      <c r="B72" s="1629" t="s">
        <v>9072</v>
      </c>
      <c r="C72" s="1671">
        <v>0.051863425925925924</v>
      </c>
      <c r="D72" s="980" t="s">
        <v>10511</v>
      </c>
      <c r="E72" s="336" t="s">
        <v>6594</v>
      </c>
      <c r="F72" s="336" t="s">
        <v>10512</v>
      </c>
      <c r="G72" s="336" t="s">
        <v>10513</v>
      </c>
      <c r="H72" s="336" t="s">
        <v>10514</v>
      </c>
      <c r="I72" s="336" t="s">
        <v>10515</v>
      </c>
      <c r="J72" s="336" t="s">
        <v>1674</v>
      </c>
      <c r="K72" s="336" t="s">
        <v>1590</v>
      </c>
      <c r="L72" s="336" t="s">
        <v>3144</v>
      </c>
      <c r="M72" s="336" t="s">
        <v>10293</v>
      </c>
      <c r="N72" s="336" t="s">
        <v>5157</v>
      </c>
      <c r="O72" s="336" t="s">
        <v>10516</v>
      </c>
      <c r="P72" s="336" t="s">
        <v>1234</v>
      </c>
      <c r="Q72" s="336" t="s">
        <v>10517</v>
      </c>
      <c r="R72" s="336" t="s">
        <v>5807</v>
      </c>
      <c r="S72" s="336" t="s">
        <v>10518</v>
      </c>
      <c r="T72" s="336" t="s">
        <v>10519</v>
      </c>
      <c r="U72" s="336" t="s">
        <v>10520</v>
      </c>
      <c r="V72" s="336" t="s">
        <v>10063</v>
      </c>
      <c r="W72" s="336" t="s">
        <v>10521</v>
      </c>
      <c r="X72" s="336" t="s">
        <v>10419</v>
      </c>
      <c r="Y72" s="336" t="s">
        <v>3369</v>
      </c>
      <c r="Z72" s="336" t="s">
        <v>10522</v>
      </c>
      <c r="AA72" s="336" t="s">
        <v>10523</v>
      </c>
      <c r="AB72" s="336" t="s">
        <v>8935</v>
      </c>
      <c r="AC72" s="336" t="s">
        <v>5864</v>
      </c>
      <c r="AD72" s="336" t="s">
        <v>10524</v>
      </c>
      <c r="AE72" s="336" t="s">
        <v>1181</v>
      </c>
      <c r="AF72" s="336" t="s">
        <v>10525</v>
      </c>
      <c r="AG72" s="336" t="s">
        <v>10526</v>
      </c>
      <c r="AH72" s="336" t="s">
        <v>5233</v>
      </c>
      <c r="AI72" s="336" t="s">
        <v>10460</v>
      </c>
      <c r="AJ72" s="336" t="s">
        <v>10527</v>
      </c>
      <c r="AK72" s="336" t="s">
        <v>1842</v>
      </c>
      <c r="AL72" s="336" t="s">
        <v>10501</v>
      </c>
      <c r="AM72" s="336" t="s">
        <v>10528</v>
      </c>
      <c r="AN72" s="336" t="s">
        <v>3209</v>
      </c>
      <c r="AO72" s="336" t="s">
        <v>9238</v>
      </c>
      <c r="AP72" s="336" t="s">
        <v>10529</v>
      </c>
      <c r="AQ72" s="336" t="s">
        <v>10530</v>
      </c>
      <c r="AR72" s="336" t="s">
        <v>2229</v>
      </c>
      <c r="AS72" s="336" t="s">
        <v>4846</v>
      </c>
      <c r="AT72" s="336" t="s">
        <v>10531</v>
      </c>
      <c r="AU72" s="336" t="s">
        <v>10532</v>
      </c>
      <c r="AV72" s="1454" t="str">
        <f t="shared" si="1"/>
        <v>2:06</v>
      </c>
      <c r="AW72" s="1700" t="s">
        <v>10533</v>
      </c>
    </row>
    <row r="73" ht="15.75" customHeight="1">
      <c r="A73" s="1534" t="s">
        <v>1126</v>
      </c>
      <c r="B73" s="1535" t="s">
        <v>9045</v>
      </c>
      <c r="C73" s="1671">
        <v>0.051875</v>
      </c>
      <c r="D73" s="980" t="s">
        <v>10534</v>
      </c>
      <c r="E73" s="336" t="s">
        <v>3214</v>
      </c>
      <c r="F73" s="336" t="s">
        <v>10535</v>
      </c>
      <c r="G73" s="336" t="s">
        <v>10536</v>
      </c>
      <c r="H73" s="336" t="s">
        <v>10537</v>
      </c>
      <c r="I73" s="336" t="s">
        <v>10538</v>
      </c>
      <c r="J73" s="336" t="s">
        <v>2532</v>
      </c>
      <c r="K73" s="336" t="s">
        <v>10539</v>
      </c>
      <c r="L73" s="336" t="s">
        <v>9316</v>
      </c>
      <c r="M73" s="336" t="s">
        <v>7150</v>
      </c>
      <c r="N73" s="336" t="s">
        <v>9562</v>
      </c>
      <c r="O73" s="336" t="s">
        <v>4479</v>
      </c>
      <c r="P73" s="336" t="s">
        <v>1524</v>
      </c>
      <c r="Q73" s="336" t="s">
        <v>10540</v>
      </c>
      <c r="R73" s="336" t="s">
        <v>1940</v>
      </c>
      <c r="S73" s="336" t="s">
        <v>4443</v>
      </c>
      <c r="T73" s="336" t="s">
        <v>10541</v>
      </c>
      <c r="U73" s="336" t="s">
        <v>10339</v>
      </c>
      <c r="V73" s="336" t="s">
        <v>6603</v>
      </c>
      <c r="W73" s="336" t="s">
        <v>4479</v>
      </c>
      <c r="X73" s="336" t="s">
        <v>9956</v>
      </c>
      <c r="Y73" s="336" t="s">
        <v>9986</v>
      </c>
      <c r="Z73" s="336" t="s">
        <v>6549</v>
      </c>
      <c r="AA73" s="336" t="s">
        <v>419</v>
      </c>
      <c r="AB73" s="336" t="s">
        <v>623</v>
      </c>
      <c r="AC73" s="336" t="s">
        <v>10542</v>
      </c>
      <c r="AD73" s="336" t="s">
        <v>10379</v>
      </c>
      <c r="AE73" s="336" t="s">
        <v>849</v>
      </c>
      <c r="AF73" s="336" t="s">
        <v>10543</v>
      </c>
      <c r="AG73" s="336" t="s">
        <v>10544</v>
      </c>
      <c r="AH73" s="336" t="s">
        <v>10290</v>
      </c>
      <c r="AI73" s="336" t="s">
        <v>10545</v>
      </c>
      <c r="AJ73" s="336" t="s">
        <v>10546</v>
      </c>
      <c r="AK73" s="336" t="s">
        <v>10547</v>
      </c>
      <c r="AL73" s="336" t="s">
        <v>5685</v>
      </c>
      <c r="AM73" s="336" t="s">
        <v>10548</v>
      </c>
      <c r="AN73" s="336" t="s">
        <v>6409</v>
      </c>
      <c r="AO73" s="1660" t="s">
        <v>10144</v>
      </c>
      <c r="AP73" s="336" t="s">
        <v>10549</v>
      </c>
      <c r="AQ73" s="336" t="s">
        <v>10550</v>
      </c>
      <c r="AR73" s="336" t="s">
        <v>9805</v>
      </c>
      <c r="AS73" s="336" t="s">
        <v>4712</v>
      </c>
      <c r="AT73" s="336" t="s">
        <v>10551</v>
      </c>
      <c r="AU73" s="1660" t="s">
        <v>10552</v>
      </c>
      <c r="AV73" s="1454" t="str">
        <f t="shared" si="1"/>
        <v>0:37</v>
      </c>
      <c r="AW73" s="1704" t="s">
        <v>10553</v>
      </c>
    </row>
    <row r="74">
      <c r="A74" s="1596" t="s">
        <v>7489</v>
      </c>
      <c r="B74" s="1594" t="s">
        <v>9045</v>
      </c>
      <c r="C74" s="1536">
        <v>0.05188657407407407</v>
      </c>
      <c r="D74" s="1660" t="s">
        <v>10554</v>
      </c>
      <c r="E74" s="980" t="s">
        <v>175</v>
      </c>
      <c r="F74" s="980" t="s">
        <v>10555</v>
      </c>
      <c r="G74" s="980" t="s">
        <v>10556</v>
      </c>
      <c r="H74" s="980" t="s">
        <v>10557</v>
      </c>
      <c r="I74" s="980" t="s">
        <v>143</v>
      </c>
      <c r="J74" s="980" t="s">
        <v>4153</v>
      </c>
      <c r="K74" s="980" t="s">
        <v>9780</v>
      </c>
      <c r="L74" s="980" t="s">
        <v>2884</v>
      </c>
      <c r="M74" s="980" t="s">
        <v>10558</v>
      </c>
      <c r="N74" s="980" t="s">
        <v>4078</v>
      </c>
      <c r="O74" s="980" t="s">
        <v>10559</v>
      </c>
      <c r="P74" s="980" t="s">
        <v>5218</v>
      </c>
      <c r="Q74" s="980" t="s">
        <v>10560</v>
      </c>
      <c r="R74" s="980" t="s">
        <v>5635</v>
      </c>
      <c r="S74" s="980" t="s">
        <v>10561</v>
      </c>
      <c r="T74" s="980" t="s">
        <v>9118</v>
      </c>
      <c r="U74" s="980" t="s">
        <v>10562</v>
      </c>
      <c r="V74" s="980" t="s">
        <v>5365</v>
      </c>
      <c r="W74" s="980" t="s">
        <v>10563</v>
      </c>
      <c r="X74" s="980" t="s">
        <v>10564</v>
      </c>
      <c r="Y74" s="980" t="s">
        <v>10565</v>
      </c>
      <c r="Z74" s="980" t="s">
        <v>9791</v>
      </c>
      <c r="AA74" s="980" t="s">
        <v>5176</v>
      </c>
      <c r="AB74" s="980" t="s">
        <v>690</v>
      </c>
      <c r="AC74" s="980" t="s">
        <v>10566</v>
      </c>
      <c r="AD74" s="980" t="s">
        <v>2731</v>
      </c>
      <c r="AE74" s="980" t="s">
        <v>5973</v>
      </c>
      <c r="AF74" s="980" t="s">
        <v>10567</v>
      </c>
      <c r="AG74" s="980" t="s">
        <v>2415</v>
      </c>
      <c r="AH74" s="980" t="s">
        <v>2884</v>
      </c>
      <c r="AI74" s="980" t="s">
        <v>199</v>
      </c>
      <c r="AJ74" s="980" t="s">
        <v>10568</v>
      </c>
      <c r="AK74" s="980" t="s">
        <v>9798</v>
      </c>
      <c r="AL74" s="980" t="s">
        <v>10252</v>
      </c>
      <c r="AM74" s="980" t="s">
        <v>9768</v>
      </c>
      <c r="AN74" s="980" t="s">
        <v>3640</v>
      </c>
      <c r="AO74" s="980" t="s">
        <v>5302</v>
      </c>
      <c r="AP74" s="980" t="s">
        <v>10207</v>
      </c>
      <c r="AQ74" s="980" t="s">
        <v>10550</v>
      </c>
      <c r="AR74" s="980" t="s">
        <v>10569</v>
      </c>
      <c r="AS74" s="980" t="s">
        <v>6607</v>
      </c>
      <c r="AT74" s="980" t="s">
        <v>9297</v>
      </c>
      <c r="AU74" s="1660" t="s">
        <v>10570</v>
      </c>
      <c r="AV74" s="1454" t="str">
        <f t="shared" si="1"/>
        <v>4:21</v>
      </c>
      <c r="AW74" s="1700" t="s">
        <v>10571</v>
      </c>
    </row>
    <row r="75">
      <c r="A75" s="1596" t="s">
        <v>8988</v>
      </c>
      <c r="B75" s="1584" t="s">
        <v>9045</v>
      </c>
      <c r="C75" s="1536">
        <v>0.05193287037037037</v>
      </c>
      <c r="D75" s="1677" t="s">
        <v>10572</v>
      </c>
      <c r="E75" s="1660" t="s">
        <v>7191</v>
      </c>
      <c r="F75" s="1660" t="s">
        <v>10573</v>
      </c>
      <c r="G75" s="1660" t="s">
        <v>10574</v>
      </c>
      <c r="H75" s="1660" t="s">
        <v>10575</v>
      </c>
      <c r="I75" s="1660" t="s">
        <v>2385</v>
      </c>
      <c r="J75" s="1660" t="s">
        <v>4263</v>
      </c>
      <c r="K75" s="1660" t="s">
        <v>9721</v>
      </c>
      <c r="L75" s="1660"/>
      <c r="M75" s="1660" t="s">
        <v>6764</v>
      </c>
      <c r="N75" s="1660" t="s">
        <v>4696</v>
      </c>
      <c r="O75" s="1660" t="s">
        <v>9112</v>
      </c>
      <c r="P75" s="1660" t="s">
        <v>10200</v>
      </c>
      <c r="Q75" s="1660" t="s">
        <v>10576</v>
      </c>
      <c r="R75" s="1660" t="s">
        <v>10577</v>
      </c>
      <c r="S75" s="1660" t="s">
        <v>9377</v>
      </c>
      <c r="T75" s="1660" t="s">
        <v>9736</v>
      </c>
      <c r="U75" s="1660" t="s">
        <v>2270</v>
      </c>
      <c r="V75" s="1660" t="s">
        <v>9577</v>
      </c>
      <c r="W75" s="1660" t="s">
        <v>5999</v>
      </c>
      <c r="X75" s="1660" t="s">
        <v>629</v>
      </c>
      <c r="Y75" s="1660" t="s">
        <v>9544</v>
      </c>
      <c r="Z75" s="1660" t="s">
        <v>9930</v>
      </c>
      <c r="AA75" s="1660" t="s">
        <v>7276</v>
      </c>
      <c r="AB75" s="1660" t="s">
        <v>9412</v>
      </c>
      <c r="AC75" s="1660" t="s">
        <v>3018</v>
      </c>
      <c r="AD75" s="1660" t="s">
        <v>10578</v>
      </c>
      <c r="AE75" s="1660" t="s">
        <v>10579</v>
      </c>
      <c r="AF75" s="1660" t="s">
        <v>10580</v>
      </c>
      <c r="AG75" s="1660" t="s">
        <v>10343</v>
      </c>
      <c r="AH75" s="1660" t="s">
        <v>10581</v>
      </c>
      <c r="AI75" s="1660" t="s">
        <v>10582</v>
      </c>
      <c r="AJ75" s="1660" t="s">
        <v>10583</v>
      </c>
      <c r="AK75" s="1660" t="s">
        <v>10584</v>
      </c>
      <c r="AL75" s="1660" t="s">
        <v>3364</v>
      </c>
      <c r="AM75" s="1660" t="s">
        <v>10585</v>
      </c>
      <c r="AN75" s="1660" t="s">
        <v>3651</v>
      </c>
      <c r="AO75" s="1660" t="s">
        <v>10586</v>
      </c>
      <c r="AP75" s="1660" t="s">
        <v>10587</v>
      </c>
      <c r="AQ75" s="1660" t="s">
        <v>10588</v>
      </c>
      <c r="AR75" s="1660" t="s">
        <v>10589</v>
      </c>
      <c r="AS75" s="1660" t="s">
        <v>3798</v>
      </c>
      <c r="AT75" s="1660" t="s">
        <v>10590</v>
      </c>
      <c r="AU75" s="1660" t="s">
        <v>10591</v>
      </c>
      <c r="AV75" s="1454" t="str">
        <f t="shared" si="1"/>
        <v>4:12</v>
      </c>
      <c r="AW75" s="1704"/>
    </row>
    <row r="76" ht="15.75" customHeight="1">
      <c r="A76" s="1661" t="s">
        <v>10592</v>
      </c>
      <c r="B76" s="1535" t="s">
        <v>9045</v>
      </c>
      <c r="C76" s="1671">
        <v>0.05199074074074074</v>
      </c>
      <c r="D76" s="980" t="s">
        <v>10593</v>
      </c>
      <c r="E76" s="336" t="s">
        <v>10594</v>
      </c>
      <c r="F76" s="336" t="s">
        <v>10595</v>
      </c>
      <c r="G76" s="336" t="s">
        <v>10596</v>
      </c>
      <c r="H76" s="336" t="s">
        <v>7079</v>
      </c>
      <c r="I76" s="336" t="s">
        <v>10158</v>
      </c>
      <c r="J76" s="336" t="s">
        <v>10597</v>
      </c>
      <c r="K76" s="336" t="s">
        <v>10598</v>
      </c>
      <c r="L76" s="336" t="s">
        <v>3144</v>
      </c>
      <c r="M76" s="336" t="s">
        <v>10599</v>
      </c>
      <c r="N76" s="336" t="s">
        <v>9865</v>
      </c>
      <c r="O76" s="336" t="s">
        <v>10600</v>
      </c>
      <c r="P76" s="336" t="s">
        <v>2439</v>
      </c>
      <c r="Q76" s="336" t="s">
        <v>5136</v>
      </c>
      <c r="R76" s="336" t="s">
        <v>5415</v>
      </c>
      <c r="S76" s="336" t="s">
        <v>10601</v>
      </c>
      <c r="T76" s="336" t="s">
        <v>5898</v>
      </c>
      <c r="U76" s="336" t="s">
        <v>10602</v>
      </c>
      <c r="V76" s="336" t="s">
        <v>6603</v>
      </c>
      <c r="W76" s="336" t="s">
        <v>7495</v>
      </c>
      <c r="X76" s="336" t="s">
        <v>10603</v>
      </c>
      <c r="Y76" s="336" t="s">
        <v>2101</v>
      </c>
      <c r="Z76" s="336" t="s">
        <v>10604</v>
      </c>
      <c r="AA76" s="336" t="s">
        <v>10296</v>
      </c>
      <c r="AB76" s="336" t="s">
        <v>10605</v>
      </c>
      <c r="AC76" s="336" t="s">
        <v>5586</v>
      </c>
      <c r="AD76" s="336" t="s">
        <v>10606</v>
      </c>
      <c r="AE76" s="336" t="s">
        <v>7698</v>
      </c>
      <c r="AF76" s="336" t="s">
        <v>10607</v>
      </c>
      <c r="AG76" s="336" t="s">
        <v>10547</v>
      </c>
      <c r="AH76" s="336" t="s">
        <v>10608</v>
      </c>
      <c r="AI76" s="336" t="s">
        <v>10609</v>
      </c>
      <c r="AJ76" s="336" t="s">
        <v>10610</v>
      </c>
      <c r="AK76" s="336" t="s">
        <v>810</v>
      </c>
      <c r="AL76" s="336" t="s">
        <v>3344</v>
      </c>
      <c r="AM76" s="336" t="s">
        <v>10048</v>
      </c>
      <c r="AN76" s="336" t="s">
        <v>10611</v>
      </c>
      <c r="AO76" s="1660" t="s">
        <v>10612</v>
      </c>
      <c r="AP76" s="1660" t="s">
        <v>10613</v>
      </c>
      <c r="AQ76" s="336" t="s">
        <v>5455</v>
      </c>
      <c r="AR76" s="336" t="s">
        <v>10084</v>
      </c>
      <c r="AS76" s="336" t="s">
        <v>1086</v>
      </c>
      <c r="AT76" s="336" t="s">
        <v>10201</v>
      </c>
      <c r="AU76" s="1702" t="str">
        <f>HYPERLINK("https://splits.io/m3t","1:18:40")</f>
        <v>1:18:40</v>
      </c>
      <c r="AV76" s="1454" t="str">
        <f t="shared" si="1"/>
        <v>3:48</v>
      </c>
      <c r="AW76" s="1703" t="s">
        <v>10614</v>
      </c>
    </row>
    <row r="77" ht="15.75" customHeight="1">
      <c r="A77" s="1661" t="s">
        <v>10615</v>
      </c>
      <c r="B77" s="1535" t="s">
        <v>9045</v>
      </c>
      <c r="C77" s="1671">
        <v>0.052002314814814814</v>
      </c>
      <c r="D77" s="980" t="s">
        <v>10616</v>
      </c>
      <c r="E77" s="336" t="s">
        <v>9389</v>
      </c>
      <c r="F77" s="336" t="s">
        <v>10617</v>
      </c>
      <c r="G77" s="336" t="s">
        <v>10618</v>
      </c>
      <c r="H77" s="336" t="s">
        <v>10619</v>
      </c>
      <c r="I77" s="336" t="s">
        <v>3652</v>
      </c>
      <c r="J77" s="336" t="s">
        <v>9757</v>
      </c>
      <c r="K77" s="336" t="s">
        <v>4443</v>
      </c>
      <c r="L77" s="336" t="s">
        <v>3547</v>
      </c>
      <c r="M77" s="336" t="s">
        <v>10338</v>
      </c>
      <c r="N77" s="336" t="s">
        <v>4483</v>
      </c>
      <c r="O77" s="336" t="s">
        <v>10620</v>
      </c>
      <c r="P77" s="336" t="s">
        <v>10621</v>
      </c>
      <c r="Q77" s="336" t="s">
        <v>4938</v>
      </c>
      <c r="R77" s="336" t="s">
        <v>1452</v>
      </c>
      <c r="S77" s="336" t="s">
        <v>9837</v>
      </c>
      <c r="T77" s="336" t="s">
        <v>528</v>
      </c>
      <c r="U77" s="336" t="s">
        <v>1992</v>
      </c>
      <c r="V77" s="336" t="s">
        <v>464</v>
      </c>
      <c r="W77" s="336" t="s">
        <v>5833</v>
      </c>
      <c r="X77" s="336" t="s">
        <v>10115</v>
      </c>
      <c r="Y77" s="336" t="s">
        <v>2449</v>
      </c>
      <c r="Z77" s="336" t="s">
        <v>5345</v>
      </c>
      <c r="AA77" s="336" t="s">
        <v>9865</v>
      </c>
      <c r="AB77" s="336" t="s">
        <v>10622</v>
      </c>
      <c r="AC77" s="336" t="s">
        <v>3116</v>
      </c>
      <c r="AD77" s="336" t="s">
        <v>10623</v>
      </c>
      <c r="AE77" s="336" t="s">
        <v>5218</v>
      </c>
      <c r="AF77" s="336" t="s">
        <v>10624</v>
      </c>
      <c r="AG77" s="336" t="s">
        <v>10625</v>
      </c>
      <c r="AH77" s="336" t="s">
        <v>2254</v>
      </c>
      <c r="AI77" s="336" t="s">
        <v>10626</v>
      </c>
      <c r="AJ77" s="336" t="s">
        <v>10627</v>
      </c>
      <c r="AK77" s="336" t="s">
        <v>4645</v>
      </c>
      <c r="AL77" s="336" t="s">
        <v>6177</v>
      </c>
      <c r="AM77" s="336" t="s">
        <v>1457</v>
      </c>
      <c r="AN77" s="336" t="s">
        <v>5572</v>
      </c>
      <c r="AO77" s="336" t="s">
        <v>5240</v>
      </c>
      <c r="AP77" s="336" t="s">
        <v>4691</v>
      </c>
      <c r="AQ77" s="336" t="s">
        <v>10628</v>
      </c>
      <c r="AR77" s="336" t="s">
        <v>10629</v>
      </c>
      <c r="AS77" s="336" t="s">
        <v>10630</v>
      </c>
      <c r="AT77" s="336" t="s">
        <v>10631</v>
      </c>
      <c r="AU77" s="336" t="s">
        <v>10632</v>
      </c>
      <c r="AV77" s="1454" t="str">
        <f t="shared" si="1"/>
        <v>3:32</v>
      </c>
      <c r="AW77" s="1703" t="s">
        <v>10633</v>
      </c>
    </row>
    <row r="78" ht="15.75" customHeight="1">
      <c r="A78" s="1661" t="s">
        <v>10634</v>
      </c>
      <c r="B78" s="1629" t="s">
        <v>9072</v>
      </c>
      <c r="C78" s="1671">
        <v>0.05201388888888889</v>
      </c>
      <c r="D78" s="980" t="s">
        <v>10635</v>
      </c>
      <c r="E78" s="1660" t="s">
        <v>10636</v>
      </c>
      <c r="F78" s="336" t="s">
        <v>10637</v>
      </c>
      <c r="G78" s="336" t="s">
        <v>10638</v>
      </c>
      <c r="H78" s="336" t="s">
        <v>129</v>
      </c>
      <c r="I78" s="336" t="s">
        <v>10639</v>
      </c>
      <c r="J78" s="336" t="s">
        <v>10640</v>
      </c>
      <c r="K78" s="336" t="s">
        <v>4220</v>
      </c>
      <c r="L78" s="336" t="s">
        <v>10641</v>
      </c>
      <c r="M78" s="336" t="s">
        <v>10642</v>
      </c>
      <c r="N78" s="336" t="s">
        <v>10643</v>
      </c>
      <c r="O78" s="336" t="s">
        <v>10644</v>
      </c>
      <c r="P78" s="336" t="s">
        <v>161</v>
      </c>
      <c r="Q78" s="336" t="s">
        <v>10645</v>
      </c>
      <c r="R78" s="336" t="s">
        <v>6904</v>
      </c>
      <c r="S78" s="336" t="s">
        <v>10646</v>
      </c>
      <c r="T78" s="336" t="s">
        <v>10647</v>
      </c>
      <c r="U78" s="336" t="s">
        <v>10648</v>
      </c>
      <c r="V78" s="336" t="s">
        <v>8397</v>
      </c>
      <c r="W78" s="336" t="s">
        <v>10649</v>
      </c>
      <c r="X78" s="336" t="s">
        <v>10115</v>
      </c>
      <c r="Y78" s="336" t="s">
        <v>209</v>
      </c>
      <c r="Z78" s="336" t="s">
        <v>2379</v>
      </c>
      <c r="AA78" s="336" t="s">
        <v>5961</v>
      </c>
      <c r="AB78" s="336" t="s">
        <v>9436</v>
      </c>
      <c r="AC78" s="336" t="s">
        <v>927</v>
      </c>
      <c r="AD78" s="336" t="s">
        <v>10650</v>
      </c>
      <c r="AE78" s="336" t="s">
        <v>1163</v>
      </c>
      <c r="AF78" s="336" t="s">
        <v>10651</v>
      </c>
      <c r="AG78" s="336" t="s">
        <v>2983</v>
      </c>
      <c r="AH78" s="336" t="s">
        <v>6218</v>
      </c>
      <c r="AI78" s="336" t="s">
        <v>1569</v>
      </c>
      <c r="AJ78" s="336" t="s">
        <v>10652</v>
      </c>
      <c r="AK78" s="336" t="s">
        <v>3629</v>
      </c>
      <c r="AL78" s="336" t="s">
        <v>3900</v>
      </c>
      <c r="AM78" s="336" t="s">
        <v>841</v>
      </c>
      <c r="AN78" s="336" t="s">
        <v>4540</v>
      </c>
      <c r="AO78" s="336" t="s">
        <v>2256</v>
      </c>
      <c r="AP78" s="336" t="s">
        <v>10653</v>
      </c>
      <c r="AQ78" s="336" t="s">
        <v>1001</v>
      </c>
      <c r="AR78" s="336" t="s">
        <v>9113</v>
      </c>
      <c r="AS78" s="336" t="s">
        <v>9053</v>
      </c>
      <c r="AT78" s="336" t="s">
        <v>10654</v>
      </c>
      <c r="AU78" s="336" t="s">
        <v>10655</v>
      </c>
      <c r="AV78" s="1454" t="str">
        <f t="shared" si="1"/>
        <v>2:58</v>
      </c>
      <c r="AW78" s="1704" t="s">
        <v>10656</v>
      </c>
    </row>
    <row r="79" ht="15.75" customHeight="1">
      <c r="A79" s="1534" t="s">
        <v>7135</v>
      </c>
      <c r="B79" s="1629" t="s">
        <v>9072</v>
      </c>
      <c r="C79" s="1671">
        <v>0.05207175925925926</v>
      </c>
      <c r="D79" s="980" t="s">
        <v>10657</v>
      </c>
      <c r="E79" s="336" t="s">
        <v>10658</v>
      </c>
      <c r="F79" s="336" t="s">
        <v>10659</v>
      </c>
      <c r="G79" s="336" t="s">
        <v>10660</v>
      </c>
      <c r="H79" s="336" t="s">
        <v>9296</v>
      </c>
      <c r="I79" s="336" t="s">
        <v>4889</v>
      </c>
      <c r="J79" s="336" t="s">
        <v>9667</v>
      </c>
      <c r="K79" s="336" t="s">
        <v>10304</v>
      </c>
      <c r="L79" s="336" t="s">
        <v>10661</v>
      </c>
      <c r="M79" s="336" t="s">
        <v>2822</v>
      </c>
      <c r="N79" s="336" t="s">
        <v>10662</v>
      </c>
      <c r="O79" s="336" t="s">
        <v>10663</v>
      </c>
      <c r="P79" s="336" t="s">
        <v>767</v>
      </c>
      <c r="Q79" s="336" t="s">
        <v>10664</v>
      </c>
      <c r="R79" s="336" t="s">
        <v>4958</v>
      </c>
      <c r="S79" s="336" t="s">
        <v>6195</v>
      </c>
      <c r="T79" s="336" t="s">
        <v>5898</v>
      </c>
      <c r="U79" s="336" t="s">
        <v>10665</v>
      </c>
      <c r="V79" s="336" t="s">
        <v>2421</v>
      </c>
      <c r="W79" s="336" t="s">
        <v>9117</v>
      </c>
      <c r="X79" s="336" t="s">
        <v>10666</v>
      </c>
      <c r="Y79" s="336" t="s">
        <v>1408</v>
      </c>
      <c r="Z79" s="336" t="s">
        <v>6873</v>
      </c>
      <c r="AA79" s="336" t="s">
        <v>1483</v>
      </c>
      <c r="AB79" s="336" t="s">
        <v>10667</v>
      </c>
      <c r="AC79" s="336" t="s">
        <v>239</v>
      </c>
      <c r="AD79" s="336" t="s">
        <v>4270</v>
      </c>
      <c r="AE79" s="336" t="s">
        <v>6155</v>
      </c>
      <c r="AF79" s="336" t="s">
        <v>10668</v>
      </c>
      <c r="AG79" s="336" t="s">
        <v>10115</v>
      </c>
      <c r="AH79" s="336" t="s">
        <v>8188</v>
      </c>
      <c r="AI79" s="336" t="s">
        <v>10460</v>
      </c>
      <c r="AJ79" s="336" t="s">
        <v>10669</v>
      </c>
      <c r="AK79" s="336" t="s">
        <v>10670</v>
      </c>
      <c r="AL79" s="336" t="s">
        <v>4365</v>
      </c>
      <c r="AM79" s="336" t="s">
        <v>10222</v>
      </c>
      <c r="AN79" s="336" t="s">
        <v>3900</v>
      </c>
      <c r="AO79" s="336" t="s">
        <v>4220</v>
      </c>
      <c r="AP79" s="336" t="s">
        <v>9947</v>
      </c>
      <c r="AQ79" s="336" t="s">
        <v>10671</v>
      </c>
      <c r="AR79" s="336" t="s">
        <v>1482</v>
      </c>
      <c r="AS79" s="336" t="s">
        <v>6316</v>
      </c>
      <c r="AT79" s="336" t="s">
        <v>7260</v>
      </c>
      <c r="AU79" s="336" t="s">
        <v>10672</v>
      </c>
      <c r="AV79" s="1454" t="str">
        <f t="shared" si="1"/>
        <v>3:10</v>
      </c>
      <c r="AW79" s="1704" t="s">
        <v>10673</v>
      </c>
    </row>
    <row r="80">
      <c r="A80" s="954" t="s">
        <v>3905</v>
      </c>
      <c r="B80" s="1690" t="s">
        <v>9098</v>
      </c>
      <c r="C80" s="1633">
        <v>0.052141203703703703</v>
      </c>
      <c r="D80" s="980" t="s">
        <v>10674</v>
      </c>
      <c r="E80" s="1619" t="s">
        <v>3010</v>
      </c>
      <c r="F80" s="1619" t="s">
        <v>10675</v>
      </c>
      <c r="G80" s="1657" t="s">
        <v>10676</v>
      </c>
      <c r="H80" s="1657" t="s">
        <v>10677</v>
      </c>
      <c r="I80" s="1657" t="s">
        <v>2434</v>
      </c>
      <c r="J80" s="1657" t="s">
        <v>8018</v>
      </c>
      <c r="K80" s="1709" t="s">
        <v>6347</v>
      </c>
      <c r="L80" s="1710" t="s">
        <v>8185</v>
      </c>
      <c r="M80" s="1657" t="s">
        <v>10678</v>
      </c>
      <c r="N80" s="1657" t="s">
        <v>5898</v>
      </c>
      <c r="O80" s="1657" t="s">
        <v>5638</v>
      </c>
      <c r="P80" s="1657" t="s">
        <v>1849</v>
      </c>
      <c r="Q80" s="1657" t="s">
        <v>10679</v>
      </c>
      <c r="R80" s="1657" t="s">
        <v>10680</v>
      </c>
      <c r="S80" s="1711" t="s">
        <v>2268</v>
      </c>
      <c r="T80" s="1657" t="s">
        <v>9369</v>
      </c>
      <c r="U80" s="1657" t="s">
        <v>3517</v>
      </c>
      <c r="V80" s="1657" t="s">
        <v>10681</v>
      </c>
      <c r="W80" s="1657" t="s">
        <v>10682</v>
      </c>
      <c r="X80" s="1657" t="s">
        <v>4468</v>
      </c>
      <c r="Y80" s="1657" t="s">
        <v>3692</v>
      </c>
      <c r="Z80" s="1657" t="s">
        <v>4189</v>
      </c>
      <c r="AA80" s="1657" t="s">
        <v>174</v>
      </c>
      <c r="AB80" s="1657" t="s">
        <v>626</v>
      </c>
      <c r="AC80" s="1657" t="s">
        <v>6155</v>
      </c>
      <c r="AD80" s="1542" t="s">
        <v>9501</v>
      </c>
      <c r="AE80" s="1657" t="s">
        <v>478</v>
      </c>
      <c r="AF80" s="1657" t="s">
        <v>10683</v>
      </c>
      <c r="AG80" s="1657" t="s">
        <v>10684</v>
      </c>
      <c r="AH80" s="1657" t="s">
        <v>4588</v>
      </c>
      <c r="AI80" s="1657" t="s">
        <v>10685</v>
      </c>
      <c r="AJ80" s="1657" t="s">
        <v>10686</v>
      </c>
      <c r="AK80" s="1657" t="s">
        <v>10687</v>
      </c>
      <c r="AL80" s="1657" t="s">
        <v>5079</v>
      </c>
      <c r="AM80" s="1657" t="s">
        <v>10345</v>
      </c>
      <c r="AN80" s="1657" t="s">
        <v>4332</v>
      </c>
      <c r="AO80" s="1657" t="s">
        <v>9483</v>
      </c>
      <c r="AP80" s="1657" t="s">
        <v>10688</v>
      </c>
      <c r="AQ80" s="1709" t="s">
        <v>9125</v>
      </c>
      <c r="AR80" s="1657" t="s">
        <v>10689</v>
      </c>
      <c r="AS80" s="1712" t="s">
        <v>756</v>
      </c>
      <c r="AT80" s="1657" t="s">
        <v>10690</v>
      </c>
      <c r="AU80" s="1586" t="s">
        <v>10691</v>
      </c>
      <c r="AV80" s="1454" t="str">
        <f t="shared" si="1"/>
        <v>4:08</v>
      </c>
      <c r="AW80" s="1645" t="s">
        <v>10692</v>
      </c>
    </row>
    <row r="81">
      <c r="A81" s="1596" t="s">
        <v>3971</v>
      </c>
      <c r="B81" s="1584" t="s">
        <v>9045</v>
      </c>
      <c r="C81" s="1536">
        <v>0.0522337962962963</v>
      </c>
      <c r="D81" s="1677" t="s">
        <v>10693</v>
      </c>
      <c r="E81" s="1660" t="s">
        <v>10694</v>
      </c>
      <c r="F81" s="1660" t="s">
        <v>10695</v>
      </c>
      <c r="G81" s="1660" t="s">
        <v>10696</v>
      </c>
      <c r="H81" s="1660" t="s">
        <v>10697</v>
      </c>
      <c r="I81" s="1660" t="s">
        <v>1977</v>
      </c>
      <c r="J81" s="1660" t="s">
        <v>8774</v>
      </c>
      <c r="K81" s="1660" t="s">
        <v>4443</v>
      </c>
      <c r="L81" s="1660" t="s">
        <v>5823</v>
      </c>
      <c r="M81" s="1660" t="s">
        <v>10698</v>
      </c>
      <c r="N81" s="1660" t="s">
        <v>10092</v>
      </c>
      <c r="O81" s="1660" t="s">
        <v>10699</v>
      </c>
      <c r="P81" s="1660" t="s">
        <v>5218</v>
      </c>
      <c r="Q81" s="1660" t="s">
        <v>10700</v>
      </c>
      <c r="R81" s="1660" t="s">
        <v>6345</v>
      </c>
      <c r="S81" s="1660" t="s">
        <v>608</v>
      </c>
      <c r="T81" s="1660" t="s">
        <v>10503</v>
      </c>
      <c r="U81" s="1660" t="s">
        <v>9525</v>
      </c>
      <c r="V81" s="1660" t="s">
        <v>10701</v>
      </c>
      <c r="W81" s="1660" t="s">
        <v>10702</v>
      </c>
      <c r="X81" s="1660" t="s">
        <v>10703</v>
      </c>
      <c r="Y81" s="1660" t="s">
        <v>761</v>
      </c>
      <c r="Z81" s="1660" t="s">
        <v>10704</v>
      </c>
      <c r="AA81" s="980" t="s">
        <v>10705</v>
      </c>
      <c r="AB81" s="1660" t="s">
        <v>6843</v>
      </c>
      <c r="AC81" s="1660" t="s">
        <v>10483</v>
      </c>
      <c r="AD81" s="1660" t="s">
        <v>7076</v>
      </c>
      <c r="AE81" s="1660" t="s">
        <v>4962</v>
      </c>
      <c r="AF81" s="1333" t="s">
        <v>10706</v>
      </c>
      <c r="AG81" s="1660" t="s">
        <v>10707</v>
      </c>
      <c r="AH81" s="1660" t="s">
        <v>5097</v>
      </c>
      <c r="AI81" s="1660" t="s">
        <v>7724</v>
      </c>
      <c r="AJ81" s="1660" t="s">
        <v>10708</v>
      </c>
      <c r="AK81" s="1660" t="s">
        <v>10709</v>
      </c>
      <c r="AL81" s="1660" t="s">
        <v>10421</v>
      </c>
      <c r="AM81" s="1660" t="s">
        <v>10094</v>
      </c>
      <c r="AN81" s="1660" t="s">
        <v>1076</v>
      </c>
      <c r="AO81" s="1660" t="s">
        <v>6520</v>
      </c>
      <c r="AP81" s="1660" t="s">
        <v>5688</v>
      </c>
      <c r="AQ81" s="1660" t="s">
        <v>10710</v>
      </c>
      <c r="AR81" s="1660" t="s">
        <v>693</v>
      </c>
      <c r="AS81" s="1333" t="s">
        <v>2830</v>
      </c>
      <c r="AT81" s="1660" t="s">
        <v>10711</v>
      </c>
      <c r="AU81" s="1660" t="s">
        <v>10712</v>
      </c>
      <c r="AV81" s="1454" t="str">
        <f t="shared" si="1"/>
        <v>4:32</v>
      </c>
      <c r="AW81" s="1700" t="s">
        <v>10713</v>
      </c>
    </row>
    <row r="82">
      <c r="A82" s="1596" t="s">
        <v>5262</v>
      </c>
      <c r="B82" s="1594" t="s">
        <v>9072</v>
      </c>
      <c r="C82" s="1536">
        <v>0.05232638888888889</v>
      </c>
      <c r="D82" s="1677" t="s">
        <v>10714</v>
      </c>
      <c r="E82" s="1660" t="s">
        <v>1231</v>
      </c>
      <c r="F82" s="1660" t="s">
        <v>10715</v>
      </c>
      <c r="G82" s="1660" t="s">
        <v>10716</v>
      </c>
      <c r="H82" s="1660" t="s">
        <v>10717</v>
      </c>
      <c r="I82" s="1660" t="s">
        <v>1350</v>
      </c>
      <c r="J82" s="1660" t="s">
        <v>7395</v>
      </c>
      <c r="K82" s="1660" t="s">
        <v>10315</v>
      </c>
      <c r="L82" s="1660" t="s">
        <v>10718</v>
      </c>
      <c r="M82" s="1660" t="s">
        <v>7064</v>
      </c>
      <c r="N82" s="1660" t="s">
        <v>10719</v>
      </c>
      <c r="O82" s="1660" t="s">
        <v>10720</v>
      </c>
      <c r="P82" s="1660" t="s">
        <v>519</v>
      </c>
      <c r="Q82" s="1660" t="s">
        <v>10155</v>
      </c>
      <c r="R82" s="1660" t="s">
        <v>5229</v>
      </c>
      <c r="S82" s="1660" t="s">
        <v>9956</v>
      </c>
      <c r="T82" s="1660" t="s">
        <v>10721</v>
      </c>
      <c r="U82" s="1660" t="s">
        <v>10722</v>
      </c>
      <c r="V82" s="1660" t="s">
        <v>10723</v>
      </c>
      <c r="W82" s="1660" t="s">
        <v>6432</v>
      </c>
      <c r="X82" s="1660" t="s">
        <v>312</v>
      </c>
      <c r="Y82" s="1660" t="s">
        <v>7549</v>
      </c>
      <c r="Z82" s="1660" t="s">
        <v>782</v>
      </c>
      <c r="AA82" s="336" t="s">
        <v>9956</v>
      </c>
      <c r="AB82" s="1660" t="s">
        <v>10724</v>
      </c>
      <c r="AC82" s="1660" t="s">
        <v>6341</v>
      </c>
      <c r="AD82" s="1660" t="s">
        <v>10725</v>
      </c>
      <c r="AE82" s="1660" t="s">
        <v>225</v>
      </c>
      <c r="AF82" s="1660" t="s">
        <v>9631</v>
      </c>
      <c r="AG82" s="1660" t="s">
        <v>4083</v>
      </c>
      <c r="AH82" s="1660" t="s">
        <v>1957</v>
      </c>
      <c r="AI82" s="1660" t="s">
        <v>418</v>
      </c>
      <c r="AJ82" s="1660" t="s">
        <v>10726</v>
      </c>
      <c r="AK82" s="1660" t="s">
        <v>10727</v>
      </c>
      <c r="AL82" s="1660" t="s">
        <v>10461</v>
      </c>
      <c r="AM82" s="1660" t="s">
        <v>2983</v>
      </c>
      <c r="AN82" s="1660" t="s">
        <v>6069</v>
      </c>
      <c r="AO82" s="1660" t="s">
        <v>3727</v>
      </c>
      <c r="AP82" s="1660" t="s">
        <v>10728</v>
      </c>
      <c r="AQ82" s="1660" t="s">
        <v>7063</v>
      </c>
      <c r="AR82" s="1660" t="s">
        <v>6340</v>
      </c>
      <c r="AS82" s="1660" t="s">
        <v>10729</v>
      </c>
      <c r="AT82" s="1660" t="s">
        <v>10730</v>
      </c>
      <c r="AU82" s="1660" t="s">
        <v>10731</v>
      </c>
      <c r="AV82" s="1454" t="str">
        <f t="shared" si="1"/>
        <v>3:48</v>
      </c>
      <c r="AW82" s="1704"/>
    </row>
    <row r="83" ht="15.75" customHeight="1">
      <c r="A83" s="1534" t="s">
        <v>10732</v>
      </c>
      <c r="B83" s="1535" t="s">
        <v>9045</v>
      </c>
      <c r="C83" s="1671">
        <v>0.05240740740740741</v>
      </c>
      <c r="D83" s="980" t="s">
        <v>10733</v>
      </c>
      <c r="E83" s="336" t="s">
        <v>1747</v>
      </c>
      <c r="F83" s="336" t="s">
        <v>7403</v>
      </c>
      <c r="G83" s="336" t="s">
        <v>10442</v>
      </c>
      <c r="H83" s="336" t="s">
        <v>10734</v>
      </c>
      <c r="I83" s="336" t="s">
        <v>10735</v>
      </c>
      <c r="J83" s="336" t="s">
        <v>10736</v>
      </c>
      <c r="K83" s="336" t="s">
        <v>10737</v>
      </c>
      <c r="L83" s="336" t="s">
        <v>4473</v>
      </c>
      <c r="M83" s="336" t="s">
        <v>3302</v>
      </c>
      <c r="N83" s="336" t="s">
        <v>4864</v>
      </c>
      <c r="O83" s="336" t="s">
        <v>10738</v>
      </c>
      <c r="P83" s="336" t="s">
        <v>10739</v>
      </c>
      <c r="Q83" s="336" t="s">
        <v>4246</v>
      </c>
      <c r="R83" s="336" t="s">
        <v>10062</v>
      </c>
      <c r="S83" s="336" t="s">
        <v>10224</v>
      </c>
      <c r="T83" s="336" t="s">
        <v>5098</v>
      </c>
      <c r="U83" s="336" t="s">
        <v>10740</v>
      </c>
      <c r="V83" s="336" t="s">
        <v>10741</v>
      </c>
      <c r="W83" s="336" t="s">
        <v>10742</v>
      </c>
      <c r="X83" s="336" t="s">
        <v>10743</v>
      </c>
      <c r="Y83" s="336" t="s">
        <v>6621</v>
      </c>
      <c r="Z83" s="336" t="s">
        <v>10604</v>
      </c>
      <c r="AA83" s="336" t="s">
        <v>1869</v>
      </c>
      <c r="AB83" s="336" t="s">
        <v>6962</v>
      </c>
      <c r="AC83" s="336" t="s">
        <v>1538</v>
      </c>
      <c r="AD83" s="336" t="s">
        <v>10744</v>
      </c>
      <c r="AE83" s="336" t="s">
        <v>1538</v>
      </c>
      <c r="AF83" s="336" t="s">
        <v>10745</v>
      </c>
      <c r="AG83" s="336" t="s">
        <v>10381</v>
      </c>
      <c r="AH83" s="336" t="s">
        <v>2115</v>
      </c>
      <c r="AI83" s="336" t="s">
        <v>3373</v>
      </c>
      <c r="AJ83" s="336" t="s">
        <v>10746</v>
      </c>
      <c r="AK83" s="336" t="s">
        <v>8132</v>
      </c>
      <c r="AL83" s="336" t="s">
        <v>10747</v>
      </c>
      <c r="AM83" s="336" t="s">
        <v>1188</v>
      </c>
      <c r="AN83" s="336" t="s">
        <v>3011</v>
      </c>
      <c r="AO83" s="336" t="s">
        <v>10748</v>
      </c>
      <c r="AP83" s="336" t="s">
        <v>3661</v>
      </c>
      <c r="AQ83" s="336" t="s">
        <v>10749</v>
      </c>
      <c r="AR83" s="336" t="s">
        <v>10750</v>
      </c>
      <c r="AS83" s="336" t="s">
        <v>9151</v>
      </c>
      <c r="AT83" s="336" t="s">
        <v>9769</v>
      </c>
      <c r="AU83" s="336" t="s">
        <v>10751</v>
      </c>
      <c r="AV83" s="1454" t="str">
        <f t="shared" si="1"/>
        <v>3:40</v>
      </c>
      <c r="AW83" s="1703" t="s">
        <v>10752</v>
      </c>
    </row>
    <row r="84" ht="15.75" customHeight="1">
      <c r="A84" s="1661" t="s">
        <v>10753</v>
      </c>
      <c r="B84" s="1535" t="s">
        <v>9045</v>
      </c>
      <c r="C84" s="1671">
        <v>0.05263888888888889</v>
      </c>
      <c r="D84" s="980" t="s">
        <v>10754</v>
      </c>
      <c r="E84" s="336" t="s">
        <v>7609</v>
      </c>
      <c r="F84" s="336" t="s">
        <v>10755</v>
      </c>
      <c r="G84" s="336" t="s">
        <v>10756</v>
      </c>
      <c r="H84" s="336" t="s">
        <v>10757</v>
      </c>
      <c r="I84" s="336" t="s">
        <v>10758</v>
      </c>
      <c r="J84" s="336" t="s">
        <v>10759</v>
      </c>
      <c r="K84" s="336" t="s">
        <v>4153</v>
      </c>
      <c r="L84" s="336" t="s">
        <v>4225</v>
      </c>
      <c r="M84" s="336" t="s">
        <v>9789</v>
      </c>
      <c r="N84" s="336" t="s">
        <v>10760</v>
      </c>
      <c r="O84" s="336" t="s">
        <v>9086</v>
      </c>
      <c r="P84" s="336" t="s">
        <v>482</v>
      </c>
      <c r="Q84" s="336" t="s">
        <v>10761</v>
      </c>
      <c r="R84" s="336" t="s">
        <v>5635</v>
      </c>
      <c r="S84" s="336" t="s">
        <v>6572</v>
      </c>
      <c r="T84" s="336" t="s">
        <v>10762</v>
      </c>
      <c r="U84" s="336" t="s">
        <v>10763</v>
      </c>
      <c r="V84" s="336" t="s">
        <v>10764</v>
      </c>
      <c r="W84" s="336" t="s">
        <v>10765</v>
      </c>
      <c r="X84" s="336" t="s">
        <v>5857</v>
      </c>
      <c r="Y84" s="336" t="s">
        <v>1538</v>
      </c>
      <c r="Z84" s="336" t="s">
        <v>7534</v>
      </c>
      <c r="AA84" s="1660" t="s">
        <v>6516</v>
      </c>
      <c r="AB84" s="336" t="s">
        <v>9686</v>
      </c>
      <c r="AC84" s="336" t="s">
        <v>10498</v>
      </c>
      <c r="AD84" s="336" t="s">
        <v>3048</v>
      </c>
      <c r="AE84" s="336" t="s">
        <v>4788</v>
      </c>
      <c r="AF84" s="336" t="s">
        <v>10766</v>
      </c>
      <c r="AG84" s="336" t="s">
        <v>2892</v>
      </c>
      <c r="AH84" s="336" t="s">
        <v>7718</v>
      </c>
      <c r="AI84" s="336" t="s">
        <v>10767</v>
      </c>
      <c r="AJ84" s="336" t="s">
        <v>10768</v>
      </c>
      <c r="AK84" s="336" t="s">
        <v>10111</v>
      </c>
      <c r="AL84" s="336" t="s">
        <v>10769</v>
      </c>
      <c r="AM84" s="336" t="s">
        <v>10770</v>
      </c>
      <c r="AN84" s="336" t="s">
        <v>3899</v>
      </c>
      <c r="AO84" s="336" t="s">
        <v>9483</v>
      </c>
      <c r="AP84" s="336" t="s">
        <v>10771</v>
      </c>
      <c r="AQ84" s="336" t="s">
        <v>10772</v>
      </c>
      <c r="AR84" s="336" t="s">
        <v>1380</v>
      </c>
      <c r="AS84" s="336" t="s">
        <v>1086</v>
      </c>
      <c r="AT84" s="336" t="s">
        <v>10773</v>
      </c>
      <c r="AU84" s="336" t="s">
        <v>10774</v>
      </c>
      <c r="AV84" s="1454" t="str">
        <f t="shared" si="1"/>
        <v>4:28</v>
      </c>
      <c r="AW84" s="1703" t="s">
        <v>10775</v>
      </c>
    </row>
    <row r="85">
      <c r="A85" s="1596" t="s">
        <v>3625</v>
      </c>
      <c r="B85" s="1678" t="s">
        <v>9098</v>
      </c>
      <c r="C85" s="1536">
        <v>0.052662037037037035</v>
      </c>
      <c r="D85" s="980" t="s">
        <v>10776</v>
      </c>
      <c r="E85" s="980" t="s">
        <v>532</v>
      </c>
      <c r="F85" s="980" t="s">
        <v>10777</v>
      </c>
      <c r="G85" s="980" t="s">
        <v>10778</v>
      </c>
      <c r="H85" s="980" t="s">
        <v>9315</v>
      </c>
      <c r="I85" s="980" t="s">
        <v>10779</v>
      </c>
      <c r="J85" s="980" t="s">
        <v>1592</v>
      </c>
      <c r="K85" s="980" t="s">
        <v>10780</v>
      </c>
      <c r="L85" s="980" t="s">
        <v>2885</v>
      </c>
      <c r="M85" s="980" t="s">
        <v>270</v>
      </c>
      <c r="N85" s="980" t="s">
        <v>9603</v>
      </c>
      <c r="O85" s="980" t="s">
        <v>10781</v>
      </c>
      <c r="P85" s="980" t="s">
        <v>10782</v>
      </c>
      <c r="Q85" s="980" t="s">
        <v>3475</v>
      </c>
      <c r="R85" s="980" t="s">
        <v>10783</v>
      </c>
      <c r="S85" s="980" t="s">
        <v>6153</v>
      </c>
      <c r="T85" s="980" t="s">
        <v>10784</v>
      </c>
      <c r="U85" s="980" t="s">
        <v>10785</v>
      </c>
      <c r="V85" s="980" t="s">
        <v>10786</v>
      </c>
      <c r="W85" s="980" t="s">
        <v>10787</v>
      </c>
      <c r="X85" s="980" t="s">
        <v>2810</v>
      </c>
      <c r="Y85" s="980" t="s">
        <v>2843</v>
      </c>
      <c r="Z85" s="980" t="s">
        <v>6438</v>
      </c>
      <c r="AA85" s="1660" t="s">
        <v>10788</v>
      </c>
      <c r="AB85" s="980" t="s">
        <v>9129</v>
      </c>
      <c r="AC85" s="980" t="s">
        <v>7548</v>
      </c>
      <c r="AD85" s="1713" t="s">
        <v>9117</v>
      </c>
      <c r="AE85" s="980" t="s">
        <v>335</v>
      </c>
      <c r="AF85" s="980" t="s">
        <v>10789</v>
      </c>
      <c r="AG85" s="980" t="s">
        <v>7043</v>
      </c>
      <c r="AH85" s="980" t="s">
        <v>3831</v>
      </c>
      <c r="AI85" s="980" t="s">
        <v>10790</v>
      </c>
      <c r="AJ85" s="980" t="s">
        <v>10791</v>
      </c>
      <c r="AK85" s="980" t="s">
        <v>10792</v>
      </c>
      <c r="AL85" s="980" t="s">
        <v>4612</v>
      </c>
      <c r="AM85" s="980" t="s">
        <v>5832</v>
      </c>
      <c r="AN85" s="1713" t="s">
        <v>9122</v>
      </c>
      <c r="AO85" s="980" t="s">
        <v>10793</v>
      </c>
      <c r="AP85" s="980" t="s">
        <v>10794</v>
      </c>
      <c r="AQ85" s="980" t="s">
        <v>10795</v>
      </c>
      <c r="AR85" s="980" t="s">
        <v>6107</v>
      </c>
      <c r="AS85" s="980" t="s">
        <v>8070</v>
      </c>
      <c r="AT85" s="980" t="s">
        <v>10796</v>
      </c>
      <c r="AU85" s="1714" t="s">
        <v>10797</v>
      </c>
      <c r="AV85" s="1454" t="str">
        <f t="shared" si="1"/>
        <v>4:43</v>
      </c>
      <c r="AW85" s="1685" t="s">
        <v>10798</v>
      </c>
    </row>
    <row r="86" ht="15.75" customHeight="1">
      <c r="A86" s="1596" t="s">
        <v>10799</v>
      </c>
      <c r="B86" s="1594" t="s">
        <v>9045</v>
      </c>
      <c r="C86" s="1536">
        <v>0.05267361111111111</v>
      </c>
      <c r="D86" s="1677" t="s">
        <v>10189</v>
      </c>
      <c r="E86" s="1660" t="s">
        <v>175</v>
      </c>
      <c r="F86" s="1660" t="s">
        <v>10800</v>
      </c>
      <c r="G86" s="1660" t="s">
        <v>10801</v>
      </c>
      <c r="H86" s="1660" t="s">
        <v>10802</v>
      </c>
      <c r="I86" s="1660" t="s">
        <v>5681</v>
      </c>
      <c r="J86" s="980" t="s">
        <v>10803</v>
      </c>
      <c r="K86" s="1660" t="s">
        <v>10804</v>
      </c>
      <c r="L86" s="1660" t="s">
        <v>3831</v>
      </c>
      <c r="M86" s="1660" t="s">
        <v>7025</v>
      </c>
      <c r="N86" s="1660" t="s">
        <v>10805</v>
      </c>
      <c r="O86" s="1660" t="s">
        <v>10806</v>
      </c>
      <c r="P86" s="1660" t="s">
        <v>10158</v>
      </c>
      <c r="Q86" s="1660" t="s">
        <v>10807</v>
      </c>
      <c r="R86" s="1660" t="s">
        <v>5698</v>
      </c>
      <c r="S86" s="1660" t="s">
        <v>10808</v>
      </c>
      <c r="T86" s="1660" t="s">
        <v>10809</v>
      </c>
      <c r="U86" s="1660" t="s">
        <v>10810</v>
      </c>
      <c r="V86" s="1660" t="s">
        <v>3924</v>
      </c>
      <c r="W86" s="1660" t="s">
        <v>10811</v>
      </c>
      <c r="X86" s="1660" t="s">
        <v>2415</v>
      </c>
      <c r="Y86" s="1660" t="s">
        <v>9753</v>
      </c>
      <c r="Z86" s="1660" t="s">
        <v>9277</v>
      </c>
      <c r="AA86" s="1660" t="s">
        <v>10812</v>
      </c>
      <c r="AB86" s="1660" t="s">
        <v>10373</v>
      </c>
      <c r="AC86" s="1660" t="s">
        <v>9641</v>
      </c>
      <c r="AD86" s="1660" t="s">
        <v>10813</v>
      </c>
      <c r="AE86" s="1660" t="s">
        <v>2385</v>
      </c>
      <c r="AF86" s="1660" t="s">
        <v>10814</v>
      </c>
      <c r="AG86" s="1660" t="s">
        <v>10815</v>
      </c>
      <c r="AH86" s="1660" t="s">
        <v>4225</v>
      </c>
      <c r="AI86" s="1660" t="s">
        <v>10816</v>
      </c>
      <c r="AJ86" s="1660" t="s">
        <v>10817</v>
      </c>
      <c r="AK86" s="1660" t="s">
        <v>1776</v>
      </c>
      <c r="AL86" s="1660" t="s">
        <v>2610</v>
      </c>
      <c r="AM86" s="1660" t="s">
        <v>1776</v>
      </c>
      <c r="AN86" s="1660" t="s">
        <v>2610</v>
      </c>
      <c r="AO86" s="1660" t="s">
        <v>6272</v>
      </c>
      <c r="AP86" s="1660" t="s">
        <v>10818</v>
      </c>
      <c r="AQ86" s="1660" t="s">
        <v>2207</v>
      </c>
      <c r="AR86" s="1660" t="s">
        <v>10628</v>
      </c>
      <c r="AS86" s="1660" t="s">
        <v>10819</v>
      </c>
      <c r="AT86" s="1660" t="s">
        <v>10820</v>
      </c>
      <c r="AU86" s="1660" t="s">
        <v>10821</v>
      </c>
      <c r="AV86" s="1454" t="str">
        <f t="shared" si="1"/>
        <v>5:58</v>
      </c>
      <c r="AW86" s="1700" t="s">
        <v>10822</v>
      </c>
    </row>
    <row r="87" ht="15.75" customHeight="1">
      <c r="A87" s="1534" t="s">
        <v>6126</v>
      </c>
      <c r="B87" s="1629" t="s">
        <v>9072</v>
      </c>
      <c r="C87" s="1671">
        <v>0.05275462962962963</v>
      </c>
      <c r="D87" s="980" t="s">
        <v>10823</v>
      </c>
      <c r="E87" s="336" t="s">
        <v>6033</v>
      </c>
      <c r="F87" s="336" t="s">
        <v>10824</v>
      </c>
      <c r="G87" s="336" t="s">
        <v>9242</v>
      </c>
      <c r="H87" s="336" t="s">
        <v>6803</v>
      </c>
      <c r="I87" s="336" t="s">
        <v>2284</v>
      </c>
      <c r="J87" s="336" t="s">
        <v>4166</v>
      </c>
      <c r="K87" s="336" t="s">
        <v>10518</v>
      </c>
      <c r="L87" s="336" t="s">
        <v>5393</v>
      </c>
      <c r="M87" s="336" t="s">
        <v>4152</v>
      </c>
      <c r="N87" s="336" t="s">
        <v>10825</v>
      </c>
      <c r="O87" s="336" t="s">
        <v>10826</v>
      </c>
      <c r="P87" s="336" t="s">
        <v>6391</v>
      </c>
      <c r="Q87" s="336" t="s">
        <v>10827</v>
      </c>
      <c r="R87" s="336" t="s">
        <v>10828</v>
      </c>
      <c r="S87" s="336" t="s">
        <v>9060</v>
      </c>
      <c r="T87" s="336" t="s">
        <v>2615</v>
      </c>
      <c r="U87" s="336" t="s">
        <v>497</v>
      </c>
      <c r="V87" s="336" t="s">
        <v>10829</v>
      </c>
      <c r="W87" s="336" t="s">
        <v>10830</v>
      </c>
      <c r="X87" s="336" t="s">
        <v>9245</v>
      </c>
      <c r="Y87" s="336" t="s">
        <v>5867</v>
      </c>
      <c r="Z87" s="336" t="s">
        <v>9436</v>
      </c>
      <c r="AA87" s="336" t="s">
        <v>10831</v>
      </c>
      <c r="AB87" s="336" t="s">
        <v>490</v>
      </c>
      <c r="AC87" s="336" t="s">
        <v>9298</v>
      </c>
      <c r="AD87" s="336" t="s">
        <v>10832</v>
      </c>
      <c r="AE87" s="336" t="s">
        <v>10833</v>
      </c>
      <c r="AF87" s="336" t="s">
        <v>9915</v>
      </c>
      <c r="AG87" s="336" t="s">
        <v>8011</v>
      </c>
      <c r="AH87" s="336" t="s">
        <v>724</v>
      </c>
      <c r="AI87" s="336" t="s">
        <v>5423</v>
      </c>
      <c r="AJ87" s="336" t="s">
        <v>10834</v>
      </c>
      <c r="AK87" s="336" t="s">
        <v>9376</v>
      </c>
      <c r="AL87" s="336" t="s">
        <v>5238</v>
      </c>
      <c r="AM87" s="336" t="s">
        <v>2727</v>
      </c>
      <c r="AN87" s="336" t="s">
        <v>6585</v>
      </c>
      <c r="AO87" s="336" t="s">
        <v>6292</v>
      </c>
      <c r="AP87" s="336" t="s">
        <v>10835</v>
      </c>
      <c r="AQ87" s="336" t="s">
        <v>10836</v>
      </c>
      <c r="AR87" s="336" t="s">
        <v>10455</v>
      </c>
      <c r="AS87" s="336" t="s">
        <v>9445</v>
      </c>
      <c r="AT87" s="336" t="s">
        <v>10837</v>
      </c>
      <c r="AU87" s="336" t="s">
        <v>10838</v>
      </c>
      <c r="AV87" s="1454" t="str">
        <f t="shared" si="1"/>
        <v>3:59</v>
      </c>
      <c r="AW87" s="1704" t="s">
        <v>10839</v>
      </c>
    </row>
    <row r="88" ht="15.75" customHeight="1">
      <c r="A88" s="1661" t="s">
        <v>10840</v>
      </c>
      <c r="B88" s="1690" t="s">
        <v>9098</v>
      </c>
      <c r="C88" s="1671">
        <v>0.05291666666666667</v>
      </c>
      <c r="D88" s="980" t="s">
        <v>10841</v>
      </c>
      <c r="E88" s="336" t="s">
        <v>10842</v>
      </c>
      <c r="F88" s="336" t="s">
        <v>5964</v>
      </c>
      <c r="G88" s="336" t="s">
        <v>10049</v>
      </c>
      <c r="H88" s="336" t="s">
        <v>10392</v>
      </c>
      <c r="I88" s="336" t="s">
        <v>3123</v>
      </c>
      <c r="J88" s="336" t="s">
        <v>10843</v>
      </c>
      <c r="K88" s="336" t="s">
        <v>5520</v>
      </c>
      <c r="L88" s="336" t="s">
        <v>7374</v>
      </c>
      <c r="M88" s="336" t="s">
        <v>10844</v>
      </c>
      <c r="N88" s="336" t="s">
        <v>10845</v>
      </c>
      <c r="O88" s="336" t="s">
        <v>10846</v>
      </c>
      <c r="P88" s="336" t="s">
        <v>10260</v>
      </c>
      <c r="Q88" s="336" t="s">
        <v>10847</v>
      </c>
      <c r="R88" s="336" t="s">
        <v>5938</v>
      </c>
      <c r="S88" s="336" t="s">
        <v>2667</v>
      </c>
      <c r="T88" s="336" t="s">
        <v>9449</v>
      </c>
      <c r="U88" s="336" t="s">
        <v>5595</v>
      </c>
      <c r="V88" s="336" t="s">
        <v>1146</v>
      </c>
      <c r="W88" s="336" t="s">
        <v>1832</v>
      </c>
      <c r="X88" s="336" t="s">
        <v>3365</v>
      </c>
      <c r="Y88" s="336" t="s">
        <v>662</v>
      </c>
      <c r="Z88" s="336" t="s">
        <v>10848</v>
      </c>
      <c r="AA88" s="1660" t="s">
        <v>7271</v>
      </c>
      <c r="AB88" s="336" t="s">
        <v>3678</v>
      </c>
      <c r="AC88" s="336" t="s">
        <v>2449</v>
      </c>
      <c r="AD88" s="336" t="s">
        <v>10849</v>
      </c>
      <c r="AE88" s="336" t="s">
        <v>10850</v>
      </c>
      <c r="AF88" s="336" t="s">
        <v>10851</v>
      </c>
      <c r="AG88" s="336" t="s">
        <v>2757</v>
      </c>
      <c r="AH88" s="336" t="s">
        <v>10085</v>
      </c>
      <c r="AI88" s="336" t="s">
        <v>10852</v>
      </c>
      <c r="AJ88" s="336" t="s">
        <v>10853</v>
      </c>
      <c r="AK88" s="336" t="s">
        <v>10854</v>
      </c>
      <c r="AL88" s="336" t="s">
        <v>1750</v>
      </c>
      <c r="AM88" s="336" t="s">
        <v>2556</v>
      </c>
      <c r="AN88" s="336" t="s">
        <v>10855</v>
      </c>
      <c r="AO88" s="336" t="s">
        <v>10856</v>
      </c>
      <c r="AP88" s="336" t="s">
        <v>8880</v>
      </c>
      <c r="AQ88" s="336" t="s">
        <v>10857</v>
      </c>
      <c r="AR88" s="336" t="s">
        <v>10762</v>
      </c>
      <c r="AS88" s="336" t="s">
        <v>4373</v>
      </c>
      <c r="AT88" s="336" t="s">
        <v>10858</v>
      </c>
      <c r="AU88" s="336" t="s">
        <v>10859</v>
      </c>
      <c r="AV88" s="1454" t="str">
        <f t="shared" si="1"/>
        <v>2:38</v>
      </c>
      <c r="AW88" s="1704"/>
    </row>
    <row r="89" ht="15.75" customHeight="1">
      <c r="A89" s="1596" t="s">
        <v>6456</v>
      </c>
      <c r="B89" s="1584" t="s">
        <v>9045</v>
      </c>
      <c r="C89" s="1536">
        <v>0.05324074074074074</v>
      </c>
      <c r="D89" s="980" t="s">
        <v>10860</v>
      </c>
      <c r="E89" s="980" t="s">
        <v>10861</v>
      </c>
      <c r="F89" s="980" t="s">
        <v>10862</v>
      </c>
      <c r="G89" s="980" t="s">
        <v>9795</v>
      </c>
      <c r="H89" s="980" t="s">
        <v>10863</v>
      </c>
      <c r="I89" s="980" t="s">
        <v>6155</v>
      </c>
      <c r="J89" s="980" t="s">
        <v>1709</v>
      </c>
      <c r="K89" s="980" t="s">
        <v>4288</v>
      </c>
      <c r="L89" s="980" t="s">
        <v>10864</v>
      </c>
      <c r="M89" s="980" t="s">
        <v>10865</v>
      </c>
      <c r="N89" s="980" t="s">
        <v>10866</v>
      </c>
      <c r="O89" s="980" t="s">
        <v>10867</v>
      </c>
      <c r="P89" s="980" t="s">
        <v>10868</v>
      </c>
      <c r="Q89" s="980" t="s">
        <v>10869</v>
      </c>
      <c r="R89" s="980" t="s">
        <v>10870</v>
      </c>
      <c r="S89" s="980" t="s">
        <v>10743</v>
      </c>
      <c r="T89" s="980" t="s">
        <v>10871</v>
      </c>
      <c r="U89" s="980" t="s">
        <v>10872</v>
      </c>
      <c r="V89" s="980" t="s">
        <v>2904</v>
      </c>
      <c r="W89" s="980" t="s">
        <v>10873</v>
      </c>
      <c r="X89" s="980" t="s">
        <v>10874</v>
      </c>
      <c r="Y89" s="980" t="s">
        <v>5681</v>
      </c>
      <c r="Z89" s="980" t="s">
        <v>3575</v>
      </c>
      <c r="AA89" s="1660" t="s">
        <v>10875</v>
      </c>
      <c r="AB89" s="980" t="s">
        <v>10195</v>
      </c>
      <c r="AC89" s="980" t="s">
        <v>5634</v>
      </c>
      <c r="AD89" s="980" t="s">
        <v>10876</v>
      </c>
      <c r="AE89" s="980" t="s">
        <v>9986</v>
      </c>
      <c r="AF89" s="980" t="s">
        <v>10877</v>
      </c>
      <c r="AG89" s="980" t="s">
        <v>10684</v>
      </c>
      <c r="AH89" s="980" t="s">
        <v>5835</v>
      </c>
      <c r="AI89" s="980" t="s">
        <v>10878</v>
      </c>
      <c r="AJ89" s="980" t="s">
        <v>10879</v>
      </c>
      <c r="AK89" s="1660" t="s">
        <v>10880</v>
      </c>
      <c r="AL89" s="980" t="s">
        <v>10501</v>
      </c>
      <c r="AM89" s="980" t="s">
        <v>8465</v>
      </c>
      <c r="AN89" s="980" t="s">
        <v>10340</v>
      </c>
      <c r="AO89" s="980" t="s">
        <v>4547</v>
      </c>
      <c r="AP89" s="980" t="s">
        <v>10881</v>
      </c>
      <c r="AQ89" s="980" t="s">
        <v>10882</v>
      </c>
      <c r="AR89" s="1660" t="s">
        <v>3830</v>
      </c>
      <c r="AS89" s="980" t="s">
        <v>10883</v>
      </c>
      <c r="AT89" s="980" t="s">
        <v>10884</v>
      </c>
      <c r="AU89" s="1660" t="s">
        <v>10797</v>
      </c>
      <c r="AV89" s="1454" t="str">
        <f t="shared" si="1"/>
        <v>3:53</v>
      </c>
      <c r="AW89" s="1700" t="s">
        <v>10885</v>
      </c>
    </row>
    <row r="90">
      <c r="A90" s="1596" t="s">
        <v>4801</v>
      </c>
      <c r="B90" s="1594" t="s">
        <v>9098</v>
      </c>
      <c r="C90" s="1536">
        <v>0.05331018518518518</v>
      </c>
      <c r="D90" s="1660" t="s">
        <v>10886</v>
      </c>
      <c r="E90" s="1660" t="s">
        <v>7476</v>
      </c>
      <c r="F90" s="1660" t="s">
        <v>10659</v>
      </c>
      <c r="G90" s="1660" t="s">
        <v>10887</v>
      </c>
      <c r="H90" s="980" t="s">
        <v>10888</v>
      </c>
      <c r="I90" s="1660" t="s">
        <v>10889</v>
      </c>
      <c r="J90" s="1660" t="s">
        <v>10433</v>
      </c>
      <c r="K90" s="1660" t="s">
        <v>9238</v>
      </c>
      <c r="L90" s="1660" t="s">
        <v>4480</v>
      </c>
      <c r="M90" s="1660" t="s">
        <v>10890</v>
      </c>
      <c r="N90" s="1660" t="s">
        <v>10222</v>
      </c>
      <c r="O90" s="1660" t="s">
        <v>10891</v>
      </c>
      <c r="P90" s="1660" t="s">
        <v>6341</v>
      </c>
      <c r="Q90" s="1660" t="s">
        <v>10892</v>
      </c>
      <c r="R90" s="1660" t="s">
        <v>2151</v>
      </c>
      <c r="S90" s="1660" t="s">
        <v>7306</v>
      </c>
      <c r="T90" s="1660" t="s">
        <v>6785</v>
      </c>
      <c r="U90" s="1660" t="s">
        <v>10893</v>
      </c>
      <c r="V90" s="1660" t="s">
        <v>10414</v>
      </c>
      <c r="W90" s="1660" t="s">
        <v>10894</v>
      </c>
      <c r="X90" s="1660" t="s">
        <v>8012</v>
      </c>
      <c r="Y90" s="1660" t="s">
        <v>5535</v>
      </c>
      <c r="Z90" s="1660" t="s">
        <v>10224</v>
      </c>
      <c r="AA90" s="1660" t="s">
        <v>10895</v>
      </c>
      <c r="AB90" s="1660" t="s">
        <v>3534</v>
      </c>
      <c r="AC90" s="1660" t="s">
        <v>10896</v>
      </c>
      <c r="AD90" s="1660" t="s">
        <v>10897</v>
      </c>
      <c r="AE90" s="1660" t="s">
        <v>5867</v>
      </c>
      <c r="AF90" s="1660" t="s">
        <v>10898</v>
      </c>
      <c r="AG90" s="1660" t="s">
        <v>9566</v>
      </c>
      <c r="AH90" s="1660" t="s">
        <v>10899</v>
      </c>
      <c r="AI90" s="1660" t="s">
        <v>10900</v>
      </c>
      <c r="AJ90" s="1660" t="s">
        <v>10901</v>
      </c>
      <c r="AK90" s="1660" t="s">
        <v>2229</v>
      </c>
      <c r="AL90" s="1660" t="s">
        <v>2198</v>
      </c>
      <c r="AM90" s="1660" t="s">
        <v>10902</v>
      </c>
      <c r="AN90" s="1660" t="s">
        <v>4686</v>
      </c>
      <c r="AO90" s="1660" t="s">
        <v>10903</v>
      </c>
      <c r="AP90" s="1660" t="s">
        <v>2816</v>
      </c>
      <c r="AQ90" s="1660" t="s">
        <v>10904</v>
      </c>
      <c r="AR90" s="1660" t="s">
        <v>1762</v>
      </c>
      <c r="AS90" s="1660" t="s">
        <v>973</v>
      </c>
      <c r="AT90" s="1660" t="s">
        <v>10905</v>
      </c>
      <c r="AU90" s="1660" t="s">
        <v>10906</v>
      </c>
      <c r="AV90" s="1454" t="str">
        <f t="shared" si="1"/>
        <v>4:18</v>
      </c>
      <c r="AW90" s="1704"/>
    </row>
    <row r="91" ht="15.75" customHeight="1">
      <c r="A91" s="1661" t="s">
        <v>10907</v>
      </c>
      <c r="B91" s="1690" t="s">
        <v>9098</v>
      </c>
      <c r="C91" s="1536">
        <v>0.05348379629629629</v>
      </c>
      <c r="D91" s="980" t="s">
        <v>10908</v>
      </c>
      <c r="E91" s="336" t="s">
        <v>10694</v>
      </c>
      <c r="F91" s="336" t="s">
        <v>6584</v>
      </c>
      <c r="G91" s="336" t="s">
        <v>10909</v>
      </c>
      <c r="H91" s="336" t="s">
        <v>10910</v>
      </c>
      <c r="I91" s="336" t="s">
        <v>2351</v>
      </c>
      <c r="J91" s="336" t="s">
        <v>9617</v>
      </c>
      <c r="K91" s="336" t="s">
        <v>9110</v>
      </c>
      <c r="L91" s="336" t="s">
        <v>4862</v>
      </c>
      <c r="M91" s="336" t="s">
        <v>10911</v>
      </c>
      <c r="N91" s="336" t="s">
        <v>10912</v>
      </c>
      <c r="O91" s="336" t="s">
        <v>4334</v>
      </c>
      <c r="P91" s="336" t="s">
        <v>927</v>
      </c>
      <c r="Q91" s="1660" t="s">
        <v>10913</v>
      </c>
      <c r="R91" s="336" t="s">
        <v>10478</v>
      </c>
      <c r="S91" s="336" t="s">
        <v>9823</v>
      </c>
      <c r="T91" s="336" t="s">
        <v>10666</v>
      </c>
      <c r="U91" s="336" t="s">
        <v>10914</v>
      </c>
      <c r="V91" s="336" t="s">
        <v>3231</v>
      </c>
      <c r="W91" s="336" t="s">
        <v>10915</v>
      </c>
      <c r="X91" s="336" t="s">
        <v>3149</v>
      </c>
      <c r="Y91" s="336" t="s">
        <v>1426</v>
      </c>
      <c r="Z91" s="336" t="s">
        <v>9523</v>
      </c>
      <c r="AA91" s="1660" t="s">
        <v>10916</v>
      </c>
      <c r="AB91" s="336" t="s">
        <v>10233</v>
      </c>
      <c r="AC91" s="336" t="s">
        <v>1153</v>
      </c>
      <c r="AD91" s="336" t="s">
        <v>10917</v>
      </c>
      <c r="AE91" s="336" t="s">
        <v>586</v>
      </c>
      <c r="AF91" s="1660" t="s">
        <v>10918</v>
      </c>
      <c r="AG91" s="336" t="s">
        <v>5885</v>
      </c>
      <c r="AH91" s="336" t="s">
        <v>9697</v>
      </c>
      <c r="AI91" s="336" t="s">
        <v>2640</v>
      </c>
      <c r="AJ91" s="336" t="s">
        <v>10919</v>
      </c>
      <c r="AK91" s="336" t="s">
        <v>9538</v>
      </c>
      <c r="AL91" s="336" t="s">
        <v>10920</v>
      </c>
      <c r="AM91" s="336" t="s">
        <v>9290</v>
      </c>
      <c r="AN91" s="336" t="s">
        <v>10501</v>
      </c>
      <c r="AO91" s="336" t="s">
        <v>9217</v>
      </c>
      <c r="AP91" s="336" t="s">
        <v>10921</v>
      </c>
      <c r="AQ91" s="336" t="s">
        <v>4470</v>
      </c>
      <c r="AR91" s="336" t="s">
        <v>1380</v>
      </c>
      <c r="AS91" s="336" t="s">
        <v>9311</v>
      </c>
      <c r="AT91" s="336" t="s">
        <v>4743</v>
      </c>
      <c r="AU91" s="336" t="s">
        <v>10922</v>
      </c>
      <c r="AV91" s="1454" t="str">
        <f t="shared" si="1"/>
        <v>3:27</v>
      </c>
      <c r="AW91" s="1700" t="s">
        <v>10923</v>
      </c>
    </row>
    <row r="92">
      <c r="A92" s="1596" t="s">
        <v>5476</v>
      </c>
      <c r="B92" s="1584" t="s">
        <v>9045</v>
      </c>
      <c r="C92" s="1536">
        <v>0.05376157407407407</v>
      </c>
      <c r="D92" s="1660" t="s">
        <v>10924</v>
      </c>
      <c r="E92" s="1660" t="s">
        <v>10925</v>
      </c>
      <c r="F92" s="1660" t="s">
        <v>10926</v>
      </c>
      <c r="G92" s="1660" t="s">
        <v>10927</v>
      </c>
      <c r="H92" s="1715" t="s">
        <v>10928</v>
      </c>
      <c r="I92" s="980" t="s">
        <v>239</v>
      </c>
      <c r="J92" s="1660" t="s">
        <v>10111</v>
      </c>
      <c r="K92" s="1660" t="s">
        <v>10929</v>
      </c>
      <c r="L92" s="1660" t="s">
        <v>2521</v>
      </c>
      <c r="M92" s="1660" t="s">
        <v>1260</v>
      </c>
      <c r="N92" s="1660" t="s">
        <v>10930</v>
      </c>
      <c r="O92" s="1660" t="s">
        <v>10931</v>
      </c>
      <c r="P92" s="1660" t="s">
        <v>863</v>
      </c>
      <c r="Q92" s="1660" t="s">
        <v>4410</v>
      </c>
      <c r="R92" s="1660" t="s">
        <v>10932</v>
      </c>
      <c r="S92" s="1716" t="s">
        <v>10933</v>
      </c>
      <c r="T92" s="1716" t="s">
        <v>9662</v>
      </c>
      <c r="U92" s="1660" t="s">
        <v>10934</v>
      </c>
      <c r="V92" s="1660" t="s">
        <v>10935</v>
      </c>
      <c r="W92" s="1660" t="s">
        <v>7119</v>
      </c>
      <c r="X92" s="1660" t="s">
        <v>10936</v>
      </c>
      <c r="Y92" s="1660" t="s">
        <v>2126</v>
      </c>
      <c r="Z92" s="1660" t="s">
        <v>10233</v>
      </c>
      <c r="AA92" s="1660" t="s">
        <v>10937</v>
      </c>
      <c r="AB92" s="1660" t="s">
        <v>10938</v>
      </c>
      <c r="AC92" s="1660" t="s">
        <v>7213</v>
      </c>
      <c r="AD92" s="1660" t="s">
        <v>6099</v>
      </c>
      <c r="AE92" s="1660" t="s">
        <v>2449</v>
      </c>
      <c r="AF92" s="1660" t="s">
        <v>10939</v>
      </c>
      <c r="AG92" s="1660" t="s">
        <v>10940</v>
      </c>
      <c r="AH92" s="1660" t="s">
        <v>5030</v>
      </c>
      <c r="AI92" s="1660" t="s">
        <v>7055</v>
      </c>
      <c r="AJ92" s="1660" t="s">
        <v>10941</v>
      </c>
      <c r="AK92" s="1660" t="s">
        <v>4855</v>
      </c>
      <c r="AL92" s="1660" t="s">
        <v>10942</v>
      </c>
      <c r="AM92" s="1660" t="s">
        <v>4865</v>
      </c>
      <c r="AN92" s="1660" t="s">
        <v>10943</v>
      </c>
      <c r="AO92" s="1660" t="s">
        <v>6630</v>
      </c>
      <c r="AP92" s="1660" t="s">
        <v>10944</v>
      </c>
      <c r="AQ92" s="1660" t="s">
        <v>10945</v>
      </c>
      <c r="AR92" s="1660" t="s">
        <v>5214</v>
      </c>
      <c r="AS92" s="1660" t="s">
        <v>9270</v>
      </c>
      <c r="AT92" s="1660" t="s">
        <v>10946</v>
      </c>
      <c r="AU92" s="1660" t="s">
        <v>10947</v>
      </c>
      <c r="AV92" s="1454" t="str">
        <f t="shared" si="1"/>
        <v>4:58</v>
      </c>
      <c r="AW92" s="1717"/>
    </row>
    <row r="93" ht="15.75" customHeight="1">
      <c r="A93" s="1661" t="s">
        <v>6622</v>
      </c>
      <c r="B93" s="1690" t="s">
        <v>9098</v>
      </c>
      <c r="C93" s="1671">
        <v>0.05386574074074074</v>
      </c>
      <c r="D93" s="336" t="s">
        <v>10948</v>
      </c>
      <c r="E93" s="336" t="s">
        <v>6842</v>
      </c>
      <c r="F93" s="336" t="s">
        <v>10949</v>
      </c>
      <c r="G93" s="336" t="s">
        <v>4296</v>
      </c>
      <c r="H93" s="336" t="s">
        <v>10950</v>
      </c>
      <c r="I93" s="336" t="s">
        <v>10889</v>
      </c>
      <c r="J93" s="336" t="s">
        <v>10951</v>
      </c>
      <c r="K93" s="336" t="s">
        <v>10952</v>
      </c>
      <c r="L93" s="336" t="s">
        <v>1433</v>
      </c>
      <c r="M93" s="336" t="s">
        <v>4567</v>
      </c>
      <c r="N93" s="336" t="s">
        <v>7018</v>
      </c>
      <c r="O93" s="336" t="s">
        <v>10953</v>
      </c>
      <c r="P93" s="336" t="s">
        <v>6341</v>
      </c>
      <c r="Q93" s="336" t="s">
        <v>10954</v>
      </c>
      <c r="R93" s="336" t="s">
        <v>9415</v>
      </c>
      <c r="S93" s="336" t="s">
        <v>10955</v>
      </c>
      <c r="T93" s="336" t="s">
        <v>7383</v>
      </c>
      <c r="U93" s="336" t="s">
        <v>10956</v>
      </c>
      <c r="V93" s="336" t="s">
        <v>10957</v>
      </c>
      <c r="W93" s="336" t="s">
        <v>10958</v>
      </c>
      <c r="X93" s="336" t="s">
        <v>1331</v>
      </c>
      <c r="Y93" s="336" t="s">
        <v>1952</v>
      </c>
      <c r="Z93" s="336" t="s">
        <v>9082</v>
      </c>
      <c r="AA93" s="980" t="s">
        <v>10959</v>
      </c>
      <c r="AB93" s="336" t="s">
        <v>10960</v>
      </c>
      <c r="AC93" s="336" t="s">
        <v>8099</v>
      </c>
      <c r="AD93" s="336" t="s">
        <v>10961</v>
      </c>
      <c r="AE93" s="336" t="s">
        <v>10962</v>
      </c>
      <c r="AF93" s="336" t="s">
        <v>10546</v>
      </c>
      <c r="AG93" s="336" t="s">
        <v>10963</v>
      </c>
      <c r="AH93" s="336" t="s">
        <v>10964</v>
      </c>
      <c r="AI93" s="336" t="s">
        <v>3654</v>
      </c>
      <c r="AJ93" s="336" t="s">
        <v>10965</v>
      </c>
      <c r="AK93" s="336" t="s">
        <v>10966</v>
      </c>
      <c r="AL93" s="336" t="s">
        <v>10967</v>
      </c>
      <c r="AM93" s="336" t="s">
        <v>10204</v>
      </c>
      <c r="AN93" s="336" t="s">
        <v>9734</v>
      </c>
      <c r="AO93" s="1660" t="s">
        <v>9905</v>
      </c>
      <c r="AP93" s="336" t="s">
        <v>10968</v>
      </c>
      <c r="AQ93" s="336" t="s">
        <v>10969</v>
      </c>
      <c r="AR93" s="336" t="s">
        <v>10970</v>
      </c>
      <c r="AS93" s="336" t="s">
        <v>9530</v>
      </c>
      <c r="AT93" s="336" t="s">
        <v>10971</v>
      </c>
      <c r="AU93" s="336" t="s">
        <v>10906</v>
      </c>
      <c r="AV93" s="1454" t="str">
        <f t="shared" si="1"/>
        <v>3:30</v>
      </c>
      <c r="AW93" s="1704"/>
    </row>
    <row r="94">
      <c r="A94" s="1596" t="s">
        <v>5373</v>
      </c>
      <c r="B94" s="1584" t="s">
        <v>9098</v>
      </c>
      <c r="C94" s="1536">
        <v>0.05482638888888889</v>
      </c>
      <c r="D94" s="1677" t="s">
        <v>10972</v>
      </c>
      <c r="E94" s="1660" t="s">
        <v>9816</v>
      </c>
      <c r="F94" s="1660" t="s">
        <v>10973</v>
      </c>
      <c r="G94" s="1660" t="s">
        <v>10974</v>
      </c>
      <c r="H94" s="1660" t="s">
        <v>10975</v>
      </c>
      <c r="I94" s="1660" t="s">
        <v>10976</v>
      </c>
      <c r="J94" s="1660" t="s">
        <v>10977</v>
      </c>
      <c r="K94" s="1660" t="s">
        <v>10237</v>
      </c>
      <c r="L94" s="1660" t="s">
        <v>10978</v>
      </c>
      <c r="M94" s="1660" t="s">
        <v>1760</v>
      </c>
      <c r="N94" s="1660" t="s">
        <v>6525</v>
      </c>
      <c r="O94" s="1660" t="s">
        <v>10979</v>
      </c>
      <c r="P94" s="1660" t="s">
        <v>6621</v>
      </c>
      <c r="Q94" s="1660" t="s">
        <v>10980</v>
      </c>
      <c r="R94" s="1660" t="s">
        <v>9528</v>
      </c>
      <c r="S94" s="1660" t="s">
        <v>10981</v>
      </c>
      <c r="T94" s="1660" t="s">
        <v>10895</v>
      </c>
      <c r="U94" s="1660" t="s">
        <v>10982</v>
      </c>
      <c r="V94" s="1660" t="s">
        <v>842</v>
      </c>
      <c r="W94" s="1660" t="s">
        <v>6468</v>
      </c>
      <c r="X94" s="1660" t="s">
        <v>10983</v>
      </c>
      <c r="Y94" s="1660" t="s">
        <v>1680</v>
      </c>
      <c r="Z94" s="1660" t="s">
        <v>10253</v>
      </c>
      <c r="AA94" s="1660" t="s">
        <v>2391</v>
      </c>
      <c r="AB94" s="1660" t="s">
        <v>6995</v>
      </c>
      <c r="AC94" s="1660" t="s">
        <v>10984</v>
      </c>
      <c r="AD94" s="1660" t="s">
        <v>10985</v>
      </c>
      <c r="AE94" s="1660" t="s">
        <v>1538</v>
      </c>
      <c r="AF94" s="1660" t="s">
        <v>10986</v>
      </c>
      <c r="AG94" s="1660" t="s">
        <v>10987</v>
      </c>
      <c r="AH94" s="1660" t="s">
        <v>10988</v>
      </c>
      <c r="AI94" s="1660" t="s">
        <v>5811</v>
      </c>
      <c r="AJ94" s="1660" t="s">
        <v>10989</v>
      </c>
      <c r="AK94" s="1660" t="s">
        <v>246</v>
      </c>
      <c r="AL94" s="1660" t="s">
        <v>8185</v>
      </c>
      <c r="AM94" s="1660" t="s">
        <v>4301</v>
      </c>
      <c r="AN94" s="1660" t="s">
        <v>10990</v>
      </c>
      <c r="AO94" s="1660" t="s">
        <v>1709</v>
      </c>
      <c r="AP94" s="1660" t="s">
        <v>885</v>
      </c>
      <c r="AQ94" s="1660" t="s">
        <v>10991</v>
      </c>
      <c r="AR94" s="1660" t="s">
        <v>10992</v>
      </c>
      <c r="AS94" s="1660" t="s">
        <v>2224</v>
      </c>
      <c r="AT94" s="1660" t="s">
        <v>10993</v>
      </c>
      <c r="AU94" s="1660" t="s">
        <v>10994</v>
      </c>
      <c r="AV94" s="1454" t="str">
        <f t="shared" si="1"/>
        <v>3:40</v>
      </c>
      <c r="AW94" s="1700" t="s">
        <v>10995</v>
      </c>
    </row>
    <row r="95">
      <c r="A95" s="1596" t="s">
        <v>5342</v>
      </c>
      <c r="B95" s="1584" t="s">
        <v>9045</v>
      </c>
      <c r="C95" s="1536">
        <v>0.05482638888888889</v>
      </c>
      <c r="D95" s="1573" t="s">
        <v>10996</v>
      </c>
      <c r="E95" s="1573" t="s">
        <v>9674</v>
      </c>
      <c r="F95" s="1573" t="s">
        <v>10997</v>
      </c>
      <c r="G95" s="1573" t="s">
        <v>10998</v>
      </c>
      <c r="H95" s="1573" t="s">
        <v>10999</v>
      </c>
      <c r="I95" s="1573">
        <v>50.26</v>
      </c>
      <c r="J95" s="1573" t="s">
        <v>10977</v>
      </c>
      <c r="K95" s="1573" t="s">
        <v>11000</v>
      </c>
      <c r="L95" s="1573" t="s">
        <v>11001</v>
      </c>
      <c r="M95" s="1573" t="s">
        <v>2253</v>
      </c>
      <c r="N95" s="1573" t="s">
        <v>11002</v>
      </c>
      <c r="O95" s="1573" t="s">
        <v>11003</v>
      </c>
      <c r="P95" s="1573">
        <v>49.15</v>
      </c>
      <c r="Q95" s="1573" t="s">
        <v>11004</v>
      </c>
      <c r="R95" s="1573" t="s">
        <v>3405</v>
      </c>
      <c r="S95" s="1573" t="s">
        <v>11005</v>
      </c>
      <c r="T95" s="1573" t="s">
        <v>5098</v>
      </c>
      <c r="U95" s="1573" t="s">
        <v>3264</v>
      </c>
      <c r="V95" s="1573" t="s">
        <v>11006</v>
      </c>
      <c r="W95" s="1573" t="s">
        <v>11007</v>
      </c>
      <c r="X95" s="1573" t="s">
        <v>11008</v>
      </c>
      <c r="Y95" s="1573">
        <v>51.87</v>
      </c>
      <c r="Z95" s="1573" t="s">
        <v>6340</v>
      </c>
      <c r="AA95" s="1573" t="s">
        <v>6596</v>
      </c>
      <c r="AB95" s="1573" t="s">
        <v>6572</v>
      </c>
      <c r="AC95" s="1573">
        <v>49.75</v>
      </c>
      <c r="AD95" s="1573" t="s">
        <v>11009</v>
      </c>
      <c r="AE95" s="1573">
        <v>50.16</v>
      </c>
      <c r="AF95" s="1573" t="s">
        <v>11010</v>
      </c>
      <c r="AG95" s="1573" t="s">
        <v>11011</v>
      </c>
      <c r="AH95" s="1573" t="s">
        <v>6430</v>
      </c>
      <c r="AI95" s="1573" t="s">
        <v>6827</v>
      </c>
      <c r="AJ95" s="1573" t="s">
        <v>11012</v>
      </c>
      <c r="AK95" s="1573" t="s">
        <v>10930</v>
      </c>
      <c r="AL95" s="1573">
        <v>59.29</v>
      </c>
      <c r="AM95" s="1573" t="s">
        <v>4470</v>
      </c>
      <c r="AN95" s="1573" t="s">
        <v>624</v>
      </c>
      <c r="AO95" s="1573" t="s">
        <v>11013</v>
      </c>
      <c r="AP95" s="1573" t="s">
        <v>11014</v>
      </c>
      <c r="AQ95" s="1573" t="s">
        <v>11015</v>
      </c>
      <c r="AR95" s="1573" t="s">
        <v>6867</v>
      </c>
      <c r="AS95" s="1573">
        <v>47.7</v>
      </c>
      <c r="AT95" s="1573" t="s">
        <v>11016</v>
      </c>
      <c r="AU95" s="1577" t="s">
        <v>11017</v>
      </c>
      <c r="AV95" s="1454" t="str">
        <f t="shared" si="1"/>
        <v>5:51</v>
      </c>
      <c r="AW95" s="1685" t="s">
        <v>11018</v>
      </c>
    </row>
    <row r="96">
      <c r="A96" s="1596" t="s">
        <v>5596</v>
      </c>
      <c r="B96" s="1594" t="s">
        <v>9045</v>
      </c>
      <c r="C96" s="1536">
        <v>0.05559027777777778</v>
      </c>
      <c r="D96" s="1677" t="s">
        <v>11019</v>
      </c>
      <c r="E96" s="1660" t="s">
        <v>11020</v>
      </c>
      <c r="F96" s="1660" t="s">
        <v>11021</v>
      </c>
      <c r="G96" s="1660" t="s">
        <v>11022</v>
      </c>
      <c r="H96" s="1660" t="s">
        <v>5975</v>
      </c>
      <c r="I96" s="1660" t="s">
        <v>1847</v>
      </c>
      <c r="J96" s="1660" t="s">
        <v>11023</v>
      </c>
      <c r="K96" s="1660" t="s">
        <v>6344</v>
      </c>
      <c r="L96" s="1660" t="s">
        <v>8868</v>
      </c>
      <c r="M96" s="1660" t="s">
        <v>6873</v>
      </c>
      <c r="N96" s="1660" t="s">
        <v>11024</v>
      </c>
      <c r="O96" s="1660" t="s">
        <v>11025</v>
      </c>
      <c r="P96" s="1660" t="s">
        <v>190</v>
      </c>
      <c r="Q96" s="1660" t="s">
        <v>1669</v>
      </c>
      <c r="R96" s="1660" t="s">
        <v>11026</v>
      </c>
      <c r="S96" s="1660" t="s">
        <v>5282</v>
      </c>
      <c r="T96" s="1660" t="s">
        <v>11027</v>
      </c>
      <c r="U96" s="1660" t="s">
        <v>11028</v>
      </c>
      <c r="V96" s="1660" t="s">
        <v>6619</v>
      </c>
      <c r="W96" s="1660" t="s">
        <v>9148</v>
      </c>
      <c r="X96" s="1660" t="s">
        <v>5032</v>
      </c>
      <c r="Y96" s="1660" t="s">
        <v>101</v>
      </c>
      <c r="Z96" s="1660" t="s">
        <v>11029</v>
      </c>
      <c r="AA96" s="1660" t="s">
        <v>10790</v>
      </c>
      <c r="AB96" s="1660" t="s">
        <v>3552</v>
      </c>
      <c r="AC96" s="1660" t="s">
        <v>4756</v>
      </c>
      <c r="AD96" s="1660" t="s">
        <v>6166</v>
      </c>
      <c r="AE96" s="1660" t="s">
        <v>860</v>
      </c>
      <c r="AF96" s="1660" t="s">
        <v>11030</v>
      </c>
      <c r="AG96" s="1660" t="s">
        <v>11031</v>
      </c>
      <c r="AH96" s="1660" t="s">
        <v>4096</v>
      </c>
      <c r="AI96" s="1660" t="s">
        <v>11032</v>
      </c>
      <c r="AJ96" s="1660" t="s">
        <v>11033</v>
      </c>
      <c r="AK96" s="1660" t="s">
        <v>4561</v>
      </c>
      <c r="AL96" s="1660" t="s">
        <v>571</v>
      </c>
      <c r="AM96" s="1660" t="s">
        <v>11034</v>
      </c>
      <c r="AN96" s="1660" t="s">
        <v>11035</v>
      </c>
      <c r="AO96" s="1660" t="s">
        <v>1035</v>
      </c>
      <c r="AP96" s="1660" t="s">
        <v>11036</v>
      </c>
      <c r="AQ96" s="1660" t="s">
        <v>11037</v>
      </c>
      <c r="AR96" s="1660" t="s">
        <v>11038</v>
      </c>
      <c r="AS96" s="1660" t="s">
        <v>830</v>
      </c>
      <c r="AT96" s="1660" t="s">
        <v>11039</v>
      </c>
      <c r="AU96" s="1660" t="s">
        <v>11040</v>
      </c>
      <c r="AV96" s="1454" t="str">
        <f t="shared" si="1"/>
        <v>5:05</v>
      </c>
      <c r="AW96" s="1700" t="s">
        <v>11041</v>
      </c>
    </row>
    <row r="97">
      <c r="A97" s="1596" t="s">
        <v>4954</v>
      </c>
      <c r="B97" s="1594" t="s">
        <v>9072</v>
      </c>
      <c r="C97" s="1626">
        <v>0.05565972222222222</v>
      </c>
      <c r="D97" s="1660" t="s">
        <v>11042</v>
      </c>
      <c r="E97" s="1660" t="s">
        <v>3213</v>
      </c>
      <c r="F97" s="1660" t="s">
        <v>8511</v>
      </c>
      <c r="G97" s="1660" t="s">
        <v>11043</v>
      </c>
      <c r="H97" s="980" t="s">
        <v>9585</v>
      </c>
      <c r="I97" s="1660" t="s">
        <v>3549</v>
      </c>
      <c r="J97" s="1660" t="s">
        <v>9808</v>
      </c>
      <c r="K97" s="1660" t="s">
        <v>806</v>
      </c>
      <c r="L97" s="1660" t="s">
        <v>11044</v>
      </c>
      <c r="M97" s="1660" t="s">
        <v>11045</v>
      </c>
      <c r="N97" s="1660" t="s">
        <v>6448</v>
      </c>
      <c r="O97" s="1660" t="s">
        <v>11046</v>
      </c>
      <c r="P97" s="1660" t="s">
        <v>10483</v>
      </c>
      <c r="Q97" s="1660" t="s">
        <v>11047</v>
      </c>
      <c r="R97" s="1660" t="s">
        <v>10255</v>
      </c>
      <c r="S97" s="1660" t="s">
        <v>418</v>
      </c>
      <c r="T97" s="1660" t="s">
        <v>11048</v>
      </c>
      <c r="U97" s="1660" t="s">
        <v>11049</v>
      </c>
      <c r="V97" s="1660" t="s">
        <v>11050</v>
      </c>
      <c r="W97" s="1660" t="s">
        <v>11051</v>
      </c>
      <c r="X97" s="1660" t="s">
        <v>11052</v>
      </c>
      <c r="Y97" s="1660" t="s">
        <v>2449</v>
      </c>
      <c r="Z97" s="1660" t="s">
        <v>5442</v>
      </c>
      <c r="AA97" s="1660" t="s">
        <v>10419</v>
      </c>
      <c r="AB97" s="1660" t="s">
        <v>10737</v>
      </c>
      <c r="AC97" s="1660" t="s">
        <v>10260</v>
      </c>
      <c r="AD97" s="1660" t="s">
        <v>11053</v>
      </c>
      <c r="AE97" s="1660" t="s">
        <v>5574</v>
      </c>
      <c r="AF97" s="1660" t="s">
        <v>11054</v>
      </c>
      <c r="AG97" s="1660" t="s">
        <v>11055</v>
      </c>
      <c r="AH97" s="1660" t="s">
        <v>11056</v>
      </c>
      <c r="AI97" s="1660" t="s">
        <v>11057</v>
      </c>
      <c r="AJ97" s="1660" t="s">
        <v>11058</v>
      </c>
      <c r="AK97" s="1660" t="s">
        <v>6785</v>
      </c>
      <c r="AL97" s="1660" t="s">
        <v>3762</v>
      </c>
      <c r="AM97" s="1660" t="s">
        <v>4865</v>
      </c>
      <c r="AN97" s="1660" t="s">
        <v>11059</v>
      </c>
      <c r="AO97" s="1660" t="s">
        <v>2059</v>
      </c>
      <c r="AP97" s="1660" t="s">
        <v>11060</v>
      </c>
      <c r="AQ97" s="1660" t="s">
        <v>11061</v>
      </c>
      <c r="AR97" s="1660" t="s">
        <v>11062</v>
      </c>
      <c r="AS97" s="1660" t="s">
        <v>2174</v>
      </c>
      <c r="AT97" s="1660" t="s">
        <v>11063</v>
      </c>
      <c r="AU97" s="1660" t="s">
        <v>11064</v>
      </c>
      <c r="AV97" s="1454" t="str">
        <f t="shared" si="1"/>
        <v>8:24</v>
      </c>
      <c r="AW97" s="1700" t="s">
        <v>10123</v>
      </c>
    </row>
    <row r="98">
      <c r="A98" s="954" t="s">
        <v>5777</v>
      </c>
      <c r="B98" s="1718" t="s">
        <v>11065</v>
      </c>
      <c r="C98" s="1719">
        <v>0.05614583333333333</v>
      </c>
      <c r="D98" s="980" t="s">
        <v>11066</v>
      </c>
      <c r="E98" s="1065" t="s">
        <v>10287</v>
      </c>
      <c r="F98" s="1065" t="s">
        <v>11067</v>
      </c>
      <c r="G98" s="1065" t="s">
        <v>11068</v>
      </c>
      <c r="H98" s="1720" t="s">
        <v>1363</v>
      </c>
      <c r="I98" s="1065" t="s">
        <v>9763</v>
      </c>
      <c r="J98" s="1065" t="s">
        <v>11069</v>
      </c>
      <c r="K98" s="1065" t="s">
        <v>11070</v>
      </c>
      <c r="L98" s="1065" t="s">
        <v>4723</v>
      </c>
      <c r="M98" s="1065" t="s">
        <v>7224</v>
      </c>
      <c r="N98" s="1065" t="s">
        <v>10313</v>
      </c>
      <c r="O98" s="1065" t="s">
        <v>11071</v>
      </c>
      <c r="P98" s="1065" t="s">
        <v>9197</v>
      </c>
      <c r="Q98" s="1065" t="s">
        <v>11072</v>
      </c>
      <c r="R98" s="1065" t="s">
        <v>4017</v>
      </c>
      <c r="S98" s="1065" t="s">
        <v>5447</v>
      </c>
      <c r="T98" s="1065" t="s">
        <v>1652</v>
      </c>
      <c r="U98" s="1065" t="s">
        <v>9334</v>
      </c>
      <c r="V98" s="1065" t="s">
        <v>2754</v>
      </c>
      <c r="W98" s="1065" t="s">
        <v>11073</v>
      </c>
      <c r="X98" s="1065" t="s">
        <v>11074</v>
      </c>
      <c r="Y98" s="1065" t="s">
        <v>11075</v>
      </c>
      <c r="Z98" s="1065" t="s">
        <v>11076</v>
      </c>
      <c r="AA98" s="1091" t="s">
        <v>2132</v>
      </c>
      <c r="AB98" s="1065" t="s">
        <v>10793</v>
      </c>
      <c r="AC98" s="1065" t="s">
        <v>786</v>
      </c>
      <c r="AD98" s="1065" t="s">
        <v>9279</v>
      </c>
      <c r="AE98" s="1065" t="s">
        <v>536</v>
      </c>
      <c r="AF98" s="1065" t="s">
        <v>11077</v>
      </c>
      <c r="AG98" s="1065" t="s">
        <v>11078</v>
      </c>
      <c r="AH98" s="1065" t="s">
        <v>9819</v>
      </c>
      <c r="AI98" s="1065" t="s">
        <v>11079</v>
      </c>
      <c r="AJ98" s="1065" t="s">
        <v>11080</v>
      </c>
      <c r="AK98" s="1065" t="s">
        <v>11081</v>
      </c>
      <c r="AL98" s="1065" t="s">
        <v>10581</v>
      </c>
      <c r="AM98" s="1065" t="s">
        <v>9856</v>
      </c>
      <c r="AN98" s="1065" t="s">
        <v>11082</v>
      </c>
      <c r="AO98" s="1065" t="s">
        <v>11083</v>
      </c>
      <c r="AP98" s="1065" t="s">
        <v>11084</v>
      </c>
      <c r="AQ98" s="1065" t="s">
        <v>2819</v>
      </c>
      <c r="AR98" s="1065" t="s">
        <v>10524</v>
      </c>
      <c r="AS98" s="1065" t="s">
        <v>11085</v>
      </c>
      <c r="AT98" s="1065" t="s">
        <v>11086</v>
      </c>
      <c r="AU98" s="1065" t="s">
        <v>11087</v>
      </c>
      <c r="AV98" s="1032" t="str">
        <f t="shared" si="1"/>
        <v>8:47</v>
      </c>
      <c r="AW98" s="1595" t="s">
        <v>11088</v>
      </c>
    </row>
    <row r="99">
      <c r="A99" s="1661" t="s">
        <v>11089</v>
      </c>
      <c r="B99" s="1629" t="s">
        <v>9072</v>
      </c>
      <c r="C99" s="1671">
        <v>0.057881944444444444</v>
      </c>
      <c r="D99" s="1660" t="s">
        <v>11090</v>
      </c>
      <c r="E99" s="336" t="s">
        <v>11091</v>
      </c>
      <c r="F99" s="1660" t="s">
        <v>11092</v>
      </c>
      <c r="G99" s="1660" t="s">
        <v>11093</v>
      </c>
      <c r="H99" s="336" t="s">
        <v>11094</v>
      </c>
      <c r="I99" s="336" t="s">
        <v>1024</v>
      </c>
      <c r="J99" s="336" t="s">
        <v>11095</v>
      </c>
      <c r="K99" s="336" t="s">
        <v>3716</v>
      </c>
      <c r="L99" s="336" t="s">
        <v>11096</v>
      </c>
      <c r="M99" s="336" t="s">
        <v>7837</v>
      </c>
      <c r="N99" s="336" t="s">
        <v>11097</v>
      </c>
      <c r="O99" s="336" t="s">
        <v>11098</v>
      </c>
      <c r="P99" s="336" t="s">
        <v>3817</v>
      </c>
      <c r="Q99" s="336" t="s">
        <v>11099</v>
      </c>
      <c r="R99" s="336" t="s">
        <v>11100</v>
      </c>
      <c r="S99" s="336" t="s">
        <v>11101</v>
      </c>
      <c r="T99" s="336" t="s">
        <v>1678</v>
      </c>
      <c r="U99" s="336" t="s">
        <v>11102</v>
      </c>
      <c r="V99" s="336" t="s">
        <v>11103</v>
      </c>
      <c r="W99" s="336" t="s">
        <v>11104</v>
      </c>
      <c r="X99" s="336" t="s">
        <v>11105</v>
      </c>
      <c r="Y99" s="336" t="s">
        <v>2980</v>
      </c>
      <c r="Z99" s="336" t="s">
        <v>11106</v>
      </c>
      <c r="AA99" s="1660" t="s">
        <v>11107</v>
      </c>
      <c r="AB99" s="336" t="s">
        <v>9617</v>
      </c>
      <c r="AC99" s="336" t="s">
        <v>3472</v>
      </c>
      <c r="AD99" s="336" t="s">
        <v>5402</v>
      </c>
      <c r="AE99" s="336" t="s">
        <v>2617</v>
      </c>
      <c r="AF99" s="336" t="s">
        <v>11108</v>
      </c>
      <c r="AG99" s="336" t="s">
        <v>5888</v>
      </c>
      <c r="AH99" s="336" t="s">
        <v>11109</v>
      </c>
      <c r="AI99" s="336" t="s">
        <v>4914</v>
      </c>
      <c r="AJ99" s="336" t="s">
        <v>11110</v>
      </c>
      <c r="AK99" s="336" t="s">
        <v>11111</v>
      </c>
      <c r="AL99" s="336" t="s">
        <v>4032</v>
      </c>
      <c r="AM99" s="336" t="s">
        <v>4922</v>
      </c>
      <c r="AN99" s="336" t="s">
        <v>11112</v>
      </c>
      <c r="AO99" s="336" t="s">
        <v>10484</v>
      </c>
      <c r="AP99" s="336" t="s">
        <v>11113</v>
      </c>
      <c r="AQ99" s="336" t="s">
        <v>6802</v>
      </c>
      <c r="AR99" s="336" t="s">
        <v>11114</v>
      </c>
      <c r="AS99" s="336" t="s">
        <v>619</v>
      </c>
      <c r="AT99" s="336" t="s">
        <v>11115</v>
      </c>
      <c r="AU99" s="336" t="s">
        <v>11116</v>
      </c>
      <c r="AV99" s="1454" t="str">
        <f t="shared" si="1"/>
        <v>2:11</v>
      </c>
      <c r="AW99" s="1704" t="s">
        <v>11117</v>
      </c>
    </row>
    <row r="100">
      <c r="A100" s="1632" t="s">
        <v>6542</v>
      </c>
      <c r="B100" s="1721" t="s">
        <v>11065</v>
      </c>
      <c r="C100" s="1722">
        <v>0.0609375</v>
      </c>
      <c r="D100" s="1723" t="s">
        <v>11118</v>
      </c>
      <c r="E100" s="1724" t="s">
        <v>3586</v>
      </c>
      <c r="F100" s="1724" t="s">
        <v>11119</v>
      </c>
      <c r="G100" s="1724" t="s">
        <v>11120</v>
      </c>
      <c r="H100" s="1723" t="s">
        <v>11121</v>
      </c>
      <c r="I100" s="1725" t="s">
        <v>9298</v>
      </c>
      <c r="J100" s="1726" t="s">
        <v>11122</v>
      </c>
      <c r="K100" s="1726" t="s">
        <v>1674</v>
      </c>
      <c r="L100" s="1726" t="s">
        <v>6921</v>
      </c>
      <c r="M100" s="1726" t="s">
        <v>11123</v>
      </c>
      <c r="N100" s="1726" t="s">
        <v>6910</v>
      </c>
      <c r="O100" s="1726" t="s">
        <v>11124</v>
      </c>
      <c r="P100" s="1726" t="s">
        <v>1648</v>
      </c>
      <c r="Q100" s="1727" t="s">
        <v>11125</v>
      </c>
      <c r="R100" s="1727" t="s">
        <v>11126</v>
      </c>
      <c r="S100" s="1727" t="s">
        <v>11127</v>
      </c>
      <c r="T100" s="1727" t="s">
        <v>11128</v>
      </c>
      <c r="U100" s="1727" t="s">
        <v>11129</v>
      </c>
      <c r="V100" s="1727" t="s">
        <v>11130</v>
      </c>
      <c r="W100" s="1728" t="s">
        <v>11131</v>
      </c>
      <c r="X100" s="1728" t="s">
        <v>11107</v>
      </c>
      <c r="Y100" s="1728" t="s">
        <v>10833</v>
      </c>
      <c r="Z100" s="1728" t="s">
        <v>7005</v>
      </c>
      <c r="AA100" s="1729" t="s">
        <v>11038</v>
      </c>
      <c r="AB100" s="1728" t="s">
        <v>11132</v>
      </c>
      <c r="AC100" s="1728" t="s">
        <v>9396</v>
      </c>
      <c r="AD100" s="1724" t="s">
        <v>11133</v>
      </c>
      <c r="AE100" s="1724" t="s">
        <v>1371</v>
      </c>
      <c r="AF100" s="1730" t="s">
        <v>11134</v>
      </c>
      <c r="AG100" s="1730" t="s">
        <v>11135</v>
      </c>
      <c r="AH100" s="1730" t="s">
        <v>11136</v>
      </c>
      <c r="AI100" s="1730" t="s">
        <v>6823</v>
      </c>
      <c r="AJ100" s="1730" t="s">
        <v>11137</v>
      </c>
      <c r="AK100" s="1730" t="s">
        <v>10564</v>
      </c>
      <c r="AL100" s="1730" t="s">
        <v>1821</v>
      </c>
      <c r="AM100" s="1731" t="s">
        <v>8880</v>
      </c>
      <c r="AN100" s="1731" t="s">
        <v>11138</v>
      </c>
      <c r="AO100" s="1731" t="s">
        <v>4491</v>
      </c>
      <c r="AP100" s="1731" t="s">
        <v>11139</v>
      </c>
      <c r="AQ100" s="1731" t="s">
        <v>6445</v>
      </c>
      <c r="AR100" s="1731" t="s">
        <v>11140</v>
      </c>
      <c r="AS100" s="1731" t="s">
        <v>9819</v>
      </c>
      <c r="AT100" s="1726" t="s">
        <v>11141</v>
      </c>
      <c r="AU100" s="1732" t="s">
        <v>11142</v>
      </c>
      <c r="AV100" s="1454" t="str">
        <f t="shared" si="1"/>
        <v>7:58</v>
      </c>
      <c r="AW100" s="1587" t="s">
        <v>11143</v>
      </c>
    </row>
    <row r="101" ht="15.75" customHeight="1">
      <c r="A101" s="1596" t="s">
        <v>6415</v>
      </c>
      <c r="B101" s="1629" t="s">
        <v>9072</v>
      </c>
      <c r="C101" s="1536">
        <v>0.06635416666666667</v>
      </c>
      <c r="D101" s="980" t="s">
        <v>11144</v>
      </c>
      <c r="E101" s="980" t="s">
        <v>8924</v>
      </c>
      <c r="F101" s="980" t="s">
        <v>11145</v>
      </c>
      <c r="G101" s="980" t="s">
        <v>11146</v>
      </c>
      <c r="H101" s="980" t="s">
        <v>11147</v>
      </c>
      <c r="I101" s="980" t="s">
        <v>3481</v>
      </c>
      <c r="J101" s="980" t="s">
        <v>11148</v>
      </c>
      <c r="K101" s="980" t="s">
        <v>4002</v>
      </c>
      <c r="L101" s="980" t="s">
        <v>6874</v>
      </c>
      <c r="M101" s="980" t="s">
        <v>936</v>
      </c>
      <c r="N101" s="980" t="s">
        <v>11149</v>
      </c>
      <c r="O101" s="980" t="s">
        <v>11150</v>
      </c>
      <c r="P101" s="980" t="s">
        <v>11151</v>
      </c>
      <c r="Q101" s="980" t="s">
        <v>11152</v>
      </c>
      <c r="R101" s="980" t="s">
        <v>4577</v>
      </c>
      <c r="S101" s="980" t="s">
        <v>11153</v>
      </c>
      <c r="T101" s="980" t="s">
        <v>6468</v>
      </c>
      <c r="U101" s="980" t="s">
        <v>11154</v>
      </c>
      <c r="V101" s="980" t="s">
        <v>7476</v>
      </c>
      <c r="W101" s="980" t="s">
        <v>11155</v>
      </c>
      <c r="X101" s="980" t="s">
        <v>11156</v>
      </c>
      <c r="Y101" s="980" t="s">
        <v>758</v>
      </c>
      <c r="Z101" s="980" t="s">
        <v>11157</v>
      </c>
      <c r="AA101" s="336"/>
      <c r="AB101" s="980" t="s">
        <v>11158</v>
      </c>
      <c r="AC101" s="980" t="s">
        <v>177</v>
      </c>
      <c r="AD101" s="980" t="s">
        <v>11159</v>
      </c>
      <c r="AE101" s="980" t="s">
        <v>11160</v>
      </c>
      <c r="AF101" s="980" t="s">
        <v>11161</v>
      </c>
      <c r="AG101" s="980" t="s">
        <v>11162</v>
      </c>
      <c r="AH101" s="980" t="s">
        <v>11163</v>
      </c>
      <c r="AI101" s="980" t="s">
        <v>11164</v>
      </c>
      <c r="AJ101" s="980" t="s">
        <v>11165</v>
      </c>
      <c r="AK101" s="980" t="s">
        <v>11166</v>
      </c>
      <c r="AL101" s="980" t="s">
        <v>11167</v>
      </c>
      <c r="AM101" s="980" t="s">
        <v>11168</v>
      </c>
      <c r="AN101" s="980" t="s">
        <v>9679</v>
      </c>
      <c r="AO101" s="980" t="s">
        <v>2331</v>
      </c>
      <c r="AP101" s="980" t="s">
        <v>11169</v>
      </c>
      <c r="AQ101" s="980" t="s">
        <v>132</v>
      </c>
      <c r="AR101" s="980" t="s">
        <v>11170</v>
      </c>
      <c r="AS101" s="980" t="s">
        <v>4084</v>
      </c>
      <c r="AT101" s="980" t="s">
        <v>11171</v>
      </c>
      <c r="AU101" s="1389" t="s">
        <v>11172</v>
      </c>
      <c r="AV101" s="1454" t="str">
        <f t="shared" si="1"/>
        <v>9:53</v>
      </c>
      <c r="AW101" s="1685" t="s">
        <v>11173</v>
      </c>
    </row>
    <row r="102">
      <c r="A102" s="1596" t="s">
        <v>7019</v>
      </c>
      <c r="B102" s="1594" t="s">
        <v>9072</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9578</v>
      </c>
      <c r="X102" s="1573"/>
      <c r="Y102" s="1573"/>
      <c r="Z102" s="1573"/>
      <c r="AA102" s="1573"/>
      <c r="AB102" s="1580" t="s">
        <v>2988</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4657</v>
      </c>
      <c r="B103" s="1584" t="s">
        <v>9072</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9088</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9007</v>
      </c>
      <c r="C1" s="1467" t="s">
        <v>9008</v>
      </c>
      <c r="D1" s="1741" t="s">
        <v>11174</v>
      </c>
      <c r="E1" s="1742" t="s">
        <v>7752</v>
      </c>
      <c r="F1" s="1743" t="s">
        <v>8066</v>
      </c>
      <c r="G1" s="1744" t="s">
        <v>38</v>
      </c>
      <c r="H1" s="1745" t="s">
        <v>36</v>
      </c>
      <c r="I1" s="1741" t="s">
        <v>11175</v>
      </c>
      <c r="J1" s="1746" t="s">
        <v>39</v>
      </c>
      <c r="K1" s="1747" t="s">
        <v>7999</v>
      </c>
      <c r="L1" s="1475" t="s">
        <v>9040</v>
      </c>
      <c r="M1" s="1476" t="s">
        <v>9041</v>
      </c>
      <c r="N1" s="1748" t="s">
        <v>9042</v>
      </c>
      <c r="O1" s="1749" t="s">
        <v>9043</v>
      </c>
    </row>
    <row r="2" ht="15.75" customHeight="1">
      <c r="A2" s="1750" t="s">
        <v>9044</v>
      </c>
      <c r="B2" s="1751" t="s">
        <v>9045</v>
      </c>
      <c r="C2" s="1752">
        <v>0.0496875</v>
      </c>
      <c r="D2" s="1753" t="s">
        <v>11176</v>
      </c>
      <c r="E2" s="1754" t="s">
        <v>11177</v>
      </c>
      <c r="F2" s="1755" t="s">
        <v>11178</v>
      </c>
      <c r="G2" s="1756" t="s">
        <v>11179</v>
      </c>
      <c r="H2" s="1757" t="s">
        <v>11180</v>
      </c>
      <c r="I2" s="1758" t="s">
        <v>11181</v>
      </c>
      <c r="J2" s="1759" t="s">
        <v>11182</v>
      </c>
      <c r="K2" s="1760" t="s">
        <v>11183</v>
      </c>
      <c r="L2" s="1761" t="s">
        <v>9069</v>
      </c>
      <c r="M2" s="1752">
        <v>0.05042824074074074</v>
      </c>
      <c r="N2" s="1762" t="str">
        <f t="shared" ref="N2:N41" si="1">TEXT(M2-C2, "m:ss")</f>
        <v>1:04</v>
      </c>
      <c r="O2" s="1763"/>
    </row>
    <row r="3" ht="15.75" customHeight="1">
      <c r="A3" s="1764" t="s">
        <v>9071</v>
      </c>
      <c r="B3" s="1765" t="s">
        <v>9072</v>
      </c>
      <c r="C3" s="1766">
        <v>0.051458333333333335</v>
      </c>
      <c r="D3" s="1505" t="s">
        <v>11184</v>
      </c>
      <c r="E3" s="1506" t="s">
        <v>11185</v>
      </c>
      <c r="F3" s="1507" t="s">
        <v>11186</v>
      </c>
      <c r="G3" s="1508" t="s">
        <v>11187</v>
      </c>
      <c r="H3" s="1510" t="s">
        <v>11188</v>
      </c>
      <c r="I3" s="1505" t="s">
        <v>11189</v>
      </c>
      <c r="J3" s="1512" t="s">
        <v>11190</v>
      </c>
      <c r="K3" s="1515" t="s">
        <v>11191</v>
      </c>
      <c r="L3" s="1507" t="s">
        <v>5074</v>
      </c>
      <c r="M3" s="1766">
        <v>0.05236111111111111</v>
      </c>
      <c r="N3" s="1767" t="str">
        <f t="shared" si="1"/>
        <v>1:18</v>
      </c>
      <c r="O3" s="1768"/>
    </row>
    <row r="4" ht="15.75" customHeight="1">
      <c r="A4" s="1769" t="s">
        <v>9097</v>
      </c>
      <c r="B4" s="1770" t="s">
        <v>9098</v>
      </c>
      <c r="C4" s="1771">
        <f>C26</f>
        <v>0.05158564815</v>
      </c>
      <c r="D4" s="1772" t="s">
        <v>11192</v>
      </c>
      <c r="E4" s="1773" t="s">
        <v>11193</v>
      </c>
      <c r="F4" s="1774" t="s">
        <v>11194</v>
      </c>
      <c r="G4" s="1775" t="s">
        <v>11195</v>
      </c>
      <c r="H4" s="1776" t="s">
        <v>11196</v>
      </c>
      <c r="I4" s="1772" t="s">
        <v>11197</v>
      </c>
      <c r="J4" s="1777" t="s">
        <v>11198</v>
      </c>
      <c r="K4" s="1778" t="s">
        <v>11199</v>
      </c>
      <c r="L4" s="1779" t="s">
        <v>9126</v>
      </c>
      <c r="M4" s="1780">
        <f>M26</f>
        <v>0.0521412037</v>
      </c>
      <c r="N4" s="1780" t="str">
        <f t="shared" si="1"/>
        <v>0:48</v>
      </c>
      <c r="O4" s="1763"/>
    </row>
    <row r="5" ht="15.75" customHeight="1">
      <c r="A5" s="954" t="s">
        <v>1058</v>
      </c>
      <c r="B5" s="1686" t="s">
        <v>9045</v>
      </c>
      <c r="C5" s="1781">
        <v>0.04980324074074074</v>
      </c>
      <c r="D5" s="1782" t="s">
        <v>11176</v>
      </c>
      <c r="E5" s="1574" t="s">
        <v>11200</v>
      </c>
      <c r="F5" s="1782" t="s">
        <v>11178</v>
      </c>
      <c r="G5" s="1782" t="s">
        <v>11179</v>
      </c>
      <c r="H5" s="1782" t="s">
        <v>11180</v>
      </c>
      <c r="I5" s="1782" t="s">
        <v>11181</v>
      </c>
      <c r="J5" s="1783" t="s">
        <v>11201</v>
      </c>
      <c r="K5" s="1784" t="s">
        <v>11202</v>
      </c>
      <c r="L5" s="1538" t="s">
        <v>11203</v>
      </c>
      <c r="M5" s="1785">
        <v>0.05032407407407408</v>
      </c>
      <c r="N5" s="1786" t="str">
        <f t="shared" si="1"/>
        <v>0:45</v>
      </c>
      <c r="O5" s="1625" t="s">
        <v>11204</v>
      </c>
    </row>
    <row r="6">
      <c r="A6" s="1787" t="s">
        <v>2545</v>
      </c>
      <c r="B6" s="1788" t="s">
        <v>9045</v>
      </c>
      <c r="C6" s="1789">
        <v>0.049953125</v>
      </c>
      <c r="D6" s="1790" t="s">
        <v>11205</v>
      </c>
      <c r="E6" s="1791" t="s">
        <v>11206</v>
      </c>
      <c r="F6" s="1783" t="s">
        <v>11207</v>
      </c>
      <c r="G6" s="1783" t="s">
        <v>11208</v>
      </c>
      <c r="H6" s="1571" t="s">
        <v>11209</v>
      </c>
      <c r="I6" s="1783" t="s">
        <v>8581</v>
      </c>
      <c r="J6" s="1783" t="s">
        <v>11210</v>
      </c>
      <c r="K6" s="1792" t="s">
        <v>11183</v>
      </c>
      <c r="L6" s="1783" t="s">
        <v>9161</v>
      </c>
      <c r="M6" s="1793">
        <v>0.05068287037037037</v>
      </c>
      <c r="N6" s="1793" t="str">
        <f t="shared" si="1"/>
        <v>1:03</v>
      </c>
      <c r="O6" s="1625"/>
    </row>
    <row r="7" ht="15.75" customHeight="1">
      <c r="A7" s="1733" t="s">
        <v>1810</v>
      </c>
      <c r="B7" s="1535" t="s">
        <v>9045</v>
      </c>
      <c r="C7" s="1794">
        <v>0.0499537037037037</v>
      </c>
      <c r="D7" s="1571" t="s">
        <v>11211</v>
      </c>
      <c r="E7" s="1571" t="s">
        <v>11212</v>
      </c>
      <c r="F7" s="1571" t="s">
        <v>11213</v>
      </c>
      <c r="G7" s="1571" t="s">
        <v>11214</v>
      </c>
      <c r="H7" s="1571" t="s">
        <v>11215</v>
      </c>
      <c r="I7" s="1571" t="s">
        <v>11216</v>
      </c>
      <c r="J7" s="1571" t="s">
        <v>11217</v>
      </c>
      <c r="K7" s="1795" t="s">
        <v>11218</v>
      </c>
      <c r="L7" s="1539" t="s">
        <v>9069</v>
      </c>
      <c r="M7" s="1793">
        <v>0.05056712962962963</v>
      </c>
      <c r="N7" s="1796" t="str">
        <f t="shared" si="1"/>
        <v>0:53</v>
      </c>
      <c r="O7" s="1625" t="s">
        <v>11219</v>
      </c>
    </row>
    <row r="8" ht="15.75" customHeight="1">
      <c r="A8" s="1797" t="s">
        <v>435</v>
      </c>
      <c r="B8" s="1535" t="s">
        <v>9045</v>
      </c>
      <c r="C8" s="1789">
        <v>0.04998842592592593</v>
      </c>
      <c r="D8" s="1571" t="s">
        <v>11220</v>
      </c>
      <c r="E8" s="1798" t="s">
        <v>11177</v>
      </c>
      <c r="F8" s="1571" t="s">
        <v>11221</v>
      </c>
      <c r="G8" s="1571" t="s">
        <v>11222</v>
      </c>
      <c r="H8" s="1571" t="s">
        <v>11223</v>
      </c>
      <c r="I8" s="1571" t="s">
        <v>11224</v>
      </c>
      <c r="J8" s="1799" t="s">
        <v>11182</v>
      </c>
      <c r="K8" s="1571" t="s">
        <v>11225</v>
      </c>
      <c r="L8" s="1571" t="s">
        <v>9182</v>
      </c>
      <c r="M8" s="1793">
        <v>0.0508912037037037</v>
      </c>
      <c r="N8" s="1796" t="str">
        <f t="shared" si="1"/>
        <v>1:18</v>
      </c>
      <c r="O8" s="1625" t="s">
        <v>11219</v>
      </c>
    </row>
    <row r="9" ht="15.75" customHeight="1">
      <c r="A9" s="1797" t="s">
        <v>6613</v>
      </c>
      <c r="B9" s="1597" t="s">
        <v>9045</v>
      </c>
      <c r="C9" s="1794">
        <v>0.05025462962962963</v>
      </c>
      <c r="D9" s="1053" t="s">
        <v>11226</v>
      </c>
      <c r="E9" s="1572" t="s">
        <v>11227</v>
      </c>
      <c r="F9" s="1571" t="s">
        <v>11228</v>
      </c>
      <c r="G9" s="1571" t="s">
        <v>11229</v>
      </c>
      <c r="H9" s="1571" t="s">
        <v>11230</v>
      </c>
      <c r="I9" s="1571" t="s">
        <v>10954</v>
      </c>
      <c r="J9" s="1571" t="s">
        <v>11231</v>
      </c>
      <c r="K9" s="1571" t="s">
        <v>11232</v>
      </c>
      <c r="L9" s="1571" t="s">
        <v>9292</v>
      </c>
      <c r="M9" s="1793">
        <v>0.0506712962962963</v>
      </c>
      <c r="N9" s="1796" t="str">
        <f t="shared" si="1"/>
        <v>0:36</v>
      </c>
      <c r="O9" s="1625"/>
    </row>
    <row r="10" ht="15.75" customHeight="1">
      <c r="A10" s="1733" t="s">
        <v>6728</v>
      </c>
      <c r="B10" s="1535" t="s">
        <v>9045</v>
      </c>
      <c r="C10" s="1794">
        <v>0.050416666666666665</v>
      </c>
      <c r="D10" s="1571" t="s">
        <v>11233</v>
      </c>
      <c r="E10" s="1572" t="s">
        <v>11234</v>
      </c>
      <c r="F10" s="1574" t="s">
        <v>11235</v>
      </c>
      <c r="G10" s="1574" t="s">
        <v>11236</v>
      </c>
      <c r="H10" s="1571" t="s">
        <v>11237</v>
      </c>
      <c r="I10" s="1571" t="s">
        <v>11238</v>
      </c>
      <c r="J10" s="1571" t="s">
        <v>11239</v>
      </c>
      <c r="K10" s="1571" t="s">
        <v>11240</v>
      </c>
      <c r="L10" s="1574" t="s">
        <v>11241</v>
      </c>
      <c r="M10" s="1793">
        <v>0.0512037037037037</v>
      </c>
      <c r="N10" s="1796" t="str">
        <f t="shared" si="1"/>
        <v>1:08</v>
      </c>
      <c r="O10" s="1625" t="s">
        <v>11219</v>
      </c>
    </row>
    <row r="11">
      <c r="A11" s="1800" t="s">
        <v>827</v>
      </c>
      <c r="B11" s="1801" t="s">
        <v>9045</v>
      </c>
      <c r="C11" s="1794">
        <v>0.05047453703703704</v>
      </c>
      <c r="D11" s="1065" t="s">
        <v>11242</v>
      </c>
      <c r="E11" s="1572" t="s">
        <v>11243</v>
      </c>
      <c r="F11" s="1783" t="s">
        <v>11244</v>
      </c>
      <c r="G11" s="1783" t="s">
        <v>11245</v>
      </c>
      <c r="H11" s="1783" t="s">
        <v>11246</v>
      </c>
      <c r="I11" s="1571" t="s">
        <v>11247</v>
      </c>
      <c r="J11" s="1571" t="s">
        <v>11248</v>
      </c>
      <c r="K11" s="1783" t="s">
        <v>11249</v>
      </c>
      <c r="L11" s="1571" t="s">
        <v>3676</v>
      </c>
      <c r="M11" s="1793">
        <v>0.051076388888888886</v>
      </c>
      <c r="N11" s="1796" t="str">
        <f t="shared" si="1"/>
        <v>0:52</v>
      </c>
      <c r="O11" s="1625" t="s">
        <v>11250</v>
      </c>
    </row>
    <row r="12">
      <c r="A12" s="1632" t="s">
        <v>1880</v>
      </c>
      <c r="B12" s="1801" t="s">
        <v>9045</v>
      </c>
      <c r="C12" s="1789">
        <v>0.05059429398148148</v>
      </c>
      <c r="D12" s="1053" t="s">
        <v>11251</v>
      </c>
      <c r="E12" s="1572" t="s">
        <v>11252</v>
      </c>
      <c r="F12" s="1571" t="s">
        <v>11253</v>
      </c>
      <c r="G12" s="1571" t="s">
        <v>11254</v>
      </c>
      <c r="H12" s="1571" t="s">
        <v>11255</v>
      </c>
      <c r="I12" s="1571" t="s">
        <v>11256</v>
      </c>
      <c r="J12" s="1571" t="s">
        <v>11257</v>
      </c>
      <c r="K12" s="1571" t="s">
        <v>11258</v>
      </c>
      <c r="L12" s="1571" t="s">
        <v>11259</v>
      </c>
      <c r="M12" s="1793">
        <v>0.051319444444444445</v>
      </c>
      <c r="N12" s="1796" t="str">
        <f t="shared" si="1"/>
        <v>1:03</v>
      </c>
      <c r="O12" s="1625"/>
    </row>
    <row r="13" ht="15.75" customHeight="1">
      <c r="A13" s="954" t="s">
        <v>1550</v>
      </c>
      <c r="B13" s="1802" t="s">
        <v>9045</v>
      </c>
      <c r="C13" s="1794">
        <v>0.05061342592592592</v>
      </c>
      <c r="D13" s="1803" t="s">
        <v>11260</v>
      </c>
      <c r="E13" s="1572" t="s">
        <v>11261</v>
      </c>
      <c r="F13" s="1804" t="s">
        <v>11262</v>
      </c>
      <c r="G13" s="1571" t="s">
        <v>11263</v>
      </c>
      <c r="H13" s="1804" t="s">
        <v>11264</v>
      </c>
      <c r="I13" s="1804" t="s">
        <v>11265</v>
      </c>
      <c r="J13" s="1571" t="s">
        <v>11266</v>
      </c>
      <c r="K13" s="1571" t="s">
        <v>11267</v>
      </c>
      <c r="L13" s="1571" t="s">
        <v>3559</v>
      </c>
      <c r="M13" s="1793">
        <v>0.05122685185185185</v>
      </c>
      <c r="N13" s="1796" t="str">
        <f t="shared" si="1"/>
        <v>0:53</v>
      </c>
      <c r="O13" s="1625" t="s">
        <v>11268</v>
      </c>
    </row>
    <row r="14" ht="15.75" customHeight="1">
      <c r="A14" s="1737" t="s">
        <v>2089</v>
      </c>
      <c r="B14" s="1535" t="s">
        <v>9045</v>
      </c>
      <c r="C14" s="1789">
        <v>0.05061342592592592</v>
      </c>
      <c r="D14" s="1065" t="s">
        <v>11269</v>
      </c>
      <c r="E14" s="1805" t="s">
        <v>11270</v>
      </c>
      <c r="F14" s="1571" t="s">
        <v>11271</v>
      </c>
      <c r="G14" s="1571" t="s">
        <v>11272</v>
      </c>
      <c r="H14" s="1571" t="s">
        <v>11273</v>
      </c>
      <c r="I14" s="1571" t="s">
        <v>11274</v>
      </c>
      <c r="J14" s="1571" t="s">
        <v>11275</v>
      </c>
      <c r="K14" s="1571" t="s">
        <v>11276</v>
      </c>
      <c r="L14" s="1571" t="s">
        <v>6591</v>
      </c>
      <c r="M14" s="1793">
        <v>0.05153935185185185</v>
      </c>
      <c r="N14" s="1796" t="str">
        <f t="shared" si="1"/>
        <v>1:20</v>
      </c>
      <c r="O14" s="1625" t="s">
        <v>11219</v>
      </c>
    </row>
    <row r="15" ht="15.75" customHeight="1">
      <c r="A15" s="1797" t="s">
        <v>330</v>
      </c>
      <c r="B15" s="1535" t="s">
        <v>9045</v>
      </c>
      <c r="C15" s="1789">
        <v>0.05068287037037037</v>
      </c>
      <c r="D15" s="1571" t="s">
        <v>11277</v>
      </c>
      <c r="E15" s="1805" t="s">
        <v>11278</v>
      </c>
      <c r="F15" s="1571" t="s">
        <v>11279</v>
      </c>
      <c r="G15" s="1571" t="s">
        <v>11280</v>
      </c>
      <c r="H15" s="1571" t="s">
        <v>11281</v>
      </c>
      <c r="I15" s="1571" t="s">
        <v>6535</v>
      </c>
      <c r="J15" s="1571" t="s">
        <v>11282</v>
      </c>
      <c r="K15" s="1571" t="s">
        <v>11283</v>
      </c>
      <c r="L15" s="1571" t="s">
        <v>9271</v>
      </c>
      <c r="M15" s="1793">
        <v>0.05164351851851852</v>
      </c>
      <c r="N15" s="1796" t="str">
        <f t="shared" si="1"/>
        <v>1:23</v>
      </c>
      <c r="O15" s="1625" t="s">
        <v>11219</v>
      </c>
    </row>
    <row r="16" ht="15.75" customHeight="1">
      <c r="A16" s="1632" t="s">
        <v>2650</v>
      </c>
      <c r="B16" s="1686" t="s">
        <v>9072</v>
      </c>
      <c r="C16" s="1806">
        <v>0.050729166666666665</v>
      </c>
      <c r="D16" s="1053" t="s">
        <v>11284</v>
      </c>
      <c r="E16" s="1784" t="s">
        <v>11285</v>
      </c>
      <c r="F16" s="1807" t="s">
        <v>11286</v>
      </c>
      <c r="G16" s="1807" t="s">
        <v>11287</v>
      </c>
      <c r="H16" s="1807" t="s">
        <v>11288</v>
      </c>
      <c r="I16" s="1807" t="s">
        <v>11289</v>
      </c>
      <c r="J16" s="1807" t="s">
        <v>11290</v>
      </c>
      <c r="K16" s="1807" t="s">
        <v>11291</v>
      </c>
      <c r="L16" s="1272" t="s">
        <v>9429</v>
      </c>
      <c r="M16" s="1793">
        <v>0.05143506944444444</v>
      </c>
      <c r="N16" s="1808" t="str">
        <f t="shared" si="1"/>
        <v>1:01</v>
      </c>
      <c r="O16" s="1625"/>
    </row>
    <row r="17" ht="15.75" customHeight="1">
      <c r="A17" s="1632" t="s">
        <v>2154</v>
      </c>
      <c r="B17" s="1686" t="s">
        <v>9072</v>
      </c>
      <c r="C17" s="1794">
        <v>0.05085648148148148</v>
      </c>
      <c r="D17" s="1053" t="s">
        <v>11292</v>
      </c>
      <c r="E17" s="1809" t="s">
        <v>11293</v>
      </c>
      <c r="F17" s="1810" t="s">
        <v>11186</v>
      </c>
      <c r="G17" s="1810" t="s">
        <v>11294</v>
      </c>
      <c r="H17" s="1810" t="s">
        <v>11295</v>
      </c>
      <c r="I17" s="1810" t="s">
        <v>11189</v>
      </c>
      <c r="J17" s="1810" t="s">
        <v>11296</v>
      </c>
      <c r="K17" s="1810" t="s">
        <v>11297</v>
      </c>
      <c r="L17" s="1811" t="s">
        <v>5074</v>
      </c>
      <c r="M17" s="1793">
        <v>0.05233796296296296</v>
      </c>
      <c r="N17" s="1796" t="str">
        <f t="shared" si="1"/>
        <v>2:08</v>
      </c>
      <c r="O17" s="1625" t="s">
        <v>11219</v>
      </c>
    </row>
    <row r="18" ht="15.75" customHeight="1">
      <c r="A18" s="1812" t="s">
        <v>2773</v>
      </c>
      <c r="B18" s="1535" t="s">
        <v>9045</v>
      </c>
      <c r="C18" s="1813">
        <v>0.05103009259259259</v>
      </c>
      <c r="D18" s="1571" t="s">
        <v>11298</v>
      </c>
      <c r="E18" s="1805" t="s">
        <v>10766</v>
      </c>
      <c r="F18" s="1571" t="s">
        <v>11299</v>
      </c>
      <c r="G18" s="1571" t="s">
        <v>11300</v>
      </c>
      <c r="H18" s="1783" t="s">
        <v>11301</v>
      </c>
      <c r="I18" s="1571" t="s">
        <v>8681</v>
      </c>
      <c r="J18" s="1571" t="s">
        <v>11302</v>
      </c>
      <c r="K18" s="1571" t="s">
        <v>11303</v>
      </c>
      <c r="L18" s="1571" t="s">
        <v>11304</v>
      </c>
      <c r="M18" s="1793">
        <v>0.051909722222222225</v>
      </c>
      <c r="N18" s="1796" t="str">
        <f t="shared" si="1"/>
        <v>1:16</v>
      </c>
      <c r="O18" s="1625" t="s">
        <v>11219</v>
      </c>
    </row>
    <row r="19" ht="15.75" customHeight="1">
      <c r="A19" s="1632" t="s">
        <v>2265</v>
      </c>
      <c r="B19" s="1597" t="s">
        <v>9045</v>
      </c>
      <c r="C19" s="1789">
        <v>0.051145833333333335</v>
      </c>
      <c r="D19" s="1065" t="s">
        <v>11305</v>
      </c>
      <c r="E19" s="1572" t="s">
        <v>11306</v>
      </c>
      <c r="F19" s="1571" t="s">
        <v>11307</v>
      </c>
      <c r="G19" s="1571" t="s">
        <v>11308</v>
      </c>
      <c r="H19" s="1571" t="s">
        <v>11309</v>
      </c>
      <c r="I19" s="1571" t="s">
        <v>11310</v>
      </c>
      <c r="J19" s="1571" t="s">
        <v>11311</v>
      </c>
      <c r="K19" s="1571" t="s">
        <v>11312</v>
      </c>
      <c r="L19" s="1571" t="s">
        <v>3124</v>
      </c>
      <c r="M19" s="1793">
        <v>0.05228009259259259</v>
      </c>
      <c r="N19" s="1796" t="str">
        <f t="shared" si="1"/>
        <v>1:38</v>
      </c>
      <c r="O19" s="1625" t="s">
        <v>11313</v>
      </c>
    </row>
    <row r="20" ht="15.75" customHeight="1">
      <c r="A20" s="1797" t="s">
        <v>1413</v>
      </c>
      <c r="B20" s="1535" t="s">
        <v>9045</v>
      </c>
      <c r="C20" s="1789">
        <v>0.05122685185185185</v>
      </c>
      <c r="D20" s="1571" t="s">
        <v>11314</v>
      </c>
      <c r="E20" s="1805" t="s">
        <v>9102</v>
      </c>
      <c r="F20" s="1571" t="s">
        <v>11315</v>
      </c>
      <c r="G20" s="1571" t="s">
        <v>11316</v>
      </c>
      <c r="H20" s="1571" t="s">
        <v>11317</v>
      </c>
      <c r="I20" s="1571" t="s">
        <v>11318</v>
      </c>
      <c r="J20" s="1571" t="s">
        <v>11319</v>
      </c>
      <c r="K20" s="1571" t="s">
        <v>11320</v>
      </c>
      <c r="L20" s="1571" t="s">
        <v>11321</v>
      </c>
      <c r="M20" s="1793">
        <v>0.052037037037037034</v>
      </c>
      <c r="N20" s="1796" t="str">
        <f t="shared" si="1"/>
        <v>1:10</v>
      </c>
      <c r="O20" s="1625" t="s">
        <v>11219</v>
      </c>
    </row>
    <row r="21" ht="15.75" customHeight="1">
      <c r="A21" s="1632" t="s">
        <v>1632</v>
      </c>
      <c r="B21" s="1597" t="s">
        <v>9045</v>
      </c>
      <c r="C21" s="1789">
        <v>0.05122685185185185</v>
      </c>
      <c r="D21" s="1053" t="s">
        <v>11322</v>
      </c>
      <c r="E21" s="1572" t="s">
        <v>11323</v>
      </c>
      <c r="F21" s="1571" t="s">
        <v>11324</v>
      </c>
      <c r="G21" s="1571" t="s">
        <v>11325</v>
      </c>
      <c r="H21" s="1571" t="s">
        <v>11326</v>
      </c>
      <c r="I21" s="1571" t="s">
        <v>11327</v>
      </c>
      <c r="J21" s="1571" t="s">
        <v>11328</v>
      </c>
      <c r="K21" s="1571" t="s">
        <v>11329</v>
      </c>
      <c r="L21" s="1571" t="s">
        <v>6120</v>
      </c>
      <c r="M21" s="1793">
        <v>0.05224537037037037</v>
      </c>
      <c r="N21" s="1796" t="str">
        <f t="shared" si="1"/>
        <v>1:28</v>
      </c>
      <c r="O21" s="1625" t="s">
        <v>11330</v>
      </c>
    </row>
    <row r="22" ht="15.75" customHeight="1">
      <c r="A22" s="1632" t="s">
        <v>7019</v>
      </c>
      <c r="B22" s="1597" t="s">
        <v>9045</v>
      </c>
      <c r="C22" s="1789">
        <v>0.05133101851851852</v>
      </c>
      <c r="D22" s="1571" t="s">
        <v>11331</v>
      </c>
      <c r="E22" s="1572" t="s">
        <v>11332</v>
      </c>
      <c r="F22" s="1571" t="s">
        <v>11333</v>
      </c>
      <c r="G22" s="1574" t="s">
        <v>11334</v>
      </c>
      <c r="H22" s="1574" t="s">
        <v>11335</v>
      </c>
      <c r="I22" s="1571" t="s">
        <v>11336</v>
      </c>
      <c r="J22" s="1571" t="s">
        <v>11337</v>
      </c>
      <c r="K22" s="1571" t="s">
        <v>11338</v>
      </c>
      <c r="L22" s="1571" t="s">
        <v>11339</v>
      </c>
      <c r="M22" s="1793">
        <v>0.05197916666666667</v>
      </c>
      <c r="N22" s="1796" t="str">
        <f t="shared" si="1"/>
        <v>0:56</v>
      </c>
      <c r="O22" s="1625" t="s">
        <v>11340</v>
      </c>
    </row>
    <row r="23" ht="15.75" customHeight="1">
      <c r="A23" s="1733" t="s">
        <v>9519</v>
      </c>
      <c r="B23" s="1535" t="s">
        <v>9045</v>
      </c>
      <c r="C23" s="1794">
        <v>0.05144675925925926</v>
      </c>
      <c r="D23" s="1571" t="s">
        <v>11341</v>
      </c>
      <c r="E23" s="1805" t="s">
        <v>11342</v>
      </c>
      <c r="F23" s="1571" t="s">
        <v>11343</v>
      </c>
      <c r="G23" s="1571" t="s">
        <v>11344</v>
      </c>
      <c r="H23" s="1571" t="s">
        <v>11345</v>
      </c>
      <c r="I23" s="1571" t="s">
        <v>11346</v>
      </c>
      <c r="J23" s="1571" t="s">
        <v>11347</v>
      </c>
      <c r="K23" s="1571" t="s">
        <v>11348</v>
      </c>
      <c r="L23" s="1250" t="s">
        <v>9395</v>
      </c>
      <c r="M23" s="1793">
        <v>0.05258101851851852</v>
      </c>
      <c r="N23" s="1796" t="str">
        <f t="shared" si="1"/>
        <v>1:38</v>
      </c>
      <c r="O23" s="1625" t="s">
        <v>11219</v>
      </c>
    </row>
    <row r="24" ht="15.75" customHeight="1">
      <c r="A24" s="1632" t="s">
        <v>9654</v>
      </c>
      <c r="B24" s="1597" t="s">
        <v>9072</v>
      </c>
      <c r="C24" s="1789">
        <v>0.05146990740740741</v>
      </c>
      <c r="D24" s="1809" t="s">
        <v>11184</v>
      </c>
      <c r="E24" s="1572" t="s">
        <v>10596</v>
      </c>
      <c r="F24" s="1572" t="s">
        <v>11349</v>
      </c>
      <c r="G24" s="1572" t="s">
        <v>11350</v>
      </c>
      <c r="H24" s="1572" t="s">
        <v>11351</v>
      </c>
      <c r="I24" s="1571" t="s">
        <v>11352</v>
      </c>
      <c r="J24" s="1065" t="s">
        <v>11353</v>
      </c>
      <c r="K24" s="1571" t="s">
        <v>11354</v>
      </c>
      <c r="L24" s="1065" t="s">
        <v>9670</v>
      </c>
      <c r="M24" s="1814">
        <v>0.05236111111111111</v>
      </c>
      <c r="N24" s="1796" t="str">
        <f t="shared" si="1"/>
        <v>1:17</v>
      </c>
      <c r="O24" s="1625" t="s">
        <v>11219</v>
      </c>
    </row>
    <row r="25" ht="15.75" customHeight="1">
      <c r="A25" s="1797" t="s">
        <v>899</v>
      </c>
      <c r="B25" s="1535" t="s">
        <v>9045</v>
      </c>
      <c r="C25" s="1794">
        <v>0.051550925925925924</v>
      </c>
      <c r="D25" s="1571" t="s">
        <v>11355</v>
      </c>
      <c r="E25" s="1805" t="s">
        <v>10580</v>
      </c>
      <c r="F25" s="1571" t="s">
        <v>11356</v>
      </c>
      <c r="G25" s="1571" t="s">
        <v>11357</v>
      </c>
      <c r="H25" s="1571" t="s">
        <v>11358</v>
      </c>
      <c r="I25" s="1571" t="s">
        <v>11359</v>
      </c>
      <c r="J25" s="1571" t="s">
        <v>11360</v>
      </c>
      <c r="K25" s="1571" t="s">
        <v>11361</v>
      </c>
      <c r="L25" s="1250" t="s">
        <v>11362</v>
      </c>
      <c r="M25" s="1793">
        <v>0.05229166666666667</v>
      </c>
      <c r="N25" s="1796" t="str">
        <f t="shared" si="1"/>
        <v>1:04</v>
      </c>
      <c r="O25" s="1625" t="s">
        <v>11219</v>
      </c>
    </row>
    <row r="26">
      <c r="A26" s="1787" t="s">
        <v>1810</v>
      </c>
      <c r="B26" s="1686" t="s">
        <v>9098</v>
      </c>
      <c r="C26" s="1815">
        <v>0.05158564814814815</v>
      </c>
      <c r="D26" s="1816" t="s">
        <v>11192</v>
      </c>
      <c r="E26" s="1817" t="s">
        <v>11193</v>
      </c>
      <c r="F26" s="1816" t="s">
        <v>11194</v>
      </c>
      <c r="G26" s="1816" t="s">
        <v>11195</v>
      </c>
      <c r="H26" s="1816" t="s">
        <v>11196</v>
      </c>
      <c r="I26" s="1816" t="s">
        <v>11197</v>
      </c>
      <c r="J26" s="1816" t="s">
        <v>11198</v>
      </c>
      <c r="K26" s="1816" t="s">
        <v>11199</v>
      </c>
      <c r="L26" s="1816" t="s">
        <v>9126</v>
      </c>
      <c r="M26" s="1818">
        <v>0.052141203703703703</v>
      </c>
      <c r="N26" s="1796" t="str">
        <f t="shared" si="1"/>
        <v>0:48</v>
      </c>
      <c r="O26" s="1625" t="s">
        <v>11363</v>
      </c>
    </row>
    <row r="27" ht="15.75" customHeight="1">
      <c r="A27" s="954" t="s">
        <v>2826</v>
      </c>
      <c r="B27" s="1597" t="s">
        <v>9045</v>
      </c>
      <c r="C27" s="1794">
        <v>0.051706365740740744</v>
      </c>
      <c r="D27" s="1065" t="s">
        <v>11364</v>
      </c>
      <c r="E27" s="1572" t="s">
        <v>11365</v>
      </c>
      <c r="F27" s="1571" t="s">
        <v>11366</v>
      </c>
      <c r="G27" s="1571" t="s">
        <v>11367</v>
      </c>
      <c r="H27" s="1571" t="s">
        <v>11368</v>
      </c>
      <c r="I27" s="1571" t="s">
        <v>11369</v>
      </c>
      <c r="J27" s="1571" t="s">
        <v>11370</v>
      </c>
      <c r="K27" s="1571" t="s">
        <v>11371</v>
      </c>
      <c r="L27" s="1571" t="s">
        <v>9960</v>
      </c>
      <c r="M27" s="1793">
        <v>0.0525</v>
      </c>
      <c r="N27" s="1793" t="str">
        <f t="shared" si="1"/>
        <v>1:09</v>
      </c>
      <c r="O27" s="1625"/>
    </row>
    <row r="28" ht="15.75" customHeight="1">
      <c r="A28" s="1819" t="s">
        <v>2107</v>
      </c>
      <c r="B28" s="1678" t="s">
        <v>9045</v>
      </c>
      <c r="C28" s="1794">
        <v>0.05171296296296296</v>
      </c>
      <c r="D28" s="1031" t="s">
        <v>11372</v>
      </c>
      <c r="E28" s="1031" t="s">
        <v>11373</v>
      </c>
      <c r="F28" s="1031" t="s">
        <v>11374</v>
      </c>
      <c r="G28" s="1031" t="s">
        <v>11375</v>
      </c>
      <c r="H28" s="1065" t="s">
        <v>11376</v>
      </c>
      <c r="I28" s="1031" t="s">
        <v>11377</v>
      </c>
      <c r="J28" s="1065" t="s">
        <v>11378</v>
      </c>
      <c r="K28" s="1031" t="s">
        <v>11379</v>
      </c>
      <c r="L28" s="1065" t="s">
        <v>9495</v>
      </c>
      <c r="M28" s="1793">
        <v>0.054375</v>
      </c>
      <c r="N28" s="1796" t="str">
        <f t="shared" si="1"/>
        <v>3:50</v>
      </c>
      <c r="O28" s="1625" t="s">
        <v>11380</v>
      </c>
    </row>
    <row r="29" ht="15.75" customHeight="1">
      <c r="A29" s="1632" t="s">
        <v>3099</v>
      </c>
      <c r="B29" s="1597" t="s">
        <v>9045</v>
      </c>
      <c r="C29" s="1789">
        <v>0.05180160879629629</v>
      </c>
      <c r="D29" s="1065" t="s">
        <v>11381</v>
      </c>
      <c r="E29" s="1572" t="s">
        <v>11382</v>
      </c>
      <c r="F29" s="1571" t="s">
        <v>11383</v>
      </c>
      <c r="G29" s="1571" t="s">
        <v>11384</v>
      </c>
      <c r="H29" s="1571" t="s">
        <v>11385</v>
      </c>
      <c r="I29" s="1571" t="s">
        <v>11386</v>
      </c>
      <c r="J29" s="1571" t="s">
        <v>11387</v>
      </c>
      <c r="K29" s="1571" t="s">
        <v>11388</v>
      </c>
      <c r="L29" s="1571" t="s">
        <v>11389</v>
      </c>
      <c r="M29" s="1793">
        <v>0.05303240740740741</v>
      </c>
      <c r="N29" s="1796" t="str">
        <f t="shared" si="1"/>
        <v>1:46</v>
      </c>
      <c r="O29" s="1625"/>
    </row>
    <row r="30" ht="15.75" customHeight="1">
      <c r="A30" s="954" t="s">
        <v>1346</v>
      </c>
      <c r="B30" s="1686" t="s">
        <v>9098</v>
      </c>
      <c r="C30" s="1794">
        <v>0.052088194444444444</v>
      </c>
      <c r="D30" s="1065" t="s">
        <v>11390</v>
      </c>
      <c r="E30" s="1572" t="s">
        <v>11391</v>
      </c>
      <c r="F30" s="1571" t="s">
        <v>11392</v>
      </c>
      <c r="G30" s="1571" t="s">
        <v>11393</v>
      </c>
      <c r="H30" s="1571" t="s">
        <v>11394</v>
      </c>
      <c r="I30" s="1571" t="s">
        <v>11395</v>
      </c>
      <c r="J30" s="1571" t="s">
        <v>11396</v>
      </c>
      <c r="K30" s="1571" t="s">
        <v>11397</v>
      </c>
      <c r="L30" s="1571" t="s">
        <v>10265</v>
      </c>
      <c r="M30" s="1793">
        <v>0.053043981481481484</v>
      </c>
      <c r="N30" s="1796" t="str">
        <f t="shared" si="1"/>
        <v>1:23</v>
      </c>
      <c r="O30" s="1625" t="s">
        <v>11219</v>
      </c>
    </row>
    <row r="31" ht="15.75" customHeight="1">
      <c r="A31" s="954" t="s">
        <v>2582</v>
      </c>
      <c r="B31" s="1597" t="s">
        <v>9072</v>
      </c>
      <c r="C31" s="1794">
        <v>0.05215277777777778</v>
      </c>
      <c r="D31" s="1571" t="s">
        <v>11398</v>
      </c>
      <c r="E31" s="1571" t="s">
        <v>6046</v>
      </c>
      <c r="F31" s="1571" t="s">
        <v>11399</v>
      </c>
      <c r="G31" s="1571" t="s">
        <v>11400</v>
      </c>
      <c r="H31" s="1571" t="s">
        <v>11401</v>
      </c>
      <c r="I31" s="1571" t="s">
        <v>11261</v>
      </c>
      <c r="J31" s="1571" t="s">
        <v>11402</v>
      </c>
      <c r="K31" s="1571" t="s">
        <v>11403</v>
      </c>
      <c r="L31" s="1571" t="s">
        <v>10007</v>
      </c>
      <c r="M31" s="1793">
        <v>0.05399305555555556</v>
      </c>
      <c r="N31" s="1796" t="str">
        <f t="shared" si="1"/>
        <v>2:39</v>
      </c>
      <c r="O31" s="1625" t="s">
        <v>11404</v>
      </c>
    </row>
    <row r="32" ht="15.75" customHeight="1">
      <c r="A32" s="1632" t="s">
        <v>2994</v>
      </c>
      <c r="B32" s="1597" t="s">
        <v>9045</v>
      </c>
      <c r="C32" s="1789">
        <v>0.05216435185185185</v>
      </c>
      <c r="D32" s="1571" t="s">
        <v>11405</v>
      </c>
      <c r="E32" s="1572" t="s">
        <v>11406</v>
      </c>
      <c r="F32" s="1571" t="s">
        <v>11407</v>
      </c>
      <c r="G32" s="1571" t="s">
        <v>11408</v>
      </c>
      <c r="H32" s="1571" t="s">
        <v>11409</v>
      </c>
      <c r="I32" s="1571" t="s">
        <v>11410</v>
      </c>
      <c r="J32" s="1571" t="s">
        <v>11411</v>
      </c>
      <c r="K32" s="1571" t="s">
        <v>11412</v>
      </c>
      <c r="L32" s="1571" t="s">
        <v>11413</v>
      </c>
      <c r="M32" s="1793">
        <v>0.05337962962962963</v>
      </c>
      <c r="N32" s="1796" t="str">
        <f t="shared" si="1"/>
        <v>1:45</v>
      </c>
      <c r="O32" s="1625" t="s">
        <v>11414</v>
      </c>
    </row>
    <row r="33" ht="15.75" customHeight="1">
      <c r="A33" s="954" t="s">
        <v>741</v>
      </c>
      <c r="B33" s="1597" t="s">
        <v>9072</v>
      </c>
      <c r="C33" s="1794">
        <v>0.05224537037037037</v>
      </c>
      <c r="D33" s="1571" t="s">
        <v>11415</v>
      </c>
      <c r="E33" s="1820" t="s">
        <v>11416</v>
      </c>
      <c r="F33" s="1571" t="s">
        <v>11417</v>
      </c>
      <c r="G33" s="1571" t="s">
        <v>11418</v>
      </c>
      <c r="H33" s="1571" t="s">
        <v>11419</v>
      </c>
      <c r="I33" s="1571" t="s">
        <v>11420</v>
      </c>
      <c r="J33" s="1571" t="s">
        <v>11421</v>
      </c>
      <c r="K33" s="1574" t="s">
        <v>11422</v>
      </c>
      <c r="L33" s="1571" t="s">
        <v>11423</v>
      </c>
      <c r="M33" s="1793">
        <v>0.053043981481481484</v>
      </c>
      <c r="N33" s="1796" t="str">
        <f t="shared" si="1"/>
        <v>1:09</v>
      </c>
      <c r="O33" s="1625" t="s">
        <v>11424</v>
      </c>
    </row>
    <row r="34" ht="15.75" customHeight="1">
      <c r="A34" s="1632" t="s">
        <v>3099</v>
      </c>
      <c r="B34" s="1686" t="s">
        <v>9072</v>
      </c>
      <c r="C34" s="1789">
        <v>0.052316898148148154</v>
      </c>
      <c r="D34" s="1065" t="s">
        <v>11425</v>
      </c>
      <c r="E34" s="1572" t="s">
        <v>11426</v>
      </c>
      <c r="F34" s="1571" t="s">
        <v>11427</v>
      </c>
      <c r="G34" s="1571" t="s">
        <v>11428</v>
      </c>
      <c r="H34" s="1571" t="s">
        <v>11429</v>
      </c>
      <c r="I34" s="1571" t="s">
        <v>11430</v>
      </c>
      <c r="J34" s="1571" t="s">
        <v>11431</v>
      </c>
      <c r="K34" s="1571" t="s">
        <v>11432</v>
      </c>
      <c r="L34" s="1571" t="s">
        <v>9744</v>
      </c>
      <c r="M34" s="1793">
        <v>0.05376157407407407</v>
      </c>
      <c r="N34" s="1796" t="str">
        <f t="shared" si="1"/>
        <v>2:05</v>
      </c>
      <c r="O34" s="1625" t="s">
        <v>11219</v>
      </c>
    </row>
    <row r="35" ht="15.75" customHeight="1">
      <c r="A35" s="954" t="s">
        <v>4053</v>
      </c>
      <c r="B35" s="1597" t="s">
        <v>9045</v>
      </c>
      <c r="C35" s="1794">
        <v>0.05238425925925926</v>
      </c>
      <c r="D35" s="1053" t="s">
        <v>11433</v>
      </c>
      <c r="E35" s="1572" t="s">
        <v>11406</v>
      </c>
      <c r="F35" s="1571" t="s">
        <v>11434</v>
      </c>
      <c r="G35" s="1795" t="s">
        <v>11435</v>
      </c>
      <c r="H35" s="1571" t="s">
        <v>11436</v>
      </c>
      <c r="I35" s="1571" t="s">
        <v>11437</v>
      </c>
      <c r="J35" s="1571" t="s">
        <v>11438</v>
      </c>
      <c r="K35" s="1571" t="s">
        <v>11439</v>
      </c>
      <c r="L35" s="1571" t="s">
        <v>10283</v>
      </c>
      <c r="M35" s="1793">
        <v>0.05340277777777778</v>
      </c>
      <c r="N35" s="1796" t="str">
        <f t="shared" si="1"/>
        <v>1:28</v>
      </c>
      <c r="O35" s="1625" t="s">
        <v>11440</v>
      </c>
    </row>
    <row r="36" ht="15.75" customHeight="1">
      <c r="A36" s="954" t="s">
        <v>2716</v>
      </c>
      <c r="B36" s="1597" t="s">
        <v>9045</v>
      </c>
      <c r="C36" s="1794">
        <v>0.0525</v>
      </c>
      <c r="D36" s="1065" t="s">
        <v>11441</v>
      </c>
      <c r="E36" s="1572" t="s">
        <v>11442</v>
      </c>
      <c r="F36" s="1571" t="s">
        <v>11443</v>
      </c>
      <c r="G36" s="1571" t="s">
        <v>11444</v>
      </c>
      <c r="H36" s="1571" t="s">
        <v>11445</v>
      </c>
      <c r="I36" s="1571" t="s">
        <v>11446</v>
      </c>
      <c r="J36" s="1571" t="s">
        <v>11447</v>
      </c>
      <c r="K36" s="1571" t="s">
        <v>11448</v>
      </c>
      <c r="L36" s="1571" t="s">
        <v>701</v>
      </c>
      <c r="M36" s="1793">
        <v>0.053773148148148146</v>
      </c>
      <c r="N36" s="1796" t="str">
        <f t="shared" si="1"/>
        <v>1:50</v>
      </c>
      <c r="O36" s="1625" t="s">
        <v>11449</v>
      </c>
    </row>
    <row r="37" ht="15.75" customHeight="1">
      <c r="A37" s="1632" t="s">
        <v>10310</v>
      </c>
      <c r="B37" s="1597" t="s">
        <v>9045</v>
      </c>
      <c r="C37" s="1789">
        <v>0.05268518518518518</v>
      </c>
      <c r="D37" s="1065" t="s">
        <v>11450</v>
      </c>
      <c r="E37" s="1572" t="s">
        <v>11451</v>
      </c>
      <c r="F37" s="1571" t="s">
        <v>11452</v>
      </c>
      <c r="G37" s="1571" t="s">
        <v>11453</v>
      </c>
      <c r="H37" s="1571" t="s">
        <v>11454</v>
      </c>
      <c r="I37" s="1571" t="s">
        <v>7457</v>
      </c>
      <c r="J37" s="1571" t="s">
        <v>11455</v>
      </c>
      <c r="K37" s="1571" t="s">
        <v>11456</v>
      </c>
      <c r="L37" s="1571" t="s">
        <v>10328</v>
      </c>
      <c r="M37" s="1793">
        <v>0.05331018518518518</v>
      </c>
      <c r="N37" s="1796" t="str">
        <f t="shared" si="1"/>
        <v>0:54</v>
      </c>
      <c r="O37" s="1625" t="s">
        <v>11457</v>
      </c>
    </row>
    <row r="38" ht="15.75" customHeight="1">
      <c r="A38" s="1632" t="s">
        <v>3750</v>
      </c>
      <c r="B38" s="1801" t="s">
        <v>9045</v>
      </c>
      <c r="C38" s="1789">
        <v>0.05270034722222223</v>
      </c>
      <c r="D38" s="1053" t="s">
        <v>11458</v>
      </c>
      <c r="E38" s="1572" t="s">
        <v>11459</v>
      </c>
      <c r="F38" s="1571" t="s">
        <v>11460</v>
      </c>
      <c r="G38" s="1571" t="s">
        <v>11461</v>
      </c>
      <c r="H38" s="1571" t="s">
        <v>11462</v>
      </c>
      <c r="I38" s="1571" t="s">
        <v>11463</v>
      </c>
      <c r="J38" s="1571" t="s">
        <v>11464</v>
      </c>
      <c r="K38" s="1571" t="s">
        <v>11465</v>
      </c>
      <c r="L38" s="1571" t="s">
        <v>11466</v>
      </c>
      <c r="M38" s="1793">
        <v>0.05425925925925926</v>
      </c>
      <c r="N38" s="1796" t="str">
        <f t="shared" si="1"/>
        <v>2:15</v>
      </c>
      <c r="O38" s="1625" t="s">
        <v>11219</v>
      </c>
    </row>
    <row r="39">
      <c r="A39" s="1821" t="s">
        <v>3442</v>
      </c>
      <c r="B39" s="1801" t="s">
        <v>9045</v>
      </c>
      <c r="C39" s="1789">
        <v>0.053009259259259256</v>
      </c>
      <c r="D39" s="1053" t="s">
        <v>11467</v>
      </c>
      <c r="E39" s="1572" t="s">
        <v>11468</v>
      </c>
      <c r="F39" s="1571" t="s">
        <v>11469</v>
      </c>
      <c r="G39" s="1571" t="s">
        <v>11470</v>
      </c>
      <c r="H39" s="1571" t="s">
        <v>11471</v>
      </c>
      <c r="I39" s="1571" t="s">
        <v>11472</v>
      </c>
      <c r="J39" s="1571" t="s">
        <v>11473</v>
      </c>
      <c r="K39" s="1571" t="s">
        <v>11474</v>
      </c>
      <c r="L39" s="1571" t="s">
        <v>11475</v>
      </c>
      <c r="M39" s="1793">
        <v>0.05372685185185185</v>
      </c>
      <c r="N39" s="1796" t="str">
        <f t="shared" si="1"/>
        <v>1:02</v>
      </c>
      <c r="O39" s="1625" t="s">
        <v>11219</v>
      </c>
    </row>
    <row r="40" ht="15.75" customHeight="1">
      <c r="A40" s="954" t="s">
        <v>981</v>
      </c>
      <c r="B40" s="1765" t="s">
        <v>9072</v>
      </c>
      <c r="C40" s="1794">
        <v>0.05378472222222222</v>
      </c>
      <c r="D40" s="1065" t="s">
        <v>11476</v>
      </c>
      <c r="E40" s="1572" t="s">
        <v>11477</v>
      </c>
      <c r="F40" s="1571" t="s">
        <v>11478</v>
      </c>
      <c r="G40" s="1571" t="s">
        <v>11479</v>
      </c>
      <c r="H40" s="1571" t="s">
        <v>11480</v>
      </c>
      <c r="I40" s="1571" t="s">
        <v>9631</v>
      </c>
      <c r="J40" s="1571" t="s">
        <v>11481</v>
      </c>
      <c r="K40" s="1571" t="s">
        <v>11482</v>
      </c>
      <c r="L40" s="1571" t="s">
        <v>10055</v>
      </c>
      <c r="M40" s="1793">
        <v>0.054560185185185184</v>
      </c>
      <c r="N40" s="1796" t="str">
        <f t="shared" si="1"/>
        <v>1:07</v>
      </c>
      <c r="O40" s="1625"/>
    </row>
    <row r="41" ht="15.75" customHeight="1">
      <c r="A41" s="954" t="s">
        <v>4954</v>
      </c>
      <c r="B41" s="1686" t="s">
        <v>9072</v>
      </c>
      <c r="C41" s="1794">
        <v>0.05748842592592593</v>
      </c>
      <c r="D41" s="1572" t="s">
        <v>11483</v>
      </c>
      <c r="E41" s="1572" t="s">
        <v>11484</v>
      </c>
      <c r="F41" s="1571" t="s">
        <v>11485</v>
      </c>
      <c r="G41" s="1571" t="s">
        <v>11486</v>
      </c>
      <c r="H41" s="1571" t="s">
        <v>11487</v>
      </c>
      <c r="I41" s="1571" t="s">
        <v>11488</v>
      </c>
      <c r="J41" s="1571" t="s">
        <v>11489</v>
      </c>
      <c r="K41" s="1571" t="s">
        <v>11490</v>
      </c>
      <c r="L41" s="1571" t="s">
        <v>11063</v>
      </c>
      <c r="M41" s="1793">
        <v>0.06149305555555556</v>
      </c>
      <c r="N41" s="1796" t="str">
        <f t="shared" si="1"/>
        <v>5:46</v>
      </c>
      <c r="O41" s="1625" t="s">
        <v>11219</v>
      </c>
    </row>
    <row r="42" ht="15.75" customHeight="1">
      <c r="A42" s="954" t="s">
        <v>6542</v>
      </c>
      <c r="B42" s="1721" t="s">
        <v>11065</v>
      </c>
      <c r="C42" s="1822">
        <v>0.0609375</v>
      </c>
      <c r="D42" s="1729" t="s">
        <v>11491</v>
      </c>
      <c r="E42" s="1823" t="s">
        <v>8944</v>
      </c>
      <c r="F42" s="1823" t="s">
        <v>11492</v>
      </c>
      <c r="G42" s="1823" t="s">
        <v>11493</v>
      </c>
      <c r="H42" s="1823" t="s">
        <v>11494</v>
      </c>
      <c r="I42" s="1823" t="s">
        <v>8489</v>
      </c>
      <c r="J42" s="1823" t="s">
        <v>11495</v>
      </c>
      <c r="K42" s="1823" t="s">
        <v>11496</v>
      </c>
      <c r="L42" s="1823" t="s">
        <v>11497</v>
      </c>
      <c r="M42" s="1824">
        <v>0.06646990740740741</v>
      </c>
      <c r="N42" s="1823" t="s">
        <v>11498</v>
      </c>
      <c r="O42" s="1625" t="s">
        <v>11499</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9007</v>
      </c>
      <c r="C1" s="1850" t="s">
        <v>11174</v>
      </c>
      <c r="D1" s="1851" t="s">
        <v>7752</v>
      </c>
      <c r="E1" s="1852" t="s">
        <v>8066</v>
      </c>
      <c r="F1" s="1853" t="s">
        <v>38</v>
      </c>
      <c r="G1" s="1854" t="s">
        <v>36</v>
      </c>
      <c r="H1" s="1850" t="s">
        <v>11175</v>
      </c>
      <c r="I1" s="1855" t="s">
        <v>39</v>
      </c>
      <c r="J1" s="1747" t="s">
        <v>7999</v>
      </c>
      <c r="K1" s="1476" t="s">
        <v>9041</v>
      </c>
      <c r="L1" s="1749" t="s">
        <v>9043</v>
      </c>
    </row>
    <row r="2" ht="15.75" customHeight="1">
      <c r="A2" s="1750" t="s">
        <v>9044</v>
      </c>
      <c r="B2" s="1751" t="s">
        <v>9045</v>
      </c>
      <c r="C2" s="1753" t="s">
        <v>11500</v>
      </c>
      <c r="D2" s="1856" t="s">
        <v>11501</v>
      </c>
      <c r="E2" s="1857" t="s">
        <v>11502</v>
      </c>
      <c r="F2" s="1858" t="s">
        <v>11503</v>
      </c>
      <c r="G2" s="1757" t="s">
        <v>11504</v>
      </c>
      <c r="H2" s="1753" t="s">
        <v>11505</v>
      </c>
      <c r="I2" s="1859" t="s">
        <v>11506</v>
      </c>
      <c r="J2" s="1760" t="s">
        <v>11507</v>
      </c>
      <c r="K2" s="1860" t="s">
        <v>11508</v>
      </c>
      <c r="L2" s="1861"/>
    </row>
    <row r="3" ht="15.75" customHeight="1">
      <c r="A3" s="1764" t="s">
        <v>9071</v>
      </c>
      <c r="B3" s="1765" t="s">
        <v>9072</v>
      </c>
      <c r="C3" s="1505" t="s">
        <v>11398</v>
      </c>
      <c r="D3" s="1513" t="s">
        <v>11509</v>
      </c>
      <c r="E3" s="1507" t="s">
        <v>11510</v>
      </c>
      <c r="F3" s="1508" t="s">
        <v>11511</v>
      </c>
      <c r="G3" s="1510" t="s">
        <v>11512</v>
      </c>
      <c r="H3" s="1505" t="s">
        <v>11513</v>
      </c>
      <c r="I3" s="1512" t="s">
        <v>11514</v>
      </c>
      <c r="J3" s="1515" t="s">
        <v>11515</v>
      </c>
      <c r="K3" s="1766">
        <v>0.053043981481481484</v>
      </c>
      <c r="L3" s="1862"/>
    </row>
    <row r="4" ht="15.75" customHeight="1">
      <c r="A4" s="1769" t="s">
        <v>9097</v>
      </c>
      <c r="B4" s="1770" t="s">
        <v>9098</v>
      </c>
      <c r="C4" s="1772" t="s">
        <v>11390</v>
      </c>
      <c r="D4" s="1863" t="s">
        <v>11516</v>
      </c>
      <c r="E4" s="1774" t="s">
        <v>11517</v>
      </c>
      <c r="F4" s="1775" t="s">
        <v>11518</v>
      </c>
      <c r="G4" s="1776" t="s">
        <v>11519</v>
      </c>
      <c r="H4" s="1772" t="s">
        <v>11520</v>
      </c>
      <c r="I4" s="1777" t="s">
        <v>11521</v>
      </c>
      <c r="J4" s="1778" t="s">
        <v>11522</v>
      </c>
      <c r="K4" s="1771">
        <v>0.053043981481481484</v>
      </c>
      <c r="L4" s="1861"/>
    </row>
    <row r="5" ht="15.75" customHeight="1">
      <c r="A5" s="954" t="s">
        <v>1058</v>
      </c>
      <c r="B5" s="1597" t="s">
        <v>9045</v>
      </c>
      <c r="C5" s="1782" t="s">
        <v>11500</v>
      </c>
      <c r="D5" s="1782" t="s">
        <v>11501</v>
      </c>
      <c r="E5" s="1782" t="s">
        <v>11502</v>
      </c>
      <c r="F5" s="1782" t="s">
        <v>11503</v>
      </c>
      <c r="G5" s="1864" t="s">
        <v>11504</v>
      </c>
      <c r="H5" s="1864" t="s">
        <v>11505</v>
      </c>
      <c r="I5" s="1864" t="s">
        <v>11506</v>
      </c>
      <c r="J5" s="1864" t="s">
        <v>11507</v>
      </c>
      <c r="K5" s="1865" t="s">
        <v>9135</v>
      </c>
      <c r="L5" s="1625" t="s">
        <v>11523</v>
      </c>
    </row>
    <row r="6" ht="15.75" customHeight="1">
      <c r="A6" s="1733" t="s">
        <v>1810</v>
      </c>
      <c r="B6" s="1866" t="s">
        <v>9045</v>
      </c>
      <c r="C6" s="1867" t="s">
        <v>11211</v>
      </c>
      <c r="D6" s="1868" t="s">
        <v>11524</v>
      </c>
      <c r="E6" s="1869" t="s">
        <v>11525</v>
      </c>
      <c r="F6" s="1870" t="s">
        <v>11526</v>
      </c>
      <c r="G6" s="1871" t="s">
        <v>11527</v>
      </c>
      <c r="H6" s="1872" t="s">
        <v>11528</v>
      </c>
      <c r="I6" s="1873" t="s">
        <v>11529</v>
      </c>
      <c r="J6" s="1874" t="s">
        <v>11530</v>
      </c>
      <c r="K6" s="1571" t="s">
        <v>9226</v>
      </c>
      <c r="L6" s="1875" t="s">
        <v>11531</v>
      </c>
    </row>
    <row r="7" ht="15.75" customHeight="1">
      <c r="A7" s="1876" t="s">
        <v>6613</v>
      </c>
      <c r="B7" s="1597" t="s">
        <v>9045</v>
      </c>
      <c r="C7" s="1710" t="s">
        <v>11226</v>
      </c>
      <c r="D7" s="1571" t="s">
        <v>11532</v>
      </c>
      <c r="E7" s="1571" t="s">
        <v>11533</v>
      </c>
      <c r="F7" s="1571" t="s">
        <v>11534</v>
      </c>
      <c r="G7" s="1877" t="s">
        <v>11535</v>
      </c>
      <c r="H7" s="1877" t="s">
        <v>11536</v>
      </c>
      <c r="I7" s="1877" t="s">
        <v>11537</v>
      </c>
      <c r="J7" s="1877" t="s">
        <v>11538</v>
      </c>
      <c r="K7" s="1571" t="s">
        <v>9293</v>
      </c>
      <c r="L7" s="1625"/>
    </row>
    <row r="8" ht="15.75" customHeight="1">
      <c r="A8" s="954" t="s">
        <v>2545</v>
      </c>
      <c r="B8" s="1597" t="s">
        <v>9045</v>
      </c>
      <c r="C8" s="1790" t="s">
        <v>11205</v>
      </c>
      <c r="D8" s="1783" t="s">
        <v>11539</v>
      </c>
      <c r="E8" s="1783" t="s">
        <v>11540</v>
      </c>
      <c r="F8" s="1783" t="s">
        <v>11541</v>
      </c>
      <c r="G8" s="1878" t="s">
        <v>11542</v>
      </c>
      <c r="H8" s="1879" t="s">
        <v>11543</v>
      </c>
      <c r="I8" s="1880" t="s">
        <v>11544</v>
      </c>
      <c r="J8" s="1881" t="s">
        <v>11545</v>
      </c>
      <c r="K8" s="1783" t="s">
        <v>9162</v>
      </c>
      <c r="L8" s="1625"/>
    </row>
    <row r="9" ht="15.75" customHeight="1">
      <c r="A9" s="1797" t="s">
        <v>435</v>
      </c>
      <c r="B9" s="1535" t="s">
        <v>9045</v>
      </c>
      <c r="C9" s="1710" t="s">
        <v>11220</v>
      </c>
      <c r="D9" s="1571" t="s">
        <v>11546</v>
      </c>
      <c r="E9" s="1571" t="s">
        <v>11547</v>
      </c>
      <c r="F9" s="1571" t="s">
        <v>11548</v>
      </c>
      <c r="G9" s="1877" t="s">
        <v>11549</v>
      </c>
      <c r="H9" s="1877" t="s">
        <v>11550</v>
      </c>
      <c r="I9" s="1877" t="s">
        <v>11551</v>
      </c>
      <c r="J9" s="1877" t="s">
        <v>11552</v>
      </c>
      <c r="K9" s="1571" t="s">
        <v>9183</v>
      </c>
      <c r="L9" s="1625"/>
    </row>
    <row r="10" ht="15.75" customHeight="1">
      <c r="A10" s="1733" t="s">
        <v>6728</v>
      </c>
      <c r="B10" s="1535" t="s">
        <v>9045</v>
      </c>
      <c r="C10" s="1571" t="s">
        <v>11553</v>
      </c>
      <c r="D10" s="1571" t="s">
        <v>11554</v>
      </c>
      <c r="E10" s="1571" t="s">
        <v>11555</v>
      </c>
      <c r="F10" s="1574" t="s">
        <v>11556</v>
      </c>
      <c r="G10" s="1882" t="s">
        <v>11557</v>
      </c>
      <c r="H10" s="1883" t="s">
        <v>11558</v>
      </c>
      <c r="I10" s="1884" t="s">
        <v>11559</v>
      </c>
      <c r="J10" s="814" t="s">
        <v>11560</v>
      </c>
      <c r="K10" s="1571" t="s">
        <v>9206</v>
      </c>
      <c r="L10" s="1625"/>
    </row>
    <row r="11" ht="15.75" customHeight="1">
      <c r="A11" s="954" t="s">
        <v>1550</v>
      </c>
      <c r="B11" s="1597" t="s">
        <v>9045</v>
      </c>
      <c r="C11" s="1885" t="s">
        <v>11260</v>
      </c>
      <c r="D11" s="1804" t="s">
        <v>11561</v>
      </c>
      <c r="E11" s="1804" t="s">
        <v>11562</v>
      </c>
      <c r="F11" s="1571" t="s">
        <v>11563</v>
      </c>
      <c r="G11" s="1886" t="s">
        <v>11564</v>
      </c>
      <c r="H11" s="1886" t="s">
        <v>11565</v>
      </c>
      <c r="I11" s="1886" t="s">
        <v>11566</v>
      </c>
      <c r="J11" s="1886" t="s">
        <v>11567</v>
      </c>
      <c r="K11" s="1795" t="s">
        <v>9475</v>
      </c>
      <c r="L11" s="1625" t="s">
        <v>11568</v>
      </c>
    </row>
    <row r="12" ht="15.75" customHeight="1">
      <c r="A12" s="1632" t="s">
        <v>827</v>
      </c>
      <c r="B12" s="1686" t="s">
        <v>9045</v>
      </c>
      <c r="C12" s="1887" t="s">
        <v>11242</v>
      </c>
      <c r="D12" s="1571" t="s">
        <v>11569</v>
      </c>
      <c r="E12" s="1571" t="s">
        <v>11570</v>
      </c>
      <c r="F12" s="1571" t="s">
        <v>11571</v>
      </c>
      <c r="G12" s="824" t="s">
        <v>11572</v>
      </c>
      <c r="H12" s="1867" t="s">
        <v>11573</v>
      </c>
      <c r="I12" s="1873" t="s">
        <v>11574</v>
      </c>
      <c r="J12" s="1874" t="s">
        <v>11575</v>
      </c>
      <c r="K12" s="1571" t="s">
        <v>11576</v>
      </c>
      <c r="L12" s="1625" t="s">
        <v>11577</v>
      </c>
    </row>
    <row r="13" ht="15.75" customHeight="1">
      <c r="A13" s="1737" t="s">
        <v>2089</v>
      </c>
      <c r="B13" s="1535" t="s">
        <v>9045</v>
      </c>
      <c r="C13" s="1885" t="s">
        <v>11269</v>
      </c>
      <c r="D13" s="1571" t="s">
        <v>11578</v>
      </c>
      <c r="E13" s="1571" t="s">
        <v>11579</v>
      </c>
      <c r="F13" s="1571" t="s">
        <v>11580</v>
      </c>
      <c r="G13" s="1877" t="s">
        <v>11581</v>
      </c>
      <c r="H13" s="1877" t="s">
        <v>11582</v>
      </c>
      <c r="I13" s="1877" t="s">
        <v>11583</v>
      </c>
      <c r="J13" s="1877" t="s">
        <v>11584</v>
      </c>
      <c r="K13" s="1571" t="s">
        <v>9454</v>
      </c>
      <c r="L13" s="1625"/>
    </row>
    <row r="14" ht="15.75" customHeight="1">
      <c r="A14" s="1797" t="s">
        <v>330</v>
      </c>
      <c r="B14" s="1535" t="s">
        <v>9045</v>
      </c>
      <c r="C14" s="1571" t="s">
        <v>11585</v>
      </c>
      <c r="D14" s="1571" t="s">
        <v>11586</v>
      </c>
      <c r="E14" s="1571" t="s">
        <v>11587</v>
      </c>
      <c r="F14" s="1571" t="s">
        <v>11588</v>
      </c>
      <c r="G14" s="824" t="s">
        <v>11589</v>
      </c>
      <c r="H14" s="1867" t="s">
        <v>11590</v>
      </c>
      <c r="I14" s="1873" t="s">
        <v>11591</v>
      </c>
      <c r="J14" s="1874" t="s">
        <v>11592</v>
      </c>
      <c r="K14" s="1571" t="s">
        <v>9272</v>
      </c>
      <c r="L14" s="1625"/>
    </row>
    <row r="15" ht="16.5" customHeight="1">
      <c r="A15" s="1812" t="s">
        <v>2773</v>
      </c>
      <c r="B15" s="1535" t="s">
        <v>9045</v>
      </c>
      <c r="C15" s="1571" t="s">
        <v>11298</v>
      </c>
      <c r="D15" s="1571" t="s">
        <v>11593</v>
      </c>
      <c r="E15" s="1571" t="s">
        <v>11594</v>
      </c>
      <c r="F15" s="1571" t="s">
        <v>11595</v>
      </c>
      <c r="G15" s="1877" t="s">
        <v>11596</v>
      </c>
      <c r="H15" s="1877" t="s">
        <v>11597</v>
      </c>
      <c r="I15" s="1877" t="s">
        <v>11598</v>
      </c>
      <c r="J15" s="1877" t="s">
        <v>11599</v>
      </c>
      <c r="K15" s="1571" t="s">
        <v>11600</v>
      </c>
      <c r="L15" s="1625" t="s">
        <v>11601</v>
      </c>
    </row>
    <row r="16" ht="15.0" customHeight="1">
      <c r="A16" s="1819" t="s">
        <v>1723</v>
      </c>
      <c r="B16" s="1678" t="s">
        <v>9045</v>
      </c>
      <c r="C16" s="1887" t="s">
        <v>11602</v>
      </c>
      <c r="D16" s="1571" t="s">
        <v>11603</v>
      </c>
      <c r="E16" s="1571" t="s">
        <v>11604</v>
      </c>
      <c r="F16" s="1571" t="s">
        <v>11605</v>
      </c>
      <c r="G16" s="824" t="s">
        <v>11606</v>
      </c>
      <c r="H16" s="1867" t="s">
        <v>11607</v>
      </c>
      <c r="I16" s="1873" t="s">
        <v>11608</v>
      </c>
      <c r="J16" s="1874" t="s">
        <v>11609</v>
      </c>
      <c r="K16" s="1571" t="s">
        <v>9724</v>
      </c>
      <c r="L16" s="1625"/>
    </row>
    <row r="17" ht="15.75" customHeight="1">
      <c r="A17" s="954" t="s">
        <v>7019</v>
      </c>
      <c r="B17" s="1535" t="s">
        <v>9045</v>
      </c>
      <c r="C17" s="1571" t="s">
        <v>11331</v>
      </c>
      <c r="D17" s="1571" t="s">
        <v>11610</v>
      </c>
      <c r="E17" s="1571" t="s">
        <v>11611</v>
      </c>
      <c r="F17" s="1571" t="s">
        <v>11612</v>
      </c>
      <c r="G17" s="1877" t="s">
        <v>11613</v>
      </c>
      <c r="H17" s="1877" t="s">
        <v>11614</v>
      </c>
      <c r="I17" s="1877" t="s">
        <v>11615</v>
      </c>
      <c r="J17" s="1877" t="s">
        <v>11616</v>
      </c>
      <c r="K17" s="1571" t="s">
        <v>9626</v>
      </c>
      <c r="L17" s="1625" t="s">
        <v>11617</v>
      </c>
    </row>
    <row r="18" ht="15.75" customHeight="1">
      <c r="A18" s="1797" t="s">
        <v>1413</v>
      </c>
      <c r="B18" s="1535" t="s">
        <v>9045</v>
      </c>
      <c r="C18" s="1571" t="s">
        <v>11618</v>
      </c>
      <c r="D18" s="1571" t="s">
        <v>11619</v>
      </c>
      <c r="E18" s="1571" t="s">
        <v>11620</v>
      </c>
      <c r="F18" s="1571" t="s">
        <v>11621</v>
      </c>
      <c r="G18" s="824" t="s">
        <v>11622</v>
      </c>
      <c r="H18" s="1867" t="s">
        <v>11623</v>
      </c>
      <c r="I18" s="1873" t="s">
        <v>11624</v>
      </c>
      <c r="J18" s="1874" t="s">
        <v>11625</v>
      </c>
      <c r="K18" s="1571" t="s">
        <v>9605</v>
      </c>
      <c r="L18" s="1625"/>
    </row>
    <row r="19" ht="15.75" customHeight="1">
      <c r="A19" s="954" t="s">
        <v>2265</v>
      </c>
      <c r="B19" s="1686" t="s">
        <v>9045</v>
      </c>
      <c r="C19" s="1887" t="s">
        <v>11305</v>
      </c>
      <c r="D19" s="1571" t="s">
        <v>11626</v>
      </c>
      <c r="E19" s="1571" t="s">
        <v>11627</v>
      </c>
      <c r="F19" s="1571" t="s">
        <v>11628</v>
      </c>
      <c r="G19" s="1877" t="s">
        <v>11629</v>
      </c>
      <c r="H19" s="1877" t="s">
        <v>11630</v>
      </c>
      <c r="I19" s="1877" t="s">
        <v>11631</v>
      </c>
      <c r="J19" s="1877" t="s">
        <v>11632</v>
      </c>
      <c r="K19" s="1571" t="s">
        <v>9517</v>
      </c>
      <c r="L19" s="1625" t="s">
        <v>11633</v>
      </c>
    </row>
    <row r="20" ht="15.75" customHeight="1">
      <c r="A20" s="1797" t="s">
        <v>899</v>
      </c>
      <c r="B20" s="1535" t="s">
        <v>9045</v>
      </c>
      <c r="C20" s="1571" t="s">
        <v>11634</v>
      </c>
      <c r="D20" s="1571" t="s">
        <v>11635</v>
      </c>
      <c r="E20" s="1571" t="s">
        <v>11636</v>
      </c>
      <c r="F20" s="1571" t="s">
        <v>11637</v>
      </c>
      <c r="G20" s="824" t="s">
        <v>11638</v>
      </c>
      <c r="H20" s="1867" t="s">
        <v>11639</v>
      </c>
      <c r="I20" s="1873" t="s">
        <v>11640</v>
      </c>
      <c r="J20" s="1874" t="s">
        <v>11641</v>
      </c>
      <c r="K20" s="1571" t="s">
        <v>9870</v>
      </c>
      <c r="L20" s="1625"/>
    </row>
    <row r="21" ht="15.75" customHeight="1">
      <c r="A21" s="954" t="s">
        <v>1632</v>
      </c>
      <c r="B21" s="1597" t="s">
        <v>9045</v>
      </c>
      <c r="C21" s="1571" t="s">
        <v>11642</v>
      </c>
      <c r="D21" s="1571" t="s">
        <v>11643</v>
      </c>
      <c r="E21" s="1795" t="s">
        <v>11644</v>
      </c>
      <c r="F21" s="1571" t="s">
        <v>11645</v>
      </c>
      <c r="G21" s="1877" t="s">
        <v>11646</v>
      </c>
      <c r="H21" s="1877" t="s">
        <v>11647</v>
      </c>
      <c r="I21" s="1877" t="s">
        <v>11648</v>
      </c>
      <c r="J21" s="1877" t="s">
        <v>11649</v>
      </c>
      <c r="K21" s="1571" t="s">
        <v>9652</v>
      </c>
      <c r="L21" s="1625"/>
    </row>
    <row r="22" ht="15.75" customHeight="1">
      <c r="A22" s="1733" t="s">
        <v>9519</v>
      </c>
      <c r="B22" s="1535" t="s">
        <v>9045</v>
      </c>
      <c r="C22" s="1571" t="s">
        <v>11341</v>
      </c>
      <c r="D22" s="1571" t="s">
        <v>11650</v>
      </c>
      <c r="E22" s="1571" t="s">
        <v>11651</v>
      </c>
      <c r="F22" s="1571" t="s">
        <v>11652</v>
      </c>
      <c r="G22" s="824" t="s">
        <v>11653</v>
      </c>
      <c r="H22" s="1867" t="s">
        <v>11654</v>
      </c>
      <c r="I22" s="1873" t="s">
        <v>11655</v>
      </c>
      <c r="J22" s="1874" t="s">
        <v>11656</v>
      </c>
      <c r="K22" s="1571" t="s">
        <v>9534</v>
      </c>
      <c r="L22" s="1625"/>
    </row>
    <row r="23">
      <c r="A23" s="1787" t="s">
        <v>2154</v>
      </c>
      <c r="B23" s="1686" t="s">
        <v>9072</v>
      </c>
      <c r="C23" s="1571" t="s">
        <v>11292</v>
      </c>
      <c r="D23" s="1571" t="s">
        <v>11657</v>
      </c>
      <c r="E23" s="1571" t="s">
        <v>11658</v>
      </c>
      <c r="F23" s="1571" t="s">
        <v>11659</v>
      </c>
      <c r="G23" s="1877" t="s">
        <v>11660</v>
      </c>
      <c r="H23" s="1877" t="s">
        <v>11661</v>
      </c>
      <c r="I23" s="1877" t="s">
        <v>11662</v>
      </c>
      <c r="J23" s="1877" t="s">
        <v>11663</v>
      </c>
      <c r="K23" s="1571" t="s">
        <v>11664</v>
      </c>
      <c r="L23" s="1625" t="s">
        <v>11665</v>
      </c>
    </row>
    <row r="24" ht="15.75" customHeight="1">
      <c r="A24" s="954" t="s">
        <v>741</v>
      </c>
      <c r="B24" s="1597" t="s">
        <v>9072</v>
      </c>
      <c r="C24" s="1571" t="s">
        <v>11666</v>
      </c>
      <c r="D24" s="1809" t="s">
        <v>11509</v>
      </c>
      <c r="E24" s="1809" t="s">
        <v>11510</v>
      </c>
      <c r="F24" s="1809" t="s">
        <v>11511</v>
      </c>
      <c r="G24" s="1888" t="s">
        <v>11512</v>
      </c>
      <c r="H24" s="1889" t="s">
        <v>11513</v>
      </c>
      <c r="I24" s="1890" t="s">
        <v>11514</v>
      </c>
      <c r="J24" s="1891" t="s">
        <v>11515</v>
      </c>
      <c r="K24" s="1809" t="s">
        <v>9496</v>
      </c>
      <c r="L24" s="1625" t="s">
        <v>11667</v>
      </c>
    </row>
    <row r="25" ht="15.75" customHeight="1">
      <c r="A25" s="1632" t="s">
        <v>1346</v>
      </c>
      <c r="B25" s="1597" t="s">
        <v>9098</v>
      </c>
      <c r="C25" s="1680" t="s">
        <v>11390</v>
      </c>
      <c r="D25" s="1680" t="s">
        <v>11516</v>
      </c>
      <c r="E25" s="1680" t="s">
        <v>11517</v>
      </c>
      <c r="F25" s="1680" t="s">
        <v>11518</v>
      </c>
      <c r="G25" s="1892" t="s">
        <v>11519</v>
      </c>
      <c r="H25" s="1892" t="s">
        <v>11520</v>
      </c>
      <c r="I25" s="1892" t="s">
        <v>11521</v>
      </c>
      <c r="J25" s="1892" t="s">
        <v>11522</v>
      </c>
      <c r="K25" s="1680" t="s">
        <v>9496</v>
      </c>
      <c r="L25" s="1625"/>
    </row>
    <row r="26" ht="16.5" customHeight="1">
      <c r="A26" s="1632" t="s">
        <v>11668</v>
      </c>
      <c r="B26" s="1597" t="s">
        <v>9045</v>
      </c>
      <c r="C26" s="1031" t="s">
        <v>11372</v>
      </c>
      <c r="D26" s="1571" t="s">
        <v>11669</v>
      </c>
      <c r="E26" s="1571" t="s">
        <v>11670</v>
      </c>
      <c r="F26" s="1571" t="s">
        <v>11671</v>
      </c>
      <c r="G26" s="824" t="s">
        <v>11653</v>
      </c>
      <c r="H26" s="1867" t="s">
        <v>11672</v>
      </c>
      <c r="I26" s="1873" t="s">
        <v>11673</v>
      </c>
      <c r="J26" s="1874" t="s">
        <v>11674</v>
      </c>
      <c r="K26" s="1571" t="s">
        <v>10030</v>
      </c>
      <c r="L26" s="1625"/>
    </row>
    <row r="27" ht="15.75" customHeight="1">
      <c r="A27" s="1632" t="s">
        <v>2994</v>
      </c>
      <c r="B27" s="1597" t="s">
        <v>9045</v>
      </c>
      <c r="C27" s="1571" t="s">
        <v>11675</v>
      </c>
      <c r="D27" s="1571" t="s">
        <v>11676</v>
      </c>
      <c r="E27" s="1571" t="s">
        <v>11677</v>
      </c>
      <c r="F27" s="1571" t="s">
        <v>11678</v>
      </c>
      <c r="G27" s="1877" t="s">
        <v>11679</v>
      </c>
      <c r="H27" s="1877" t="s">
        <v>11680</v>
      </c>
      <c r="I27" s="1877" t="s">
        <v>11681</v>
      </c>
      <c r="J27" s="1877" t="s">
        <v>11682</v>
      </c>
      <c r="K27" s="1571" t="s">
        <v>11683</v>
      </c>
      <c r="L27" s="1625" t="s">
        <v>11684</v>
      </c>
    </row>
    <row r="28">
      <c r="A28" s="1821" t="s">
        <v>3099</v>
      </c>
      <c r="B28" s="1801" t="s">
        <v>9072</v>
      </c>
      <c r="C28" s="1887" t="s">
        <v>11685</v>
      </c>
      <c r="D28" s="1571"/>
      <c r="E28" s="1571" t="s">
        <v>11686</v>
      </c>
      <c r="F28" s="1571" t="s">
        <v>11687</v>
      </c>
      <c r="G28" s="824"/>
      <c r="H28" s="1867"/>
      <c r="I28" s="1873"/>
      <c r="J28" s="1874"/>
      <c r="K28" s="1571" t="s">
        <v>10166</v>
      </c>
      <c r="L28" s="1625"/>
    </row>
    <row r="29" ht="15.75" customHeight="1">
      <c r="A29" s="1632" t="s">
        <v>2716</v>
      </c>
      <c r="B29" s="1597" t="s">
        <v>9045</v>
      </c>
      <c r="C29" s="1887" t="s">
        <v>11688</v>
      </c>
      <c r="D29" s="1571" t="s">
        <v>11689</v>
      </c>
      <c r="E29" s="1571" t="s">
        <v>11690</v>
      </c>
      <c r="F29" s="1571" t="s">
        <v>11691</v>
      </c>
      <c r="G29" s="1877" t="s">
        <v>11692</v>
      </c>
      <c r="H29" s="1877" t="s">
        <v>11693</v>
      </c>
      <c r="I29" s="1877" t="s">
        <v>11694</v>
      </c>
      <c r="J29" s="1877" t="s">
        <v>11695</v>
      </c>
      <c r="K29" s="1571" t="s">
        <v>10097</v>
      </c>
      <c r="L29" s="1625" t="s">
        <v>11696</v>
      </c>
    </row>
    <row r="30" ht="15.75" customHeight="1">
      <c r="A30" s="954" t="s">
        <v>2582</v>
      </c>
      <c r="B30" s="1678" t="s">
        <v>9072</v>
      </c>
      <c r="C30" s="1809" t="s">
        <v>11398</v>
      </c>
      <c r="D30" s="1571" t="s">
        <v>11697</v>
      </c>
      <c r="E30" s="1571" t="s">
        <v>11698</v>
      </c>
      <c r="F30" s="1571" t="s">
        <v>11699</v>
      </c>
      <c r="G30" s="824" t="s">
        <v>11700</v>
      </c>
      <c r="H30" s="1867" t="s">
        <v>11701</v>
      </c>
      <c r="I30" s="1873" t="s">
        <v>11702</v>
      </c>
      <c r="J30" s="1874" t="s">
        <v>11703</v>
      </c>
      <c r="K30" s="1571" t="s">
        <v>10008</v>
      </c>
      <c r="L30" s="1625"/>
    </row>
    <row r="31" ht="15.75" customHeight="1">
      <c r="A31" s="1632" t="s">
        <v>5342</v>
      </c>
      <c r="B31" s="1597" t="s">
        <v>9045</v>
      </c>
      <c r="C31" s="1887" t="s">
        <v>11704</v>
      </c>
      <c r="D31" s="1571" t="s">
        <v>11705</v>
      </c>
      <c r="E31" s="1571" t="s">
        <v>11706</v>
      </c>
      <c r="F31" s="1571" t="s">
        <v>11707</v>
      </c>
      <c r="G31" s="1877" t="s">
        <v>11708</v>
      </c>
      <c r="H31" s="1877" t="s">
        <v>11709</v>
      </c>
      <c r="I31" s="1877" t="s">
        <v>11710</v>
      </c>
      <c r="J31" s="1877" t="s">
        <v>11711</v>
      </c>
      <c r="K31" s="1571" t="s">
        <v>11712</v>
      </c>
      <c r="L31" s="1625" t="s">
        <v>11713</v>
      </c>
    </row>
    <row r="32" ht="15.75" customHeight="1">
      <c r="A32" s="1632" t="s">
        <v>4954</v>
      </c>
      <c r="B32" s="1597" t="s">
        <v>9072</v>
      </c>
      <c r="C32" s="1887" t="s">
        <v>11483</v>
      </c>
      <c r="D32" s="1571" t="s">
        <v>11714</v>
      </c>
      <c r="E32" s="1571" t="s">
        <v>11715</v>
      </c>
      <c r="F32" s="1571" t="s">
        <v>11716</v>
      </c>
      <c r="G32" s="824" t="s">
        <v>11717</v>
      </c>
      <c r="H32" s="1867" t="s">
        <v>11718</v>
      </c>
      <c r="I32" s="1873" t="s">
        <v>11719</v>
      </c>
      <c r="J32" s="1874" t="s">
        <v>11720</v>
      </c>
      <c r="K32" s="1571" t="s">
        <v>11064</v>
      </c>
      <c r="L32" s="1625" t="s">
        <v>11721</v>
      </c>
    </row>
    <row r="33" ht="15.75" customHeight="1">
      <c r="A33" s="954" t="s">
        <v>5777</v>
      </c>
      <c r="B33" s="1721" t="s">
        <v>11065</v>
      </c>
      <c r="C33" s="1893" t="s">
        <v>11722</v>
      </c>
      <c r="D33" s="1823" t="s">
        <v>11723</v>
      </c>
      <c r="E33" s="1823" t="s">
        <v>11724</v>
      </c>
      <c r="F33" s="1823" t="s">
        <v>11725</v>
      </c>
      <c r="G33" s="1894" t="s">
        <v>11726</v>
      </c>
      <c r="H33" s="1894" t="s">
        <v>11727</v>
      </c>
      <c r="I33" s="1894" t="s">
        <v>11728</v>
      </c>
      <c r="J33" s="1894" t="s">
        <v>11729</v>
      </c>
      <c r="K33" s="1823" t="s">
        <v>11730</v>
      </c>
      <c r="L33" s="1625" t="s">
        <v>11731</v>
      </c>
    </row>
    <row r="34" ht="15.75" customHeight="1">
      <c r="A34" s="1632" t="s">
        <v>6542</v>
      </c>
      <c r="B34" s="1721" t="s">
        <v>11065</v>
      </c>
      <c r="C34" s="1895" t="s">
        <v>11732</v>
      </c>
      <c r="D34" s="1810" t="s">
        <v>11733</v>
      </c>
      <c r="E34" s="1810" t="s">
        <v>11734</v>
      </c>
      <c r="F34" s="1810" t="s">
        <v>11735</v>
      </c>
      <c r="G34" s="1896" t="s">
        <v>11736</v>
      </c>
      <c r="K34" s="1810" t="s">
        <v>11142</v>
      </c>
      <c r="L34" s="1625" t="s">
        <v>11737</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11738</v>
      </c>
      <c r="C1" s="1907" t="s">
        <v>43</v>
      </c>
      <c r="D1" s="1908" t="s">
        <v>11739</v>
      </c>
      <c r="E1" s="1907" t="s">
        <v>11740</v>
      </c>
      <c r="F1" s="1909" t="s">
        <v>11741</v>
      </c>
    </row>
    <row r="2">
      <c r="A2" s="1910"/>
      <c r="B2" s="1911"/>
      <c r="C2" s="1911"/>
      <c r="D2" s="1911"/>
      <c r="E2" s="1911"/>
      <c r="F2" s="1911"/>
    </row>
    <row r="3">
      <c r="A3" s="1910"/>
      <c r="B3" s="1911"/>
      <c r="C3" s="1911"/>
      <c r="D3" s="1911"/>
      <c r="E3" s="1911"/>
      <c r="F3" s="1911"/>
    </row>
    <row r="4">
      <c r="A4" s="1912" t="s">
        <v>11742</v>
      </c>
      <c r="B4" s="1913" t="s">
        <v>11743</v>
      </c>
      <c r="C4" s="1914"/>
      <c r="D4" s="1914"/>
      <c r="E4" s="1914"/>
      <c r="F4" s="1915"/>
    </row>
    <row r="5">
      <c r="A5" s="1911"/>
      <c r="B5" s="1916"/>
      <c r="C5" s="1917"/>
      <c r="D5" s="1917"/>
      <c r="E5" s="1917"/>
      <c r="F5" s="1918"/>
    </row>
    <row r="6">
      <c r="A6" s="1919" t="s">
        <v>11743</v>
      </c>
      <c r="B6" s="1920" t="s">
        <v>11744</v>
      </c>
      <c r="C6" s="1921" t="s">
        <v>4350</v>
      </c>
      <c r="D6" s="1922" t="s">
        <v>11745</v>
      </c>
      <c r="E6" s="1921" t="s">
        <v>11746</v>
      </c>
      <c r="F6" s="1923">
        <v>44233.0</v>
      </c>
    </row>
    <row r="7">
      <c r="A7" s="1919" t="s">
        <v>11747</v>
      </c>
      <c r="B7" s="1924" t="s">
        <v>11748</v>
      </c>
      <c r="C7" s="1921" t="s">
        <v>899</v>
      </c>
      <c r="D7" s="1922" t="s">
        <v>11749</v>
      </c>
      <c r="E7" s="1921" t="s">
        <v>11746</v>
      </c>
      <c r="F7" s="1923">
        <v>43878.0</v>
      </c>
    </row>
    <row r="8">
      <c r="A8" s="1919" t="s">
        <v>11750</v>
      </c>
      <c r="B8" s="1925" t="s">
        <v>11751</v>
      </c>
      <c r="C8" s="1921" t="s">
        <v>330</v>
      </c>
      <c r="D8" s="1922" t="s">
        <v>11752</v>
      </c>
      <c r="E8" s="1921" t="s">
        <v>11746</v>
      </c>
      <c r="F8" s="1923">
        <v>43879.0</v>
      </c>
    </row>
    <row r="9">
      <c r="A9" s="1919" t="s">
        <v>11753</v>
      </c>
      <c r="B9" s="1926" t="s">
        <v>11754</v>
      </c>
      <c r="C9" s="1921" t="s">
        <v>4053</v>
      </c>
      <c r="D9" s="1922" t="s">
        <v>11755</v>
      </c>
      <c r="E9" s="1921" t="s">
        <v>11756</v>
      </c>
      <c r="F9" s="1923">
        <v>44084.0</v>
      </c>
    </row>
    <row r="10">
      <c r="A10" s="1919" t="s">
        <v>11757</v>
      </c>
      <c r="B10" s="1926" t="s">
        <v>11758</v>
      </c>
      <c r="C10" s="1927"/>
      <c r="D10" s="1928"/>
      <c r="E10" s="1927"/>
      <c r="F10" s="1927"/>
    </row>
    <row r="11">
      <c r="A11" s="1919" t="s">
        <v>11759</v>
      </c>
      <c r="B11" s="1913" t="s">
        <v>11747</v>
      </c>
      <c r="C11" s="1914"/>
      <c r="D11" s="1914"/>
      <c r="E11" s="1914"/>
      <c r="F11" s="1915"/>
    </row>
    <row r="12">
      <c r="A12" s="1919" t="s">
        <v>11760</v>
      </c>
      <c r="B12" s="1916"/>
      <c r="C12" s="1917"/>
      <c r="D12" s="1917"/>
      <c r="E12" s="1917"/>
      <c r="F12" s="1918"/>
    </row>
    <row r="13">
      <c r="A13" s="1919" t="s">
        <v>11761</v>
      </c>
      <c r="B13" s="1920" t="s">
        <v>11744</v>
      </c>
      <c r="C13" s="1921" t="s">
        <v>4350</v>
      </c>
      <c r="D13" s="1922" t="s">
        <v>11762</v>
      </c>
      <c r="E13" s="1921" t="s">
        <v>11746</v>
      </c>
      <c r="F13" s="1923">
        <v>44250.0</v>
      </c>
    </row>
    <row r="14" ht="15.75" customHeight="1">
      <c r="A14" s="1919" t="s">
        <v>11763</v>
      </c>
      <c r="B14" s="1924" t="s">
        <v>11748</v>
      </c>
      <c r="C14" s="1921" t="s">
        <v>4264</v>
      </c>
      <c r="D14" s="1922" t="s">
        <v>11764</v>
      </c>
      <c r="E14" s="1921" t="s">
        <v>11746</v>
      </c>
      <c r="F14" s="1923">
        <v>43364.0</v>
      </c>
    </row>
    <row r="15">
      <c r="A15" s="1919" t="s">
        <v>11765</v>
      </c>
      <c r="B15" s="1925" t="s">
        <v>11751</v>
      </c>
      <c r="C15" s="1921" t="s">
        <v>11766</v>
      </c>
      <c r="D15" s="1922" t="s">
        <v>11767</v>
      </c>
      <c r="E15" s="1921" t="s">
        <v>11756</v>
      </c>
      <c r="F15" s="1923">
        <v>43757.0</v>
      </c>
    </row>
    <row r="16">
      <c r="A16" s="1919" t="s">
        <v>11768</v>
      </c>
      <c r="B16" s="1926" t="s">
        <v>11754</v>
      </c>
      <c r="C16" s="1921" t="s">
        <v>11769</v>
      </c>
      <c r="D16" s="1922" t="s">
        <v>11770</v>
      </c>
      <c r="E16" s="1921" t="s">
        <v>11756</v>
      </c>
      <c r="F16" s="1923">
        <v>43438.0</v>
      </c>
    </row>
    <row r="17">
      <c r="A17" s="1919" t="s">
        <v>11771</v>
      </c>
      <c r="B17" s="1926" t="s">
        <v>11758</v>
      </c>
      <c r="C17" s="1927"/>
      <c r="D17" s="1928"/>
      <c r="E17" s="1927"/>
      <c r="F17" s="1927"/>
    </row>
    <row r="18">
      <c r="A18" s="1919" t="s">
        <v>11772</v>
      </c>
      <c r="B18" s="1929" t="s">
        <v>11750</v>
      </c>
      <c r="C18" s="1914"/>
      <c r="D18" s="1914"/>
      <c r="E18" s="1914"/>
      <c r="F18" s="1915"/>
    </row>
    <row r="19">
      <c r="A19" s="1919" t="s">
        <v>11773</v>
      </c>
      <c r="B19" s="1917"/>
      <c r="C19" s="1917"/>
      <c r="D19" s="1917"/>
      <c r="E19" s="1917"/>
      <c r="F19" s="1918"/>
    </row>
    <row r="20">
      <c r="A20" s="1930"/>
      <c r="B20" s="1920" t="s">
        <v>11744</v>
      </c>
      <c r="C20" s="1921" t="s">
        <v>11774</v>
      </c>
      <c r="D20" s="1922" t="s">
        <v>11775</v>
      </c>
      <c r="E20" s="1921" t="s">
        <v>11746</v>
      </c>
      <c r="F20" s="1923">
        <v>44021.0</v>
      </c>
    </row>
    <row r="21">
      <c r="A21" s="1930"/>
      <c r="B21" s="1924" t="s">
        <v>11748</v>
      </c>
      <c r="C21" s="1921" t="s">
        <v>5373</v>
      </c>
      <c r="D21" s="1922" t="s">
        <v>11776</v>
      </c>
      <c r="E21" s="1921" t="s">
        <v>11756</v>
      </c>
      <c r="F21" s="1923">
        <v>44022.0</v>
      </c>
    </row>
    <row r="22">
      <c r="A22" s="1931"/>
      <c r="B22" s="1925" t="s">
        <v>11751</v>
      </c>
      <c r="C22" s="1921" t="s">
        <v>11777</v>
      </c>
      <c r="D22" s="1922" t="s">
        <v>11778</v>
      </c>
      <c r="E22" s="1921" t="s">
        <v>11779</v>
      </c>
      <c r="F22" s="1923">
        <v>43884.0</v>
      </c>
    </row>
    <row r="23">
      <c r="A23" s="1931"/>
      <c r="B23" s="1926" t="s">
        <v>11754</v>
      </c>
      <c r="C23" s="1921" t="s">
        <v>5342</v>
      </c>
      <c r="D23" s="1922" t="s">
        <v>11780</v>
      </c>
      <c r="E23" s="1921" t="s">
        <v>11746</v>
      </c>
      <c r="F23" s="1923">
        <v>43892.0</v>
      </c>
    </row>
    <row r="24">
      <c r="A24" s="1931"/>
      <c r="B24" s="1926" t="s">
        <v>11758</v>
      </c>
      <c r="C24" s="1927"/>
      <c r="D24" s="1928"/>
      <c r="E24" s="1927"/>
      <c r="F24" s="1927"/>
    </row>
    <row r="25">
      <c r="A25" s="1931"/>
      <c r="B25" s="1913" t="s">
        <v>11753</v>
      </c>
      <c r="C25" s="1914"/>
      <c r="D25" s="1914"/>
      <c r="E25" s="1914"/>
      <c r="F25" s="1915"/>
    </row>
    <row r="26">
      <c r="A26" s="1931"/>
      <c r="B26" s="1916"/>
      <c r="C26" s="1917"/>
      <c r="D26" s="1917"/>
      <c r="E26" s="1917"/>
      <c r="F26" s="1918"/>
    </row>
    <row r="27">
      <c r="A27" s="1931"/>
      <c r="B27" s="1932" t="s">
        <v>11781</v>
      </c>
      <c r="C27" s="1914"/>
      <c r="D27" s="1914"/>
      <c r="E27" s="1914"/>
      <c r="F27" s="1915"/>
    </row>
    <row r="28">
      <c r="A28" s="1931"/>
      <c r="B28" s="1916"/>
      <c r="C28" s="1917"/>
      <c r="D28" s="1917"/>
      <c r="E28" s="1917"/>
      <c r="F28" s="1918"/>
    </row>
    <row r="29">
      <c r="A29" s="1931"/>
      <c r="B29" s="1920" t="s">
        <v>11744</v>
      </c>
      <c r="C29" s="1933" t="s">
        <v>435</v>
      </c>
      <c r="D29" s="1922" t="s">
        <v>11782</v>
      </c>
      <c r="E29" s="1921" t="s">
        <v>11746</v>
      </c>
      <c r="F29" s="1923">
        <v>43659.0</v>
      </c>
    </row>
    <row r="30">
      <c r="A30" s="1931"/>
      <c r="B30" s="1924" t="s">
        <v>11748</v>
      </c>
      <c r="C30" s="1921" t="s">
        <v>1723</v>
      </c>
      <c r="D30" s="1922" t="s">
        <v>11783</v>
      </c>
      <c r="E30" s="1921" t="s">
        <v>11746</v>
      </c>
      <c r="F30" s="1923">
        <v>43228.0</v>
      </c>
    </row>
    <row r="31">
      <c r="A31" s="1931"/>
      <c r="B31" s="1925" t="s">
        <v>11751</v>
      </c>
      <c r="C31" s="1927"/>
      <c r="D31" s="1934"/>
      <c r="E31" s="1927"/>
      <c r="F31" s="1927"/>
    </row>
    <row r="32">
      <c r="A32" s="1931"/>
      <c r="B32" s="1926" t="s">
        <v>11754</v>
      </c>
      <c r="C32" s="1927"/>
      <c r="D32" s="1934"/>
      <c r="E32" s="1927"/>
      <c r="F32" s="1927"/>
    </row>
    <row r="33">
      <c r="A33" s="1931"/>
      <c r="B33" s="1926" t="s">
        <v>11758</v>
      </c>
      <c r="C33" s="1927"/>
      <c r="D33" s="1934"/>
      <c r="E33" s="1927"/>
      <c r="F33" s="1927"/>
    </row>
    <row r="34">
      <c r="A34" s="1931"/>
      <c r="B34" s="1932" t="s">
        <v>11784</v>
      </c>
      <c r="C34" s="1914"/>
      <c r="D34" s="1914"/>
      <c r="E34" s="1914"/>
      <c r="F34" s="1915"/>
    </row>
    <row r="35">
      <c r="A35" s="1931"/>
      <c r="B35" s="1916"/>
      <c r="C35" s="1917"/>
      <c r="D35" s="1917"/>
      <c r="E35" s="1917"/>
      <c r="F35" s="1918"/>
    </row>
    <row r="36">
      <c r="A36" s="1931"/>
      <c r="B36" s="1920" t="s">
        <v>11744</v>
      </c>
      <c r="C36" s="1921" t="s">
        <v>1723</v>
      </c>
      <c r="D36" s="1922" t="s">
        <v>11785</v>
      </c>
      <c r="E36" s="1921" t="s">
        <v>11746</v>
      </c>
      <c r="F36" s="1923">
        <v>43352.0</v>
      </c>
    </row>
    <row r="37">
      <c r="A37" s="1931"/>
      <c r="B37" s="1924" t="s">
        <v>11748</v>
      </c>
      <c r="C37" s="1921" t="s">
        <v>11786</v>
      </c>
      <c r="D37" s="1922" t="s">
        <v>11787</v>
      </c>
      <c r="E37" s="1921" t="s">
        <v>11746</v>
      </c>
      <c r="F37" s="1923">
        <v>43799.0</v>
      </c>
    </row>
    <row r="38">
      <c r="A38" s="1931"/>
      <c r="B38" s="1925" t="s">
        <v>11751</v>
      </c>
      <c r="C38" s="1927"/>
      <c r="D38" s="1928"/>
      <c r="E38" s="1927"/>
      <c r="F38" s="1927"/>
    </row>
    <row r="39">
      <c r="A39" s="1931"/>
      <c r="B39" s="1926" t="s">
        <v>11754</v>
      </c>
      <c r="C39" s="1927"/>
      <c r="D39" s="1928"/>
      <c r="E39" s="1927"/>
      <c r="F39" s="1927"/>
    </row>
    <row r="40">
      <c r="A40" s="1931"/>
      <c r="B40" s="1926" t="s">
        <v>11758</v>
      </c>
      <c r="C40" s="1927"/>
      <c r="D40" s="1928"/>
      <c r="E40" s="1927"/>
      <c r="F40" s="1927"/>
    </row>
    <row r="41">
      <c r="A41" s="1931"/>
      <c r="B41" s="1913" t="s">
        <v>11757</v>
      </c>
      <c r="C41" s="1914"/>
      <c r="D41" s="1914"/>
      <c r="E41" s="1914"/>
      <c r="F41" s="1915"/>
    </row>
    <row r="42">
      <c r="A42" s="1931"/>
      <c r="B42" s="1916"/>
      <c r="C42" s="1917"/>
      <c r="D42" s="1917"/>
      <c r="E42" s="1917"/>
      <c r="F42" s="1918"/>
    </row>
    <row r="43">
      <c r="A43" s="1931"/>
      <c r="B43" s="1920" t="s">
        <v>11744</v>
      </c>
      <c r="C43" s="1921" t="s">
        <v>6698</v>
      </c>
      <c r="D43" s="1935" t="s">
        <v>11788</v>
      </c>
      <c r="E43" s="1921" t="s">
        <v>11746</v>
      </c>
      <c r="F43" s="1936">
        <v>44511.0</v>
      </c>
    </row>
    <row r="44">
      <c r="A44" s="1931"/>
      <c r="B44" s="1924" t="s">
        <v>11748</v>
      </c>
      <c r="C44" s="1921" t="s">
        <v>11786</v>
      </c>
      <c r="D44" s="1935" t="s">
        <v>11789</v>
      </c>
      <c r="E44" s="1921" t="s">
        <v>11746</v>
      </c>
      <c r="F44" s="1936">
        <v>43740.0</v>
      </c>
    </row>
    <row r="45">
      <c r="A45" s="1931"/>
      <c r="B45" s="1925" t="s">
        <v>11751</v>
      </c>
      <c r="C45" s="1921" t="s">
        <v>10753</v>
      </c>
      <c r="D45" s="1935" t="s">
        <v>11790</v>
      </c>
      <c r="E45" s="1921" t="s">
        <v>11746</v>
      </c>
      <c r="F45" s="1936">
        <v>42098.0</v>
      </c>
    </row>
    <row r="46">
      <c r="A46" s="1931"/>
      <c r="B46" s="1926" t="s">
        <v>11754</v>
      </c>
      <c r="C46" s="1921"/>
      <c r="D46" s="1935"/>
      <c r="E46" s="1921"/>
      <c r="F46" s="1936"/>
    </row>
    <row r="47">
      <c r="A47" s="1931"/>
      <c r="B47" s="1926" t="s">
        <v>11758</v>
      </c>
      <c r="C47" s="1927"/>
      <c r="D47" s="1937"/>
      <c r="E47" s="1927"/>
      <c r="F47" s="1931"/>
    </row>
    <row r="48">
      <c r="A48" s="1931"/>
      <c r="B48" s="1913" t="s">
        <v>11759</v>
      </c>
      <c r="C48" s="1914"/>
      <c r="D48" s="1914"/>
      <c r="E48" s="1914"/>
      <c r="F48" s="1915"/>
    </row>
    <row r="49">
      <c r="A49" s="1931"/>
      <c r="B49" s="1916"/>
      <c r="C49" s="1917"/>
      <c r="D49" s="1917"/>
      <c r="E49" s="1917"/>
      <c r="F49" s="1918"/>
    </row>
    <row r="50">
      <c r="A50" s="1931"/>
      <c r="B50" s="1920" t="s">
        <v>11744</v>
      </c>
      <c r="C50" s="1921" t="s">
        <v>11791</v>
      </c>
      <c r="D50" s="1935" t="s">
        <v>11792</v>
      </c>
      <c r="E50" s="1921" t="s">
        <v>11793</v>
      </c>
      <c r="F50" s="1936">
        <v>43395.0</v>
      </c>
    </row>
    <row r="51">
      <c r="A51" s="1931"/>
      <c r="B51" s="1924" t="s">
        <v>11748</v>
      </c>
      <c r="C51" s="1921" t="s">
        <v>2265</v>
      </c>
      <c r="D51" s="1935" t="s">
        <v>11794</v>
      </c>
      <c r="E51" s="1921" t="s">
        <v>11756</v>
      </c>
      <c r="F51" s="1936">
        <v>43376.0</v>
      </c>
    </row>
    <row r="52">
      <c r="A52" s="1931"/>
      <c r="B52" s="1925" t="s">
        <v>11751</v>
      </c>
      <c r="C52" s="1927"/>
      <c r="D52" s="1937"/>
      <c r="E52" s="1927"/>
      <c r="F52" s="1931"/>
    </row>
    <row r="53">
      <c r="A53" s="1931"/>
      <c r="B53" s="1926" t="s">
        <v>11754</v>
      </c>
      <c r="C53" s="1927"/>
      <c r="D53" s="1937"/>
      <c r="E53" s="1927"/>
      <c r="F53" s="1931"/>
    </row>
    <row r="54">
      <c r="A54" s="1931"/>
      <c r="B54" s="1926" t="s">
        <v>11758</v>
      </c>
      <c r="C54" s="1927"/>
      <c r="D54" s="1937"/>
      <c r="E54" s="1927"/>
      <c r="F54" s="1931"/>
    </row>
    <row r="55">
      <c r="A55" s="1931"/>
      <c r="B55" s="1913" t="s">
        <v>11760</v>
      </c>
      <c r="C55" s="1914"/>
      <c r="D55" s="1914"/>
      <c r="E55" s="1914"/>
      <c r="F55" s="1915"/>
    </row>
    <row r="56">
      <c r="A56" s="1931"/>
      <c r="B56" s="1916"/>
      <c r="C56" s="1917"/>
      <c r="D56" s="1917"/>
      <c r="E56" s="1917"/>
      <c r="F56" s="1918"/>
    </row>
    <row r="57">
      <c r="A57" s="1931"/>
      <c r="B57" s="1938" t="s">
        <v>11795</v>
      </c>
      <c r="C57" s="1914"/>
      <c r="D57" s="1914"/>
      <c r="E57" s="1914"/>
      <c r="F57" s="1915"/>
    </row>
    <row r="58">
      <c r="A58" s="1931"/>
      <c r="B58" s="1916"/>
      <c r="C58" s="1917"/>
      <c r="D58" s="1917"/>
      <c r="E58" s="1917"/>
      <c r="F58" s="1918"/>
    </row>
    <row r="59">
      <c r="A59" s="1931"/>
      <c r="B59" s="1920" t="s">
        <v>11744</v>
      </c>
      <c r="C59" s="1939" t="s">
        <v>435</v>
      </c>
      <c r="D59" s="1935" t="s">
        <v>11796</v>
      </c>
      <c r="E59" s="1921" t="s">
        <v>11746</v>
      </c>
      <c r="F59" s="1936">
        <v>43758.0</v>
      </c>
    </row>
    <row r="60">
      <c r="A60" s="1931"/>
      <c r="B60" s="1924" t="s">
        <v>11748</v>
      </c>
      <c r="C60" s="1927"/>
      <c r="D60" s="1937"/>
      <c r="E60" s="1927"/>
      <c r="F60" s="1931"/>
    </row>
    <row r="61">
      <c r="A61" s="1931"/>
      <c r="B61" s="1925" t="s">
        <v>11751</v>
      </c>
      <c r="C61" s="1927"/>
      <c r="D61" s="1937"/>
      <c r="E61" s="1927"/>
      <c r="F61" s="1931"/>
    </row>
    <row r="62">
      <c r="A62" s="1931"/>
      <c r="B62" s="1926" t="s">
        <v>11754</v>
      </c>
      <c r="C62" s="1927"/>
      <c r="D62" s="1937"/>
      <c r="E62" s="1927"/>
      <c r="F62" s="1931"/>
    </row>
    <row r="63">
      <c r="A63" s="1931"/>
      <c r="B63" s="1926" t="s">
        <v>11758</v>
      </c>
      <c r="C63" s="1927"/>
      <c r="D63" s="1937"/>
      <c r="E63" s="1927"/>
      <c r="F63" s="1931"/>
    </row>
    <row r="64">
      <c r="A64" s="1931"/>
      <c r="B64" s="1938" t="s">
        <v>11784</v>
      </c>
      <c r="C64" s="1914"/>
      <c r="D64" s="1914"/>
      <c r="E64" s="1914"/>
      <c r="F64" s="1915"/>
    </row>
    <row r="65">
      <c r="A65" s="1931"/>
      <c r="B65" s="1916"/>
      <c r="C65" s="1917"/>
      <c r="D65" s="1917"/>
      <c r="E65" s="1917"/>
      <c r="F65" s="1918"/>
    </row>
    <row r="66">
      <c r="A66" s="1931"/>
      <c r="B66" s="1920" t="s">
        <v>11744</v>
      </c>
      <c r="C66" s="1921" t="s">
        <v>11797</v>
      </c>
      <c r="D66" s="1940" t="s">
        <v>11798</v>
      </c>
      <c r="E66" s="1921" t="s">
        <v>11746</v>
      </c>
      <c r="F66" s="1936">
        <v>44805.0</v>
      </c>
    </row>
    <row r="67">
      <c r="A67" s="1931"/>
      <c r="B67" s="1924" t="s">
        <v>11748</v>
      </c>
      <c r="C67" s="1921" t="s">
        <v>11799</v>
      </c>
      <c r="D67" s="1935" t="s">
        <v>11800</v>
      </c>
      <c r="E67" s="1921" t="s">
        <v>11746</v>
      </c>
      <c r="F67" s="1936">
        <v>43307.0</v>
      </c>
    </row>
    <row r="68">
      <c r="A68" s="1931"/>
      <c r="B68" s="1925" t="s">
        <v>11751</v>
      </c>
      <c r="C68" s="1927"/>
      <c r="D68" s="1937"/>
      <c r="E68" s="1927"/>
      <c r="F68" s="1931"/>
    </row>
    <row r="69">
      <c r="A69" s="1931"/>
      <c r="B69" s="1926" t="s">
        <v>11754</v>
      </c>
      <c r="C69" s="1927"/>
      <c r="D69" s="1937"/>
      <c r="E69" s="1927"/>
      <c r="F69" s="1931"/>
    </row>
    <row r="70">
      <c r="A70" s="1931"/>
      <c r="B70" s="1926" t="s">
        <v>11758</v>
      </c>
      <c r="C70" s="1927"/>
      <c r="D70" s="1937"/>
      <c r="E70" s="1927"/>
      <c r="F70" s="1931"/>
    </row>
    <row r="71">
      <c r="A71" s="1931"/>
      <c r="B71" s="1913" t="s">
        <v>11761</v>
      </c>
      <c r="C71" s="1914"/>
      <c r="D71" s="1914"/>
      <c r="E71" s="1914"/>
      <c r="F71" s="1915"/>
    </row>
    <row r="72">
      <c r="A72" s="1931"/>
      <c r="B72" s="1916"/>
      <c r="C72" s="1917"/>
      <c r="D72" s="1917"/>
      <c r="E72" s="1917"/>
      <c r="F72" s="1918"/>
    </row>
    <row r="73">
      <c r="A73" s="1931"/>
      <c r="B73" s="1938" t="s">
        <v>11801</v>
      </c>
      <c r="C73" s="1914"/>
      <c r="D73" s="1914"/>
      <c r="E73" s="1914"/>
      <c r="F73" s="1915"/>
    </row>
    <row r="74">
      <c r="A74" s="1931"/>
      <c r="B74" s="1916"/>
      <c r="C74" s="1917"/>
      <c r="D74" s="1917"/>
      <c r="E74" s="1917"/>
      <c r="F74" s="1918"/>
    </row>
    <row r="75">
      <c r="A75" s="1931"/>
      <c r="B75" s="1920" t="s">
        <v>11744</v>
      </c>
      <c r="C75" s="1921" t="s">
        <v>4350</v>
      </c>
      <c r="D75" s="1935" t="s">
        <v>11802</v>
      </c>
      <c r="E75" s="1921" t="s">
        <v>11746</v>
      </c>
      <c r="F75" s="1936">
        <v>44246.0</v>
      </c>
    </row>
    <row r="76">
      <c r="A76" s="1931"/>
      <c r="B76" s="1924" t="s">
        <v>11748</v>
      </c>
      <c r="C76" s="1921" t="s">
        <v>11791</v>
      </c>
      <c r="D76" s="1935" t="s">
        <v>11803</v>
      </c>
      <c r="E76" s="1921" t="s">
        <v>11793</v>
      </c>
      <c r="F76" s="1936">
        <v>43637.0</v>
      </c>
    </row>
    <row r="77">
      <c r="A77" s="1931"/>
      <c r="B77" s="1925" t="s">
        <v>11751</v>
      </c>
      <c r="C77" s="1927"/>
      <c r="D77" s="1937"/>
      <c r="E77" s="1927"/>
      <c r="F77" s="1931"/>
    </row>
    <row r="78">
      <c r="A78" s="1931"/>
      <c r="B78" s="1926" t="s">
        <v>11754</v>
      </c>
      <c r="C78" s="1927"/>
      <c r="D78" s="1937"/>
      <c r="E78" s="1927"/>
      <c r="F78" s="1931"/>
    </row>
    <row r="79">
      <c r="A79" s="1931"/>
      <c r="B79" s="1926" t="s">
        <v>11758</v>
      </c>
      <c r="C79" s="1927"/>
      <c r="D79" s="1937"/>
      <c r="E79" s="1927"/>
      <c r="F79" s="1931"/>
    </row>
    <row r="80">
      <c r="A80" s="1931"/>
      <c r="B80" s="1938" t="s">
        <v>11804</v>
      </c>
      <c r="C80" s="1914"/>
      <c r="D80" s="1914"/>
      <c r="E80" s="1914"/>
      <c r="F80" s="1915"/>
    </row>
    <row r="81">
      <c r="A81" s="1931"/>
      <c r="B81" s="1916"/>
      <c r="C81" s="1917"/>
      <c r="D81" s="1917"/>
      <c r="E81" s="1917"/>
      <c r="F81" s="1918"/>
    </row>
    <row r="82">
      <c r="A82" s="1931"/>
      <c r="B82" s="1920" t="s">
        <v>11744</v>
      </c>
      <c r="C82" s="1921" t="s">
        <v>6411</v>
      </c>
      <c r="D82" s="1935" t="s">
        <v>11805</v>
      </c>
      <c r="E82" s="1921" t="s">
        <v>11746</v>
      </c>
      <c r="F82" s="1936">
        <v>43592.0</v>
      </c>
    </row>
    <row r="83">
      <c r="A83" s="1931"/>
      <c r="B83" s="1924" t="s">
        <v>11748</v>
      </c>
      <c r="C83" s="1921" t="s">
        <v>11806</v>
      </c>
      <c r="D83" s="1935" t="s">
        <v>11807</v>
      </c>
      <c r="E83" s="1921" t="s">
        <v>11746</v>
      </c>
      <c r="F83" s="1936">
        <v>43396.0</v>
      </c>
    </row>
    <row r="84">
      <c r="A84" s="1931"/>
      <c r="B84" s="1925" t="s">
        <v>11751</v>
      </c>
      <c r="C84" s="1927"/>
      <c r="D84" s="1937"/>
      <c r="E84" s="1927"/>
      <c r="F84" s="1931"/>
    </row>
    <row r="85">
      <c r="A85" s="1931"/>
      <c r="B85" s="1926" t="s">
        <v>11754</v>
      </c>
      <c r="C85" s="1927"/>
      <c r="D85" s="1937"/>
      <c r="E85" s="1927"/>
      <c r="F85" s="1931"/>
    </row>
    <row r="86">
      <c r="A86" s="1931"/>
      <c r="B86" s="1926" t="s">
        <v>11758</v>
      </c>
      <c r="C86" s="1927"/>
      <c r="D86" s="1937"/>
      <c r="E86" s="1927"/>
      <c r="F86" s="1931"/>
    </row>
    <row r="87">
      <c r="A87" s="1931"/>
      <c r="B87" s="1913" t="s">
        <v>11763</v>
      </c>
      <c r="C87" s="1914"/>
      <c r="D87" s="1914"/>
      <c r="E87" s="1914"/>
      <c r="F87" s="1915"/>
    </row>
    <row r="88">
      <c r="A88" s="1931"/>
      <c r="B88" s="1916"/>
      <c r="C88" s="1917"/>
      <c r="D88" s="1917"/>
      <c r="E88" s="1917"/>
      <c r="F88" s="1918"/>
    </row>
    <row r="89">
      <c r="A89" s="1931"/>
      <c r="B89" s="1920" t="s">
        <v>11744</v>
      </c>
      <c r="C89" s="1939" t="s">
        <v>435</v>
      </c>
      <c r="D89" s="1935" t="s">
        <v>11808</v>
      </c>
      <c r="E89" s="1921" t="s">
        <v>11746</v>
      </c>
      <c r="F89" s="1936">
        <v>43457.0</v>
      </c>
    </row>
    <row r="90">
      <c r="A90" s="1931"/>
      <c r="B90" s="1924" t="s">
        <v>11748</v>
      </c>
      <c r="C90" s="1921" t="s">
        <v>2461</v>
      </c>
      <c r="D90" s="1940" t="s">
        <v>11809</v>
      </c>
      <c r="E90" s="1921" t="s">
        <v>11746</v>
      </c>
      <c r="F90" s="1936">
        <v>43925.0</v>
      </c>
    </row>
    <row r="91">
      <c r="A91" s="1931"/>
      <c r="B91" s="1925" t="s">
        <v>11751</v>
      </c>
      <c r="C91" s="1921" t="s">
        <v>4801</v>
      </c>
      <c r="D91" s="1935" t="s">
        <v>11810</v>
      </c>
      <c r="E91" s="1921" t="s">
        <v>11779</v>
      </c>
      <c r="F91" s="1936">
        <v>43433.0</v>
      </c>
    </row>
    <row r="92">
      <c r="A92" s="1931"/>
      <c r="B92" s="1926" t="s">
        <v>11754</v>
      </c>
      <c r="C92" s="1927"/>
      <c r="D92" s="1937"/>
      <c r="E92" s="1927"/>
      <c r="F92" s="1931"/>
    </row>
    <row r="93">
      <c r="A93" s="1931"/>
      <c r="B93" s="1926" t="s">
        <v>11758</v>
      </c>
      <c r="C93" s="1927"/>
      <c r="D93" s="1937"/>
      <c r="E93" s="1927"/>
      <c r="F93" s="1931"/>
    </row>
    <row r="94">
      <c r="A94" s="1931"/>
      <c r="B94" s="1913" t="s">
        <v>11765</v>
      </c>
      <c r="C94" s="1914"/>
      <c r="D94" s="1914"/>
      <c r="E94" s="1914"/>
      <c r="F94" s="1915"/>
    </row>
    <row r="95">
      <c r="A95" s="1931"/>
      <c r="B95" s="1916"/>
      <c r="C95" s="1917"/>
      <c r="D95" s="1917"/>
      <c r="E95" s="1917"/>
      <c r="F95" s="1918"/>
    </row>
    <row r="96">
      <c r="A96" s="1931"/>
      <c r="B96" s="1938" t="s">
        <v>11811</v>
      </c>
      <c r="C96" s="1914"/>
      <c r="D96" s="1914"/>
      <c r="E96" s="1914"/>
      <c r="F96" s="1915"/>
    </row>
    <row r="97">
      <c r="A97" s="1931"/>
      <c r="B97" s="1916"/>
      <c r="C97" s="1917"/>
      <c r="D97" s="1917"/>
      <c r="E97" s="1917"/>
      <c r="F97" s="1918"/>
    </row>
    <row r="98">
      <c r="A98" s="1931"/>
      <c r="B98" s="1920" t="s">
        <v>11744</v>
      </c>
      <c r="C98" s="1921" t="s">
        <v>11786</v>
      </c>
      <c r="D98" s="1935" t="s">
        <v>11812</v>
      </c>
      <c r="E98" s="1921" t="s">
        <v>11746</v>
      </c>
      <c r="F98" s="1936">
        <v>43862.0</v>
      </c>
    </row>
    <row r="99">
      <c r="A99" s="1931"/>
      <c r="B99" s="1924" t="s">
        <v>11748</v>
      </c>
      <c r="C99" s="1927"/>
      <c r="D99" s="1937"/>
      <c r="E99" s="1927"/>
      <c r="F99" s="1931"/>
    </row>
    <row r="100">
      <c r="A100" s="1931"/>
      <c r="B100" s="1925" t="s">
        <v>11751</v>
      </c>
      <c r="C100" s="1927"/>
      <c r="D100" s="1937"/>
      <c r="E100" s="1927"/>
      <c r="F100" s="1931"/>
    </row>
    <row r="101">
      <c r="A101" s="1931"/>
      <c r="B101" s="1926" t="s">
        <v>11754</v>
      </c>
      <c r="C101" s="1927"/>
      <c r="D101" s="1937"/>
      <c r="E101" s="1927"/>
      <c r="F101" s="1931"/>
    </row>
    <row r="102">
      <c r="A102" s="1931"/>
      <c r="B102" s="1926" t="s">
        <v>11758</v>
      </c>
      <c r="C102" s="1927"/>
      <c r="D102" s="1937"/>
      <c r="E102" s="1927"/>
      <c r="F102" s="1931"/>
    </row>
    <row r="103">
      <c r="A103" s="1931"/>
      <c r="B103" s="1938" t="s">
        <v>11813</v>
      </c>
      <c r="C103" s="1914"/>
      <c r="D103" s="1914"/>
      <c r="E103" s="1914"/>
      <c r="F103" s="1915"/>
    </row>
    <row r="104">
      <c r="A104" s="1931"/>
      <c r="B104" s="1916"/>
      <c r="C104" s="1917"/>
      <c r="D104" s="1917"/>
      <c r="E104" s="1917"/>
      <c r="F104" s="1918"/>
    </row>
    <row r="105">
      <c r="A105" s="1931"/>
      <c r="B105" s="1920" t="s">
        <v>11744</v>
      </c>
      <c r="C105" s="1921" t="s">
        <v>11786</v>
      </c>
      <c r="D105" s="1935" t="s">
        <v>11814</v>
      </c>
      <c r="E105" s="1921" t="s">
        <v>11746</v>
      </c>
      <c r="F105" s="1936">
        <v>43862.0</v>
      </c>
    </row>
    <row r="106">
      <c r="A106" s="1931"/>
      <c r="B106" s="1924" t="s">
        <v>11748</v>
      </c>
      <c r="C106" s="1941" t="s">
        <v>6333</v>
      </c>
      <c r="D106" s="1935" t="s">
        <v>11815</v>
      </c>
      <c r="E106" s="1921" t="s">
        <v>11793</v>
      </c>
      <c r="F106" s="1936">
        <v>43630.0</v>
      </c>
    </row>
    <row r="107">
      <c r="A107" s="1931"/>
      <c r="B107" s="1925" t="s">
        <v>11751</v>
      </c>
      <c r="C107" s="1927"/>
      <c r="D107" s="1937"/>
      <c r="E107" s="1927"/>
      <c r="F107" s="1931"/>
    </row>
    <row r="108">
      <c r="A108" s="1931"/>
      <c r="B108" s="1926" t="s">
        <v>11754</v>
      </c>
      <c r="C108" s="1927"/>
      <c r="D108" s="1937"/>
      <c r="E108" s="1927"/>
      <c r="F108" s="1931"/>
    </row>
    <row r="109">
      <c r="A109" s="1931"/>
      <c r="B109" s="1926" t="s">
        <v>11758</v>
      </c>
      <c r="C109" s="1927"/>
      <c r="D109" s="1937"/>
      <c r="E109" s="1927"/>
      <c r="F109" s="1931"/>
    </row>
    <row r="110">
      <c r="A110" s="1931"/>
      <c r="B110" s="1913" t="s">
        <v>11768</v>
      </c>
      <c r="C110" s="1914"/>
      <c r="D110" s="1914"/>
      <c r="E110" s="1914"/>
      <c r="F110" s="1915"/>
    </row>
    <row r="111">
      <c r="A111" s="1931"/>
      <c r="B111" s="1916"/>
      <c r="C111" s="1917"/>
      <c r="D111" s="1917"/>
      <c r="E111" s="1917"/>
      <c r="F111" s="1918"/>
    </row>
    <row r="112">
      <c r="A112" s="1931"/>
      <c r="B112" s="1920" t="s">
        <v>11744</v>
      </c>
      <c r="C112" s="1921" t="s">
        <v>5373</v>
      </c>
      <c r="D112" s="1935" t="s">
        <v>11816</v>
      </c>
      <c r="E112" s="1921" t="s">
        <v>11756</v>
      </c>
      <c r="F112" s="1936">
        <v>44132.0</v>
      </c>
    </row>
    <row r="113">
      <c r="A113" s="1931"/>
      <c r="B113" s="1924" t="s">
        <v>11748</v>
      </c>
      <c r="C113" s="1927"/>
      <c r="D113" s="1937"/>
      <c r="E113" s="1927"/>
      <c r="F113" s="1931"/>
    </row>
    <row r="114">
      <c r="A114" s="1931"/>
      <c r="B114" s="1925" t="s">
        <v>11751</v>
      </c>
      <c r="C114" s="1927"/>
      <c r="D114" s="1937"/>
      <c r="E114" s="1927"/>
      <c r="F114" s="1931"/>
    </row>
    <row r="115">
      <c r="A115" s="1931"/>
      <c r="B115" s="1926" t="s">
        <v>11754</v>
      </c>
      <c r="C115" s="1927"/>
      <c r="D115" s="1937"/>
      <c r="E115" s="1927"/>
      <c r="F115" s="1931"/>
    </row>
    <row r="116">
      <c r="A116" s="1931"/>
      <c r="B116" s="1926" t="s">
        <v>11758</v>
      </c>
      <c r="C116" s="1927"/>
      <c r="D116" s="1937"/>
      <c r="E116" s="1927"/>
      <c r="F116" s="1931"/>
    </row>
    <row r="117">
      <c r="A117" s="1931"/>
      <c r="B117" s="1913" t="s">
        <v>11771</v>
      </c>
      <c r="C117" s="1914"/>
      <c r="D117" s="1914"/>
      <c r="E117" s="1914"/>
      <c r="F117" s="1915"/>
    </row>
    <row r="118">
      <c r="A118" s="1931"/>
      <c r="B118" s="1916"/>
      <c r="C118" s="1917"/>
      <c r="D118" s="1917"/>
      <c r="E118" s="1917"/>
      <c r="F118" s="1918"/>
    </row>
    <row r="119">
      <c r="A119" s="1931"/>
      <c r="B119" s="1920" t="s">
        <v>11744</v>
      </c>
      <c r="C119" s="1921" t="s">
        <v>6395</v>
      </c>
      <c r="D119" s="1935" t="s">
        <v>11817</v>
      </c>
      <c r="E119" s="1921" t="s">
        <v>11746</v>
      </c>
      <c r="F119" s="1936">
        <v>43741.0</v>
      </c>
    </row>
    <row r="120">
      <c r="A120" s="1931"/>
      <c r="B120" s="1924" t="s">
        <v>11748</v>
      </c>
      <c r="C120" s="1921" t="s">
        <v>11818</v>
      </c>
      <c r="D120" s="1935" t="s">
        <v>11819</v>
      </c>
      <c r="E120" s="1921" t="s">
        <v>11779</v>
      </c>
      <c r="F120" s="1936">
        <v>43748.0</v>
      </c>
    </row>
    <row r="121">
      <c r="A121" s="1931"/>
      <c r="B121" s="1925" t="s">
        <v>11751</v>
      </c>
      <c r="C121" s="1921" t="s">
        <v>2190</v>
      </c>
      <c r="D121" s="1935" t="s">
        <v>11820</v>
      </c>
      <c r="E121" s="1921" t="s">
        <v>11793</v>
      </c>
      <c r="F121" s="1936">
        <v>43729.0</v>
      </c>
    </row>
    <row r="122">
      <c r="A122" s="1931"/>
      <c r="B122" s="1926" t="s">
        <v>11754</v>
      </c>
      <c r="C122" s="1939" t="s">
        <v>435</v>
      </c>
      <c r="D122" s="1935" t="s">
        <v>11821</v>
      </c>
      <c r="E122" s="1921" t="s">
        <v>11746</v>
      </c>
      <c r="F122" s="1936">
        <v>44470.0</v>
      </c>
    </row>
    <row r="123">
      <c r="A123" s="1931"/>
      <c r="B123" s="1926" t="s">
        <v>11758</v>
      </c>
      <c r="C123" s="1921" t="s">
        <v>5373</v>
      </c>
      <c r="D123" s="1935" t="s">
        <v>11822</v>
      </c>
      <c r="E123" s="1921" t="s">
        <v>11756</v>
      </c>
      <c r="F123" s="1936">
        <v>44020.0</v>
      </c>
    </row>
    <row r="124">
      <c r="A124" s="1942" t="s">
        <v>11823</v>
      </c>
      <c r="B124" s="1913" t="s">
        <v>11772</v>
      </c>
      <c r="C124" s="1914"/>
      <c r="D124" s="1914"/>
      <c r="E124" s="1914"/>
      <c r="F124" s="1915"/>
    </row>
    <row r="125">
      <c r="A125" s="1942" t="s">
        <v>11824</v>
      </c>
      <c r="B125" s="1916"/>
      <c r="C125" s="1917"/>
      <c r="D125" s="1917"/>
      <c r="E125" s="1917"/>
      <c r="F125" s="1918"/>
    </row>
    <row r="126">
      <c r="A126" s="1943"/>
      <c r="B126" s="1920" t="s">
        <v>11744</v>
      </c>
      <c r="C126" s="1921" t="s">
        <v>981</v>
      </c>
      <c r="D126" s="1944">
        <v>0.06525462962962963</v>
      </c>
      <c r="E126" s="1921" t="s">
        <v>11756</v>
      </c>
      <c r="F126" s="1923">
        <v>44652.0</v>
      </c>
    </row>
    <row r="127">
      <c r="A127" s="1943"/>
      <c r="B127" s="1924" t="s">
        <v>11748</v>
      </c>
      <c r="C127" s="1921" t="s">
        <v>4133</v>
      </c>
      <c r="D127" s="1944">
        <v>0.06892361111111112</v>
      </c>
      <c r="E127" s="1921" t="s">
        <v>11756</v>
      </c>
      <c r="F127" s="1923">
        <v>44652.0</v>
      </c>
    </row>
    <row r="128">
      <c r="A128" s="1943"/>
      <c r="B128" s="1925" t="s">
        <v>11751</v>
      </c>
      <c r="C128" s="1930" t="s">
        <v>5476</v>
      </c>
      <c r="D128" s="1945">
        <v>0.07195601851851852</v>
      </c>
      <c r="E128" s="1930" t="s">
        <v>11756</v>
      </c>
      <c r="F128" s="1936">
        <v>44652.0</v>
      </c>
    </row>
    <row r="129">
      <c r="A129" s="1943"/>
      <c r="B129" s="1926" t="s">
        <v>11754</v>
      </c>
      <c r="C129" s="1927" t="s">
        <v>11825</v>
      </c>
      <c r="D129" s="1946">
        <v>0.07211805555555556</v>
      </c>
      <c r="E129" s="1947" t="s">
        <v>11826</v>
      </c>
      <c r="F129" s="1936">
        <v>44652.0</v>
      </c>
    </row>
    <row r="130">
      <c r="A130" s="1943"/>
      <c r="B130" s="1926" t="s">
        <v>11758</v>
      </c>
      <c r="C130" s="1927"/>
      <c r="D130" s="1927"/>
      <c r="E130" s="1927"/>
      <c r="F130" s="1927"/>
    </row>
    <row r="131">
      <c r="A131" s="1948"/>
      <c r="B131" s="1913" t="s">
        <v>11773</v>
      </c>
      <c r="C131" s="1914"/>
      <c r="D131" s="1914"/>
      <c r="E131" s="1914"/>
      <c r="F131" s="1915"/>
    </row>
    <row r="132">
      <c r="A132" s="1943"/>
      <c r="B132" s="1916"/>
      <c r="C132" s="1917"/>
      <c r="D132" s="1917"/>
      <c r="E132" s="1917"/>
      <c r="F132" s="1918"/>
    </row>
    <row r="133">
      <c r="A133" s="1943"/>
      <c r="B133" s="1920" t="s">
        <v>11744</v>
      </c>
      <c r="C133" s="1921" t="s">
        <v>2461</v>
      </c>
      <c r="D133" s="1949" t="s">
        <v>11827</v>
      </c>
      <c r="E133" s="1921" t="s">
        <v>11746</v>
      </c>
      <c r="F133" s="1923">
        <v>45152.0</v>
      </c>
    </row>
    <row r="134">
      <c r="A134" s="1943"/>
      <c r="B134" s="1924" t="s">
        <v>11748</v>
      </c>
      <c r="C134" s="1921" t="s">
        <v>4264</v>
      </c>
      <c r="D134" s="1949" t="s">
        <v>11828</v>
      </c>
      <c r="E134" s="1921" t="s">
        <v>11746</v>
      </c>
      <c r="F134" s="1923">
        <v>44866.0</v>
      </c>
    </row>
    <row r="135">
      <c r="A135" s="1943"/>
      <c r="B135" s="1925" t="s">
        <v>11751</v>
      </c>
      <c r="C135" s="1927"/>
      <c r="D135" s="1946"/>
      <c r="E135" s="1947"/>
      <c r="F135" s="1936"/>
    </row>
    <row r="136">
      <c r="A136" s="1943"/>
      <c r="B136" s="1926" t="s">
        <v>11754</v>
      </c>
      <c r="C136" s="1927"/>
      <c r="D136" s="1946"/>
      <c r="E136" s="1947"/>
      <c r="F136" s="1936"/>
    </row>
    <row r="137">
      <c r="A137" s="1943"/>
      <c r="B137" s="1926" t="s">
        <v>11758</v>
      </c>
      <c r="C137" s="1927"/>
      <c r="D137" s="1927"/>
      <c r="E137" s="1927"/>
      <c r="F137" s="1927"/>
    </row>
    <row r="138">
      <c r="A138" s="1943"/>
      <c r="B138" s="1913" t="s">
        <v>11829</v>
      </c>
      <c r="C138" s="1914"/>
      <c r="D138" s="1914"/>
      <c r="E138" s="1914"/>
      <c r="F138" s="1915"/>
    </row>
    <row r="139">
      <c r="A139" s="1943"/>
      <c r="B139" s="1916"/>
      <c r="C139" s="1917"/>
      <c r="D139" s="1917"/>
      <c r="E139" s="1917"/>
      <c r="F139" s="1918"/>
    </row>
    <row r="140">
      <c r="A140" s="1943"/>
      <c r="B140" s="1920" t="s">
        <v>11744</v>
      </c>
      <c r="C140" s="1921" t="s">
        <v>2461</v>
      </c>
      <c r="D140" s="1950">
        <v>0.1396990740740741</v>
      </c>
      <c r="E140" s="1921" t="s">
        <v>11746</v>
      </c>
      <c r="F140" s="1923">
        <v>45998.0</v>
      </c>
    </row>
    <row r="141">
      <c r="A141" s="1943"/>
      <c r="B141" s="1924" t="s">
        <v>11748</v>
      </c>
      <c r="C141" s="1921"/>
      <c r="D141" s="1951"/>
      <c r="E141" s="1921"/>
      <c r="F141" s="1923"/>
    </row>
    <row r="142">
      <c r="A142" s="1943"/>
      <c r="B142" s="1925" t="s">
        <v>11751</v>
      </c>
      <c r="C142" s="1927"/>
      <c r="D142" s="1946"/>
      <c r="E142" s="1947"/>
      <c r="F142" s="1936"/>
    </row>
    <row r="143">
      <c r="A143" s="1943"/>
      <c r="B143" s="1926" t="s">
        <v>11754</v>
      </c>
      <c r="C143" s="1927"/>
      <c r="D143" s="1946"/>
      <c r="E143" s="1947"/>
      <c r="F143" s="1936"/>
    </row>
    <row r="144">
      <c r="A144" s="1943"/>
      <c r="B144" s="1926" t="s">
        <v>11758</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