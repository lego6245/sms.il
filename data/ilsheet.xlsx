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rip old ropes IL rta sheet will never be the same</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<sst xmlns="http://schemas.openxmlformats.org/spreadsheetml/2006/main" count="26906" uniqueCount="11156">
  <si>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</si>
  <si>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</si>
  <si>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</si>
  <si>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</si>
  <si>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</si>
  <si>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</si>
  <si>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</si>
  <si>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</si>
  <si>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</si>
  <si>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</si>
  <si>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</si>
  <si>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</si>
  <si>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</si>
  <si>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</si>
  <si>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</si>
  <si>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</si>
  <si>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</si>
  <si>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</si>
  <si>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</si>
  <si>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</si>
  <si>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</si>
  <si>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</si>
  <si>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</si>
  <si>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</si>
  <si>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</si>
  <si>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</si>
  <si>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</si>
  <si>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</si>
  <si>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</si>
  <si>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</si>
  <si>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</si>
  <si>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</si>
  <si>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</si>
  <si>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</si>
  <si>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</si>
  <si>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</si>
  <si>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</si>
  <si>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</si>
  <si>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</si>
  <si>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</si>
  <si>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</si>
  <si>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</si>
  <si>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</si>
  <si>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</si>
  <si>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</si>
  <si>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</si>
  <si>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</si>
  <si>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</si>
  <si>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</si>
  <si>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</si>
  <si>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</si>
  <si>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</si>
  <si>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</si>
  <si>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</si>
  <si>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</si>
  <si>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</si>
  <si>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</si>
  <si>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</si>
  <si>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</si>
  <si>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</si>
  <si>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</si>
  <si>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</si>
  <si>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</si>
  <si>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</si>
  <si>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</si>
  <si>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</si>
  <si>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</si>
  <si>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</si>
  <si>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</si>
  <si>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</si>
  <si>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</si>
  <si>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</si>
  <si>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</si>
  <si>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</si>
  <si>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</si>
  <si>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</si>
  <si>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</si>
  <si>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</si>
  <si>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</si>
  <si>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</si>
  <si>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</si>
  <si>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</si>
  <si>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</si>
  <si>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</si>
  <si>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</si>
  <si>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</si>
  <si>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</si>
  <si>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</si>
  <si>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</si>
  <si>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</si>
  <si>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</si>
  <si>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</si>
  <si>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</si>
  <si>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</si>
  <si>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</si>
  <si>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</si>
  <si>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</si>
  <si>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</si>
  <si>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</si>
  <si>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</si>
  <si>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</si>
  <si>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</si>
  <si>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</si>
  <si>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</si>
  <si>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</si>
  <si>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</si>
  <si>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</si>
  <si>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</si>
  <si>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</si>
  <si>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</si>
  <si>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</si>
  <si>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</si>
  <si>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</si>
  <si>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</si>
  <si>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</si>
  <si>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</si>
  <si>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</si>
  <si>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</si>
  <si>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</si>
  <si>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</si>
  <si>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</si>
  <si>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</si>
  <si>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</si>
  <si>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</si>
  <si>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</si>
  <si>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</si>
  <si>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</si>
  <si>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</si>
  <si>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</si>
  <si>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</si>
  <si>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</si>
  <si>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</si>
  <si>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</si>
  <si>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</si>
  <si>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</si>
  <si>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</si>
  <si>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</si>
  <si>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</si>
  <si>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</si>
  <si>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</si>
  <si>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</si>
  <si>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</si>
  <si>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</si>
  <si>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</si>
  <si>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</si>
  <si>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</si>
  <si>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</si>
  <si>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</si>
  <si>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</si>
  <si>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</si>
  <si>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</si>
  <si>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</si>
  <si>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</si>
  <si>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</si>
  <si>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</si>
  <si>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</si>
  <si>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</si>
  <si>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</si>
  <si>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</si>
  <si>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</si>
  <si>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</si>
  <si>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</si>
  <si>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</si>
  <si>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</si>
  <si>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</si>
  <si>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</si>
  <si>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</si>
  <si>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</si>
  <si>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</si>
  <si>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</si>
  <si>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</si>
  <si>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</si>
  <si>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</si>
  <si>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</si>
  <si>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</si>
  <si>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</si>
  <si>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</si>
  <si>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</si>
  <si>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</si>
  <si>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</si>
  <si>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</si>
  <si>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</si>
  <si>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</si>
  <si>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</si>
  <si>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</si>
  <si>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</si>
  <si>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</si>
  <si>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</si>
  <si>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</si>
  <si>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</si>
  <si>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</si>
  <si>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</si>
  <si>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</si>
  <si>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</si>
  <si>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</si>
  <si>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</si>
  <si>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</si>
  <si>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</si>
  <si>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</si>
  <si>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</si>
  <si>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</si>
  <si>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</si>
  <si>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</si>
  <si>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</si>
  <si>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</si>
  <si>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</si>
  <si>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</si>
  <si>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</si>
  <si>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</si>
  <si>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</si>
  <si>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</si>
  <si>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</si>
  <si>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</si>
  <si>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</si>
  <si>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</si>
  <si>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</si>
  <si>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</si>
  <si>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</si>
  <si>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</si>
  <si>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</si>
  <si>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</si>
  <si>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</si>
  <si>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</si>
  <si>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</si>
  <si>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</si>
  <si>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</si>
  <si>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</si>
  <si>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</si>
  <si>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</si>
  <si>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</si>
  <si>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</si>
  <si>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</si>
  <si>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</si>
  <si>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</si>
  <si>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</si>
  <si>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</si>
  <si>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</si>
  <si>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</si>
  <si>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</si>
  <si>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</si>
  <si>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</si>
  <si>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</si>
  <si>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</si>
  <si>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</si>
  <si>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</si>
  <si>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</si>
  <si>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</si>
  <si>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</si>
  <si>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</si>
  <si>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</si>
  <si>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</si>
  <si>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</si>
  <si>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</si>
  <si>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</si>
  <si>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</si>
  <si>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</si>
  <si>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</si>
  <si>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</si>
  <si>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</si>
  <si>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</si>
  <si>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</si>
  <si>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</si>
  <si>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</si>
  <si>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</si>
  <si>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</si>
  <si>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</si>
  <si>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</si>
  <si>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</si>
  <si>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</si>
  <si>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</si>
  <si>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</si>
  <si>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</si>
  <si>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</si>
  <si>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</si>
  <si>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</si>
  <si>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</si>
  <si>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</si>
  <si>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</si>
  <si>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</si>
  <si>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</si>
  <si>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</si>
  <si>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</si>
  <si>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</si>
  <si>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</si>
  <si>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</si>
  <si>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</si>
  <si>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</si>
  <si>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</si>
  <si>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</si>
  <si>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</si>
  <si>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</si>
  <si>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</si>
  <si>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</si>
  <si>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</si>
  <si>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</si>
  <si>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</si>
  <si>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</si>
  <si>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</si>
  <si>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</si>
  <si>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</si>
  <si>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</si>
  <si>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</si>
  <si>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</si>
  <si>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</si>
  <si>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</si>
  <si>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</si>
  <si>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</si>
  <si>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</si>
  <si>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</si>
  <si>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</si>
  <si>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</si>
  <si>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</si>
  <si>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</si>
  <si>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</si>
  <si>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</si>
  <si>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</si>
  <si>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</si>
  <si>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</si>
  <si>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</si>
  <si>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</si>
  <si>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</si>
  <si>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</si>
  <si>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</si>
  <si>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</si>
  <si>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</si>
  <si>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</si>
  <si>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</si>
  <si>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</si>
  <si>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</si>
  <si>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</si>
  <si>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</si>
  <si>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</si>
  <si>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</si>
  <si>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</si>
  <si>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</si>
  <si>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</si>
  <si>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</si>
  <si>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</si>
  <si>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</si>
  <si>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</si>
  <si>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</si>
  <si>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</si>
  <si>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</si>
  <si>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</si>
  <si>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</si>
  <si>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</si>
  <si>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</si>
  <si>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</si>
  <si>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</si>
  <si>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</si>
  <si>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</si>
  <si>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</si>
  <si>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</si>
  <si>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</si>
  <si>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</si>
  <si>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</si>
  <si>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</si>
  <si>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</si>
  <si>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</si>
  <si>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</si>
  <si>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</si>
  <si>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</si>
  <si>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</si>
  <si>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</si>
  <si>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</si>
  <si>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</si>
  <si>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</si>
  <si>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</si>
  <si>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</si>
  <si>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</si>
  <si>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</si>
  <si>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</si>
  <si>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</si>
  <si>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</si>
  <si>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</si>
  <si>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</si>
  <si>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</si>
  <si>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</si>
  <si>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</si>
  <si>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</si>
  <si>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</si>
  <si>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</si>
  <si>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</si>
  <si>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</si>
  <si>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</si>
  <si>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</si>
  <si>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</si>
  <si>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</si>
  <si>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</si>
  <si>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</si>
  <si>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</si>
  <si>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</si>
  <si>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</si>
  <si>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</si>
  <si>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</si>
  <si>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</si>
  <si>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</si>
  <si>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</si>
  <si>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</si>
  <si>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</si>
  <si>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</si>
  <si>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</si>
  <si>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</si>
  <si>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</si>
  <si>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</si>
  <si>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</si>
  <si>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</si>
  <si>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</si>
  <si>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</si>
  <si>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</si>
  <si>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</si>
  <si>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</si>
  <si>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</si>
  <si>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</si>
  <si>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</si>
  <si>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</si>
  <si>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</si>
  <si>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</si>
  <si>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</si>
  <si>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</si>
  <si>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</si>
  <si>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</si>
  <si>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</si>
  <si>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</si>
  <si>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</si>
  <si>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</si>
  <si>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</si>
  <si>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</si>
  <si>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</si>
  <si>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</si>
  <si>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</si>
  <si>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</si>
  <si>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</si>
  <si>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</si>
  <si>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</si>
  <si>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</si>
  <si>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</si>
  <si>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</si>
  <si>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</si>
  <si>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</si>
  <si>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</si>
  <si>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</si>
  <si>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</si>
  <si>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</si>
  <si>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</si>
  <si>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</si>
  <si>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</si>
  <si>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</si>
  <si>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</si>
  <si>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</si>
  <si>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</si>
  <si>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</si>
  <si>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</si>
  <si>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</si>
  <si>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</si>
  <si>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</si>
  <si>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</si>
  <si>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</si>
  <si>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</si>
  <si>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</si>
  <si>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</si>
  <si>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</si>
  <si>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</si>
  <si>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</si>
  <si>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</si>
  <si>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</si>
  <si>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</si>
  <si>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</si>
  <si>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</si>
  <si>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</si>
  <si>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</si>
  <si>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</si>
  <si>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</si>
  <si>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</si>
  <si>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</si>
  <si>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</si>
  <si>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</si>
  <si>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</si>
  <si>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</si>
  <si>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</si>
  <si>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</si>
  <si>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</si>
  <si>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</si>
  <si>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</si>
  <si>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</si>
  <si>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</si>
  <si>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</si>
  <si>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</si>
  <si>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</si>
  <si>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</si>
  <si>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</si>
  <si>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</si>
  <si>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</si>
  <si>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</si>
  <si>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</si>
  <si>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</si>
  <si>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</si>
  <si>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</si>
  <si>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</si>
  <si>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</si>
  <si>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</si>
  <si>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</si>
  <si>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</si>
  <si>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</si>
  <si>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</si>
  <si>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</si>
  <si>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</si>
  <si>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</si>
  <si>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</si>
  <si>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</si>
  <si>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</si>
  <si>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</si>
  <si>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</si>
  <si>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</si>
  <si>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</si>
  <si>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</si>
  <si>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</si>
  <si>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</si>
  <si>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</si>
  <si>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</si>
  <si>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</si>
  <si>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</si>
  <si>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</si>
  <si>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</si>
  <si>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</si>
  <si>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</si>
  <si>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</si>
  <si>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</si>
  <si>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</si>
  <si>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</si>
  <si>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</si>
  <si>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</si>
  <si>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</si>
  <si>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</si>
  <si>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</si>
  <si>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</si>
  <si>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</si>
  <si>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</si>
  <si>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</si>
  <si>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</si>
  <si>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</si>
  <si>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</si>
  <si>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</si>
  <si>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</si>
  <si>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</si>
  <si>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</si>
  <si>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</si>
  <si>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</si>
  <si>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</si>
  <si>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</si>
  <si>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</si>
  <si>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</si>
  <si>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</si>
  <si>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</si>
  <si>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</si>
  <si>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</si>
  <si>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</si>
  <si>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</si>
  <si>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</si>
  <si>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</si>
  <si>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</si>
  <si>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</si>
  <si>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</si>
  <si>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</si>
  <si>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</si>
  <si>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</si>
  <si>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</si>
  <si>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</si>
  <si>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</si>
  <si>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</si>
  <si>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</si>
  <si>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</si>
  <si>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</si>
  <si>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</si>
  <si>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</si>
  <si>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</si>
  <si>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</si>
  <si>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</si>
  <si>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</si>
  <si>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</si>
  <si>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</si>
  <si>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</si>
  <si>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</si>
  <si>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</si>
  <si>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</si>
  <si>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</si>
  <si>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</si>
  <si>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</si>
  <si>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</si>
  <si>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</si>
  <si>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</si>
  <si>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</si>
  <si>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</si>
  <si>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</si>
  <si>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</si>
  <si>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</si>
  <si>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</si>
  <si>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</si>
  <si>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</si>
  <si>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</si>
  <si>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</si>
  <si>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</si>
  <si>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</si>
  <si>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</si>
  <si>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</si>
  <si>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</si>
  <si>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</si>
  <si>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</si>
  <si>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</si>
  <si>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</si>
  <si>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</si>
  <si>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</si>
  <si>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</si>
  <si>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</si>
  <si>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</si>
  <si>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</si>
  <si>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</si>
  <si>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</si>
  <si>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</si>
  <si>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</si>
  <si>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</si>
  <si>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</si>
  <si>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</si>
  <si>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</si>
  <si>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</si>
  <si>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</si>
  <si>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</si>
  <si>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</si>
  <si>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</si>
  <si>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</si>
  <si>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</si>
  <si>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</si>
  <si>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</si>
  <si>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</si>
  <si>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</si>
  <si>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</si>
  <si>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</si>
  <si>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</si>
  <si>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</si>
  <si>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</si>
  <si>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</si>
  <si>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</si>
  <si>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</si>
  <si>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</si>
  <si>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</si>
  <si>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</si>
  <si>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</si>
  <si>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</si>
  <si>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</si>
  <si>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</si>
  <si>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</si>
  <si>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</si>
  <si>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</si>
  <si>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</si>
  <si>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</si>
  <si>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</si>
  <si>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</si>
  <si>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</si>
  <si>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</si>
  <si>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</si>
  <si>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</si>
  <si>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</si>
  <si>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</si>
  <si>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</si>
  <si>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</si>
  <si>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</si>
  <si>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</si>
  <si>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</si>
  <si>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</si>
  <si>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</si>
  <si>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</si>
  <si>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</si>
  <si>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</si>
  <si>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</si>
  <si>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</si>
  <si>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</si>
  <si>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</si>
  <si>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</si>
  <si>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</si>
  <si>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</si>
  <si>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</si>
  <si>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</si>
  <si>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</si>
  <si>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</si>
  <si>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</si>
  <si>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</si>
  <si>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</si>
  <si>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</si>
  <si>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</si>
  <si>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</si>
  <si>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</si>
  <si>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</si>
  <si>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</si>
  <si>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</si>
  <si>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</si>
  <si>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</si>
  <si>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</si>
  <si>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</si>
  <si>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</si>
  <si>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</si>
  <si>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</si>
  <si>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</si>
  <si>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</si>
  <si>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</si>
  <si>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</si>
  <si>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</si>
  <si>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</si>
  <si>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</si>
  <si>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</si>
  <si>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</si>
  <si>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</si>
  <si>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</si>
  <si>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</si>
  <si>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</si>
  <si>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</si>
  <si>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</si>
  <si>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</si>
  <si>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</si>
  <si>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</si>
  <si>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</si>
  <si>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</si>
  <si>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</si>
  <si>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</si>
  <si>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</si>
  <si>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</si>
  <si>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</si>
  <si>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</si>
  <si>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</si>
  <si>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</si>
  <si>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</si>
  <si>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</si>
  <si>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</si>
  <si>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</si>
  <si>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</si>
  <si>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</si>
  <si>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</si>
  <si>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</si>
  <si>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</si>
  <si>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</si>
  <si>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</si>
  <si>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</si>
  <si>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</si>
  <si>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</si>
  <si>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</si>
  <si>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</si>
  <si>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</si>
  <si>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</si>
  <si>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</si>
  <si>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</si>
  <si>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</si>
  <si>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</si>
  <si>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</si>
  <si>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</si>
  <si>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</si>
  <si>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</si>
  <si>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</si>
  <si>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</si>
  <si>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</si>
  <si>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</si>
  <si>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</si>
  <si>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</si>
  <si>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</si>
  <si>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</si>
  <si>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</si>
  <si>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</si>
  <si>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</si>
  <si>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</si>
  <si>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</si>
  <si>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</si>
  <si>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</si>
  <si>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</si>
  <si>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</si>
  <si>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</si>
  <si>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</si>
  <si>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</si>
  <si>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</si>
  <si>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</si>
  <si>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</si>
  <si>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</si>
  <si>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</si>
  <si>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</si>
  <si>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</si>
  <si>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</si>
  <si>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</si>
  <si>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</si>
  <si>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</si>
  <si>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</si>
  <si>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</si>
  <si>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</si>
  <si>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</si>
  <si>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</si>
  <si>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</si>
  <si>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</si>
  <si>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</si>
  <si>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</si>
  <si>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</si>
  <si>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</si>
  <si>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</si>
  <si>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</si>
  <si>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</si>
  <si>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</si>
  <si>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</si>
  <si>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</si>
  <si>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</si>
  <si>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</si>
  <si>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</si>
  <si>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</si>
  <si>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</si>
  <si>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</si>
  <si>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</si>
  <si>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</si>
  <si>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</si>
  <si>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</si>
  <si>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</si>
  <si>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</si>
  <si>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</si>
  <si>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</si>
  <si>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</si>
  <si>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</si>
  <si>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</si>
  <si>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</si>
  <si>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</si>
  <si>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</si>
  <si>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</si>
  <si>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</si>
  <si>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</si>
  <si>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</si>
  <si>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</si>
  <si>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</si>
  <si>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</si>
  <si>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</si>
  <si>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</si>
  <si>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</si>
  <si>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</si>
  <si>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</si>
  <si>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</si>
  <si>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</si>
  <si>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</si>
  <si>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</si>
  <si>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</si>
  <si>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</si>
  <si>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</si>
  <si>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</si>
  <si>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</si>
  <si>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</si>
  <si>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</si>
  <si>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</si>
  <si>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</si>
  <si>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</si>
  <si>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</si>
  <si>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</si>
  <si>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</si>
  <si>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</si>
  <si>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</si>
  <si>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</si>
  <si>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</si>
  <si>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</si>
  <si>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</si>
  <si>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</si>
  <si>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</si>
  <si>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</si>
  <si>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</si>
  <si>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</si>
  <si>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</si>
  <si>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</si>
  <si>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</si>
  <si>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</si>
  <si>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</si>
  <si>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</si>
  <si>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</si>
  <si>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</si>
  <si>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</si>
  <si>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</si>
  <si>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</si>
  <si>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</si>
  <si>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</si>
  <si>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</si>
  <si>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</si>
  <si>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</si>
  <si>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</si>
  <si>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</si>
  <si>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</si>
  <si>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</si>
  <si>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</si>
  <si>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</si>
  <si>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</si>
  <si>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</si>
  <si>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</si>
  <si>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</si>
  <si>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</si>
  <si>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</si>
  <si>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</si>
  <si>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</si>
  <si>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</si>
  <si>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</si>
  <si>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</si>
  <si>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</si>
  <si>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</si>
  <si>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</si>
  <si>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</si>
  <si>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</si>
  <si>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</si>
  <si>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</si>
  <si>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</si>
  <si>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</si>
  <si>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</si>
  <si>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</si>
  <si>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</si>
  <si>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</si>
  <si>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</si>
  <si>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</si>
  <si>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</si>
  <si>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</si>
  <si>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</si>
  <si>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</si>
  <si>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</si>
  <si>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</si>
  <si>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</si>
  <si>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</si>
  <si>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</si>
  <si>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</si>
  <si>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</si>
  <si>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</si>
  <si>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</si>
  <si>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</si>
  <si>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</si>
  <si>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</si>
  <si>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</si>
  <si>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</si>
  <si>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</si>
  <si>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</si>
  <si>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</si>
  <si>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</si>
  <si>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</si>
  <si>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</si>
  <si>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</si>
  <si>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</si>
  <si>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</si>
  <si>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</si>
  <si>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</si>
  <si>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</si>
  <si>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</si>
  <si>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</si>
  <si>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</si>
  <si>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</si>
  <si>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</si>
  <si>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</si>
  <si>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</si>
  <si>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</si>
  <si>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</si>
  <si>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</si>
  <si>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</si>
  <si>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</si>
  <si>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</si>
  <si>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</si>
  <si>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</si>
  <si>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</si>
  <si>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</si>
  <si>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</si>
  <si>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</si>
  <si>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</si>
  <si>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</si>
  <si>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</si>
  <si>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</si>
  <si>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</si>
  <si>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</si>
  <si>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</si>
  <si>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</si>
  <si>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</si>
  <si>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</si>
  <si>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</si>
  <si>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</si>
  <si>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</si>
  <si>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</si>
  <si>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</si>
  <si>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</si>
  <si>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</si>
  <si>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</si>
  <si>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</si>
  <si>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</si>
  <si>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</si>
  <si>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</si>
  <si>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</si>
  <si>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</si>
  <si>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</si>
  <si>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</si>
  <si>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</si>
  <si>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</si>
  <si>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</si>
  <si>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</si>
  <si>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</si>
  <si>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</si>
  <si>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</si>
  <si>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</si>
  <si>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</si>
  <si>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</si>
  <si>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</si>
  <si>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</si>
  <si>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</si>
  <si>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</si>
  <si>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</si>
  <si>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</si>
  <si>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</si>
  <si>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</si>
  <si>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</si>
  <si>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</si>
  <si>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</si>
  <si>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</si>
  <si>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</si>
  <si>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</si>
  <si>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</si>
  <si>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</si>
  <si>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</si>
  <si>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</si>
  <si>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</si>
  <si>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</si>
  <si>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</si>
  <si>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</si>
  <si>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</si>
  <si>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</si>
  <si>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</si>
  <si>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</si>
  <si>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</si>
  <si>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</si>
  <si>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</si>
  <si>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</si>
  <si>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</si>
  <si>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</si>
  <si>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</si>
  <si>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</si>
  <si>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</si>
  <si>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</si>
  <si>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</si>
  <si>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</si>
  <si>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</si>
  <si>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</si>
  <si>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</si>
  <si>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</si>
  <si>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</si>
  <si>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</si>
  <si>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</si>
  <si>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</si>
  <si>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</si>
  <si>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</si>
  <si>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</si>
  <si>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</si>
  <si>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</si>
  <si>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</si>
  <si>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</si>
  <si>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</si>
  <si>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</si>
  <si>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</si>
  <si>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</si>
  <si>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</si>
  <si>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</si>
  <si>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</si>
  <si>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</si>
  <si>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</si>
  <si>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</si>
  <si>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</si>
  <si>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</si>
  <si>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</si>
  <si>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</si>
  <si>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</si>
  <si>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</si>
  <si>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</si>
  <si>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</si>
  <si>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</si>
  <si>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</si>
  <si>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</si>
  <si>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</si>
  <si>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</si>
  <si>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</si>
  <si>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</si>
  <si>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</si>
  <si>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</si>
  <si>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</si>
  <si>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</si>
  <si>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</si>
  <si>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</si>
  <si>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</si>
  <si>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</si>
  <si>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</si>
  <si>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</si>
  <si>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</si>
  <si>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</si>
  <si>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</si>
  <si>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</si>
  <si>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</si>
  <si>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</si>
  <si>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</si>
  <si>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</si>
  <si>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</si>
  <si>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</si>
  <si>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</si>
  <si>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</si>
  <si>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</si>
  <si>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</si>
  <si>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</si>
  <si>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</si>
  <si>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</si>
  <si>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</si>
  <si>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</si>
  <si>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</si>
  <si>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</si>
  <si>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</si>
  <si>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</si>
  <si>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</si>
  <si>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</si>
  <si>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</si>
  <si>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</si>
  <si>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</si>
  <si>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</si>
  <si>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</si>
  <si>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</si>
  <si>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</si>
  <si>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</si>
  <si>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</si>
  <si>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</si>
  <si>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</si>
  <si>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</si>
  <si>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</si>
  <si>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</si>
  <si>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</si>
  <si>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</si>
  <si>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</si>
  <si>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</si>
  <si>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</si>
  <si>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</si>
  <si>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</si>
  <si>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</si>
  <si>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</si>
  <si>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</si>
  <si>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</si>
  <si>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</si>
  <si>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</si>
  <si>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</si>
  <si>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</si>
  <si>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</si>
  <si>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</si>
  <si>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</si>
  <si>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</si>
  <si>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</si>
  <si>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</si>
  <si>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</si>
  <si>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</si>
  <si>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</si>
  <si>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</si>
  <si>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</si>
  <si>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</si>
  <si>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</si>
  <si>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</si>
  <si>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</si>
  <si>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</si>
  <si>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</si>
  <si>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</si>
  <si>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</si>
  <si>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</si>
  <si>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</si>
  <si>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</si>
  <si>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</si>
  <si>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</si>
  <si>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</si>
  <si>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</si>
  <si>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</si>
  <si>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</si>
  <si>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</si>
  <si>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</si>
  <si>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</si>
  <si>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</si>
  <si>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</si>
  <si>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</si>
  <si>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</si>
  <si>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</si>
  <si>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</si>
  <si>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</si>
  <si>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</si>
  <si>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</si>
  <si>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</si>
  <si>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</si>
  <si>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</si>
  <si>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</si>
  <si>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</si>
  <si>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</si>
  <si>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</si>
  <si>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</si>
  <si>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</si>
  <si>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</si>
  <si>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</si>
  <si>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</si>
  <si>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</si>
  <si>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</si>
  <si>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</si>
  <si>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</si>
  <si>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</si>
  <si>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</si>
  <si>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</si>
  <si>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</si>
  <si>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</si>
  <si>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</si>
  <si>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</si>
  <si>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</si>
  <si>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</si>
  <si>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</si>
  <si>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</si>
  <si>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</si>
  <si>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</si>
  <si>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</si>
  <si>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</si>
  <si>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</si>
  <si>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</si>
  <si>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</si>
  <si>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</si>
  <si>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</si>
  <si>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</si>
  <si>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</si>
  <si>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</si>
  <si>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</si>
  <si>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</si>
  <si>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</si>
  <si>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</si>
  <si>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</si>
  <si>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</si>
  <si>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</si>
  <si>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</si>
  <si>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</si>
  <si>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</si>
  <si>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</si>
  <si>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</si>
  <si>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</si>
  <si>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</si>
  <si>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</si>
  <si>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</si>
  <si>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</si>
  <si>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</si>
  <si>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</si>
  <si>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</si>
  <si>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</si>
  <si>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</si>
  <si>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</si>
  <si>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</si>
  <si>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</si>
  <si>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</si>
  <si>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</si>
  <si>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</si>
  <si>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</si>
  <si>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</si>
  <si>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</si>
  <si>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</si>
  <si>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</si>
  <si>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</si>
  <si>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</si>
  <si>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</si>
  <si>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</si>
  <si>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</si>
  <si>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</si>
  <si>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</si>
  <si>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</si>
  <si>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</si>
  <si>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</si>
  <si>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</si>
  <si>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</si>
  <si>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</si>
  <si>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</si>
  <si>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</si>
  <si>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</si>
  <si>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</si>
  <si>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</si>
  <si>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</si>
  <si>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</si>
  <si>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</si>
  <si>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</si>
  <si>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</si>
  <si>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</si>
  <si>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</si>
  <si>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</si>
  <si>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</si>
  <si>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</si>
  <si>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</si>
  <si>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</si>
  <si>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</si>
  <si>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</si>
  <si>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</si>
  <si>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</si>
  <si>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</si>
  <si>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</si>
  <si>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</si>
  <si>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</si>
  <si>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</si>
  <si>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</si>
  <si>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</si>
  <si>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</si>
  <si>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</si>
  <si>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</si>
  <si>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</si>
  <si>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</si>
  <si>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</si>
  <si>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</si>
  <si>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</si>
  <si>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</si>
  <si>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</si>
  <si>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</si>
  <si>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</si>
  <si>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</si>
  <si>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</si>
  <si>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</si>
  <si>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</si>
  <si>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</si>
  <si>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</si>
  <si>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</si>
  <si>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</si>
  <si>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</si>
  <si>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</si>
  <si>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</si>
  <si>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</si>
  <si>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</si>
  <si>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</si>
  <si>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</si>
  <si>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</si>
  <si>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</si>
  <si>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</si>
  <si>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</si>
  <si>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</si>
  <si>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</si>
  <si>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</si>
  <si>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</si>
  <si>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</si>
  <si>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</si>
  <si>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</si>
  <si>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</si>
  <si>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</si>
  <si>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</si>
  <si>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</si>
  <si>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</si>
  <si>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</si>
  <si>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</si>
  <si>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</si>
  <si>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</si>
  <si>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</si>
  <si>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</si>
  <si>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</si>
  <si>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</si>
  <si>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</si>
  <si>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</si>
  <si>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</si>
  <si>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</si>
  <si>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</si>
  <si>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</si>
  <si>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</si>
  <si>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</si>
  <si>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</si>
  <si>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</si>
  <si>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</si>
  <si>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</si>
  <si>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</si>
  <si>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</si>
  <si>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</si>
  <si>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</si>
  <si>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</si>
  <si>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</si>
  <si>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</si>
  <si>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</si>
  <si>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</si>
  <si>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</si>
  <si>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</si>
  <si>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</si>
  <si>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</si>
  <si>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</si>
  <si>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</si>
  <si>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</si>
  <si>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</si>
  <si>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</si>
  <si>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</si>
  <si>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</si>
  <si>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</si>
  <si>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</si>
  <si>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</si>
  <si>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</si>
  <si>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</si>
  <si>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</si>
  <si>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</si>
  <si>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</si>
  <si>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</si>
  <si>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</si>
  <si>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</si>
  <si>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</si>
  <si>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</si>
  <si>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</si>
  <si>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</si>
  <si>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</si>
  <si>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</si>
  <si>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</si>
  <si>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</si>
  <si>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</si>
  <si>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</si>
  <si>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</si>
  <si>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</si>
  <si>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</si>
  <si>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</si>
  <si>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</si>
  <si>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</si>
  <si>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</si>
  <si>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</si>
  <si>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</si>
  <si>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</si>
  <si>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</si>
  <si>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</si>
  <si>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</si>
  <si>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</si>
  <si>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</si>
  <si>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</si>
  <si>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</si>
  <si>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</si>
  <si>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</si>
  <si>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</si>
  <si>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</si>
  <si>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</si>
  <si>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</si>
  <si>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</si>
  <si>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</si>
  <si>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</si>
  <si>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</si>
  <si>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</si>
  <si>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</si>
  <si>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</si>
  <si>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</si>
  <si>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</si>
  <si>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</si>
  <si>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</si>
  <si>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</si>
  <si>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</si>
  <si>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</si>
  <si>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</si>
  <si>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</si>
  <si>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</si>
  <si>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</si>
  <si>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</si>
  <si>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</si>
  <si>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</si>
  <si>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</si>
  <si>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</si>
  <si>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</si>
  <si>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</si>
  <si>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</si>
  <si>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</si>
  <si>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</si>
  <si>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</si>
  <si>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</si>
  <si>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</si>
  <si>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</si>
  <si>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</si>
  <si>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</si>
  <si>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</si>
  <si>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</si>
  <si>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</si>
  <si>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</si>
  <si>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</si>
  <si>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</si>
  <si>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</si>
  <si>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</si>
  <si>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</si>
  <si>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</si>
  <si>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</si>
  <si>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</si>
  <si>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</si>
  <si>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</si>
  <si>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</si>
  <si>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</si>
  <si>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</si>
  <si>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</si>
  <si>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</si>
  <si>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</si>
  <si>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</si>
  <si>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</si>
  <si>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</si>
  <si>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</si>
  <si>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</si>
  <si>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</si>
  <si>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</si>
  <si>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</si>
  <si>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</si>
  <si>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</si>
  <si>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</si>
  <si>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</si>
  <si>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</si>
  <si>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</si>
  <si>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</si>
  <si>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</si>
  <si>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</si>
  <si>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</si>
  <si>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</si>
  <si>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</si>
  <si>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</si>
  <si>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</si>
  <si>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</si>
  <si>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</si>
  <si>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</si>
  <si>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</si>
  <si>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</si>
  <si>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</si>
  <si>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</si>
  <si>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</si>
  <si>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</si>
  <si>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</si>
  <si>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</si>
  <si>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</si>
  <si>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</si>
  <si>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</si>
  <si>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</si>
  <si>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</si>
  <si>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</si>
  <si>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</si>
  <si>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</si>
  <si>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</si>
  <si>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</si>
  <si>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</si>
  <si>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</si>
  <si>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</si>
  <si>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</si>
  <si>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</si>
  <si>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</si>
  <si>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</si>
  <si>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</si>
  <si>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</si>
  <si>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</si>
  <si>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</si>
  <si>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</si>
  <si>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</si>
  <si>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</si>
  <si>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</si>
  <si>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</si>
  <si>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</si>
  <si>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</si>
  <si>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</si>
  <si>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</si>
  <si>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</si>
  <si>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</si>
  <si>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</si>
  <si>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</si>
  <si>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</si>
  <si>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</si>
  <si>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</si>
  <si>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</si>
  <si>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</si>
  <si>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</si>
  <si>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</si>
  <si>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</si>
  <si>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</si>
  <si>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</si>
  <si>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</si>
  <si>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</si>
  <si>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</si>
  <si>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</si>
  <si>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</si>
  <si>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</si>
  <si>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</si>
  <si>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</si>
  <si>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</si>
  <si>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</si>
  <si>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</si>
  <si>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</si>
  <si>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</si>
  <si>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</si>
  <si>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</si>
  <si>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</si>
  <si>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</si>
  <si>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</si>
  <si>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</si>
  <si>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</si>
  <si>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</si>
  <si>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</si>
  <si>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</si>
  <si>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</si>
  <si>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</si>
  <si>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</si>
  <si>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</si>
  <si>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</si>
  <si>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</si>
  <si>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</si>
  <si>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</si>
  <si>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</si>
  <si>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</si>
  <si>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</si>
  <si>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</si>
  <si>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</si>
  <si>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</si>
  <si>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</si>
  <si>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</si>
  <si>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</si>
  <si>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</si>
  <si>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</si>
  <si>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</si>
  <si>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</si>
  <si>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</si>
  <si>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</si>
  <si>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</si>
  <si>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</si>
  <si>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</si>
  <si>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</si>
  <si>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</si>
  <si>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</si>
  <si>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</si>
  <si>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</si>
  <si>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</si>
  <si>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</si>
  <si>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</si>
  <si>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</si>
  <si>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</si>
  <si>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</si>
  <si>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</si>
  <si>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</si>
  <si>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</si>
  <si>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</si>
  <si>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</si>
  <si>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</si>
  <si>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</si>
  <si>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</si>
  <si>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</si>
  <si>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</si>
  <si>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</si>
  <si>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</si>
  <si>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</si>
  <si>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</si>
  <si>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</si>
  <si>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</si>
  <si>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</si>
  <si>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</si>
  <si>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</si>
  <si>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</si>
  <si>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</si>
  <si>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</si>
  <si>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</si>
  <si>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</si>
  <si>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</si>
  <si>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</si>
  <si>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</si>
  <si>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</si>
  <si>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</si>
  <si>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</si>
  <si>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</si>
  <si>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</si>
  <si>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</si>
  <si>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</si>
  <si>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</si>
  <si>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</si>
  <si>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</si>
  <si>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</si>
  <si>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</si>
  <si>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</si>
  <si>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</si>
  <si>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</si>
  <si>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</si>
  <si>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</si>
  <si>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</si>
  <si>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</si>
  <si>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</si>
  <si>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</si>
  <si>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</si>
  <si>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</si>
  <si>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</si>
  <si>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</si>
  <si>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</si>
  <si>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</si>
  <si>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</si>
  <si>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</si>
  <si>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</si>
  <si>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</si>
  <si>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</si>
  <si>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</si>
  <si>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</si>
  <si>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</si>
  <si>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</si>
  <si>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</si>
  <si>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</si>
  <si>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</si>
  <si>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</si>
  <si>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</si>
  <si>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</si>
  <si>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</si>
  <si>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</si>
  <si>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</si>
  <si>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</si>
  <si>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</si>
  <si>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</si>
  <si>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</si>
  <si>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</si>
  <si>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</si>
  <si>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</si>
  <si>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</si>
  <si>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</si>
  <si>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</si>
  <si>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</si>
  <si>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</si>
  <si>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</si>
  <si>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</si>
  <si>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</si>
  <si>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</si>
  <si>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</si>
  <si>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</si>
  <si>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</si>
  <si>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</si>
  <si>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</si>
  <si>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</si>
  <si>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</si>
  <si>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</si>
  <si>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</si>
  <si>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</si>
  <si>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</si>
  <si>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</si>
  <si>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</si>
  <si>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</si>
  <si>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</si>
  <si>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</si>
  <si>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</si>
  <si>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</si>
  <si>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</si>
  <si>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</si>
  <si>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</si>
  <si>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</si>
  <si>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</si>
  <si>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</si>
  <si>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</si>
  <si>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</si>
  <si>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</si>
  <si>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</si>
  <si>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</si>
  <si>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</si>
  <si>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</si>
  <si>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</si>
  <si>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</si>
  <si>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</si>
  <si>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</si>
  <si>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</si>
  <si>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</si>
  <si>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</si>
  <si>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</si>
  <si>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</si>
  <si>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</si>
  <si>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</si>
  <si>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</si>
  <si>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</si>
  <si>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</si>
  <si>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</si>
  <si>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</si>
  <si>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</si>
  <si>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</si>
  <si>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</si>
  <si>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</si>
  <si>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</si>
  <si>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</si>
  <si>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</si>
  <si>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</si>
  <si>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</si>
  <si>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</si>
  <si>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</si>
  <si>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</si>
  <si>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</si>
  <si>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</si>
  <si>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</si>
  <si>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</si>
  <si>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</si>
  <si>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</si>
  <si>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</si>
  <si>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</si>
  <si>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</si>
  <si>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</si>
  <si>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</si>
  <si>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</si>
  <si>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</si>
  <si>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</si>
  <si>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</si>
  <si>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</si>
  <si>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</si>
  <si>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</si>
  <si>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</si>
  <si>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</si>
  <si>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</si>
  <si>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</si>
  <si>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</si>
  <si>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</si>
  <si>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</si>
  <si>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</si>
  <si>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</si>
  <si>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</si>
  <si>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</si>
  <si>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</si>
  <si>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</si>
  <si>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</si>
  <si>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</si>
  <si>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</si>
  <si>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</si>
  <si>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</si>
  <si>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</si>
  <si>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</si>
  <si>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</si>
  <si>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</si>
  <si>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</si>
  <si>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</si>
  <si>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</si>
  <si>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</si>
  <si>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</si>
  <si>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</si>
  <si>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</si>
  <si>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</si>
  <si>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</si>
  <si>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</si>
  <si>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</si>
  <si>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</si>
  <si>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</si>
  <si>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</si>
  <si>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</si>
  <si>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</si>
  <si>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</si>
  <si>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</si>
  <si>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</si>
  <si>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</si>
  <si>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</si>
  <si>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</si>
  <si>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</si>
  <si>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</si>
  <si>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</si>
  <si>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</si>
  <si>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</si>
  <si>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</si>
  <si>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</si>
  <si>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</si>
  <si>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</si>
  <si>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</si>
  <si>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</si>
  <si>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</si>
  <si>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</si>
  <si>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</si>
  <si>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</si>
  <si>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</si>
  <si>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</si>
  <si>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</si>
  <si>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</si>
  <si>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</si>
  <si>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</si>
  <si>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</si>
  <si>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</si>
  <si>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</si>
  <si>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</si>
  <si>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</si>
  <si>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</si>
  <si>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</si>
  <si>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</si>
  <si>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</si>
  <si>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</si>
  <si>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</si>
  <si>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</si>
  <si>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</si>
  <si>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</si>
  <si>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</si>
  <si>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</si>
  <si>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</si>
  <si>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</si>
  <si>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</si>
  <si>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</si>
  <si>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</si>
  <si>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</si>
  <si>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</si>
  <si>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</si>
  <si>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</si>
  <si>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</si>
  <si>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</si>
  <si>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</si>
  <si>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</si>
  <si>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</si>
  <si>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</si>
  <si>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</si>
  <si>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</si>
  <si>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</si>
  <si>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</si>
  <si>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</si>
  <si>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</si>
  <si>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</si>
  <si>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</si>
  <si>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</si>
  <si>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</si>
  <si>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</si>
  <si>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</si>
  <si>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</si>
  <si>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</si>
  <si>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</si>
  <si>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</si>
  <si>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</si>
  <si>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</si>
  <si>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</si>
  <si>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</si>
  <si>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</si>
  <si>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</si>
  <si>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</si>
  <si>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</si>
  <si>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</si>
  <si>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</si>
  <si>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</si>
  <si>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</si>
  <si>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</si>
  <si>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</si>
  <si>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</si>
  <si>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</si>
  <si>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</si>
  <si>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</si>
  <si>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</si>
  <si>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</si>
  <si>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</si>
  <si>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</si>
  <si>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</si>
  <si>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</si>
  <si>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</si>
  <si>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</si>
  <si>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</si>
  <si>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</si>
  <si>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</si>
  <si>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</si>
  <si>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</si>
  <si>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</si>
  <si>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</si>
  <si>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</si>
  <si>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</si>
  <si>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</si>
  <si>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</si>
  <si>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</si>
  <si>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</si>
  <si>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</si>
  <si>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</si>
  <si>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</si>
  <si>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</si>
  <si>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</si>
  <si>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</si>
  <si>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</si>
  <si>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</si>
  <si>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</si>
  <si>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</si>
  <si>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</si>
  <si>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</si>
  <si>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</si>
  <si>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</si>
  <si>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</si>
  <si>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</si>
  <si>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</si>
  <si>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</si>
  <si>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</si>
  <si>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</si>
  <si>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</si>
  <si>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</si>
  <si>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</si>
  <si>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</si>
  <si>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</si>
  <si>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</si>
  <si>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</si>
  <si>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</si>
  <si>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</si>
  <si>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</si>
  <si>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</si>
  <si>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</si>
  <si>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</si>
  <si>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</si>
  <si>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</si>
  <si>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</si>
  <si>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</si>
  <si>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</si>
  <si>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</si>
  <si>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</si>
  <si>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</si>
  <si>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</si>
  <si>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</si>
  <si>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</si>
  <si>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</si>
  <si>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</si>
  <si>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</si>
  <si>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</si>
  <si>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</si>
  <si>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</si>
  <si>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</si>
  <si>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</si>
  <si>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</si>
  <si>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</si>
  <si>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</si>
  <si>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</si>
  <si>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</si>
  <si>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</si>
  <si>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</si>
  <si>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</si>
  <si>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</si>
  <si>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</si>
  <si>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</si>
  <si>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</si>
  <si>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</si>
  <si>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</si>
  <si>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</si>
  <si>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</si>
  <si>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</si>
  <si>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</si>
  <si>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</si>
  <si>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</si>
  <si>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</si>
  <si>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</si>
  <si>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</si>
  <si>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</si>
  <si>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</si>
  <si>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</si>
  <si>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</si>
  <si>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</si>
  <si>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</si>
  <si>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</si>
  <si>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</si>
  <si>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</si>
  <si>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</si>
  <si>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</si>
  <si>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</si>
  <si>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</si>
  <si>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6875</t>
  </si>
  <si>
    <t>50</t>
  </si>
  <si>
    <t>72</t>
  </si>
  <si>
    <t>51.35</t>
  </si>
  <si>
    <t>1:18.45</t>
  </si>
  <si>
    <t>37.10</t>
  </si>
  <si>
    <t>2:17.90</t>
  </si>
  <si>
    <t>51.11</t>
  </si>
  <si>
    <t>55.54</t>
  </si>
  <si>
    <t>32.68</t>
  </si>
  <si>
    <t>48.18</t>
  </si>
  <si>
    <t>42.00</t>
  </si>
  <si>
    <t>1:22.50</t>
  </si>
  <si>
    <t>49.11</t>
  </si>
  <si>
    <t>2:32.74</t>
  </si>
  <si>
    <t>51.26</t>
  </si>
  <si>
    <t>2:18.73</t>
  </si>
  <si>
    <t>20.82</t>
  </si>
  <si>
    <t>21.29</t>
  </si>
  <si>
    <t>OrnateRope</t>
  </si>
  <si>
    <t>6843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</si>
  <si>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</si>
  <si>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</si>
  <si>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</si>
  <si>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</si>
  <si>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</si>
  <si>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</si>
  <si>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</si>
  <si>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</si>
  <si>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</si>
  <si>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</si>
  <si>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</si>
  <si>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</si>
  <si>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</si>
  <si>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</si>
  <si>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</si>
  <si>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</si>
  <si>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</si>
  <si>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</si>
  <si>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</si>
  <si>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</si>
  <si>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</si>
  <si>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</si>
  <si>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</si>
  <si>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</si>
  <si>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</si>
  <si>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</si>
  <si>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</si>
  <si>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</si>
  <si>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</si>
  <si>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</si>
  <si>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</si>
  <si>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</si>
  <si>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</si>
  <si>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</si>
  <si>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</si>
  <si>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</si>
  <si>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</si>
  <si>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</si>
  <si>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</si>
  <si>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</si>
  <si>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34.05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</si>
  <si>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</si>
  <si>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</si>
  <si>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</si>
  <si>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</si>
  <si>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</si>
  <si>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</si>
  <si>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</si>
  <si>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</si>
  <si>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</si>
  <si>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</si>
  <si>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</si>
  <si>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</si>
  <si>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</si>
  <si>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</si>
  <si>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</si>
  <si>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</si>
  <si>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</si>
  <si>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</si>
  <si>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</si>
  <si>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</si>
  <si>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</si>
  <si>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</si>
  <si>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</si>
  <si>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</si>
  <si>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</si>
  <si>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</si>
  <si>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</si>
  <si>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</si>
  <si>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</si>
  <si>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</si>
  <si>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</si>
  <si>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</si>
  <si>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</si>
  <si>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</si>
  <si>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</si>
  <si>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</si>
  <si>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</si>
  <si>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</si>
  <si>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</si>
  <si>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</si>
  <si>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</si>
  <si>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</si>
  <si>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</si>
  <si>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</si>
  <si>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</si>
  <si>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</si>
  <si>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</si>
  <si>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</si>
  <si>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</si>
  <si>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</si>
  <si>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</si>
  <si>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</si>
  <si>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</si>
  <si>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</si>
  <si>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</si>
  <si>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</si>
  <si>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</si>
  <si>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</si>
  <si>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</si>
  <si>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</si>
  <si>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</si>
  <si>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</si>
  <si>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</si>
  <si>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</si>
  <si>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</si>
  <si>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</si>
  <si>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</si>
  <si>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</si>
  <si>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</si>
  <si>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</si>
  <si>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</si>
  <si>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</si>
  <si>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</si>
  <si>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</si>
  <si>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</si>
  <si>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</si>
  <si>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</si>
  <si>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</si>
  <si>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</si>
  <si>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</si>
  <si>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</si>
  <si>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</si>
  <si>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</si>
  <si>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</si>
  <si>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</si>
  <si>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</si>
  <si>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</si>
  <si>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</si>
  <si>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</si>
  <si>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</si>
  <si>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</si>
  <si>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</si>
  <si>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</si>
  <si>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</si>
  <si>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</si>
  <si>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</si>
  <si>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</si>
  <si>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</si>
  <si>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</si>
  <si>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</si>
  <si>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</si>
  <si>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</si>
  <si>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</si>
  <si>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</si>
  <si>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</si>
  <si>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</si>
  <si>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</si>
  <si>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</si>
  <si>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</si>
  <si>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</si>
  <si>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</si>
  <si>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</si>
  <si>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</si>
  <si>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</si>
  <si>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</si>
  <si>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</si>
  <si>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</si>
  <si>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</si>
  <si>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</si>
  <si>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</si>
  <si>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</si>
  <si>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</si>
  <si>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</si>
  <si>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</si>
  <si>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</si>
  <si>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</si>
  <si>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</si>
  <si>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</si>
  <si>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</si>
  <si>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</si>
  <si>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</si>
  <si>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</si>
  <si>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</si>
  <si>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</si>
  <si>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</si>
  <si>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</si>
  <si>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</si>
  <si>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</si>
  <si>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</si>
  <si>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</si>
  <si>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</si>
  <si>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</si>
  <si>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</si>
  <si>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</si>
  <si>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</si>
  <si>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</si>
  <si>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</si>
  <si>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6257</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</si>
  <si>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</si>
  <si>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</si>
  <si>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</si>
  <si>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</si>
  <si>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</si>
  <si>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</si>
  <si>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</si>
  <si>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</si>
  <si>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</si>
  <si>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</si>
  <si>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</si>
  <si>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</si>
  <si>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</si>
  <si>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</si>
  <si>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</si>
  <si>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</si>
  <si>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</si>
  <si>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</si>
  <si>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</si>
  <si>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</si>
  <si>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</si>
  <si>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</si>
  <si>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</si>
  <si>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</si>
  <si>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</si>
  <si>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</si>
  <si>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</si>
  <si>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</si>
  <si>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</si>
  <si>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</si>
  <si>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</si>
  <si>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</si>
  <si>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</si>
  <si>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</si>
  <si>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</si>
  <si>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</si>
  <si>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</si>
  <si>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</si>
  <si>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</si>
  <si>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</si>
  <si>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</si>
  <si>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</si>
  <si>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</si>
  <si>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</si>
  <si>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</si>
  <si>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</si>
  <si>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</si>
  <si>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</si>
  <si>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</si>
  <si>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</si>
  <si>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</si>
  <si>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</si>
  <si>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</si>
  <si>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</si>
  <si>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</si>
  <si>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</si>
  <si>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</si>
  <si>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</si>
  <si>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</si>
  <si>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</si>
  <si>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</si>
  <si>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</si>
  <si>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</si>
  <si>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</si>
  <si>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</si>
  <si>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</si>
  <si>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</si>
  <si>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</si>
  <si>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</si>
  <si>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</si>
  <si>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</si>
  <si>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</si>
  <si>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</si>
  <si>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</si>
  <si>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</si>
  <si>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</si>
  <si>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</si>
  <si>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</si>
  <si>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</si>
  <si>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</si>
  <si>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</si>
  <si>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</si>
  <si>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</si>
  <si>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</si>
  <si>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</si>
  <si>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</si>
  <si>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</si>
  <si>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</si>
  <si>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</si>
  <si>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</si>
  <si>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</si>
  <si>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</si>
  <si>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</si>
  <si>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</si>
  <si>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</si>
  <si>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</si>
  <si>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</si>
  <si>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</si>
  <si>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</si>
  <si>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</si>
  <si>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</si>
  <si>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</si>
  <si>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</si>
  <si>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</si>
  <si>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</si>
  <si>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</si>
  <si>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</si>
  <si>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</si>
  <si>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</si>
  <si>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</si>
  <si>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</si>
  <si>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</si>
  <si>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</si>
  <si>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</si>
  <si>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</si>
  <si>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</si>
  <si>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</si>
  <si>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</si>
  <si>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</si>
  <si>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</si>
  <si>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</si>
  <si>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</si>
  <si>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</si>
  <si>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</si>
  <si>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</si>
  <si>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</si>
  <si>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</si>
  <si>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</si>
  <si>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</si>
  <si>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</si>
  <si>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</si>
  <si>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</si>
  <si>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</si>
  <si>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</si>
  <si>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</si>
  <si>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</si>
  <si>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</si>
  <si>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</si>
  <si>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</si>
  <si>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</si>
  <si>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</si>
  <si>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</si>
  <si>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</si>
  <si>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</si>
  <si>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</si>
  <si>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</si>
  <si>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</si>
  <si>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</si>
  <si>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</si>
  <si>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</si>
  <si>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</si>
  <si>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</si>
  <si>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</si>
  <si>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</si>
  <si>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</si>
  <si>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</si>
  <si>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</si>
  <si>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</si>
  <si>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</si>
  <si>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</si>
  <si>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</si>
  <si>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</si>
  <si>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</si>
  <si>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</si>
  <si>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</si>
  <si>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</si>
  <si>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</si>
  <si>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</si>
  <si>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</si>
  <si>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</si>
  <si>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</si>
  <si>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</si>
  <si>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</si>
  <si>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</si>
  <si>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</si>
  <si>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</si>
  <si>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</si>
  <si>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</si>
  <si>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</si>
  <si>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</si>
  <si>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</si>
  <si>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</si>
  <si>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</si>
  <si>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</si>
  <si>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</si>
  <si>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</si>
  <si>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</si>
  <si>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</si>
  <si>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</si>
  <si>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</si>
  <si>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</si>
  <si>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</si>
  <si>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</si>
  <si>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</si>
  <si>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</si>
  <si>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</si>
  <si>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</si>
  <si>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</si>
  <si>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</si>
  <si>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</si>
  <si>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</si>
  <si>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</si>
  <si>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</si>
  <si>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</si>
  <si>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</si>
  <si>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</si>
  <si>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</si>
  <si>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</si>
  <si>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</si>
  <si>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</si>
  <si>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</si>
  <si>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</si>
  <si>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</si>
  <si>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</si>
  <si>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</si>
  <si>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</si>
  <si>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</si>
  <si>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</si>
  <si>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</si>
  <si>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</si>
  <si>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</si>
  <si>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</si>
  <si>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</si>
  <si>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</si>
  <si>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</si>
  <si>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</si>
  <si>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</si>
  <si>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</si>
  <si>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</si>
  <si>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</si>
  <si>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</si>
  <si>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</si>
  <si>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</si>
  <si>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</si>
  <si>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</si>
  <si>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</si>
  <si>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</si>
  <si>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</si>
  <si>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</si>
  <si>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</si>
  <si>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</si>
  <si>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</si>
  <si>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</si>
  <si>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</si>
  <si>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</si>
  <si>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</si>
  <si>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</si>
  <si>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</si>
  <si>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</si>
  <si>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</si>
  <si>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</si>
  <si>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</si>
  <si>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</si>
  <si>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</si>
  <si>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</si>
  <si>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</si>
  <si>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</si>
  <si>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</si>
  <si>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</si>
  <si>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</si>
  <si>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</si>
  <si>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</si>
  <si>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</si>
  <si>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</si>
  <si>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</si>
  <si>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</si>
  <si>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</si>
  <si>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</si>
  <si>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</si>
  <si>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</si>
  <si>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</si>
  <si>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</si>
  <si>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</si>
  <si>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</si>
  <si>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</si>
  <si>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</si>
  <si>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</si>
  <si>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</si>
  <si>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</si>
  <si>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</si>
  <si>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</si>
  <si>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</si>
  <si>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</si>
  <si>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</si>
  <si>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</si>
  <si>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</si>
  <si>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</si>
  <si>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</si>
  <si>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</si>
  <si>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</si>
  <si>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</si>
  <si>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</si>
  <si>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</si>
  <si>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</si>
  <si>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</si>
  <si>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</si>
  <si>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</si>
  <si>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</si>
  <si>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</si>
  <si>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</si>
  <si>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</si>
  <si>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</si>
  <si>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</si>
  <si>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</si>
  <si>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</si>
  <si>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</si>
  <si>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</si>
  <si>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</si>
  <si>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</si>
  <si>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</si>
  <si>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</si>
  <si>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</si>
  <si>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</si>
  <si>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</si>
  <si>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</si>
  <si>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</si>
  <si>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</si>
  <si>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</si>
  <si>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</si>
  <si>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</si>
  <si>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</si>
  <si>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</si>
  <si>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</si>
  <si>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</si>
  <si>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</si>
  <si>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</si>
  <si>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</si>
  <si>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</si>
  <si>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</si>
  <si>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</si>
  <si>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</si>
  <si>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</si>
  <si>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</si>
  <si>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</si>
  <si>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</si>
  <si>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</si>
  <si>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</si>
  <si>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</si>
  <si>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</si>
  <si>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</si>
  <si>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</si>
  <si>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</si>
  <si>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</si>
  <si>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</si>
  <si>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</si>
  <si>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</si>
  <si>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</si>
  <si>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</si>
  <si>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</si>
  <si>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</si>
  <si>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</si>
  <si>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</si>
  <si>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</si>
  <si>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</si>
  <si>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</si>
  <si>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</si>
  <si>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</si>
  <si>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</si>
  <si>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</si>
  <si>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</si>
  <si>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</si>
  <si>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</si>
  <si>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</si>
  <si>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</si>
  <si>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</si>
  <si>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</si>
  <si>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</si>
  <si>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</si>
  <si>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</si>
  <si>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</si>
  <si>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</si>
  <si>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</si>
  <si>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</si>
  <si>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</si>
  <si>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</si>
  <si>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</si>
  <si>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</si>
  <si>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</si>
  <si>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</si>
  <si>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</si>
  <si>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</si>
  <si>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</si>
  <si>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</si>
  <si>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</si>
  <si>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</si>
  <si>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</si>
  <si>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</si>
  <si>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</si>
  <si>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</si>
  <si>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</si>
  <si>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</si>
  <si>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</si>
  <si>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</si>
  <si>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</si>
  <si>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</si>
  <si>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</si>
  <si>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</si>
  <si>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</si>
  <si>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</si>
  <si>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</si>
  <si>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</si>
  <si>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</si>
  <si>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</si>
  <si>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</si>
  <si>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</si>
  <si>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</si>
  <si>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</si>
  <si>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</si>
  <si>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</si>
  <si>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</si>
  <si>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</si>
  <si>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</si>
  <si>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</si>
  <si>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</si>
  <si>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</si>
  <si>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</si>
  <si>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</si>
  <si>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</si>
  <si>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</si>
  <si>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</si>
  <si>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</si>
  <si>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</si>
  <si>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</si>
  <si>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</si>
  <si>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</si>
  <si>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</si>
  <si>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</si>
  <si>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</si>
  <si>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</si>
  <si>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</si>
  <si>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</si>
  <si>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</si>
  <si>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</si>
  <si>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</si>
  <si>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</si>
  <si>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</si>
  <si>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</si>
  <si>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</si>
  <si>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</si>
  <si>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</si>
  <si>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</si>
  <si>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</si>
  <si>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</si>
  <si>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</si>
  <si>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</si>
  <si>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</si>
  <si>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</si>
  <si>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</si>
  <si>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</si>
  <si>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</si>
  <si>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</si>
  <si>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</si>
  <si>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</si>
  <si>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</si>
  <si>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</si>
  <si>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</si>
  <si>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</si>
  <si>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</si>
  <si>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</si>
  <si>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</si>
  <si>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</si>
  <si>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</si>
  <si>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</si>
  <si>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</si>
  <si>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</si>
  <si>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</si>
  <si>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</si>
  <si>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</si>
  <si>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</si>
  <si>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</si>
  <si>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</si>
  <si>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</si>
  <si>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</si>
  <si>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</si>
  <si>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</si>
  <si>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</si>
  <si>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</si>
  <si>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</si>
  <si>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</si>
  <si>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</si>
  <si>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</si>
  <si>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</si>
  <si>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</si>
  <si>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</si>
  <si>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</si>
  <si>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</si>
  <si>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</si>
  <si>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</si>
  <si>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</si>
  <si>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</si>
  <si>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</si>
  <si>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</si>
  <si>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</si>
  <si>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</si>
  <si>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</si>
  <si>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</si>
  <si>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</si>
  <si>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</si>
  <si>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</si>
  <si>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</si>
  <si>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</si>
  <si>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</si>
  <si>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</si>
  <si>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</si>
  <si>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</si>
  <si>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</si>
  <si>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</si>
  <si>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</si>
  <si>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</si>
  <si>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</si>
  <si>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</si>
  <si>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</si>
  <si>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</si>
  <si>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</si>
  <si>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</si>
  <si>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</si>
  <si>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</si>
  <si>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</si>
  <si>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</si>
  <si>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</si>
  <si>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</si>
  <si>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</si>
  <si>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</si>
  <si>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</si>
  <si>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</si>
  <si>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</si>
  <si>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</si>
  <si>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</si>
  <si>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</si>
  <si>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</si>
  <si>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</si>
  <si>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</si>
  <si>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</si>
  <si>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</si>
  <si>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</si>
  <si>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</si>
  <si>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</si>
  <si>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</si>
  <si>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</si>
  <si>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</si>
  <si>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</si>
  <si>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</si>
  <si>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</si>
  <si>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</si>
  <si>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</si>
  <si>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</si>
  <si>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</si>
  <si>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</si>
  <si>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</si>
  <si>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</si>
  <si>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</si>
  <si>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</si>
  <si>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</si>
  <si>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</si>
  <si>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</si>
  <si>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</si>
  <si>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</si>
  <si>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</si>
  <si>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</si>
  <si>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</si>
  <si>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</si>
  <si>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</si>
  <si>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</si>
  <si>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</si>
  <si>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</si>
  <si>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</si>
  <si>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</si>
  <si>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</si>
  <si>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</si>
  <si>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</si>
  <si>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</si>
  <si>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</si>
  <si>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</si>
  <si>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</si>
  <si>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</si>
  <si>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</si>
  <si>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</si>
  <si>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</si>
  <si>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</si>
  <si>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</si>
  <si>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</si>
  <si>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</si>
  <si>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</si>
  <si>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</si>
  <si>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</si>
  <si>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</si>
  <si>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</si>
  <si>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</si>
  <si>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</si>
  <si>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</si>
  <si>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</si>
  <si>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</si>
  <si>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</si>
  <si>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</si>
  <si>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</si>
  <si>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</si>
  <si>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</si>
  <si>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</si>
  <si>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</si>
  <si>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</si>
  <si>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</si>
  <si>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</si>
  <si>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</si>
  <si>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</si>
  <si>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</si>
  <si>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</si>
  <si>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</si>
  <si>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</si>
  <si>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</si>
  <si>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</si>
  <si>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</si>
  <si>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</si>
  <si>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</si>
  <si>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</si>
  <si>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</si>
  <si>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</si>
  <si>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</si>
  <si>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</si>
  <si>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</si>
  <si>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</si>
  <si>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</si>
  <si>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</si>
  <si>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</si>
  <si>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</si>
  <si>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</si>
  <si>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</si>
  <si>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</si>
  <si>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</si>
  <si>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</si>
  <si>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</si>
  <si>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</si>
  <si>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</si>
  <si>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</si>
  <si>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</si>
  <si>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</si>
  <si>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</si>
  <si>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</si>
  <si>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</si>
  <si>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</si>
  <si>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</si>
  <si>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</si>
  <si>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</si>
  <si>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</si>
  <si>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</si>
  <si>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</si>
  <si>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</si>
  <si>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</si>
  <si>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</si>
  <si>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</si>
  <si>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</si>
  <si>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</si>
  <si>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</si>
  <si>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</si>
  <si>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</si>
  <si>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</si>
  <si>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</si>
  <si>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</si>
  <si>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</si>
  <si>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</si>
  <si>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</si>
  <si>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</si>
  <si>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</si>
  <si>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</si>
  <si>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</si>
  <si>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</si>
  <si>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</si>
  <si>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</si>
  <si>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</si>
  <si>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</si>
  <si>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</si>
  <si>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</si>
  <si>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</si>
  <si>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</si>
  <si>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</si>
  <si>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</si>
  <si>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</si>
  <si>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</si>
  <si>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</si>
  <si>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</si>
  <si>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</si>
  <si>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</si>
  <si>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</si>
  <si>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</si>
  <si>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</si>
  <si>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</si>
  <si>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</si>
  <si>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</si>
  <si>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</si>
  <si>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</si>
  <si>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</si>
  <si>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</si>
  <si>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</si>
  <si>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</si>
  <si>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</si>
  <si>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</si>
  <si>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</si>
  <si>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</si>
  <si>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</si>
  <si>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</si>
  <si>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</si>
  <si>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</si>
  <si>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</si>
  <si>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</si>
  <si>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</si>
  <si>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</si>
  <si>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</si>
  <si>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</si>
  <si>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</si>
  <si>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</si>
  <si>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</si>
  <si>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</si>
  <si>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</si>
  <si>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</si>
  <si>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</si>
  <si>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</si>
  <si>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</si>
  <si>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</si>
  <si>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</si>
  <si>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</si>
  <si>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</si>
  <si>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</si>
  <si>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</si>
  <si>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</si>
  <si>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</si>
  <si>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</si>
  <si>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</si>
  <si>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</si>
  <si>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</si>
  <si>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</si>
  <si>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</si>
  <si>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</si>
  <si>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</si>
  <si>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</si>
  <si>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</si>
  <si>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</si>
  <si>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</si>
  <si>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</si>
  <si>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</si>
  <si>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</si>
  <si>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</si>
  <si>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</si>
  <si>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</si>
  <si>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</si>
  <si>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</si>
  <si>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</si>
  <si>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</si>
  <si>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</si>
  <si>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</si>
  <si>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</si>
  <si>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</si>
  <si>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</si>
  <si>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</si>
  <si>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</si>
  <si>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</si>
  <si>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</si>
  <si>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</si>
  <si>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</si>
  <si>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</si>
  <si>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</si>
  <si>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</si>
  <si>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</si>
  <si>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</si>
  <si>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</si>
  <si>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</si>
  <si>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</si>
  <si>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</si>
  <si>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</si>
  <si>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</si>
  <si>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</si>
  <si>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</si>
  <si>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</si>
  <si>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</si>
  <si>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</si>
  <si>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</si>
  <si>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</si>
  <si>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</si>
  <si>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</si>
  <si>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</si>
  <si>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</si>
  <si>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</si>
  <si>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</si>
  <si>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</si>
  <si>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</si>
  <si>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</si>
  <si>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</si>
  <si>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</si>
  <si>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</si>
  <si>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</si>
  <si>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</si>
  <si>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</si>
  <si>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</si>
  <si>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</si>
  <si>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</si>
  <si>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</si>
  <si>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</si>
  <si>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</si>
  <si>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</si>
  <si>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</si>
  <si>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</si>
  <si>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</si>
  <si>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</si>
  <si>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</si>
  <si>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</si>
  <si>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</si>
  <si>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</si>
  <si>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</si>
  <si>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</si>
  <si>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</si>
  <si>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</si>
  <si>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</si>
  <si>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</si>
  <si>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</si>
  <si>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</si>
  <si>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</si>
  <si>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</si>
  <si>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</si>
  <si>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</si>
  <si>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</si>
  <si>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</si>
  <si>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</si>
  <si>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</si>
  <si>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</si>
  <si>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</si>
  <si>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</si>
  <si>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</si>
  <si>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</si>
  <si>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</si>
  <si>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</si>
  <si>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</si>
  <si>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</si>
  <si>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</si>
  <si>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</si>
  <si>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</si>
  <si>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</si>
  <si>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</si>
  <si>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</si>
  <si>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</si>
  <si>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</si>
  <si>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</si>
  <si>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</si>
  <si>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</si>
  <si>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</si>
  <si>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</si>
  <si>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</si>
  <si>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</si>
  <si>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</si>
  <si>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</si>
  <si>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</si>
  <si>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</si>
  <si>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5128</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</si>
  <si>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</si>
  <si>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</si>
  <si>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</si>
  <si>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</si>
  <si>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</si>
  <si>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</si>
  <si>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</si>
  <si>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</si>
  <si>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</si>
  <si>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</si>
  <si>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</si>
  <si>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</si>
  <si>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</si>
  <si>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</si>
  <si>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</si>
  <si>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</si>
  <si>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</si>
  <si>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</si>
  <si>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</si>
  <si>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</si>
  <si>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</si>
  <si>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</si>
  <si>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</si>
  <si>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</si>
  <si>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</si>
  <si>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</si>
  <si>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</si>
  <si>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</si>
  <si>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</si>
  <si>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</si>
  <si>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</si>
  <si>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</si>
  <si>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</si>
  <si>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</si>
  <si>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</si>
  <si>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</si>
  <si>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</si>
  <si>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</si>
  <si>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</si>
  <si>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</si>
  <si>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</si>
  <si>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</si>
  <si>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</si>
  <si>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</si>
  <si>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</si>
  <si>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</si>
  <si>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</si>
  <si>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</si>
  <si>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</si>
  <si>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</si>
  <si>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</si>
  <si>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</si>
  <si>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</si>
  <si>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</si>
  <si>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</si>
  <si>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</si>
  <si>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</si>
  <si>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</si>
  <si>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</si>
  <si>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</si>
  <si>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</si>
  <si>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</si>
  <si>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</si>
  <si>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</si>
  <si>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</si>
  <si>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</si>
  <si>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</si>
  <si>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</si>
  <si>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</si>
  <si>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</si>
  <si>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</si>
  <si>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</si>
  <si>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</si>
  <si>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</si>
  <si>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</si>
  <si>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</si>
  <si>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</si>
  <si>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</si>
  <si>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</si>
  <si>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</si>
  <si>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</si>
  <si>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</si>
  <si>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</si>
  <si>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</si>
  <si>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</si>
  <si>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</si>
  <si>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</si>
  <si>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</si>
  <si>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</si>
  <si>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</si>
  <si>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</si>
  <si>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</si>
  <si>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</si>
  <si>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</si>
  <si>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</si>
  <si>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</si>
  <si>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</si>
  <si>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</si>
  <si>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</si>
  <si>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</si>
  <si>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</si>
  <si>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</si>
  <si>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</si>
  <si>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</si>
  <si>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</si>
  <si>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</si>
  <si>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</si>
  <si>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</si>
  <si>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</si>
  <si>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</si>
  <si>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</si>
  <si>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</si>
  <si>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</si>
  <si>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</si>
  <si>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</si>
  <si>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</si>
  <si>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</si>
  <si>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</si>
  <si>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</si>
  <si>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</si>
  <si>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</si>
  <si>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</si>
  <si>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</si>
  <si>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</si>
  <si>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</si>
  <si>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</si>
  <si>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</si>
  <si>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</si>
  <si>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</si>
  <si>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</si>
  <si>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</si>
  <si>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</si>
  <si>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</si>
  <si>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</si>
  <si>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</si>
  <si>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</si>
  <si>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</si>
  <si>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</si>
  <si>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</si>
  <si>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</si>
  <si>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</si>
  <si>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</si>
  <si>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</si>
  <si>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</si>
  <si>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</si>
  <si>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</si>
  <si>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</si>
  <si>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</si>
  <si>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</si>
  <si>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</si>
  <si>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</si>
  <si>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</si>
  <si>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</si>
  <si>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</si>
  <si>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</si>
  <si>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</si>
  <si>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</si>
  <si>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</si>
  <si>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</si>
  <si>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</si>
  <si>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</si>
  <si>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</si>
  <si>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</si>
  <si>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</si>
  <si>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</si>
  <si>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</si>
  <si>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</si>
  <si>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</si>
  <si>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</si>
  <si>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</si>
  <si>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</si>
  <si>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</si>
  <si>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</si>
  <si>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</si>
  <si>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</si>
  <si>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</si>
  <si>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</si>
  <si>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</si>
  <si>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</si>
  <si>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</si>
  <si>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</si>
  <si>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</si>
  <si>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</si>
  <si>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</si>
  <si>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</si>
  <si>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</si>
  <si>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</si>
  <si>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</si>
  <si>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</si>
  <si>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</si>
  <si>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</si>
  <si>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</si>
  <si>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</si>
  <si>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</si>
  <si>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</si>
  <si>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</si>
  <si>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</si>
  <si>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</si>
  <si>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</si>
  <si>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</si>
  <si>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</si>
  <si>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</si>
  <si>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</si>
  <si>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</si>
  <si>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</si>
  <si>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</si>
  <si>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</si>
  <si>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</si>
  <si>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</si>
  <si>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</si>
  <si>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</si>
  <si>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</si>
  <si>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</si>
  <si>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</si>
  <si>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</si>
  <si>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</si>
  <si>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</si>
  <si>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</si>
  <si>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</si>
  <si>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</si>
  <si>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</si>
  <si>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</si>
  <si>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</si>
  <si>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</si>
  <si>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</si>
  <si>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</si>
  <si>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</si>
  <si>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</si>
  <si>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</si>
  <si>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</si>
  <si>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</si>
  <si>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</si>
  <si>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</si>
  <si>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</si>
  <si>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</si>
  <si>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</si>
  <si>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</si>
  <si>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</si>
  <si>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</si>
  <si>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</si>
  <si>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</si>
  <si>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</si>
  <si>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</si>
  <si>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</si>
  <si>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</si>
  <si>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</si>
  <si>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</si>
  <si>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</si>
  <si>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</si>
  <si>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</si>
  <si>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</si>
  <si>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</si>
  <si>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</si>
  <si>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</si>
  <si>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</si>
  <si>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</si>
  <si>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</si>
  <si>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</si>
  <si>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</si>
  <si>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</si>
  <si>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</si>
  <si>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</si>
  <si>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</si>
  <si>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</si>
  <si>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</si>
  <si>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</si>
  <si>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</si>
  <si>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</si>
  <si>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</si>
  <si>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</si>
  <si>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</si>
  <si>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</si>
  <si>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</si>
  <si>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</si>
  <si>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</si>
  <si>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</si>
  <si>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</si>
  <si>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</si>
  <si>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</si>
  <si>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</si>
  <si>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</si>
  <si>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</si>
  <si>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</si>
  <si>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</si>
  <si>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</si>
  <si>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</si>
  <si>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</si>
  <si>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</si>
  <si>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</si>
  <si>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</si>
  <si>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</si>
  <si>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</si>
  <si>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</si>
  <si>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</si>
  <si>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</si>
  <si>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</si>
  <si>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</si>
  <si>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</si>
  <si>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</si>
  <si>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</si>
  <si>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</si>
  <si>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</si>
  <si>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</si>
  <si>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</si>
  <si>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</si>
  <si>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</si>
  <si>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</si>
  <si>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</si>
  <si>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</si>
  <si>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</si>
  <si>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</si>
  <si>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</si>
  <si>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</si>
  <si>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</si>
  <si>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</si>
  <si>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</si>
  <si>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</si>
  <si>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</si>
  <si>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</si>
  <si>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</si>
  <si>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</si>
  <si>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</si>
  <si>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</si>
  <si>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</si>
  <si>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</si>
  <si>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</si>
  <si>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</si>
  <si>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</si>
  <si>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</si>
  <si>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</si>
  <si>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</si>
  <si>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</si>
  <si>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</si>
  <si>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</si>
  <si>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</si>
  <si>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</si>
  <si>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</si>
  <si>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</si>
  <si>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</si>
  <si>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</si>
  <si>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</si>
  <si>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</si>
  <si>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</si>
  <si>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</si>
  <si>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</si>
  <si>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</si>
  <si>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</si>
  <si>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</si>
  <si>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</si>
  <si>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</si>
  <si>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</si>
  <si>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</si>
  <si>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</si>
  <si>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</si>
  <si>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</si>
  <si>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</si>
  <si>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</si>
  <si>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</si>
  <si>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</si>
  <si>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</si>
  <si>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</si>
  <si>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</si>
  <si>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</si>
  <si>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</si>
  <si>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</si>
  <si>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</si>
  <si>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</si>
  <si>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</si>
  <si>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</si>
  <si>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</si>
  <si>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</si>
  <si>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</si>
  <si>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</si>
  <si>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</si>
  <si>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</si>
  <si>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</si>
  <si>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</si>
  <si>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</si>
  <si>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</si>
  <si>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</si>
  <si>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</si>
  <si>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</si>
  <si>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</si>
  <si>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</si>
  <si>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</si>
  <si>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</si>
  <si>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</si>
  <si>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</si>
  <si>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</si>
  <si>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</si>
  <si>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</si>
  <si>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</si>
  <si>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</si>
  <si>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</si>
  <si>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</si>
  <si>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</si>
  <si>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</si>
  <si>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</si>
  <si>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</si>
  <si>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</si>
  <si>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</si>
  <si>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</si>
  <si>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</si>
  <si>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</si>
  <si>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</si>
  <si>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</si>
  <si>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</si>
  <si>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</si>
  <si>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</si>
  <si>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</si>
  <si>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</si>
  <si>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</si>
  <si>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</si>
  <si>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</si>
  <si>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</si>
  <si>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</si>
  <si>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</si>
  <si>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</si>
  <si>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</si>
  <si>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</si>
  <si>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</si>
  <si>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</si>
  <si>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</si>
  <si>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</si>
  <si>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</si>
  <si>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</si>
  <si>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</si>
  <si>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</si>
  <si>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</si>
  <si>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</si>
  <si>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</si>
  <si>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</si>
  <si>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</si>
  <si>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</si>
  <si>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</si>
  <si>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</si>
  <si>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</si>
  <si>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</si>
  <si>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</si>
  <si>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</si>
  <si>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</si>
  <si>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</si>
  <si>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</si>
  <si>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</si>
  <si>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</si>
  <si>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</si>
  <si>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</si>
  <si>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</si>
  <si>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</si>
  <si>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</si>
  <si>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</si>
  <si>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</si>
  <si>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</si>
  <si>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</si>
  <si>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</si>
  <si>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</si>
  <si>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</si>
  <si>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</si>
  <si>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</si>
  <si>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</si>
  <si>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</si>
  <si>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</si>
  <si>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</si>
  <si>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</si>
  <si>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</si>
  <si>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</si>
  <si>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</si>
  <si>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</si>
  <si>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</si>
  <si>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</si>
  <si>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</si>
  <si>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</si>
  <si>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</si>
  <si>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</si>
  <si>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</si>
  <si>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</si>
  <si>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</si>
  <si>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</si>
  <si>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</si>
  <si>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</si>
  <si>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</si>
  <si>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</si>
  <si>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</si>
  <si>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</si>
  <si>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</si>
  <si>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</si>
  <si>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</si>
  <si>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</si>
  <si>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</si>
  <si>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</si>
  <si>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</si>
  <si>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</si>
  <si>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</si>
  <si>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</si>
  <si>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</si>
  <si>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</si>
  <si>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</si>
  <si>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</si>
  <si>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</si>
  <si>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</si>
  <si>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</si>
  <si>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</si>
  <si>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</si>
  <si>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</si>
  <si>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</si>
  <si>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</si>
  <si>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</si>
  <si>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</si>
  <si>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</si>
  <si>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</si>
  <si>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</si>
  <si>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</si>
  <si>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</si>
  <si>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</si>
  <si>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</si>
  <si>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</si>
  <si>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</si>
  <si>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</si>
  <si>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</si>
  <si>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</si>
  <si>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</si>
  <si>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</si>
  <si>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</si>
  <si>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</si>
  <si>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</si>
  <si>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</si>
  <si>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</si>
  <si>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</si>
  <si>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</si>
  <si>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</si>
  <si>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</si>
  <si>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</si>
  <si>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</si>
  <si>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</si>
  <si>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</si>
  <si>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</si>
  <si>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</si>
  <si>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</si>
  <si>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</si>
  <si>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</si>
  <si>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</si>
  <si>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</si>
  <si>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</si>
  <si>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</si>
  <si>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</si>
  <si>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</si>
  <si>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</si>
  <si>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</si>
  <si>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</si>
  <si>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</si>
  <si>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</si>
  <si>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</si>
  <si>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</si>
  <si>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</si>
  <si>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</si>
  <si>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</si>
  <si>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</si>
  <si>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</si>
  <si>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</si>
  <si>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</si>
  <si>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</si>
  <si>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</si>
  <si>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</si>
  <si>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</si>
  <si>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</si>
  <si>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</si>
  <si>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</si>
  <si>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</si>
  <si>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</si>
  <si>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</si>
  <si>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</si>
  <si>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</si>
  <si>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</si>
  <si>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</si>
  <si>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</si>
  <si>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</si>
  <si>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</si>
  <si>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</si>
  <si>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</si>
  <si>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</si>
  <si>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</si>
  <si>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</si>
  <si>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</si>
  <si>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</si>
  <si>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</si>
  <si>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</si>
  <si>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</si>
  <si>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</si>
  <si>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</si>
  <si>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</si>
  <si>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</si>
  <si>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</si>
  <si>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</si>
  <si>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</si>
  <si>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</si>
  <si>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</si>
  <si>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</si>
  <si>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</si>
  <si>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</si>
  <si>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</si>
  <si>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</si>
  <si>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</si>
  <si>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</si>
  <si>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</si>
  <si>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</si>
  <si>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</si>
  <si>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</si>
  <si>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</si>
  <si>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</si>
  <si>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</si>
  <si>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</si>
  <si>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</si>
  <si>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</si>
  <si>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</si>
  <si>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</si>
  <si>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</si>
  <si>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</si>
  <si>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</si>
  <si>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</si>
  <si>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</si>
  <si>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</si>
  <si>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</si>
  <si>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</si>
  <si>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</si>
  <si>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</si>
  <si>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</si>
  <si>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</si>
  <si>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</si>
  <si>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</si>
  <si>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</si>
  <si>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</si>
  <si>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</si>
  <si>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</si>
  <si>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</si>
  <si>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</si>
  <si>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</si>
  <si>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</si>
  <si>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</si>
  <si>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</si>
  <si>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</si>
  <si>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</si>
  <si>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</si>
  <si>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</si>
  <si>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</si>
  <si>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</si>
  <si>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</si>
  <si>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</si>
  <si>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</si>
  <si>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</si>
  <si>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</si>
  <si>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</si>
  <si>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</si>
  <si>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</si>
  <si>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</si>
  <si>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</si>
  <si>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</si>
  <si>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</si>
  <si>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</si>
  <si>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</si>
  <si>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</si>
  <si>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</si>
  <si>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</si>
  <si>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</si>
  <si>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</si>
  <si>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</si>
  <si>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</si>
  <si>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</si>
  <si>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</si>
  <si>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</si>
  <si>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</si>
  <si>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</si>
  <si>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</si>
  <si>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</si>
  <si>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</si>
  <si>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</si>
  <si>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</si>
  <si>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</si>
  <si>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</si>
  <si>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</si>
  <si>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</si>
  <si>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</si>
  <si>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</si>
  <si>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</si>
  <si>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</si>
  <si>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</si>
  <si>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</si>
  <si>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</si>
  <si>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</si>
  <si>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</si>
  <si>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</si>
  <si>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</si>
  <si>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</si>
  <si>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</si>
  <si>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</si>
  <si>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</si>
  <si>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</si>
  <si>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</si>
  <si>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</si>
  <si>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</si>
  <si>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</si>
  <si>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</si>
  <si>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</si>
  <si>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</si>
  <si>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</si>
  <si>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</si>
  <si>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</si>
  <si>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</si>
  <si>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</si>
  <si>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</si>
  <si>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</si>
  <si>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</si>
  <si>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</si>
  <si>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</si>
  <si>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</si>
  <si>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</si>
  <si>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</si>
  <si>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</si>
  <si>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</si>
  <si>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</si>
  <si>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</si>
  <si>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</si>
  <si>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</si>
  <si>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</si>
  <si>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</si>
  <si>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</si>
  <si>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</si>
  <si>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</si>
  <si>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</si>
  <si>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</si>
  <si>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</si>
  <si>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</si>
  <si>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</si>
  <si>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</si>
  <si>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</si>
  <si>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</si>
  <si>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</si>
  <si>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</si>
  <si>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</si>
  <si>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</si>
  <si>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</si>
  <si>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</si>
  <si>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</si>
  <si>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</si>
  <si>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</si>
  <si>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</si>
  <si>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</si>
  <si>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</si>
  <si>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</si>
  <si>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</si>
  <si>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</si>
  <si>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</si>
  <si>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</si>
  <si>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</si>
  <si>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</si>
  <si>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</si>
  <si>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</si>
  <si>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</si>
  <si>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</si>
  <si>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</si>
  <si>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</si>
  <si>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</si>
  <si>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</si>
  <si>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</si>
  <si>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</si>
  <si>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</si>
  <si>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</si>
  <si>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</si>
  <si>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</si>
  <si>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</si>
  <si>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</si>
  <si>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</si>
  <si>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</si>
  <si>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</si>
  <si>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</si>
  <si>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</si>
  <si>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</si>
  <si>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</si>
  <si>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</si>
  <si>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</si>
  <si>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</si>
  <si>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</si>
  <si>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</si>
  <si>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</si>
  <si>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</si>
  <si>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</si>
  <si>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</si>
  <si>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</si>
  <si>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</si>
  <si>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</si>
  <si>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</si>
  <si>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</si>
  <si>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</si>
  <si>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</si>
  <si>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</si>
  <si>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</si>
  <si>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</si>
  <si>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</si>
  <si>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</si>
  <si>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</si>
  <si>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</si>
  <si>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</si>
  <si>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</si>
  <si>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</si>
  <si>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</si>
  <si>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</si>
  <si>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</si>
  <si>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</si>
  <si>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</si>
  <si>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</si>
  <si>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</si>
  <si>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</si>
  <si>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</si>
  <si>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</si>
  <si>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</si>
  <si>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</si>
  <si>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</si>
  <si>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</si>
  <si>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</si>
  <si>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</si>
  <si>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</si>
  <si>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</si>
  <si>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</si>
  <si>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</si>
  <si>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</si>
  <si>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</si>
  <si>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</si>
  <si>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</si>
  <si>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</si>
  <si>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</si>
  <si>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</si>
  <si>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</si>
  <si>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</si>
  <si>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</si>
  <si>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</si>
  <si>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</si>
  <si>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</si>
  <si>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</si>
  <si>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</si>
  <si>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</si>
  <si>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</si>
  <si>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</si>
  <si>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</si>
  <si>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</si>
  <si>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</si>
  <si>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</si>
  <si>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</si>
  <si>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</si>
  <si>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</si>
  <si>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</si>
  <si>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</si>
  <si>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</si>
  <si>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</si>
  <si>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</si>
  <si>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</si>
  <si>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</si>
  <si>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</si>
  <si>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</si>
  <si>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</si>
  <si>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</si>
  <si>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</si>
  <si>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</si>
  <si>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</si>
  <si>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</si>
  <si>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</si>
  <si>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</si>
  <si>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</si>
  <si>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</si>
  <si>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</si>
  <si>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</si>
  <si>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</si>
  <si>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</si>
  <si>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</si>
  <si>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</si>
  <si>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</si>
  <si>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</si>
  <si>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</si>
  <si>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</si>
  <si>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</si>
  <si>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</si>
  <si>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</si>
  <si>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</si>
  <si>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</si>
  <si>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</si>
  <si>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</si>
  <si>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</si>
  <si>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</si>
  <si>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</si>
  <si>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</si>
  <si>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</si>
  <si>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</si>
  <si>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</si>
  <si>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</si>
  <si>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</si>
  <si>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</si>
  <si>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</si>
  <si>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</si>
  <si>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</si>
  <si>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</si>
  <si>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</si>
  <si>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</si>
  <si>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</si>
  <si>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</si>
  <si>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</si>
  <si>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</si>
  <si>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</si>
  <si>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</si>
  <si>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</si>
  <si>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</si>
  <si>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</si>
  <si>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</si>
  <si>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</si>
  <si>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</si>
  <si>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</si>
  <si>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</si>
  <si>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</si>
  <si>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</si>
  <si>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</si>
  <si>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</si>
  <si>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</si>
  <si>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</si>
  <si>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</si>
  <si>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</si>
  <si>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</si>
  <si>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</si>
  <si>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</si>
  <si>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</si>
  <si>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</si>
  <si>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</si>
  <si>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</si>
  <si>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</si>
  <si>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</si>
  <si>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</si>
  <si>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</si>
  <si>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</si>
  <si>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</si>
  <si>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</si>
  <si>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</si>
  <si>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</si>
  <si>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</si>
  <si>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</si>
  <si>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</si>
  <si>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</si>
  <si>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</si>
  <si>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</si>
  <si>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</si>
  <si>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</si>
  <si>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</si>
  <si>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</si>
  <si>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</si>
  <si>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</si>
  <si>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</si>
  <si>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</si>
  <si>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</si>
  <si>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</si>
  <si>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</si>
  <si>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</si>
  <si>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</si>
  <si>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</si>
  <si>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</si>
  <si>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</si>
  <si>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</si>
  <si>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</si>
  <si>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</si>
  <si>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</si>
  <si>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</si>
  <si>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</si>
  <si>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</si>
  <si>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</si>
  <si>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</si>
  <si>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</si>
  <si>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</si>
  <si>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</si>
  <si>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</si>
  <si>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</si>
  <si>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</si>
  <si>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</si>
  <si>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</si>
  <si>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</si>
  <si>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</si>
  <si>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</si>
  <si>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</si>
  <si>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</si>
  <si>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</si>
  <si>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</si>
  <si>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</si>
  <si>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</si>
  <si>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</si>
  <si>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</si>
  <si>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</si>
  <si>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</si>
  <si>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</si>
  <si>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</si>
  <si>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</si>
  <si>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</si>
  <si>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</si>
  <si>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</si>
  <si>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</si>
  <si>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</si>
  <si>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</si>
  <si>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</si>
  <si>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</si>
  <si>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</si>
  <si>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</si>
  <si>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</si>
  <si>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</si>
  <si>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</si>
  <si>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</si>
  <si>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</si>
  <si>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</si>
  <si>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</si>
  <si>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</si>
  <si>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</si>
  <si>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</si>
  <si>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</si>
  <si>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</si>
  <si>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</si>
  <si>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</si>
  <si>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</si>
  <si>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</si>
  <si>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</si>
  <si>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</si>
  <si>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</si>
  <si>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</si>
  <si>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</si>
  <si>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</si>
  <si>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</si>
  <si>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</si>
  <si>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</si>
  <si>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</si>
  <si>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</si>
  <si>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</si>
  <si>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</si>
  <si>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</si>
  <si>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</si>
  <si>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</si>
  <si>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</si>
  <si>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</si>
  <si>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</si>
  <si>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</si>
  <si>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</si>
  <si>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</si>
  <si>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</si>
  <si>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</si>
  <si>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</si>
  <si>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</si>
  <si>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</si>
  <si>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</si>
  <si>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</si>
  <si>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</si>
  <si>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</si>
  <si>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</si>
  <si>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</si>
  <si>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</si>
  <si>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</si>
  <si>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</si>
  <si>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</si>
  <si>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</si>
  <si>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</si>
  <si>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</si>
  <si>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</si>
  <si>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</si>
  <si>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</si>
  <si>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</si>
  <si>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</si>
  <si>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</si>
  <si>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</si>
  <si>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</si>
  <si>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</si>
  <si>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</si>
  <si>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</si>
  <si>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</si>
  <si>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</si>
  <si>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</si>
  <si>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</si>
  <si>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</si>
  <si>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</si>
  <si>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</si>
  <si>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</si>
  <si>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</si>
  <si>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</si>
  <si>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</si>
  <si>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</si>
  <si>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</si>
  <si>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</si>
  <si>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</si>
  <si>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</si>
  <si>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</si>
  <si>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</si>
  <si>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</si>
  <si>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</si>
  <si>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</si>
  <si>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</si>
  <si>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</si>
  <si>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</si>
  <si>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</si>
  <si>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</si>
  <si>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</si>
  <si>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</si>
  <si>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</si>
  <si>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</si>
  <si>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</si>
  <si>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</si>
  <si>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</si>
  <si>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</si>
  <si>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</si>
  <si>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</si>
  <si>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</si>
  <si>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</si>
  <si>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</si>
  <si>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</si>
  <si>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</si>
  <si>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</si>
  <si>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</si>
  <si>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</si>
  <si>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</si>
  <si>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</si>
  <si>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</si>
  <si>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</si>
  <si>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</si>
  <si>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</si>
  <si>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</si>
  <si>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</si>
  <si>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</si>
  <si>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</si>
  <si>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</si>
  <si>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</si>
  <si>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</si>
  <si>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</si>
  <si>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</si>
  <si>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</si>
  <si>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</si>
  <si>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</si>
  <si>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</si>
  <si>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</si>
  <si>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</si>
  <si>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</si>
  <si>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</si>
  <si>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</si>
  <si>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</si>
  <si>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</si>
  <si>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</si>
  <si>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</si>
  <si>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</si>
  <si>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</si>
  <si>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</si>
  <si>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</si>
  <si>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</si>
  <si>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</si>
  <si>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</si>
  <si>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</si>
  <si>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</si>
  <si>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</si>
  <si>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</si>
  <si>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</si>
  <si>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</si>
  <si>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</si>
  <si>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</si>
  <si>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</si>
  <si>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</si>
  <si>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</si>
  <si>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</si>
  <si>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</si>
  <si>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</si>
  <si>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</si>
  <si>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</si>
  <si>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</si>
  <si>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</si>
  <si>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</si>
  <si>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</si>
  <si>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</si>
  <si>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</si>
  <si>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</si>
  <si>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</si>
  <si>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</si>
  <si>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</si>
  <si>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</si>
  <si>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</si>
  <si>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</si>
  <si>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</si>
  <si>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</si>
  <si>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</si>
  <si>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</si>
  <si>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</si>
  <si>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</si>
  <si>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</si>
  <si>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</si>
  <si>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</si>
  <si>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</si>
  <si>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</si>
  <si>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</si>
  <si>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</si>
  <si>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</si>
  <si>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</si>
  <si>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</si>
  <si>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</si>
  <si>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</si>
  <si>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</si>
  <si>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</si>
  <si>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</si>
  <si>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</si>
  <si>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</si>
  <si>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</si>
  <si>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</si>
  <si>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</si>
  <si>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</si>
  <si>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</si>
  <si>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</si>
  <si>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</si>
  <si>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</si>
  <si>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</si>
  <si>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</si>
  <si>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</si>
  <si>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</si>
  <si>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</si>
  <si>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</si>
  <si>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</si>
  <si>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</si>
  <si>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</si>
  <si>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</si>
  <si>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</si>
  <si>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</si>
  <si>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</si>
  <si>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</si>
  <si>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</si>
  <si>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</si>
  <si>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</si>
  <si>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</si>
  <si>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</si>
  <si>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</si>
  <si>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</si>
  <si>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</si>
  <si>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</si>
  <si>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</si>
  <si>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</si>
  <si>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</si>
  <si>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</si>
  <si>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</si>
  <si>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</si>
  <si>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</si>
  <si>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</si>
  <si>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</si>
  <si>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</si>
  <si>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</si>
  <si>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</si>
  <si>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</si>
  <si>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</si>
  <si>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</si>
  <si>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</si>
  <si>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</si>
  <si>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</si>
  <si>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</si>
  <si>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</si>
  <si>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</si>
  <si>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</si>
  <si>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</si>
  <si>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</si>
  <si>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</si>
  <si>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</si>
  <si>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</si>
  <si>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</si>
  <si>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</si>
  <si>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</si>
  <si>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</si>
  <si>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</si>
  <si>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</si>
  <si>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</si>
  <si>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</si>
  <si>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</si>
  <si>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</si>
  <si>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</si>
  <si>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</si>
  <si>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</si>
  <si>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</si>
  <si>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</si>
  <si>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</si>
  <si>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</si>
  <si>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</si>
  <si>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</si>
  <si>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</si>
  <si>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</si>
  <si>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</si>
  <si>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</si>
  <si>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</si>
  <si>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</si>
  <si>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</si>
  <si>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</si>
  <si>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</si>
  <si>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</si>
  <si>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</si>
  <si>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</si>
  <si>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</si>
  <si>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</si>
  <si>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</si>
  <si>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</si>
  <si>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</si>
  <si>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</si>
  <si>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</si>
  <si>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</si>
  <si>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</si>
  <si>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</si>
  <si>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</si>
  <si>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</si>
  <si>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</si>
  <si>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</si>
  <si>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</si>
  <si>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</si>
  <si>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</si>
  <si>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</si>
  <si>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</si>
  <si>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</si>
  <si>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</si>
  <si>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</si>
  <si>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</si>
  <si>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</si>
  <si>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</si>
  <si>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</si>
  <si>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</si>
  <si>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</si>
  <si>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</si>
  <si>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</si>
  <si>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</si>
  <si>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</si>
  <si>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</si>
  <si>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</si>
  <si>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</si>
  <si>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</si>
  <si>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</si>
  <si>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</si>
  <si>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</si>
  <si>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</si>
  <si>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</si>
  <si>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</si>
  <si>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</si>
  <si>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</si>
  <si>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</si>
  <si>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</si>
  <si>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</si>
  <si>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</si>
  <si>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</si>
  <si>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</si>
  <si>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</si>
  <si>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</si>
  <si>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</si>
  <si>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</si>
  <si>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</si>
  <si>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</si>
  <si>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</si>
  <si>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</si>
  <si>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</si>
  <si>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</si>
  <si>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</si>
  <si>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</si>
  <si>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</si>
  <si>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</si>
  <si>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</si>
  <si>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</si>
  <si>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</si>
  <si>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</si>
  <si>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</si>
  <si>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</si>
  <si>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</si>
  <si>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</si>
  <si>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</si>
  <si>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</si>
  <si>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</si>
  <si>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</si>
  <si>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</si>
  <si>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</si>
  <si>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</si>
  <si>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</si>
  <si>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</si>
  <si>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</si>
  <si>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</si>
  <si>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</si>
  <si>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</si>
  <si>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</si>
  <si>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</si>
  <si>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</si>
  <si>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</si>
  <si>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</si>
  <si>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</si>
  <si>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</si>
  <si>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</si>
  <si>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</si>
  <si>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</si>
  <si>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</si>
  <si>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</si>
  <si>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</si>
  <si>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</si>
  <si>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</si>
  <si>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</si>
  <si>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</si>
  <si>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</si>
  <si>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</si>
  <si>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</si>
  <si>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</si>
  <si>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</si>
  <si>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</si>
  <si>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</si>
  <si>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</si>
  <si>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</si>
  <si>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</si>
  <si>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</si>
  <si>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</si>
  <si>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</si>
  <si>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</si>
  <si>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</si>
  <si>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</si>
  <si>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</si>
  <si>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</si>
  <si>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</si>
  <si>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</si>
  <si>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</si>
  <si>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</si>
  <si>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</si>
  <si>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</si>
  <si>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</si>
  <si>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</si>
  <si>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</si>
  <si>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</si>
  <si>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</si>
  <si>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</si>
  <si>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</si>
  <si>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</si>
  <si>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</si>
  <si>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</si>
  <si>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</si>
  <si>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</si>
  <si>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</si>
  <si>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</si>
  <si>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</si>
  <si>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</si>
  <si>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</si>
  <si>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</si>
  <si>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</si>
  <si>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</si>
  <si>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</si>
  <si>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</si>
  <si>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</si>
  <si>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</si>
  <si>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</si>
  <si>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</si>
  <si>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</si>
  <si>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</si>
  <si>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</si>
  <si>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</si>
  <si>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</si>
  <si>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</si>
  <si>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</si>
  <si>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</si>
  <si>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</si>
  <si>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</si>
  <si>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</si>
  <si>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</si>
  <si>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</si>
  <si>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</si>
  <si>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</si>
  <si>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</si>
  <si>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</si>
  <si>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</si>
  <si>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</si>
  <si>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</si>
  <si>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</si>
  <si>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</si>
  <si>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</si>
  <si>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</si>
  <si>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</si>
  <si>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</si>
  <si>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</si>
  <si>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</si>
  <si>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</si>
  <si>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</si>
  <si>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</si>
  <si>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</si>
  <si>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</si>
  <si>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</si>
  <si>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</si>
  <si>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</si>
  <si>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</si>
  <si>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</si>
  <si>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</si>
  <si>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</si>
  <si>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</si>
  <si>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</si>
  <si>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</si>
  <si>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</si>
  <si>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</si>
  <si>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</si>
  <si>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</si>
  <si>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</si>
  <si>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</si>
  <si>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</si>
  <si>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</si>
  <si>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</si>
  <si>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</si>
  <si>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</si>
  <si>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</si>
  <si>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</si>
  <si>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</si>
  <si>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</si>
  <si>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</si>
  <si>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</si>
  <si>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</si>
  <si>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</si>
  <si>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</si>
  <si>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</si>
  <si>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</si>
  <si>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</si>
  <si>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</si>
  <si>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</si>
  <si>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</si>
  <si>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</si>
  <si>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</si>
  <si>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</si>
  <si>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</si>
  <si>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</si>
  <si>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</si>
  <si>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</si>
  <si>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</si>
  <si>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</si>
  <si>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</si>
  <si>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</si>
  <si>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</si>
  <si>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</si>
  <si>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</si>
  <si>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</si>
  <si>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</si>
  <si>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</si>
  <si>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</si>
  <si>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</si>
  <si>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</si>
  <si>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</si>
  <si>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</si>
  <si>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</si>
  <si>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</si>
  <si>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</si>
  <si>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</si>
  <si>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</si>
  <si>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</si>
  <si>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</si>
  <si>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</si>
  <si>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</si>
  <si>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</si>
  <si>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</si>
  <si>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</si>
  <si>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</si>
  <si>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</si>
  <si>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</si>
  <si>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</si>
  <si>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</si>
  <si>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</si>
  <si>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</si>
  <si>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</si>
  <si>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</si>
  <si>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</si>
  <si>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</si>
  <si>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</si>
  <si>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</si>
  <si>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</si>
  <si>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</si>
  <si>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</si>
  <si>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</si>
  <si>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</si>
  <si>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</si>
  <si>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</si>
  <si>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</si>
  <si>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</si>
  <si>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</si>
  <si>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</si>
  <si>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</si>
  <si>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</si>
  <si>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</si>
  <si>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</si>
  <si>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</si>
  <si>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</si>
  <si>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</si>
  <si>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</si>
  <si>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</si>
  <si>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</si>
  <si>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</si>
  <si>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</si>
  <si>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</si>
  <si>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</si>
  <si>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</si>
  <si>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</si>
  <si>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</si>
  <si>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</si>
  <si>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</si>
  <si>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</si>
  <si>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</si>
  <si>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</si>
  <si>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</si>
  <si>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</si>
  <si>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</si>
  <si>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</si>
  <si>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</si>
  <si>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</si>
  <si>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</si>
  <si>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</si>
  <si>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</si>
  <si>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</si>
  <si>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</si>
  <si>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</si>
  <si>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</si>
  <si>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</si>
  <si>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</si>
  <si>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</si>
  <si>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</si>
  <si>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</si>
  <si>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</si>
  <si>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</si>
  <si>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</si>
  <si>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</si>
  <si>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</si>
  <si>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</si>
  <si>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</si>
  <si>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</si>
  <si>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</si>
  <si>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</si>
  <si>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</si>
  <si>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</si>
  <si>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</si>
  <si>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</si>
  <si>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</si>
  <si>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</si>
  <si>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</si>
  <si>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</si>
  <si>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</si>
  <si>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</si>
  <si>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</si>
  <si>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</si>
  <si>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</si>
  <si>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</si>
  <si>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</si>
  <si>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</si>
  <si>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</si>
  <si>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</si>
  <si>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</si>
  <si>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</si>
  <si>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</si>
  <si>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</si>
  <si>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</si>
  <si>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</si>
  <si>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</si>
  <si>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</si>
  <si>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</si>
  <si>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</si>
  <si>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</si>
  <si>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</si>
  <si>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</si>
  <si>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</si>
  <si>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</si>
  <si>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</si>
  <si>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</si>
  <si>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</si>
  <si>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</si>
  <si>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</si>
  <si>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</si>
  <si>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</si>
  <si>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</si>
  <si>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</si>
  <si>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</si>
  <si>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</si>
  <si>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</si>
  <si>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</si>
  <si>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</si>
  <si>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</si>
  <si>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</si>
  <si>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</si>
  <si>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</si>
  <si>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</si>
  <si>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</si>
  <si>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</si>
  <si>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</si>
  <si>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</si>
  <si>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</si>
  <si>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</si>
  <si>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</si>
  <si>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</si>
  <si>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</si>
  <si>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</si>
  <si>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</si>
  <si>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</si>
  <si>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</si>
  <si>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</si>
  <si>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</si>
  <si>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</si>
  <si>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</si>
  <si>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</si>
  <si>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</si>
  <si>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</si>
  <si>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</si>
  <si>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</si>
  <si>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</si>
  <si>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</si>
  <si>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</si>
  <si>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</si>
  <si>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</si>
  <si>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</si>
  <si>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</si>
  <si>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</si>
  <si>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</si>
  <si>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</si>
  <si>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</si>
  <si>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</si>
  <si>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</si>
  <si>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</si>
  <si>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</si>
  <si>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</si>
  <si>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</si>
  <si>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</si>
  <si>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</si>
  <si>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</si>
  <si>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</si>
  <si>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</si>
  <si>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</si>
  <si>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</si>
  <si>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</si>
  <si>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</si>
  <si>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</si>
  <si>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</si>
  <si>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</si>
  <si>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</si>
  <si>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</si>
  <si>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</si>
  <si>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</si>
  <si>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</si>
  <si>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</si>
  <si>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</si>
  <si>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</si>
  <si>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</si>
  <si>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</si>
  <si>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</si>
  <si>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</si>
  <si>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</si>
  <si>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</si>
  <si>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</si>
  <si>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</si>
  <si>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</si>
  <si>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</si>
  <si>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</si>
  <si>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</si>
  <si>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</si>
  <si>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</si>
  <si>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</si>
  <si>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</si>
  <si>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</si>
  <si>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</si>
  <si>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</si>
  <si>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</si>
  <si>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</si>
  <si>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</si>
  <si>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</si>
  <si>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</si>
  <si>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</si>
  <si>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</si>
  <si>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</si>
  <si>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</si>
  <si>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</si>
  <si>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</si>
  <si>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</si>
  <si>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</si>
  <si>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</si>
  <si>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</si>
  <si>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</si>
  <si>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</si>
  <si>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</si>
  <si>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</si>
  <si>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</si>
  <si>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</si>
  <si>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</si>
  <si>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</si>
  <si>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</si>
  <si>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</si>
  <si>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</si>
  <si>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</si>
  <si>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</si>
  <si>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</si>
  <si>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</si>
  <si>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</si>
  <si>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</si>
  <si>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</si>
  <si>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</si>
  <si>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</si>
  <si>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</si>
  <si>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</si>
  <si>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</si>
  <si>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</si>
  <si>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</si>
  <si>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</si>
  <si>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</si>
  <si>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</si>
  <si>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</si>
  <si>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</si>
  <si>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</si>
  <si>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</si>
  <si>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</si>
  <si>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</si>
  <si>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</si>
  <si>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</si>
  <si>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</si>
  <si>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</si>
  <si>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</si>
  <si>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</si>
  <si>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</si>
  <si>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</si>
  <si>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</si>
  <si>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</si>
  <si>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</si>
  <si>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</si>
  <si>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</si>
  <si>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</si>
  <si>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</si>
  <si>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</si>
  <si>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</si>
  <si>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</si>
  <si>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</si>
  <si>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</si>
  <si>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</si>
  <si>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</si>
  <si>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</si>
  <si>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</si>
  <si>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</si>
  <si>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</si>
  <si>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</si>
  <si>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</si>
  <si>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</si>
  <si>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</si>
  <si>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</si>
  <si>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</si>
  <si>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</si>
  <si>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</si>
  <si>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</si>
  <si>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</si>
  <si>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</si>
  <si>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</si>
  <si>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</si>
  <si>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</si>
  <si>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</si>
  <si>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</si>
  <si>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</si>
  <si>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</si>
  <si>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</si>
  <si>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</si>
  <si>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</si>
  <si>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</si>
  <si>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</si>
  <si>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</si>
  <si>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</si>
  <si>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</si>
  <si>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</si>
  <si>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</si>
  <si>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</si>
  <si>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</si>
  <si>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</si>
  <si>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</si>
  <si>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</si>
  <si>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</si>
  <si>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</si>
  <si>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</si>
  <si>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</si>
  <si>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</si>
  <si>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</si>
  <si>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</si>
  <si>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</si>
  <si>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</si>
  <si>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</si>
  <si>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</si>
  <si>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</si>
  <si>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</si>
  <si>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</si>
  <si>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</si>
  <si>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</si>
  <si>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</si>
  <si>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</si>
  <si>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</si>
  <si>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</si>
  <si>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</si>
  <si>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</si>
  <si>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</si>
  <si>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</si>
  <si>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</si>
  <si>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</si>
  <si>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</si>
  <si>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</si>
  <si>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</si>
  <si>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</si>
  <si>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</si>
  <si>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</si>
  <si>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</si>
  <si>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</si>
  <si>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</si>
  <si>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</si>
  <si>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</si>
  <si>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</si>
  <si>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</si>
  <si>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</si>
  <si>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</si>
  <si>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</si>
  <si>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</si>
  <si>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</si>
  <si>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</si>
  <si>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</si>
  <si>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</si>
  <si>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</si>
  <si>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</si>
  <si>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</si>
  <si>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</si>
  <si>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</si>
  <si>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</si>
  <si>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</si>
  <si>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</si>
  <si>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</si>
  <si>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</si>
  <si>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</si>
  <si>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</si>
  <si>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</si>
  <si>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</si>
  <si>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</si>
  <si>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</si>
  <si>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</si>
  <si>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</si>
  <si>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</si>
  <si>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</si>
  <si>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</si>
  <si>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</si>
  <si>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</si>
  <si>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</si>
  <si>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</si>
  <si>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</si>
  <si>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</si>
  <si>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</si>
  <si>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</si>
  <si>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</si>
  <si>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</si>
  <si>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</si>
  <si>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</si>
  <si>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</si>
  <si>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</si>
  <si>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</si>
  <si>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</si>
  <si>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</si>
  <si>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</si>
  <si>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</si>
  <si>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</si>
  <si>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</si>
  <si>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</si>
  <si>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</si>
  <si>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</si>
  <si>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</si>
  <si>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</si>
  <si>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</si>
  <si>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</si>
  <si>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</si>
  <si>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</si>
  <si>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</si>
  <si>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</si>
  <si>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</si>
  <si>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</si>
  <si>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</si>
  <si>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</si>
  <si>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</si>
  <si>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</si>
  <si>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</si>
  <si>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</si>
  <si>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</si>
  <si>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</si>
  <si>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</si>
  <si>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</si>
  <si>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</si>
  <si>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</si>
  <si>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</si>
  <si>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</si>
  <si>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</si>
  <si>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</si>
  <si>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</si>
  <si>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</si>
  <si>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</si>
  <si>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</si>
  <si>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</si>
  <si>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</si>
  <si>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</si>
  <si>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</si>
  <si>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</si>
  <si>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</si>
  <si>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</si>
  <si>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</si>
  <si>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</si>
  <si>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</si>
  <si>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</si>
  <si>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</si>
  <si>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</si>
  <si>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</si>
  <si>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</si>
  <si>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</si>
  <si>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</si>
  <si>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</si>
  <si>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</si>
  <si>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</si>
  <si>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</si>
  <si>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</si>
  <si>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</si>
  <si>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</si>
  <si>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</si>
  <si>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</si>
  <si>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</si>
  <si>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</si>
  <si>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</si>
  <si>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</si>
  <si>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</si>
  <si>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</si>
  <si>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</si>
  <si>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</si>
  <si>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</si>
  <si>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</si>
  <si>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</si>
  <si>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</si>
  <si>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</si>
  <si>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</si>
  <si>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</si>
  <si>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</si>
  <si>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</si>
  <si>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</si>
  <si>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</si>
  <si>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</si>
  <si>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</si>
  <si>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</si>
  <si>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</si>
  <si>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</si>
  <si>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</si>
  <si>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</si>
  <si>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</si>
  <si>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</si>
  <si>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</si>
  <si>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</si>
  <si>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</si>
  <si>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</si>
  <si>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</si>
  <si>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</si>
  <si>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</si>
  <si>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</si>
  <si>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</si>
  <si>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</si>
  <si>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</si>
  <si>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</si>
  <si>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</si>
  <si>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</si>
  <si>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</si>
  <si>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</si>
  <si>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</si>
  <si>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</si>
  <si>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</si>
  <si>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</si>
  <si>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</si>
  <si>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</si>
  <si>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</si>
  <si>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</si>
  <si>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</si>
  <si>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</si>
  <si>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</si>
  <si>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</si>
  <si>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</si>
  <si>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</si>
  <si>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</si>
  <si>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</si>
  <si>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</si>
  <si>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</si>
  <si>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</si>
  <si>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</si>
  <si>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</si>
  <si>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</si>
  <si>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</si>
  <si>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</si>
  <si>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</si>
  <si>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</si>
  <si>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</si>
  <si>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</si>
  <si>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</si>
  <si>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</si>
  <si>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</si>
  <si>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</si>
  <si>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</si>
  <si>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</si>
  <si>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</si>
  <si>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</si>
  <si>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</si>
  <si>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</si>
  <si>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</si>
  <si>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</si>
  <si>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</si>
  <si>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</si>
  <si>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</si>
  <si>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</si>
  <si>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</si>
  <si>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</si>
  <si>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</si>
  <si>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</si>
  <si>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</si>
  <si>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</si>
  <si>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</si>
  <si>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</si>
  <si>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</si>
  <si>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</si>
  <si>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</si>
  <si>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</si>
  <si>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</si>
  <si>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</si>
  <si>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</si>
  <si>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</si>
  <si>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</si>
  <si>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</si>
  <si>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</si>
  <si>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</si>
  <si>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</si>
  <si>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</si>
  <si>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</si>
  <si>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</si>
  <si>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</si>
  <si>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</si>
  <si>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</si>
  <si>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</si>
  <si>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</si>
  <si>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</si>
  <si>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</si>
  <si>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</si>
  <si>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</si>
  <si>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</si>
  <si>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</si>
  <si>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</si>
  <si>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</si>
  <si>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</si>
  <si>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</si>
  <si>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</si>
  <si>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</si>
  <si>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</si>
  <si>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</si>
  <si>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</si>
  <si>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</si>
  <si>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</si>
  <si>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</si>
  <si>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</si>
  <si>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</si>
  <si>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</si>
  <si>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</si>
  <si>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</si>
  <si>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</si>
  <si>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</si>
  <si>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</si>
  <si>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</si>
  <si>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</si>
  <si>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</si>
  <si>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</si>
  <si>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</si>
  <si>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</si>
  <si>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</si>
  <si>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</si>
  <si>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</si>
  <si>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</si>
  <si>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</si>
  <si>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</si>
  <si>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</si>
  <si>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</si>
  <si>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</si>
  <si>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</si>
  <si>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</si>
  <si>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</si>
  <si>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</si>
  <si>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</si>
  <si>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</si>
  <si>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</si>
  <si>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</si>
  <si>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</si>
  <si>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</si>
  <si>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</si>
  <si>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</si>
  <si>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</si>
  <si>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</si>
  <si>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</si>
  <si>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</si>
  <si>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</si>
  <si>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</si>
  <si>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</si>
  <si>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</si>
  <si>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</si>
  <si>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</si>
  <si>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</si>
  <si>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</si>
  <si>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</si>
  <si>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</si>
  <si>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</si>
  <si>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</si>
  <si>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</si>
  <si>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</si>
  <si>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</si>
  <si>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</si>
  <si>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</si>
  <si>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</si>
  <si>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</si>
  <si>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</si>
  <si>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</si>
  <si>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</si>
  <si>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</si>
  <si>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</si>
  <si>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</si>
  <si>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</si>
  <si>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</si>
  <si>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</si>
  <si>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</si>
  <si>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</si>
  <si>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</si>
  <si>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</si>
  <si>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</si>
  <si>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</si>
  <si>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</si>
  <si>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</si>
  <si>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</si>
  <si>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</si>
  <si>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</si>
  <si>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</si>
  <si>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</si>
  <si>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</si>
  <si>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</si>
  <si>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</si>
  <si>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</si>
  <si>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</si>
  <si>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</si>
  <si>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</si>
  <si>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</si>
  <si>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</si>
  <si>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</si>
  <si>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</si>
  <si>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</si>
  <si>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</si>
  <si>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</si>
  <si>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</si>
  <si>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</si>
  <si>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</si>
  <si>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</si>
  <si>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</si>
  <si>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</si>
  <si>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</si>
  <si>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</si>
  <si>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</si>
  <si>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</si>
  <si>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</si>
  <si>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</si>
  <si>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</si>
  <si>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</si>
  <si>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</si>
  <si>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</si>
  <si>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</si>
  <si>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</si>
  <si>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</si>
  <si>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</si>
  <si>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</si>
  <si>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</si>
  <si>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</si>
  <si>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</si>
  <si>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</si>
  <si>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</si>
  <si>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</si>
  <si>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</si>
  <si>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</si>
  <si>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</si>
  <si>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</si>
  <si>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</si>
  <si>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</si>
  <si>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</si>
  <si>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</si>
  <si>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</si>
  <si>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</si>
  <si>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</si>
  <si>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</si>
  <si>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</si>
  <si>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</si>
  <si>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</si>
  <si>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</si>
  <si>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</si>
  <si>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</si>
  <si>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</si>
  <si>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</si>
  <si>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</si>
  <si>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</si>
  <si>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</si>
  <si>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</si>
  <si>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</si>
  <si>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</si>
  <si>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</si>
  <si>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</si>
  <si>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</si>
  <si>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</si>
  <si>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</si>
  <si>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</si>
  <si>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</si>
  <si>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</si>
  <si>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</si>
  <si>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</si>
  <si>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</si>
  <si>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</si>
  <si>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</si>
  <si>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</si>
  <si>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</si>
  <si>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</si>
  <si>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</si>
  <si>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</si>
  <si>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</si>
  <si>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</si>
  <si>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</si>
  <si>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</si>
  <si>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</si>
  <si>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</si>
  <si>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</si>
  <si>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</si>
  <si>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</si>
  <si>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</si>
  <si>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</si>
  <si>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</si>
  <si>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</si>
  <si>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</si>
  <si>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</si>
  <si>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</si>
  <si>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</si>
  <si>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</si>
  <si>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</si>
  <si>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</si>
  <si>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</si>
  <si>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</si>
  <si>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</si>
  <si>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</si>
  <si>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</si>
  <si>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</si>
  <si>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</si>
  <si>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</si>
  <si>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</si>
  <si>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</si>
  <si>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</si>
  <si>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</si>
  <si>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</si>
  <si>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</si>
  <si>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</si>
  <si>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</si>
  <si>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</si>
  <si>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</si>
  <si>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</si>
  <si>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</si>
  <si>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</si>
  <si>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</si>
  <si>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</si>
  <si>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</si>
  <si>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</si>
  <si>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</si>
  <si>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</si>
  <si>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</si>
  <si>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</si>
  <si>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</si>
  <si>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</si>
  <si>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</si>
  <si>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</si>
  <si>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</si>
  <si>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</si>
  <si>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</si>
  <si>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</si>
  <si>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</si>
  <si>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</si>
  <si>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</si>
  <si>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</si>
  <si>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</si>
  <si>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</si>
  <si>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</si>
  <si>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</si>
  <si>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</si>
  <si>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</si>
  <si>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</si>
  <si>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</si>
  <si>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</si>
  <si>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</si>
  <si>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</si>
  <si>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</si>
  <si>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</si>
  <si>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</si>
  <si>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</si>
  <si>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</si>
  <si>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</si>
  <si>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</si>
  <si>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</si>
  <si>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</si>
  <si>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</si>
  <si>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</si>
  <si>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</si>
  <si>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</si>
  <si>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</si>
  <si>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</si>
  <si>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</si>
  <si>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</si>
  <si>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</si>
  <si>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</si>
  <si>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</si>
  <si>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</si>
  <si>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</si>
  <si>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</si>
  <si>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</si>
  <si>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</si>
  <si>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</si>
  <si>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</si>
  <si>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</si>
  <si>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</si>
  <si>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</si>
  <si>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</si>
  <si>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</si>
  <si>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</si>
  <si>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</si>
  <si>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</si>
  <si>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</si>
  <si>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</si>
  <si>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</si>
  <si>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</si>
  <si>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</si>
  <si>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</si>
  <si>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</si>
  <si>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</si>
  <si>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</si>
  <si>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</si>
  <si>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</si>
  <si>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</si>
  <si>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</si>
  <si>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</si>
  <si>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</si>
  <si>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</si>
  <si>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</si>
  <si>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</si>
  <si>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</si>
  <si>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</si>
  <si>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</si>
  <si>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</si>
  <si>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</si>
  <si>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</si>
  <si>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</si>
  <si>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</si>
  <si>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</si>
  <si>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</si>
  <si>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</si>
  <si>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</si>
  <si>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</si>
  <si>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</si>
  <si>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</si>
  <si>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</si>
  <si>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</si>
  <si>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</si>
  <si>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</si>
  <si>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</si>
  <si>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</si>
  <si>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</si>
  <si>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</si>
  <si>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</si>
  <si>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</si>
  <si>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</si>
  <si>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</si>
  <si>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</si>
  <si>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</si>
  <si>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</si>
  <si>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</si>
  <si>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</si>
  <si>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</si>
  <si>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</si>
  <si>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</si>
  <si>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</si>
  <si>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</si>
  <si>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</si>
  <si>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</si>
  <si>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</si>
  <si>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</si>
  <si>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</si>
  <si>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</si>
  <si>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</si>
  <si>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</si>
  <si>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</si>
  <si>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</si>
  <si>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</si>
  <si>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</si>
  <si>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</si>
  <si>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</si>
  <si>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</si>
  <si>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</si>
  <si>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</si>
  <si>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</si>
  <si>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</si>
  <si>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</si>
  <si>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</si>
  <si>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</si>
  <si>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</si>
  <si>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</si>
  <si>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</si>
  <si>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</si>
  <si>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</si>
  <si>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</si>
  <si>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</si>
  <si>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</si>
  <si>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</si>
  <si>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</si>
  <si>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</si>
  <si>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</si>
  <si>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</si>
  <si>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</si>
  <si>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</si>
  <si>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</si>
  <si>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</si>
  <si>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</si>
  <si>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</si>
  <si>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</si>
  <si>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1186</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</si>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</sst>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rmFMoWKslE" TargetMode="External"/><Relationship Id="rId3512" Type="http://schemas.openxmlformats.org/officeDocument/2006/relationships/hyperlink" Target="https://www.youtube.com/watch?v=rWfGIEVvzD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54404870?t=00h13m35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_-vCzJ7BwD0" TargetMode="External"/><Relationship Id="rId44" Type="http://schemas.openxmlformats.org/officeDocument/2006/relationships/hyperlink" Target="https://youtu.be/qQGN1qDjyGc" TargetMode="External"/><Relationship Id="rId3517" Type="http://schemas.openxmlformats.org/officeDocument/2006/relationships/hyperlink" Target="https://youtu.be/BRbu8H2UIh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I8M3QDI7Ys" TargetMode="External"/><Relationship Id="rId46" Type="http://schemas.openxmlformats.org/officeDocument/2006/relationships/hyperlink" Target="https://youtu.be/HuZ6b_Zl2s8?t=13" TargetMode="External"/><Relationship Id="rId3519" Type="http://schemas.openxmlformats.org/officeDocument/2006/relationships/hyperlink" Target="https://youtu.be/NMknFeDydc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7836166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8w0PEk24j4" TargetMode="External"/><Relationship Id="rId3510" Type="http://schemas.openxmlformats.org/officeDocument/2006/relationships/hyperlink" Target="https://www.youtube.com/watch?v=3fqRcGfUd40" TargetMode="External"/><Relationship Id="rId3502" Type="http://schemas.openxmlformats.org/officeDocument/2006/relationships/hyperlink" Target="https://www.youtube.com/watch?v=CXysMP8sBxs" TargetMode="External"/><Relationship Id="rId3501" Type="http://schemas.openxmlformats.org/officeDocument/2006/relationships/hyperlink" Target="https://www.youtube.com/watch?v=mTXUY9xpR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SK0YPuxw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HBjmXQeIW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bLjbsRbEWJo"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gEIyUeIBVc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KOvNxVhYh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RkeXZsAEZAw" TargetMode="External"/><Relationship Id="rId3509" Type="http://schemas.openxmlformats.org/officeDocument/2006/relationships/hyperlink" Target="https://www.youtube.com/watch?v=MUPo8htAg-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QxWPg7mdDfE"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0aDb7ovTkt8"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b5xLagqBHM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www.twitch.tv/videos/1240610069"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8lvROe5a3Fs" TargetMode="External"/><Relationship Id="rId2202" Type="http://schemas.openxmlformats.org/officeDocument/2006/relationships/hyperlink" Target="https://youtu.be/heIYVyxaiZY" TargetMode="External"/><Relationship Id="rId3532" Type="http://schemas.openxmlformats.org/officeDocument/2006/relationships/hyperlink" Target="https://youtu.be/LnokC0JcIXs" TargetMode="External"/><Relationship Id="rId3524" Type="http://schemas.openxmlformats.org/officeDocument/2006/relationships/hyperlink" Target="https://youtu.be/FbhZuABeUno" TargetMode="External"/><Relationship Id="rId3523" Type="http://schemas.openxmlformats.org/officeDocument/2006/relationships/hyperlink" Target="https://youtu.be/DUApekPqVx0"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t9CAUQPah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xB7KPQD_bs8" TargetMode="External"/><Relationship Id="rId3521" Type="http://schemas.openxmlformats.org/officeDocument/2006/relationships/hyperlink" Target="https://youtu.be/F-2Vza5N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V5fX7jzM7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FrozenWealthyKleePeanutButterJellyTime-X-VX-sZ34T7fcx4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h8GIu7yIPE?t=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ResilientCalmPancake4Head-74KL9EEE9YwD_kv7"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9aBZWJvGU8"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5Uc_VsYk4P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3qz5HLTgw3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UwbdYDVjk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0VoHWs-0TQ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AOqHxOuW5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R_WzW5NJHN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JoIrstX6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T18zO3mkSFA"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qFebwt8ICnU"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dLppy_NAmk"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cDvzV86e5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kcpgliFaAd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7M6KJaNmgj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ZAinYSFi65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9fnwieEZ7E?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KV14OoM4Dw4"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d9DyDRTKOU8"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PVGqyyWrnS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TFIMcWwNGc"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Wm_9LlYOQ"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COIMShAaKd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1X1H4tLcTuE"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3UELneIbRvU"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INNm5Aceek"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40610068"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NL7okSeY5iY"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2V-E1Ry_EdM" TargetMode="External"/><Relationship Id="rId2217" Type="http://schemas.openxmlformats.org/officeDocument/2006/relationships/hyperlink" Target="https://youtu.be/86a8fv-ljhw" TargetMode="External"/><Relationship Id="rId3547" Type="http://schemas.openxmlformats.org/officeDocument/2006/relationships/hyperlink" Target="https://youtu.be/6mI4Vok80os"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21315070" TargetMode="External"/><Relationship Id="rId2211" Type="http://schemas.openxmlformats.org/officeDocument/2006/relationships/hyperlink" Target="https://youtu.be/SMsD3PoVZ8w" TargetMode="External"/><Relationship Id="rId3541" Type="http://schemas.openxmlformats.org/officeDocument/2006/relationships/hyperlink" Target="https://youtu.be/o3BJ9s8uUxw"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XTDyoF4Y4nU"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WH0jcgZhuSk"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RAW1TjecBxE?t=6"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cOth8i2Z9Jg"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GaMR2hFrw"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RDsRdHr1gAQ"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HAcEFJYINY0"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ZNski5gWt3o?t=13"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w__8xHsdb0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knbwipIcL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gxCCdax0xo"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94xFxpvkY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ucculentOutstandingStrawberryRlyTho"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KindAgitatedCarrotTF2Joh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n0keiZRpt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2cUppv-m-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wutk4BplKq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tHKISoTDxf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ourColdCardFutureMa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vf7LO_ZZhj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ObliqueKawaiiPotJKanStyl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GeniusWildSoybeanCoolStoryBob-fzlUT-FtG5z80EmV"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BloodyCheeseSpicyBoy"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FriendlyAffluentTofuYouWHY-UP1xCokl0WqaQm4g"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TrustworthyBoldFishGivePLZ-Po2fD7at-sek261_"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ClumsyCrepuscularPlumageNerfBlueBlaster-heP3VC5LrNVyumj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altyCrispyIcecreamWoofer"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SnappyPoorZebraTwitchRai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HomelyPlausibleFloofBCWarrior-sSytr9fCDheZ_hDo" TargetMode="External"/><Relationship Id="rId3630" Type="http://schemas.openxmlformats.org/officeDocument/2006/relationships/hyperlink" Target="https://clips.twitch.tv/EncouragingSecretiveLlamaDoggo-bwQ_C8eP-5aDg2tv"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957409450"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RepleteGoldfishPanicBasket-YqdRyFXSK23tLcD3" TargetMode="External"/><Relationship Id="rId3623" Type="http://schemas.openxmlformats.org/officeDocument/2006/relationships/hyperlink" Target="https://clips.twitch.tv/FilthyTalentedQuailStinkyCheese" TargetMode="External"/><Relationship Id="rId3622" Type="http://schemas.openxmlformats.org/officeDocument/2006/relationships/hyperlink" Target="https://youtu.be/KpohDuuulIM" TargetMode="External"/><Relationship Id="rId3625" Type="http://schemas.openxmlformats.org/officeDocument/2006/relationships/hyperlink" Target="https://clips.twitch.tv/SassyBeautifulShrewSMOrc" TargetMode="External"/><Relationship Id="rId3624" Type="http://schemas.openxmlformats.org/officeDocument/2006/relationships/hyperlink" Target="https://clips.twitch.tv/WealthyIcyNeanderthalFreakinStinkin" TargetMode="External"/><Relationship Id="rId3627" Type="http://schemas.openxmlformats.org/officeDocument/2006/relationships/hyperlink" Target="https://clips.twitch.tv/HyperDaintyShallotCoolCat-ndROv_i6E4CKkm7N" TargetMode="External"/><Relationship Id="rId3626" Type="http://schemas.openxmlformats.org/officeDocument/2006/relationships/hyperlink" Target="https://clips.twitch.tv/RefinedSmallBobaOhMyDog" TargetMode="External"/><Relationship Id="rId3629" Type="http://schemas.openxmlformats.org/officeDocument/2006/relationships/hyperlink" Target="https://www.twitch.tv/videos/885940624" TargetMode="External"/><Relationship Id="rId3628" Type="http://schemas.openxmlformats.org/officeDocument/2006/relationships/hyperlink" Target="https://clips.twitch.tv/TenderUninterestedBisonEleGiggle-mdGTz9P-vvJ_SomS" TargetMode="External"/><Relationship Id="rId3621" Type="http://schemas.openxmlformats.org/officeDocument/2006/relationships/hyperlink" Target="https://youtu.be/5jM0EgimauY" TargetMode="External"/><Relationship Id="rId3620" Type="http://schemas.openxmlformats.org/officeDocument/2006/relationships/hyperlink" Target="https://www.twitch.tv/videos/2138466749"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1815831888"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RtlEfGBLHmo"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oweringAffluentGazelleMVGame-2lym0QMvFNPpiY48"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SavoryFrailDillRiPepperonis-_a-yQIVP6RrToBfk"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_h-Y9PTQCtQ"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meFaintBottleYee-IEkbSrtMvnFQwhHW"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enuousPiercingMageGOWSkull-kGLgwfGlf3oOKCj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CILDpiFkyUg"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allDistinctAniseFrankerZ-3S4o-2k1o4GqXMhX"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MoldyRelatedTrollBatChest-WcJP5jR_ykR-S_W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repuscularScrumptiousOtterTakeNRG-cxJP968a0d4wce-J"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www.youtube.com/watch?v=-tGRQrXio5s"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s7KwjQLw1kU" TargetMode="External"/><Relationship Id="rId3600" Type="http://schemas.openxmlformats.org/officeDocument/2006/relationships/hyperlink" Target="https://youtu.be/JA8zPb_sJUI" TargetMode="External"/><Relationship Id="rId3603" Type="http://schemas.openxmlformats.org/officeDocument/2006/relationships/hyperlink" Target="https://youtu.be/T9JOn5dgSlg?t=6" TargetMode="External"/><Relationship Id="rId3602" Type="http://schemas.openxmlformats.org/officeDocument/2006/relationships/hyperlink" Target="https://youtu.be/MGFeKWE-RkA" TargetMode="External"/><Relationship Id="rId3605" Type="http://schemas.openxmlformats.org/officeDocument/2006/relationships/hyperlink" Target="https://youtu.be/wP71syAMx4g" TargetMode="External"/><Relationship Id="rId3604" Type="http://schemas.openxmlformats.org/officeDocument/2006/relationships/hyperlink" Target="https://youtu.be/lPkvTZpTvMI?t=8" TargetMode="External"/><Relationship Id="rId3607" Type="http://schemas.openxmlformats.org/officeDocument/2006/relationships/hyperlink" Target="https://youtu.be/1DaDpONiHIE" TargetMode="External"/><Relationship Id="rId3606" Type="http://schemas.openxmlformats.org/officeDocument/2006/relationships/hyperlink" Target="https://youtu.be/xuC6ejNPnCo?t=10"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youtu.be/EvC-eEXii6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zlsxUCl28V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www.youtube.com/watch?v=RjXUBXs_PiQ"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NqCh1AR43c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ProductivePlausibleSageTinyFace-GuTRGs_oKypV63Ig" TargetMode="External"/><Relationship Id="rId2340" Type="http://schemas.openxmlformats.org/officeDocument/2006/relationships/hyperlink" Target="https://youtu.be/rppi8kUpsTA" TargetMode="External"/><Relationship Id="rId3672" Type="http://schemas.openxmlformats.org/officeDocument/2006/relationships/hyperlink" Target="https://clips.twitch.tv/ClearTangibleOryxOMGScoots-RUJeu6MdrRyS8XMp"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aI2boBx2eg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S2yDCubR2o4"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Df8m_IV4vr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www.youtube.com/watch?v=5NFV4JlVEh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fNVSKf4AXP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DependableWimpyPlumberNerfRedBlaster-l0N1ltNqN24DfqO-"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EmpathicBlitheMouseCclamChamp-vw9pV9yJ-0wMcIEx"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oDxj7CTWpxg"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BlindingWittySquidArsonNoSexy-an14cMVazpBQ8zTL"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923267417"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BlTsOFlPgME"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78115"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youtube.com/watch?v=LLV-ujq1ytc"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www.twitch.tv/videos/681697534"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79858"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5awgm4vADL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7ZgVTZnK5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L3JP_GvYE7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is_vY-GrcvA"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S2-pKof3dr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69ic33AvIa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gs6T_sN1V7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UbE6nG94rb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Oc0mzisGZgM"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qKz5kBAucjo"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nggxOuqniq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P1zYoS5W0-o"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ixBwATUne_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74H20Y0ruuk"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Fwi1P8hhbEM"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Cr_xP8bgJec"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79vpdi3lud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u-0TbF-x-ys"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0cqSvG8RrC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q-qecF2b-PI"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PAuCtRTeOZQ" TargetMode="External"/><Relationship Id="rId2424" Type="http://schemas.openxmlformats.org/officeDocument/2006/relationships/hyperlink" Target="https://youtu.be/m_ZBiqY_Nho" TargetMode="External"/><Relationship Id="rId3754" Type="http://schemas.openxmlformats.org/officeDocument/2006/relationships/hyperlink" Target="https://www.youtube.com/watch?v=traHO3RCMFc" TargetMode="External"/><Relationship Id="rId2425" Type="http://schemas.openxmlformats.org/officeDocument/2006/relationships/hyperlink" Target="https://youtu.be/abhI8pfN-HM" TargetMode="External"/><Relationship Id="rId3757" Type="http://schemas.openxmlformats.org/officeDocument/2006/relationships/hyperlink" Target="https://youtu.be/2fhIenEkLlY" TargetMode="External"/><Relationship Id="rId2426" Type="http://schemas.openxmlformats.org/officeDocument/2006/relationships/hyperlink" Target="https://youtu.be/5o3N19-vMCQ" TargetMode="External"/><Relationship Id="rId3756" Type="http://schemas.openxmlformats.org/officeDocument/2006/relationships/hyperlink" Target="https://youtu.be/qgluFqR_tLI" TargetMode="External"/><Relationship Id="rId2427" Type="http://schemas.openxmlformats.org/officeDocument/2006/relationships/hyperlink" Target="https://youtu.be/P-JOJi5CDwo" TargetMode="External"/><Relationship Id="rId3759" Type="http://schemas.openxmlformats.org/officeDocument/2006/relationships/hyperlink" Target="https://youtu.be/0XUpJc8IzRk" TargetMode="External"/><Relationship Id="rId2428" Type="http://schemas.openxmlformats.org/officeDocument/2006/relationships/hyperlink" Target="https://youtu.be/xzSnHTv-h9M" TargetMode="External"/><Relationship Id="rId3758" Type="http://schemas.openxmlformats.org/officeDocument/2006/relationships/hyperlink" Target="https://youtu.be/YB9LQDhmWDY"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pHdG2rZYIU" TargetMode="External"/><Relationship Id="rId2420" Type="http://schemas.openxmlformats.org/officeDocument/2006/relationships/hyperlink" Target="https://youtu.be/aoIG8OwyKNU" TargetMode="External"/><Relationship Id="rId3750" Type="http://schemas.openxmlformats.org/officeDocument/2006/relationships/hyperlink" Target="https://youtu.be/-EuPHAugnvU" TargetMode="External"/><Relationship Id="rId2421" Type="http://schemas.openxmlformats.org/officeDocument/2006/relationships/hyperlink" Target="https://youtu.be/okwGTTwcW4w" TargetMode="External"/><Relationship Id="rId3753" Type="http://schemas.openxmlformats.org/officeDocument/2006/relationships/hyperlink" Target="https://youtu.be/FxAyf0hf3S4" TargetMode="External"/><Relationship Id="rId2422" Type="http://schemas.openxmlformats.org/officeDocument/2006/relationships/hyperlink" Target="https://youtu.be/F5NfRzs9WmY" TargetMode="External"/><Relationship Id="rId3752" Type="http://schemas.openxmlformats.org/officeDocument/2006/relationships/hyperlink" Target="https://youtu.be/3VT120o91Mg"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UnsightlyObservantCrabsKappaClaus-1ZkgEyeYp8b3WKgQ"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24432075"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64996095" TargetMode="External"/><Relationship Id="rId2415" Type="http://schemas.openxmlformats.org/officeDocument/2006/relationships/hyperlink" Target="https://youtu.be/oOnV-NlfnIE" TargetMode="External"/><Relationship Id="rId3745" Type="http://schemas.openxmlformats.org/officeDocument/2006/relationships/hyperlink" Target="https://clips.twitch.tv/SarcasticJoyousMacaroniSaltBae-7jY8PhjdTlVbfUri" TargetMode="External"/><Relationship Id="rId2416" Type="http://schemas.openxmlformats.org/officeDocument/2006/relationships/hyperlink" Target="https://youtu.be/yAHDhaOU8Q8" TargetMode="External"/><Relationship Id="rId3748" Type="http://schemas.openxmlformats.org/officeDocument/2006/relationships/hyperlink" Target="https://youtu.be/zwrAxg51_j8" TargetMode="External"/><Relationship Id="rId2417" Type="http://schemas.openxmlformats.org/officeDocument/2006/relationships/hyperlink" Target="https://youtu.be/VnNU1Ms6HXw" TargetMode="External"/><Relationship Id="rId3747" Type="http://schemas.openxmlformats.org/officeDocument/2006/relationships/hyperlink" Target="https://www.twitch.tv/videos/1252488021"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lURSmO_AyEw" TargetMode="External"/><Relationship Id="rId3740" Type="http://schemas.openxmlformats.org/officeDocument/2006/relationships/hyperlink" Target="https://clips.twitch.tv/AdorableAuspiciousPonyOMGScoots-cOHUPAy5-HX8cTlY"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30321696"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AmericanTardyDugongSpicyBoy-u5HRN4Pv98XlV4QZ"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56297855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IH-4uKm6is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3UNx_t8T6E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HZezdHtroI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0zcfBzYqS0" TargetMode="External"/><Relationship Id="rId2440" Type="http://schemas.openxmlformats.org/officeDocument/2006/relationships/hyperlink" Target="https://youtu.be/mUlsoL1veGc" TargetMode="External"/><Relationship Id="rId3770" Type="http://schemas.openxmlformats.org/officeDocument/2006/relationships/hyperlink" Target="https://youtu.be/zLRiS54kML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XECoTk_c05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2pdrTGGpy2s"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umgWlwQvLlg"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7DKS_xqCH8A"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1dW06SPmki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qhvHHeJ6c_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aROk5J96rU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WEi5En16ras"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P9VWSfZRdZ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DxHxNj6HV0"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_iXBKQwq-Ys"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HLtLqTHqXYA"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o_9Tt8brs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v_H6xRBJa_g" TargetMode="External"/><Relationship Id="rId3711" Type="http://schemas.openxmlformats.org/officeDocument/2006/relationships/hyperlink" Target="https://www.youtube.com/watch?v=WYCGplnVh4A" TargetMode="External"/><Relationship Id="rId3710" Type="http://schemas.openxmlformats.org/officeDocument/2006/relationships/hyperlink" Target="https://youtu.be/_5EE7piEfdA" TargetMode="External"/><Relationship Id="rId3713" Type="http://schemas.openxmlformats.org/officeDocument/2006/relationships/hyperlink" Target="https://youtu.be/IA9rZ_hatPE" TargetMode="External"/><Relationship Id="rId3712" Type="http://schemas.openxmlformats.org/officeDocument/2006/relationships/hyperlink" Target="https://clips.twitch.tv/IgnorantInexpensiveWhaleAMPEnergyCherry-0_APFnMlwRxp93Up" TargetMode="External"/><Relationship Id="rId3715" Type="http://schemas.openxmlformats.org/officeDocument/2006/relationships/hyperlink" Target="https://youtu.be/3Ovu89Qc6hc" TargetMode="External"/><Relationship Id="rId3714" Type="http://schemas.openxmlformats.org/officeDocument/2006/relationships/hyperlink" Target="https://youtu.be/npPbGmcpwTg" TargetMode="External"/><Relationship Id="rId3717" Type="http://schemas.openxmlformats.org/officeDocument/2006/relationships/hyperlink" Target="https://youtu.be/YQQ0q65ToQQ" TargetMode="External"/><Relationship Id="rId3716" Type="http://schemas.openxmlformats.org/officeDocument/2006/relationships/hyperlink" Target="https://youtu.be/OSNXTmoonnM" TargetMode="External"/><Relationship Id="rId3719" Type="http://schemas.openxmlformats.org/officeDocument/2006/relationships/hyperlink" Target="https://youtu.be/MMo3ZBMPIrU" TargetMode="External"/><Relationship Id="rId3718" Type="http://schemas.openxmlformats.org/officeDocument/2006/relationships/hyperlink" Target="https://youtu.be/mEmDaTtNmiw" TargetMode="External"/><Relationship Id="rId3700" Type="http://schemas.openxmlformats.org/officeDocument/2006/relationships/hyperlink" Target="https://youtu.be/_yyE2bJP2Bk" TargetMode="External"/><Relationship Id="rId3702" Type="http://schemas.openxmlformats.org/officeDocument/2006/relationships/hyperlink" Target="https://youtu.be/6in2eMbJ0ow" TargetMode="External"/><Relationship Id="rId3701" Type="http://schemas.openxmlformats.org/officeDocument/2006/relationships/hyperlink" Target="https://youtu.be/K9g9bFufOgE" TargetMode="External"/><Relationship Id="rId3704" Type="http://schemas.openxmlformats.org/officeDocument/2006/relationships/hyperlink" Target="https://youtu.be/cMWcL3kLKVs" TargetMode="External"/><Relationship Id="rId3703" Type="http://schemas.openxmlformats.org/officeDocument/2006/relationships/hyperlink" Target="https://youtu.be/oJ7uiss0Fac" TargetMode="External"/><Relationship Id="rId3706" Type="http://schemas.openxmlformats.org/officeDocument/2006/relationships/hyperlink" Target="https://youtu.be/pTOrGSUJHWI" TargetMode="External"/><Relationship Id="rId3705" Type="http://schemas.openxmlformats.org/officeDocument/2006/relationships/hyperlink" Target="https://youtu.be/HhrXXa3_6QQ" TargetMode="External"/><Relationship Id="rId3708" Type="http://schemas.openxmlformats.org/officeDocument/2006/relationships/hyperlink" Target="https://youtu.be/gl9c1qhsTTo" TargetMode="External"/><Relationship Id="rId3707" Type="http://schemas.openxmlformats.org/officeDocument/2006/relationships/hyperlink" Target="https://youtu.be/vc2vKpA4W0o" TargetMode="External"/><Relationship Id="rId3709" Type="http://schemas.openxmlformats.org/officeDocument/2006/relationships/hyperlink" Target="https://www.youtube.com/watch?v=xILNN4X1Sug" TargetMode="External"/><Relationship Id="rId2401" Type="http://schemas.openxmlformats.org/officeDocument/2006/relationships/hyperlink" Target="https://youtu.be/chTeu9FixQo" TargetMode="External"/><Relationship Id="rId3733" Type="http://schemas.openxmlformats.org/officeDocument/2006/relationships/hyperlink" Target="https://youtu.be/-X-8cgwjxbo"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dRTrvAdi71A" TargetMode="External"/><Relationship Id="rId2403" Type="http://schemas.openxmlformats.org/officeDocument/2006/relationships/hyperlink" Target="https://youtu.be/4piPovOx8O4" TargetMode="External"/><Relationship Id="rId3735" Type="http://schemas.openxmlformats.org/officeDocument/2006/relationships/hyperlink" Target="https://youtu.be/XFv2JXpwzPA" TargetMode="External"/><Relationship Id="rId2404" Type="http://schemas.openxmlformats.org/officeDocument/2006/relationships/hyperlink" Target="https://youtu.be/7PV_sbgZrbk" TargetMode="External"/><Relationship Id="rId3734" Type="http://schemas.openxmlformats.org/officeDocument/2006/relationships/hyperlink" Target="https://www.youtube.com/watch?v=5ezTSko_BOU" TargetMode="External"/><Relationship Id="rId2405" Type="http://schemas.openxmlformats.org/officeDocument/2006/relationships/hyperlink" Target="https://youtu.be/Lun8aJPbx0M" TargetMode="External"/><Relationship Id="rId3737" Type="http://schemas.openxmlformats.org/officeDocument/2006/relationships/hyperlink" Target="https://youtu.be/H3JDwX7khMg" TargetMode="External"/><Relationship Id="rId2406" Type="http://schemas.openxmlformats.org/officeDocument/2006/relationships/hyperlink" Target="https://youtu.be/vtQd6-gbOy0" TargetMode="External"/><Relationship Id="rId3736" Type="http://schemas.openxmlformats.org/officeDocument/2006/relationships/hyperlink" Target="https://youtu.be/APN1OdPY83o"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OpenSwissHorseradishPlanking-F6U4Rdie9N3lGJTB" TargetMode="External"/><Relationship Id="rId2408" Type="http://schemas.openxmlformats.org/officeDocument/2006/relationships/hyperlink" Target="https://youtu.be/VKdpuTD0_0I" TargetMode="External"/><Relationship Id="rId3738" Type="http://schemas.openxmlformats.org/officeDocument/2006/relationships/hyperlink" Target="https://youtu.be/AlDJUqcUgNE"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CgWCSuJ5jnk" TargetMode="External"/><Relationship Id="rId2400" Type="http://schemas.openxmlformats.org/officeDocument/2006/relationships/hyperlink" Target="https://youtu.be/rPuytD0LZNY" TargetMode="External"/><Relationship Id="rId3730" Type="http://schemas.openxmlformats.org/officeDocument/2006/relationships/hyperlink" Target="https://youtu.be/gsTC2weC5Ok" TargetMode="External"/><Relationship Id="rId3722" Type="http://schemas.openxmlformats.org/officeDocument/2006/relationships/hyperlink" Target="https://youtu.be/x4wUe8VzFL4" TargetMode="External"/><Relationship Id="rId3721" Type="http://schemas.openxmlformats.org/officeDocument/2006/relationships/hyperlink" Target="https://youtu.be/ewGQiYOg6F4" TargetMode="External"/><Relationship Id="rId3724" Type="http://schemas.openxmlformats.org/officeDocument/2006/relationships/hyperlink" Target="https://youtu.be/_BiWC77BP3o" TargetMode="External"/><Relationship Id="rId3723" Type="http://schemas.openxmlformats.org/officeDocument/2006/relationships/hyperlink" Target="https://youtu.be/hfxXpN4iAks" TargetMode="External"/><Relationship Id="rId3726" Type="http://schemas.openxmlformats.org/officeDocument/2006/relationships/hyperlink" Target="https://youtu.be/YAMDglE01Tg" TargetMode="External"/><Relationship Id="rId3725" Type="http://schemas.openxmlformats.org/officeDocument/2006/relationships/hyperlink" Target="https://youtu.be/PW3RefbTtj8" TargetMode="External"/><Relationship Id="rId3728" Type="http://schemas.openxmlformats.org/officeDocument/2006/relationships/hyperlink" Target="https://www.youtube.com/watch?v=NBnUp-T3fhc" TargetMode="External"/><Relationship Id="rId3727" Type="http://schemas.openxmlformats.org/officeDocument/2006/relationships/hyperlink" Target="https://youtu.be/djpRgtYWDDw" TargetMode="External"/><Relationship Id="rId3729" Type="http://schemas.openxmlformats.org/officeDocument/2006/relationships/hyperlink" Target="https://www.youtube.com/watch?v=odXAa6vbdas" TargetMode="External"/><Relationship Id="rId3720" Type="http://schemas.openxmlformats.org/officeDocument/2006/relationships/hyperlink" Target="https://youtu.be/BzPxFP5PIp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otBadHornetSMOrc-t1Ay2e8ytR447X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Bn7k3tpxw3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GehcU0SiNI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SuperZanyPieKeepo-Ebg6fn6EX7ykQnDV"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TriangularObliviousMonitorBatChest-eqBHvfKfQfrebKfL"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hortUnsightlyPistachioChefFrank-IfQ-BytSOfBolo4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NiceKindCoffeePrimeMe-Vz1GgZlWIpDJSy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r_t9k5DrB0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CheerfulFantasticTermiteLeeroyJenkins-_NqtQfUNLcCYlSba"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FragileSmoggyEaglePeteZarollTie-EahUmDAbRKOeXQP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IZtnv1QUIi0" TargetMode="External"/><Relationship Id="rId3799" Type="http://schemas.openxmlformats.org/officeDocument/2006/relationships/hyperlink" Target="https://youtu.be/HZnBxf4JU_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XmPcOAAQU8" TargetMode="External"/><Relationship Id="rId3798" Type="http://schemas.openxmlformats.org/officeDocument/2006/relationships/hyperlink" Target="https://youtu.be/Qym3rnWuc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3n1YG_RNt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wrHqU3R3n8s" TargetMode="External"/><Relationship Id="rId2460" Type="http://schemas.openxmlformats.org/officeDocument/2006/relationships/hyperlink" Target="https://youtu.be/149boANUIhE" TargetMode="External"/><Relationship Id="rId3790" Type="http://schemas.openxmlformats.org/officeDocument/2006/relationships/hyperlink" Target="https://youtu.be/y0NuMK8xHq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Mor1vJAChU" TargetMode="External"/><Relationship Id="rId3793" Type="http://schemas.openxmlformats.org/officeDocument/2006/relationships/hyperlink" Target="https://youtu.be/5-gF0Swsi3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n463LInD2Yg" TargetMode="External"/><Relationship Id="rId3792" Type="http://schemas.openxmlformats.org/officeDocument/2006/relationships/hyperlink" Target="https://youtu.be/5DZ8BfAN4c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6p3VF8pRF70" TargetMode="External"/><Relationship Id="rId3795" Type="http://schemas.openxmlformats.org/officeDocument/2006/relationships/hyperlink" Target="https://youtu.be/4MSMADxISL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OSANZ3-euo" TargetMode="External"/><Relationship Id="rId3794" Type="http://schemas.openxmlformats.org/officeDocument/2006/relationships/hyperlink" Target="https://youtu.be/SlWniPyjlm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1hiTwu9EL3A" TargetMode="External"/><Relationship Id="rId3797" Type="http://schemas.openxmlformats.org/officeDocument/2006/relationships/hyperlink" Target="https://youtu.be/HtBNhb-7Um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xWs_nsjiyE" TargetMode="External"/><Relationship Id="rId3796" Type="http://schemas.openxmlformats.org/officeDocument/2006/relationships/hyperlink" Target="https://youtu.be/4rPxyleoz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www.youtube.com/watch?v=6lJoisIyH60" TargetMode="External"/><Relationship Id="rId3788" Type="http://schemas.openxmlformats.org/officeDocument/2006/relationships/hyperlink" Target="https://youtu.be/JNGeEHSpy7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EI61oVT9V2Q" TargetMode="External"/><Relationship Id="rId3787" Type="http://schemas.openxmlformats.org/officeDocument/2006/relationships/hyperlink" Target="https://youtu.be/RqUNHa6gnV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YXMQMUqQ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KINanq0aHtM" TargetMode="External"/><Relationship Id="rId3789" Type="http://schemas.openxmlformats.org/officeDocument/2006/relationships/hyperlink" Target="https://youtu.be/v8KAMn60Am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38636950" TargetMode="External"/><Relationship Id="rId2450" Type="http://schemas.openxmlformats.org/officeDocument/2006/relationships/hyperlink" Target="https://youtu.be/Xyz85UM81Zw" TargetMode="External"/><Relationship Id="rId3782" Type="http://schemas.openxmlformats.org/officeDocument/2006/relationships/hyperlink" Target="https://youtu.be/BZgjhNOo-g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KK51XFEscs" TargetMode="External"/><Relationship Id="rId3781" Type="http://schemas.openxmlformats.org/officeDocument/2006/relationships/hyperlink" Target="https://youtu.be/D0Oc-Q4O40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dOp5piQQYq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X-ta1hc2wp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YkHffV7svTc"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pwrbxu1YXU" TargetMode="External"/><Relationship Id="rId3785" Type="http://schemas.openxmlformats.org/officeDocument/2006/relationships/hyperlink" Target="https://youtu.be/CfDEkDG5HF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bYjGQdaTQ8"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8pgc62ldBtA"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gA3Sy_9pfM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HK33N7Slqo"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v-IpsEzR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TyQ7-3gowf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StdVPvFpuL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GiiCAj_mvO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yHBkIG0MS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z6UWwsVT2_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ZpdtVeVUsHI"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Ohqisa88zk"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3YtmQbkiTV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www.twitch.tv/videos/1555345196"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WbZfdJB_tY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T_knGg5IcR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XNk5xmg6k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HhJIhtpLL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F8xItJ0i2O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kaxWZ7Wez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i70vEjIigs" TargetMode="External"/><Relationship Id="rId3812" Type="http://schemas.openxmlformats.org/officeDocument/2006/relationships/hyperlink" Target="https://youtu.be/ulLGhaW70TY" TargetMode="External"/><Relationship Id="rId3811" Type="http://schemas.openxmlformats.org/officeDocument/2006/relationships/hyperlink" Target="https://www.youtube.com/watch?v=vhL6kN-JE8k" TargetMode="External"/><Relationship Id="rId3814" Type="http://schemas.openxmlformats.org/officeDocument/2006/relationships/hyperlink" Target="https://youtu.be/_JChUmIMzx8" TargetMode="External"/><Relationship Id="rId3813" Type="http://schemas.openxmlformats.org/officeDocument/2006/relationships/hyperlink" Target="https://www.youtube.com/watch?v=GQMa4hZZByE" TargetMode="External"/><Relationship Id="rId3816" Type="http://schemas.openxmlformats.org/officeDocument/2006/relationships/hyperlink" Target="https://youtu.be/5H6ttD7tFYo" TargetMode="External"/><Relationship Id="rId3815" Type="http://schemas.openxmlformats.org/officeDocument/2006/relationships/hyperlink" Target="https://www.youtube.com/watch?v=UkTxsy8QDIE" TargetMode="External"/><Relationship Id="rId3818" Type="http://schemas.openxmlformats.org/officeDocument/2006/relationships/hyperlink" Target="https://www.youtube.com/watch?v=n6t3ryt15_M&amp;feature=youtu.be" TargetMode="External"/><Relationship Id="rId3817" Type="http://schemas.openxmlformats.org/officeDocument/2006/relationships/hyperlink" Target="https://www.youtube.com/watch?v=lGYLythfgVM&amp;feature=youtu.be" TargetMode="External"/><Relationship Id="rId3819" Type="http://schemas.openxmlformats.org/officeDocument/2006/relationships/hyperlink" Target="https://www.youtube.com/watch?v=dbu2Wi9biHM&amp;feature=youtu.be" TargetMode="External"/><Relationship Id="rId3801" Type="http://schemas.openxmlformats.org/officeDocument/2006/relationships/hyperlink" Target="https://www.youtube.com/watch?v=r_HuXdZOnmI" TargetMode="External"/><Relationship Id="rId3800" Type="http://schemas.openxmlformats.org/officeDocument/2006/relationships/hyperlink" Target="https://www.youtube.com/watch?v=HDY6lt3F9Uo" TargetMode="External"/><Relationship Id="rId3803" Type="http://schemas.openxmlformats.org/officeDocument/2006/relationships/hyperlink" Target="https://www.youtube.com/watch?v=6EsFfnuEY4Q" TargetMode="External"/><Relationship Id="rId3802" Type="http://schemas.openxmlformats.org/officeDocument/2006/relationships/hyperlink" Target="https://youtu.be/LUwqtTI4T1k" TargetMode="External"/><Relationship Id="rId3805" Type="http://schemas.openxmlformats.org/officeDocument/2006/relationships/hyperlink" Target="https://youtu.be/o57m9Wl80TA" TargetMode="External"/><Relationship Id="rId3804" Type="http://schemas.openxmlformats.org/officeDocument/2006/relationships/hyperlink" Target="https://www.youtube.com/watch?v=ztk8dAiWwug" TargetMode="External"/><Relationship Id="rId3807" Type="http://schemas.openxmlformats.org/officeDocument/2006/relationships/hyperlink" Target="https://youtu.be/hNY2YLYWw0A" TargetMode="External"/><Relationship Id="rId3806" Type="http://schemas.openxmlformats.org/officeDocument/2006/relationships/hyperlink" Target="https://youtu.be/sY5sBSU2oXc" TargetMode="External"/><Relationship Id="rId3809" Type="http://schemas.openxmlformats.org/officeDocument/2006/relationships/hyperlink" Target="https://www.youtube.com/watch?v=SIiCoZ2Xvrk" TargetMode="External"/><Relationship Id="rId3808" Type="http://schemas.openxmlformats.org/officeDocument/2006/relationships/hyperlink" Target="https://youtu.be/U6dEEcEm8Kg" TargetMode="External"/><Relationship Id="rId1213" Type="http://schemas.openxmlformats.org/officeDocument/2006/relationships/hyperlink" Target="https://youtu.be/a7-SiZhtDgc" TargetMode="External"/><Relationship Id="rId2544" Type="http://schemas.openxmlformats.org/officeDocument/2006/relationships/hyperlink" Target="https://youtu.be/V6gNDjItdW8"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U5KmgSgoDdI"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l4mBbm8ur1s"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QsvQk0xADQ8" TargetMode="External"/><Relationship Id="rId1218" Type="http://schemas.openxmlformats.org/officeDocument/2006/relationships/hyperlink" Target="https://youtu.be/4AgwHmlbsTI" TargetMode="External"/><Relationship Id="rId2549" Type="http://schemas.openxmlformats.org/officeDocument/2006/relationships/hyperlink" Target="https://youtu.be/81KtAn-zj3g"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4txGCrw2IKU&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youtu.be/LR7-pLYq8m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d8E5eorTcc&amp;feature=youtu.be"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youtu.be/yZc7PHqxRO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iZi92oX7OF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www.youtube.com/watch?v=zXqDdDpJsaY"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youtu.be/7fwDH3Vvugs"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twitter.com/zelpikukirby/status/1295234878305271808"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clips.twitch.tv/FantasticHumbleNuggetsAMPTropPunch-8vOucFusTrXlS3mn"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oZmhXsuXRo"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LelT8ze6WdU"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AXAKS1k7i7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www.youtube.com/watch?v=xWCGegw2YqQ"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www.youtube.com/watch?v=PCcI6CIPGqk"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youtu.be/1HDBaMUS5Dw"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www.youtube.com/watch?v=oO5-I1f_Syo"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KAw299EzsTw"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clips.twitch.tv/GeniusDignifiedFrogPhilosoraptor-QBL8guokQfmf4voo" TargetMode="External"/><Relationship Id="rId3832" Type="http://schemas.openxmlformats.org/officeDocument/2006/relationships/hyperlink" Target="https://www.twitch.tv/videos/1038648534" TargetMode="External"/><Relationship Id="rId2501" Type="http://schemas.openxmlformats.org/officeDocument/2006/relationships/hyperlink" Target="https://clips.twitch.tv/PopularConfidentOilPermaSmug-fwtuyLN51a5V-UHg" TargetMode="External"/><Relationship Id="rId3831" Type="http://schemas.openxmlformats.org/officeDocument/2006/relationships/hyperlink" Target="https://youtu.be/PbuzEBssXKI" TargetMode="External"/><Relationship Id="rId2502" Type="http://schemas.openxmlformats.org/officeDocument/2006/relationships/hyperlink" Target="https://clips.twitch.tv/AffluentFlirtyCasetteChefFrank-RBIiiGQ1ss5ucRk8"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clips.twitch.tv/AgilePolishedSandpiperPanicVis-hpDyLscw0z6nWIpE"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clips.twitch.tv/SuperSnappyNewtSSSsss-hXI7Oc-7fKR2TiKN"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www.twitch.tv/videos/1615516252"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5Oz9i6mgu6w" TargetMode="External"/><Relationship Id="rId3838" Type="http://schemas.openxmlformats.org/officeDocument/2006/relationships/hyperlink" Target="https://youtu.be/H2EFLjh19V8" TargetMode="External"/><Relationship Id="rId2507" Type="http://schemas.openxmlformats.org/officeDocument/2006/relationships/hyperlink" Target="https://youtu.be/Of1sS4UiBaw"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clips.twitch.tv/ProudDeafWallabyTakeNRG-tfE4zNXqRc1xKP_K" TargetMode="External"/><Relationship Id="rId2509" Type="http://schemas.openxmlformats.org/officeDocument/2006/relationships/hyperlink" Target="https://clips.twitch.tv/HappyKathishArugulaBIRB-K2GZKAGmdJYAloW9"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streamable.com/ece2zm" TargetMode="External"/><Relationship Id="rId3820" Type="http://schemas.openxmlformats.org/officeDocument/2006/relationships/hyperlink" Target="https://www.youtube.com/watch?v=4lOtCb_AozM&amp;feature=youtu.be" TargetMode="External"/><Relationship Id="rId3823" Type="http://schemas.openxmlformats.org/officeDocument/2006/relationships/hyperlink" Target="https://www.twitch.tv/pksmg2_/clip/DoubtfulAmusedKleeSeemsGood-aazgfPoXoD59ojT1" TargetMode="External"/><Relationship Id="rId3822" Type="http://schemas.openxmlformats.org/officeDocument/2006/relationships/hyperlink" Target="https://streamable.com/fsx42y"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urHh8oG1Jfo" TargetMode="External"/><Relationship Id="rId3854" Type="http://schemas.openxmlformats.org/officeDocument/2006/relationships/hyperlink" Target="https://youtu.be/vRD_ott4DpA" TargetMode="External"/><Relationship Id="rId2523" Type="http://schemas.openxmlformats.org/officeDocument/2006/relationships/hyperlink" Target="https://clips.twitch.tv/ObedientSavagePicklesDxCat-PXYV7wE6gbM1tmzG" TargetMode="External"/><Relationship Id="rId3853" Type="http://schemas.openxmlformats.org/officeDocument/2006/relationships/hyperlink" Target="https://youtu.be/A8KjkBjUfOk" TargetMode="External"/><Relationship Id="rId2524" Type="http://schemas.openxmlformats.org/officeDocument/2006/relationships/hyperlink" Target="https://www.twitch.tv/videos/1693240640"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www.youtube.com/watch?v=nFAborGQoIQ" TargetMode="External"/><Relationship Id="rId3850" Type="http://schemas.openxmlformats.org/officeDocument/2006/relationships/hyperlink" Target="https://youtu.be/kySJxVHeP0U" TargetMode="External"/><Relationship Id="rId2520" Type="http://schemas.openxmlformats.org/officeDocument/2006/relationships/hyperlink" Target="https://www.youtube.com/watch?v=F7hcihsAc7k" TargetMode="External"/><Relationship Id="rId3852" Type="http://schemas.openxmlformats.org/officeDocument/2006/relationships/hyperlink" Target="https://youtu.be/3TQw0AW_aJU" TargetMode="External"/><Relationship Id="rId2521" Type="http://schemas.openxmlformats.org/officeDocument/2006/relationships/hyperlink" Target="https://clips.twitch.tv/CaringCorrectJamPeteZarollTie-SesxGbMXkYUtp2vk" TargetMode="External"/><Relationship Id="rId3851" Type="http://schemas.openxmlformats.org/officeDocument/2006/relationships/hyperlink" Target="https://youtu.be/1xe-zs2KVf0" TargetMode="External"/><Relationship Id="rId2511" Type="http://schemas.openxmlformats.org/officeDocument/2006/relationships/hyperlink" Target="https://clips.twitch.tv/PricklyColdThymeCorgiDerp-SUTqk3NQDKfAmSOz"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clips.twitch.tv/InquisitiveCrypticClipsdadRickroll-pHeKwbvj7KGD3ZQ4"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clips.twitch.tv/InspiringTrustworthyAlmondSwiftRage-48RK218yc4lPYK8e" TargetMode="External"/><Relationship Id="rId3845" Type="http://schemas.openxmlformats.org/officeDocument/2006/relationships/hyperlink" Target="https://youtu.be/bIGrU1syHDY" TargetMode="External"/><Relationship Id="rId2514" Type="http://schemas.openxmlformats.org/officeDocument/2006/relationships/hyperlink" Target="https://clips.twitch.tv/WanderingWealthyTigerSSSsss-jux4zciScDnZdVbV" TargetMode="External"/><Relationship Id="rId3844" Type="http://schemas.openxmlformats.org/officeDocument/2006/relationships/hyperlink" Target="https://youtu.be/MRWKcNQGTvM" TargetMode="External"/><Relationship Id="rId2515" Type="http://schemas.openxmlformats.org/officeDocument/2006/relationships/hyperlink" Target="https://youtu.be/6dZGaGMo8gE" TargetMode="External"/><Relationship Id="rId3847" Type="http://schemas.openxmlformats.org/officeDocument/2006/relationships/hyperlink" Target="https://youtu.be/V5dg32r_sOg" TargetMode="External"/><Relationship Id="rId2516" Type="http://schemas.openxmlformats.org/officeDocument/2006/relationships/hyperlink" Target="https://youtu.be/RoXi6F89gdI" TargetMode="External"/><Relationship Id="rId3846" Type="http://schemas.openxmlformats.org/officeDocument/2006/relationships/hyperlink" Target="https://youtu.be/FYglbuzFuu4" TargetMode="External"/><Relationship Id="rId2517" Type="http://schemas.openxmlformats.org/officeDocument/2006/relationships/hyperlink" Target="https://youtu.be/koYfQLra6HY" TargetMode="External"/><Relationship Id="rId3849" Type="http://schemas.openxmlformats.org/officeDocument/2006/relationships/hyperlink" Target="https://youtu.be/314rWkYHf6A" TargetMode="External"/><Relationship Id="rId2518" Type="http://schemas.openxmlformats.org/officeDocument/2006/relationships/hyperlink" Target="https://clips.twitch.tv/SweetExpensiveDiscKlappa-rjyO0L4ThHLZFmy-" TargetMode="External"/><Relationship Id="rId3848" Type="http://schemas.openxmlformats.org/officeDocument/2006/relationships/hyperlink" Target="https://youtu.be/RYYp3oKODso" TargetMode="External"/><Relationship Id="rId2519" Type="http://schemas.openxmlformats.org/officeDocument/2006/relationships/hyperlink" Target="https://youtu.be/iMt-wdR0Ubg"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clips.twitch.tv/AntsyTameSoybeanArsonNoSexy-vpEo3NKSJxXoNw99"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HZXnU9rQPy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WldeL6FcOI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Q3Ehm55nvik" TargetMode="External"/><Relationship Id="rId1244" Type="http://schemas.openxmlformats.org/officeDocument/2006/relationships/hyperlink" Target="https://youtu.be/mUWpSvoSa0c" TargetMode="External"/><Relationship Id="rId2575" Type="http://schemas.openxmlformats.org/officeDocument/2006/relationships/hyperlink" Target="https://youtu.be/yP8kHTKO-2s"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hyperlink" Target="https://www.youtube.com/watch?v=caU8VP9BHrg" TargetMode="External"/><Relationship Id="rId3910" Type="http://schemas.openxmlformats.org/officeDocument/2006/relationships/hyperlink" Target="https://www.youtube.com/watch?v=laCHqyWs984" TargetMode="External"/><Relationship Id="rId3913" Type="http://schemas.openxmlformats.org/officeDocument/2006/relationships/hyperlink" Target="https://youtu.be/caU8VP9BHrg?t=34" TargetMode="External"/><Relationship Id="rId3912" Type="http://schemas.openxmlformats.org/officeDocument/2006/relationships/hyperlink" Target="https://youtu.be/caU8VP9BHrg?t=18" TargetMode="External"/><Relationship Id="rId3915" Type="http://schemas.openxmlformats.org/officeDocument/2006/relationships/hyperlink" Target="https://youtu.be/Qmg_xLCSSbA" TargetMode="External"/><Relationship Id="rId3914" Type="http://schemas.openxmlformats.org/officeDocument/2006/relationships/hyperlink" Target="https://www.youtube.com/watch?v=gRryQt-bhAg" TargetMode="External"/><Relationship Id="rId3917" Type="http://schemas.openxmlformats.org/officeDocument/2006/relationships/drawing" Target="../drawings/drawing2.xml"/><Relationship Id="rId3916" Type="http://schemas.openxmlformats.org/officeDocument/2006/relationships/hyperlink" Target="https://www.youtube.com/watch?v=YxaJDqTfNGk" TargetMode="External"/><Relationship Id="rId3918" Type="http://schemas.openxmlformats.org/officeDocument/2006/relationships/vmlDrawing" Target="../drawings/vmlDrawing1.vml"/><Relationship Id="rId3900" Type="http://schemas.openxmlformats.org/officeDocument/2006/relationships/hyperlink" Target="https://www.youtube.com/watch?v=xMqUb5dUiZM" TargetMode="External"/><Relationship Id="rId3902" Type="http://schemas.openxmlformats.org/officeDocument/2006/relationships/hyperlink" Target="https://www.youtube.com/watch?v=VdsKTXs-UTY" TargetMode="External"/><Relationship Id="rId3901" Type="http://schemas.openxmlformats.org/officeDocument/2006/relationships/hyperlink" Target="https://www.youtube.com/watch?v=SrUwkGFzCEE" TargetMode="External"/><Relationship Id="rId3904" Type="http://schemas.openxmlformats.org/officeDocument/2006/relationships/hyperlink" Target="https://www.youtube.com/watch?v=L4jVt_16yUg" TargetMode="External"/><Relationship Id="rId3903" Type="http://schemas.openxmlformats.org/officeDocument/2006/relationships/hyperlink" Target="https://www.youtube.com/watch?v=6Nt3IRc9yTw" TargetMode="External"/><Relationship Id="rId3906" Type="http://schemas.openxmlformats.org/officeDocument/2006/relationships/hyperlink" Target="https://www.youtube.com/watch?v=OEN9ux8xfE4" TargetMode="External"/><Relationship Id="rId3905" Type="http://schemas.openxmlformats.org/officeDocument/2006/relationships/hyperlink" Target="https://www.youtube.com/watch?v=bLwqganoodE" TargetMode="External"/><Relationship Id="rId3908" Type="http://schemas.openxmlformats.org/officeDocument/2006/relationships/hyperlink" Target="https://www.youtube.com/watch?v=zuhk9lBcLvg" TargetMode="External"/><Relationship Id="rId3907" Type="http://schemas.openxmlformats.org/officeDocument/2006/relationships/hyperlink" Target="https://www.twitch.tv/videos/1841251739" TargetMode="External"/><Relationship Id="rId3909" Type="http://schemas.openxmlformats.org/officeDocument/2006/relationships/hyperlink" Target="https://www.youtube.com/watch?v=DxeBCVnAtNQ"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2" Type="http://schemas.openxmlformats.org/officeDocument/2006/relationships/table" Target="../tables/table1.xml"/><Relationship Id="rId3924" Type="http://schemas.openxmlformats.org/officeDocument/2006/relationships/table" Target="../tables/table3.xml"/><Relationship Id="rId3923"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eztA53CG6T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lzr3d1YV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EvPbbAPOA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OILKxKXzsu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8F95VAgZVl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5K95t5A5-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D3j3c8Xuk"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q9NqTu4doh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AYKxeDyQH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z2--2js6cF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Yp6Usy3bgz0"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I1kYsikf7e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ZdwWMYy0a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8AnrEjVlY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I4eOXX5V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1CEmbGtaZs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XnT5NwVdVc" TargetMode="External"/><Relationship Id="rId1320" Type="http://schemas.openxmlformats.org/officeDocument/2006/relationships/hyperlink" Target="https://youtu.be/3XLFv6q2_Yo" TargetMode="External"/><Relationship Id="rId2651" Type="http://schemas.openxmlformats.org/officeDocument/2006/relationships/hyperlink" Target="https://youtu.be/eS00EfXv8n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IxnXaB1fI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9Txs-AKZ3pM"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eYfAbzNBvRM"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iVFRWQL-T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_HULD2HMJ-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mIQE_b9u3T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Ugqny8h0s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9-4Sx88Rrl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B5wKtwqOy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SjksR7FORT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WSgC9zUa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WC4fgstw2I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4vsh8nXUJ4s"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bzDX09kUE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YO-FLXpQqj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TZ-9-A8DC3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TwStcD_xn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Q8y9nC5zG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jM5FPGlhp2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ZxwjwidcM2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U2If--gTt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5YcZAJjZ90"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youtu.be/7r31kGgJA3U" TargetMode="External"/><Relationship Id="rId1313" Type="http://schemas.openxmlformats.org/officeDocument/2006/relationships/hyperlink" Target="https://youtu.be/pzPQ10JiQLA" TargetMode="External"/><Relationship Id="rId2644" Type="http://schemas.openxmlformats.org/officeDocument/2006/relationships/hyperlink" Target="https://youtu.be/xVEgIQtLGGo" TargetMode="External"/><Relationship Id="rId1314" Type="http://schemas.openxmlformats.org/officeDocument/2006/relationships/hyperlink" Target="https://youtu.be/F3qgVCznEIg" TargetMode="External"/><Relationship Id="rId2645" Type="http://schemas.openxmlformats.org/officeDocument/2006/relationships/hyperlink" Target="https://youtu.be/5cjt7pGohwM" TargetMode="External"/><Relationship Id="rId1315" Type="http://schemas.openxmlformats.org/officeDocument/2006/relationships/hyperlink" Target="https://youtu.be/jV2GwKOrfC4" TargetMode="External"/><Relationship Id="rId2646" Type="http://schemas.openxmlformats.org/officeDocument/2006/relationships/hyperlink" Target="https://youtu.be/FYVv0rBrJn0" TargetMode="External"/><Relationship Id="rId1316" Type="http://schemas.openxmlformats.org/officeDocument/2006/relationships/hyperlink" Target="https://youtu.be/WuI-DcOKtsM" TargetMode="External"/><Relationship Id="rId2647" Type="http://schemas.openxmlformats.org/officeDocument/2006/relationships/hyperlink" Target="https://youtu.be/xMprl48ulxI" TargetMode="External"/><Relationship Id="rId1317" Type="http://schemas.openxmlformats.org/officeDocument/2006/relationships/hyperlink" Target="https://youtu.be/lQCmgllTDRI" TargetMode="External"/><Relationship Id="rId2648" Type="http://schemas.openxmlformats.org/officeDocument/2006/relationships/hyperlink" Target="https://youtu.be/bLIbKYXmnMo" TargetMode="External"/><Relationship Id="rId1318" Type="http://schemas.openxmlformats.org/officeDocument/2006/relationships/hyperlink" Target="https://youtu.be/kFzU1c-L21g" TargetMode="External"/><Relationship Id="rId2649" Type="http://schemas.openxmlformats.org/officeDocument/2006/relationships/hyperlink" Target="https://youtu.be/c14W4AdIfU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mSxlnpIew64" TargetMode="External"/><Relationship Id="rId1310" Type="http://schemas.openxmlformats.org/officeDocument/2006/relationships/hyperlink" Target="https://youtu.be/PrSxiEeu_Lg" TargetMode="External"/><Relationship Id="rId2641" Type="http://schemas.openxmlformats.org/officeDocument/2006/relationships/hyperlink" Target="https://youtu.be/yIz9wnY5hA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MT9EJFRcn0I"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ttyXEh8FKO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6Ds4733b-o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_ca5My7vuk"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jtk5aQl9r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JSCeONtih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OVLOMgv4lH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gCtUuDALAN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CWp4nv7kP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Cuw2OQP0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iw2QWgqAfa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QIpqsOaHaNM" TargetMode="External"/><Relationship Id="rId2701" Type="http://schemas.openxmlformats.org/officeDocument/2006/relationships/hyperlink" Target="https://youtu.be/LW_CzIdUodI" TargetMode="External"/><Relationship Id="rId2702" Type="http://schemas.openxmlformats.org/officeDocument/2006/relationships/hyperlink" Target="https://youtu.be/e_xaTqVbvjk" TargetMode="External"/><Relationship Id="rId2703" Type="http://schemas.openxmlformats.org/officeDocument/2006/relationships/hyperlink" Target="https://youtu.be/xxu8PlNJM6k" TargetMode="External"/><Relationship Id="rId2704" Type="http://schemas.openxmlformats.org/officeDocument/2006/relationships/hyperlink" Target="https://youtu.be/C8NGezkLAlk" TargetMode="External"/><Relationship Id="rId2705" Type="http://schemas.openxmlformats.org/officeDocument/2006/relationships/hyperlink" Target="https://youtu.be/a4ItpBSNA8Q" TargetMode="External"/><Relationship Id="rId2706" Type="http://schemas.openxmlformats.org/officeDocument/2006/relationships/hyperlink" Target="https://youtu.be/BwT0G0Js7bA" TargetMode="External"/><Relationship Id="rId2707" Type="http://schemas.openxmlformats.org/officeDocument/2006/relationships/hyperlink" Target="https://youtu.be/pawyESzE27Q" TargetMode="External"/><Relationship Id="rId2708" Type="http://schemas.openxmlformats.org/officeDocument/2006/relationships/hyperlink" Target="https://youtu.be/zwZeHlmEP2M" TargetMode="External"/><Relationship Id="rId2709" Type="http://schemas.openxmlformats.org/officeDocument/2006/relationships/hyperlink" Target="https://youtu.be/iuuLyEqTcAk" TargetMode="External"/><Relationship Id="rId2720" Type="http://schemas.openxmlformats.org/officeDocument/2006/relationships/hyperlink" Target="https://youtu.be/i_ce-GWye7U" TargetMode="External"/><Relationship Id="rId2721" Type="http://schemas.openxmlformats.org/officeDocument/2006/relationships/hyperlink" Target="https://youtu.be/A9P2CMHF3Ys" TargetMode="External"/><Relationship Id="rId2722" Type="http://schemas.openxmlformats.org/officeDocument/2006/relationships/hyperlink" Target="https://youtu.be/JKPEUYks_1s" TargetMode="External"/><Relationship Id="rId2723" Type="http://schemas.openxmlformats.org/officeDocument/2006/relationships/hyperlink" Target="https://youtu.be/ohMgslKKLzg" TargetMode="External"/><Relationship Id="rId2724" Type="http://schemas.openxmlformats.org/officeDocument/2006/relationships/hyperlink" Target="https://youtu.be/6LUCAOmDMOM" TargetMode="External"/><Relationship Id="rId2725" Type="http://schemas.openxmlformats.org/officeDocument/2006/relationships/hyperlink" Target="https://youtu.be/Q9zO6Ey-tuY" TargetMode="External"/><Relationship Id="rId2726" Type="http://schemas.openxmlformats.org/officeDocument/2006/relationships/hyperlink" Target="https://youtu.be/CA9si0gN3zQ" TargetMode="External"/><Relationship Id="rId2727" Type="http://schemas.openxmlformats.org/officeDocument/2006/relationships/hyperlink" Target="https://youtu.be/qCn2ckp3j1Q" TargetMode="External"/><Relationship Id="rId2728" Type="http://schemas.openxmlformats.org/officeDocument/2006/relationships/hyperlink" Target="https://youtu.be/mnPxRyeakV0" TargetMode="External"/><Relationship Id="rId2729" Type="http://schemas.openxmlformats.org/officeDocument/2006/relationships/hyperlink" Target="https://youtu.be/tpGBiGHZxK0" TargetMode="External"/><Relationship Id="rId2710" Type="http://schemas.openxmlformats.org/officeDocument/2006/relationships/hyperlink" Target="https://youtu.be/i2ywF9Yg3vI" TargetMode="External"/><Relationship Id="rId2711" Type="http://schemas.openxmlformats.org/officeDocument/2006/relationships/hyperlink" Target="https://youtu.be/poD_AfiGwrg" TargetMode="External"/><Relationship Id="rId2712" Type="http://schemas.openxmlformats.org/officeDocument/2006/relationships/hyperlink" Target="https://youtu.be/vOlk7kpc5u4" TargetMode="External"/><Relationship Id="rId2713" Type="http://schemas.openxmlformats.org/officeDocument/2006/relationships/hyperlink" Target="https://youtu.be/VTU8txxlfCw" TargetMode="External"/><Relationship Id="rId2714" Type="http://schemas.openxmlformats.org/officeDocument/2006/relationships/hyperlink" Target="https://youtu.be/AgcwcZyCSfI" TargetMode="External"/><Relationship Id="rId2715" Type="http://schemas.openxmlformats.org/officeDocument/2006/relationships/hyperlink" Target="https://youtu.be/GdLrIFLMKmE" TargetMode="External"/><Relationship Id="rId2716" Type="http://schemas.openxmlformats.org/officeDocument/2006/relationships/hyperlink" Target="https://youtu.be/mzqUfdUISr8" TargetMode="External"/><Relationship Id="rId2717" Type="http://schemas.openxmlformats.org/officeDocument/2006/relationships/hyperlink" Target="https://youtu.be/P2Ljvh9ZW7o" TargetMode="External"/><Relationship Id="rId2718" Type="http://schemas.openxmlformats.org/officeDocument/2006/relationships/hyperlink" Target="https://youtu.be/k6JbP64JkNs" TargetMode="External"/><Relationship Id="rId2719" Type="http://schemas.openxmlformats.org/officeDocument/2006/relationships/hyperlink" Target="https://youtu.be/uY90PjWR_MQ"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X6u__Yz8sVI"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NsSBbR6Hnr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wQ_DrJWEX4g"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KpOFGRSZDbQ"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9KoowbjAGY"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VPMYThog5e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g_4oAXMnKbc"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ycOzTsbJQqo" TargetMode="External"/><Relationship Id="rId1454" Type="http://schemas.openxmlformats.org/officeDocument/2006/relationships/hyperlink" Target="https://youtu.be/ODIkTLwT8Jk" TargetMode="External"/><Relationship Id="rId2785" Type="http://schemas.openxmlformats.org/officeDocument/2006/relationships/hyperlink" Target="https://youtu.be/NMSMOXLoL9A"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hgxqNrMqpxU"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PWIlS-5fZHw"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8"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0"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7?t=00h00m15s"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13067619"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62073851119130624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55159502858135552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03022026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VY2PBCPazN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KSmmu7Yt4fI"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j-RNDUODy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gBd1JipnE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OBavWk1ges"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YxifVTkwzA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NzfBfbabf2g"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ejmykwrwKM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twitch.tv/videos/234484504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UTEc9I-ENi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cjW1z9IjEp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u2ssBHrem_A"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tPMViYriHd0" TargetMode="External"/><Relationship Id="rId2761" Type="http://schemas.openxmlformats.org/officeDocument/2006/relationships/hyperlink" Target="https://youtu.be/oXBFmXLK0T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xj15KRiJk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twitter.com/Samura1man/status/1271734162496516096" TargetMode="External"/><Relationship Id="rId3250" Type="http://schemas.openxmlformats.org/officeDocument/2006/relationships/hyperlink" Target="https://youtu.be/MC2obL5aGuQ?si=Rowa582txwclwq-z" TargetMode="External"/><Relationship Id="rId3252" Type="http://schemas.openxmlformats.org/officeDocument/2006/relationships/hyperlink" Target="https://youtu.be/5Fb7NyRAVR4?si=TMfJuFsN97uy6mIt" TargetMode="External"/><Relationship Id="rId3251" Type="http://schemas.openxmlformats.org/officeDocument/2006/relationships/hyperlink" Target="https://youtu.be/wolelJpkmB4?si=VHWrIadIVhze9Yi4" TargetMode="External"/><Relationship Id="rId3254" Type="http://schemas.openxmlformats.org/officeDocument/2006/relationships/hyperlink" Target="https://youtu.be/ts2SmqPB6to?si=wcYtebU5-TxduPMX" TargetMode="External"/><Relationship Id="rId3253" Type="http://schemas.openxmlformats.org/officeDocument/2006/relationships/hyperlink" Target="https://youtu.be/H8UeSAC-sWk?si=LeXWMKHsBazFl6Da" TargetMode="External"/><Relationship Id="rId3256" Type="http://schemas.openxmlformats.org/officeDocument/2006/relationships/hyperlink" Target="https://youtu.be/5tNT76py6Wk?si=vJsCPy3IBliXh8Qk" TargetMode="External"/><Relationship Id="rId3255" Type="http://schemas.openxmlformats.org/officeDocument/2006/relationships/hyperlink" Target="https://youtu.be/bDy0q2TBExw?si=2XNdJyAk5tBiwhrn" TargetMode="External"/><Relationship Id="rId3258" Type="http://schemas.openxmlformats.org/officeDocument/2006/relationships/hyperlink" Target="https://www.youtube.com/watch?v=DIcjtHJf4AI" TargetMode="External"/><Relationship Id="rId3257" Type="http://schemas.openxmlformats.org/officeDocument/2006/relationships/hyperlink" Target="https://youtu.be/h3n62MI-loE?si=rePsiAvUque-RRxZ" TargetMode="External"/><Relationship Id="rId3249" Type="http://schemas.openxmlformats.org/officeDocument/2006/relationships/hyperlink" Target="https://youtu.be/qLr3OT1tTeo?si=G_4Q0tikT-PNCb6l"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gzOBWrCUX4g" TargetMode="External"/><Relationship Id="rId3272" Type="http://schemas.openxmlformats.org/officeDocument/2006/relationships/hyperlink" Target="https://youtu.be/QWmK3VCxdP8" TargetMode="External"/><Relationship Id="rId3271" Type="http://schemas.openxmlformats.org/officeDocument/2006/relationships/hyperlink" Target="https://youtu.be/uQb2vYe8YII" TargetMode="External"/><Relationship Id="rId143" Type="http://schemas.openxmlformats.org/officeDocument/2006/relationships/hyperlink" Target="https://youtu.be/G7ZKRSLm7Ss" TargetMode="External"/><Relationship Id="rId3274" Type="http://schemas.openxmlformats.org/officeDocument/2006/relationships/hyperlink" Target="https://youtu.be/UDQz7kCJvR8" TargetMode="External"/><Relationship Id="rId142" Type="http://schemas.openxmlformats.org/officeDocument/2006/relationships/hyperlink" Target="https://youtu.be/sr8-35s3szM" TargetMode="External"/><Relationship Id="rId3273" Type="http://schemas.openxmlformats.org/officeDocument/2006/relationships/hyperlink" Target="https://youtu.be/mYzJU-sWJSo" TargetMode="External"/><Relationship Id="rId141" Type="http://schemas.openxmlformats.org/officeDocument/2006/relationships/hyperlink" Target="https://youtu.be/hrx6t6PsRec" TargetMode="External"/><Relationship Id="rId3276" Type="http://schemas.openxmlformats.org/officeDocument/2006/relationships/hyperlink" Target="https://youtu.be/9CE1fcOgskc" TargetMode="External"/><Relationship Id="rId140" Type="http://schemas.openxmlformats.org/officeDocument/2006/relationships/hyperlink" Target="https://youtu.be/KrettlTfhBY" TargetMode="External"/><Relationship Id="rId3275" Type="http://schemas.openxmlformats.org/officeDocument/2006/relationships/hyperlink" Target="https://youtu.be/UeQdaOSfhqQ" TargetMode="External"/><Relationship Id="rId147" Type="http://schemas.openxmlformats.org/officeDocument/2006/relationships/hyperlink" Target="https://youtu.be/_vR3jZU-bbA" TargetMode="External"/><Relationship Id="rId3278" Type="http://schemas.openxmlformats.org/officeDocument/2006/relationships/hyperlink" Target="https://youtu.be/miExYfqR64E" TargetMode="External"/><Relationship Id="rId146" Type="http://schemas.openxmlformats.org/officeDocument/2006/relationships/hyperlink" Target="https://youtu.be/y8VrWQkqapM" TargetMode="External"/><Relationship Id="rId3277" Type="http://schemas.openxmlformats.org/officeDocument/2006/relationships/hyperlink" Target="https://youtu.be/bEtJQK0rkx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q9jDB675A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KTeySuLwAI" TargetMode="External"/><Relationship Id="rId3260" Type="http://schemas.openxmlformats.org/officeDocument/2006/relationships/hyperlink" Target="https://www.youtube.com/watch?v=kPNwdDX3Bps" TargetMode="External"/><Relationship Id="rId132" Type="http://schemas.openxmlformats.org/officeDocument/2006/relationships/hyperlink" Target="https://youtu.be/MRr3K9-CgXA" TargetMode="External"/><Relationship Id="rId3263" Type="http://schemas.openxmlformats.org/officeDocument/2006/relationships/hyperlink" Target="https://youtu.be/ZmY_5WSb6yM" TargetMode="External"/><Relationship Id="rId131" Type="http://schemas.openxmlformats.org/officeDocument/2006/relationships/hyperlink" Target="https://youtu.be/axRUDJiOFdc" TargetMode="External"/><Relationship Id="rId3262" Type="http://schemas.openxmlformats.org/officeDocument/2006/relationships/hyperlink" Target="https://youtu.be/czwc5nX4nvk" TargetMode="External"/><Relationship Id="rId130" Type="http://schemas.openxmlformats.org/officeDocument/2006/relationships/hyperlink" Target="https://youtu.be/ZrUDpq5YIYk" TargetMode="External"/><Relationship Id="rId3265" Type="http://schemas.openxmlformats.org/officeDocument/2006/relationships/hyperlink" Target="https://youtu.be/prEpqvZQgLQ" TargetMode="External"/><Relationship Id="rId3264" Type="http://schemas.openxmlformats.org/officeDocument/2006/relationships/hyperlink" Target="https://youtu.be/5VwqykDW0oQ" TargetMode="External"/><Relationship Id="rId136" Type="http://schemas.openxmlformats.org/officeDocument/2006/relationships/hyperlink" Target="https://youtu.be/WdUb5ytzcy0" TargetMode="External"/><Relationship Id="rId3267" Type="http://schemas.openxmlformats.org/officeDocument/2006/relationships/hyperlink" Target="https://youtu.be/_DhWYRq0LwA" TargetMode="External"/><Relationship Id="rId135" Type="http://schemas.openxmlformats.org/officeDocument/2006/relationships/hyperlink" Target="https://youtu.be/-TFh1R9JRZU" TargetMode="External"/><Relationship Id="rId3266" Type="http://schemas.openxmlformats.org/officeDocument/2006/relationships/hyperlink" Target="https://youtu.be/mF124RG60nQ" TargetMode="External"/><Relationship Id="rId134" Type="http://schemas.openxmlformats.org/officeDocument/2006/relationships/hyperlink" Target="https://youtu.be/CG5OJeNOPn0" TargetMode="External"/><Relationship Id="rId3269" Type="http://schemas.openxmlformats.org/officeDocument/2006/relationships/hyperlink" Target="https://youtu.be/9oaIhANWDzo"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ftePd1cjf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IzlArMTv18" TargetMode="External"/><Relationship Id="rId3292" Type="http://schemas.openxmlformats.org/officeDocument/2006/relationships/hyperlink" Target="https://youtu.be/iMMzhLJFgX4" TargetMode="External"/><Relationship Id="rId3291" Type="http://schemas.openxmlformats.org/officeDocument/2006/relationships/hyperlink" Target="https://youtu.be/THguJsZpdGg" TargetMode="External"/><Relationship Id="rId3294" Type="http://schemas.openxmlformats.org/officeDocument/2006/relationships/hyperlink" Target="https://youtu.be/QaWlWaT7l7k" TargetMode="External"/><Relationship Id="rId3293" Type="http://schemas.openxmlformats.org/officeDocument/2006/relationships/hyperlink" Target="https://youtu.be/2Yd9N52a0y4" TargetMode="External"/><Relationship Id="rId165" Type="http://schemas.openxmlformats.org/officeDocument/2006/relationships/hyperlink" Target="https://youtu.be/ue0zvmBHqAg" TargetMode="External"/><Relationship Id="rId3296" Type="http://schemas.openxmlformats.org/officeDocument/2006/relationships/hyperlink" Target="https://youtu.be/7OAvWxNTvOI" TargetMode="External"/><Relationship Id="rId164" Type="http://schemas.openxmlformats.org/officeDocument/2006/relationships/hyperlink" Target="https://youtu.be/CbOKw_Wf8YY" TargetMode="External"/><Relationship Id="rId3295" Type="http://schemas.openxmlformats.org/officeDocument/2006/relationships/hyperlink" Target="https://youtu.be/IBrNUCftk2g" TargetMode="External"/><Relationship Id="rId163" Type="http://schemas.openxmlformats.org/officeDocument/2006/relationships/hyperlink" Target="https://youtu.be/FgS3d3bfVOQ" TargetMode="External"/><Relationship Id="rId3298" Type="http://schemas.openxmlformats.org/officeDocument/2006/relationships/hyperlink" Target="https://youtu.be/qz7q29iw0_A" TargetMode="External"/><Relationship Id="rId162" Type="http://schemas.openxmlformats.org/officeDocument/2006/relationships/hyperlink" Target="https://youtu.be/IONmc9QAwO4" TargetMode="External"/><Relationship Id="rId3297" Type="http://schemas.openxmlformats.org/officeDocument/2006/relationships/hyperlink" Target="https://youtu.be/2p8Y3AU75v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pqQOIm_K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VyD7rZ_lQY" TargetMode="External"/><Relationship Id="rId3280" Type="http://schemas.openxmlformats.org/officeDocument/2006/relationships/hyperlink" Target="https://youtu.be/9BdlAgvdzrY" TargetMode="External"/><Relationship Id="rId3283" Type="http://schemas.openxmlformats.org/officeDocument/2006/relationships/hyperlink" Target="https://youtu.be/TrxUurtXieo" TargetMode="External"/><Relationship Id="rId3282" Type="http://schemas.openxmlformats.org/officeDocument/2006/relationships/hyperlink" Target="https://youtu.be/fYoR2wp4hxQ" TargetMode="External"/><Relationship Id="rId154" Type="http://schemas.openxmlformats.org/officeDocument/2006/relationships/hyperlink" Target="https://youtu.be/5-9l1rH9mEw" TargetMode="External"/><Relationship Id="rId3285" Type="http://schemas.openxmlformats.org/officeDocument/2006/relationships/hyperlink" Target="https://youtu.be/XIuPXMHoVU0" TargetMode="External"/><Relationship Id="rId153" Type="http://schemas.openxmlformats.org/officeDocument/2006/relationships/hyperlink" Target="https://youtu.be/31FQiJUFINE" TargetMode="External"/><Relationship Id="rId3284" Type="http://schemas.openxmlformats.org/officeDocument/2006/relationships/hyperlink" Target="https://youtu.be/fvXb3xHb3Os" TargetMode="External"/><Relationship Id="rId152" Type="http://schemas.openxmlformats.org/officeDocument/2006/relationships/hyperlink" Target="https://youtu.be/UR7ZMBOYxIA" TargetMode="External"/><Relationship Id="rId3287" Type="http://schemas.openxmlformats.org/officeDocument/2006/relationships/hyperlink" Target="https://youtu.be/QCZ15YXP7O0" TargetMode="External"/><Relationship Id="rId151" Type="http://schemas.openxmlformats.org/officeDocument/2006/relationships/hyperlink" Target="https://youtu.be/IcMp1u1HA7U" TargetMode="External"/><Relationship Id="rId3286" Type="http://schemas.openxmlformats.org/officeDocument/2006/relationships/hyperlink" Target="https://youtu.be/2t3V_BAcyNg" TargetMode="External"/><Relationship Id="rId158" Type="http://schemas.openxmlformats.org/officeDocument/2006/relationships/hyperlink" Target="https://youtu.be/UNibrH7ZgHQ" TargetMode="External"/><Relationship Id="rId3289" Type="http://schemas.openxmlformats.org/officeDocument/2006/relationships/hyperlink" Target="https://youtu.be/gYAsKhAbCIw" TargetMode="External"/><Relationship Id="rId157" Type="http://schemas.openxmlformats.org/officeDocument/2006/relationships/hyperlink" Target="https://youtu.be/0KK1hD5i0r8" TargetMode="External"/><Relationship Id="rId3288" Type="http://schemas.openxmlformats.org/officeDocument/2006/relationships/hyperlink" Target="https://youtu.be/Sc_oJ7DMHO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BwzmfxQE4I"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youtu.be/5pEbV8f4Eyg" TargetMode="External"/><Relationship Id="rId2827" Type="http://schemas.openxmlformats.org/officeDocument/2006/relationships/hyperlink" Target="https://twitter.com/otqkesan_/status/1509641709160136704?s=20&amp;t=DXf-pGT_AC639nNzoJmlrg" TargetMode="External"/><Relationship Id="rId2828" Type="http://schemas.openxmlformats.org/officeDocument/2006/relationships/hyperlink" Target="https://youtu.be/m8uNFFWGXs8" TargetMode="External"/><Relationship Id="rId2829" Type="http://schemas.openxmlformats.org/officeDocument/2006/relationships/hyperlink" Target="https://twitter.com/otqkesan_/status/1551150171639398400?s=20&amp;t=qLYbjo7WrfpUk3VFC4nJ5A" TargetMode="External"/><Relationship Id="rId2810" Type="http://schemas.openxmlformats.org/officeDocument/2006/relationships/hyperlink" Target="https://www.youtube.com/watch?v=cfXyqpCCj-Y&amp;ab_channel=Corginess" TargetMode="External"/><Relationship Id="rId2811" Type="http://schemas.openxmlformats.org/officeDocument/2006/relationships/hyperlink" Target="https://www.youtube.com/watch?v=eyH8IIIp2Qw&amp;ab_channel=Corginess" TargetMode="External"/><Relationship Id="rId2812" Type="http://schemas.openxmlformats.org/officeDocument/2006/relationships/hyperlink" Target="https://www.youtube.com/watch?v=4LDUhkdA9Fo&amp;ab_channel=Corginess" TargetMode="External"/><Relationship Id="rId2813" Type="http://schemas.openxmlformats.org/officeDocument/2006/relationships/hyperlink" Target="https://www.youtube.com/watch?v=victlwna2Xk&amp;ab_channel=Corginess" TargetMode="External"/><Relationship Id="rId2814" Type="http://schemas.openxmlformats.org/officeDocument/2006/relationships/hyperlink" Target="https://www.youtube.com/watch?v=9nHyAz9xaVw&amp;ab_channel=Corginess" TargetMode="External"/><Relationship Id="rId2815" Type="http://schemas.openxmlformats.org/officeDocument/2006/relationships/hyperlink" Target="https://www.youtube.com/watch?v=sddMacPxLyU&amp;ab_channel=Corginess" TargetMode="External"/><Relationship Id="rId2816" Type="http://schemas.openxmlformats.org/officeDocument/2006/relationships/hyperlink" Target="https://www.youtube.com/watch?v=ysERuA3k8EA&amp;ab_channel=Corginess" TargetMode="External"/><Relationship Id="rId2817" Type="http://schemas.openxmlformats.org/officeDocument/2006/relationships/hyperlink" Target="https://www.youtube.com/watch?v=9CNteerIuco&amp;ab_channel=Corginess"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IVozaNgTvUE" TargetMode="External"/><Relationship Id="rId2841" Type="http://schemas.openxmlformats.org/officeDocument/2006/relationships/hyperlink" Target="https://clips.twitch.tv/WiseNastyDumplingsSMOrc-VM5ip6rrVmTBfuoQ" TargetMode="External"/><Relationship Id="rId1511" Type="http://schemas.openxmlformats.org/officeDocument/2006/relationships/hyperlink" Target="https://youtu.be/fpEEA8nWq0Q" TargetMode="External"/><Relationship Id="rId2842" Type="http://schemas.openxmlformats.org/officeDocument/2006/relationships/hyperlink" Target="https://youtu.be/Nox9kjgDI40" TargetMode="External"/><Relationship Id="rId1512" Type="http://schemas.openxmlformats.org/officeDocument/2006/relationships/hyperlink" Target="https://youtu.be/vRTP-4qZ-TE" TargetMode="External"/><Relationship Id="rId2843" Type="http://schemas.openxmlformats.org/officeDocument/2006/relationships/hyperlink" Target="https://youtu.be/qIvo6qXZbKo?si=1rgTpKD6mE4D8lJV"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Sk4iIK6PoA" TargetMode="External"/><Relationship Id="rId1514" Type="http://schemas.openxmlformats.org/officeDocument/2006/relationships/hyperlink" Target="https://youtu.be/j28XGO4YMtY" TargetMode="External"/><Relationship Id="rId2845" Type="http://schemas.openxmlformats.org/officeDocument/2006/relationships/hyperlink" Target="https://youtu.be/Kzb3MHlmCGc" TargetMode="External"/><Relationship Id="rId1515" Type="http://schemas.openxmlformats.org/officeDocument/2006/relationships/hyperlink" Target="https://youtu.be/X--ZqeRpwpk" TargetMode="External"/><Relationship Id="rId2846" Type="http://schemas.openxmlformats.org/officeDocument/2006/relationships/hyperlink" Target="https://youtu.be/2fVmzCJ9Y9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FuriousBetterKleePermaSmug"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CrazyExuberantTubersCharlieBitMe-EiZ2ogbgTjA-7ug3" TargetMode="External"/><Relationship Id="rId1518" Type="http://schemas.openxmlformats.org/officeDocument/2006/relationships/hyperlink" Target="https://youtu.be/2dcoUbjAoTM" TargetMode="External"/><Relationship Id="rId2849" Type="http://schemas.openxmlformats.org/officeDocument/2006/relationships/hyperlink" Target="https://youtu.be/u5kwser_j2g" TargetMode="External"/><Relationship Id="rId1519" Type="http://schemas.openxmlformats.org/officeDocument/2006/relationships/hyperlink" Target="https://youtu.be/hgJMiaPyN6M" TargetMode="External"/><Relationship Id="rId2840" Type="http://schemas.openxmlformats.org/officeDocument/2006/relationships/hyperlink" Target="https://youtu.be/6MFmMms0BAo" TargetMode="External"/><Relationship Id="rId2830" Type="http://schemas.openxmlformats.org/officeDocument/2006/relationships/hyperlink" Target="https://twitter.com/otqkesan_/status/1512355205823623170?s=20&amp;t=AXb5wxjeegJAML4SiMsGI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448256394625384451?s=20"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52342730357243904?s=20&amp;t=owHOkeaQ3QOpBMLEP9ivGw"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38594607461592678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607796015382529"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IA2OoXn2Kv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963036619214848" TargetMode="External"/><Relationship Id="rId1506" Type="http://schemas.openxmlformats.org/officeDocument/2006/relationships/hyperlink" Target="https://youtu.be/n9Pgok3_gLk" TargetMode="External"/><Relationship Id="rId2837" Type="http://schemas.openxmlformats.org/officeDocument/2006/relationships/hyperlink" Target="https://www.twitch.tv/videos/1176327079"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AgitatedDifficultLEDHoneyBadger-SFPycH1fKX923sXJ" TargetMode="External"/><Relationship Id="rId1508" Type="http://schemas.openxmlformats.org/officeDocument/2006/relationships/hyperlink" Target="https://youtu.be/3DqzAPYrpF4" TargetMode="External"/><Relationship Id="rId2839" Type="http://schemas.openxmlformats.org/officeDocument/2006/relationships/hyperlink" Target="https://youtu.be/uGdUZv-Dv0c"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t=00h00m21s" TargetMode="External"/><Relationship Id="rId2801" Type="http://schemas.openxmlformats.org/officeDocument/2006/relationships/hyperlink" Target="https://twitter.com/Reborn_Frog/status/1423669018343264258" TargetMode="External"/><Relationship Id="rId2802" Type="http://schemas.openxmlformats.org/officeDocument/2006/relationships/hyperlink" Target="https://twitter.com/Reborn_Frog/status/1447962818146226180" TargetMode="External"/><Relationship Id="rId2803" Type="http://schemas.openxmlformats.org/officeDocument/2006/relationships/hyperlink" Target="https://twitter.com/Reborn_Frog/status/1400021630357688324" TargetMode="External"/><Relationship Id="rId2804" Type="http://schemas.openxmlformats.org/officeDocument/2006/relationships/hyperlink" Target="https://twitter.com/Reborn_Frog/status/1534569660230017025" TargetMode="External"/><Relationship Id="rId2805" Type="http://schemas.openxmlformats.org/officeDocument/2006/relationships/hyperlink" Target="https://twitter.com/Reborn_Frog/status/1583054746327216128" TargetMode="External"/><Relationship Id="rId2806" Type="http://schemas.openxmlformats.org/officeDocument/2006/relationships/hyperlink" Target="https://twitter.com/Reborn_Frog/status/1434918648292859910" TargetMode="External"/><Relationship Id="rId2807" Type="http://schemas.openxmlformats.org/officeDocument/2006/relationships/hyperlink" Target="https://twitter.com/Reborn_Frog/status/1423658706487574535" TargetMode="External"/><Relationship Id="rId2808" Type="http://schemas.openxmlformats.org/officeDocument/2006/relationships/hyperlink" Target="https://www.twitch.tv/videos/1113071263" TargetMode="External"/><Relationship Id="rId2809" Type="http://schemas.openxmlformats.org/officeDocument/2006/relationships/hyperlink" Target="https://twitter.com/Reborn_Frog/status/1447190642082258948"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n8GBYhUU3E?si=cB-vRJOczh6bhO1B"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zbdC7rooh2Y"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ProductiveSmallTofuPrimeMe-BiqUcXrrRzLE_GF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1oFQGYiycIQ?si=guM2fGz7XAv1O3bK"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1CbHc28eZeg"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pLwKgRC1wcQ?si=F_ChIDkfJj31zCsE"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S6I-VumPqKc?si=B7eN9ym4YIx2Fca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ObliviousRacyElkSpicyBoy-NUc0Yura40wdJzKf"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DnONET1FjZ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parklySnappyWasabiPJSalt-YOvVC1bGidPY76W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UglyDrabKoupreyAllenHuhu-PcT9KDbi_NPXvkHp"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PhDG8n4yprI"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AISau0yWh7Q"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2z-hvrGUrM4"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AttractiveBrainyArtichokeCorgiDerp-9zIn8sEeMNqM0OjZ"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fYtc3Osmt8U?si=oqEGO-F3fTMWtNy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JOGyUo9T10k?si=x1eiObGUZ1wJ7xZK"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FaithfulDeterminedPeanutAsianGlow-K87dbZLe5-UZ8WRH"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iBxubJeUng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DiligentBadCaribouMVGame-bPPT36LcYcTnU3BU" TargetMode="External"/><Relationship Id="rId1521" Type="http://schemas.openxmlformats.org/officeDocument/2006/relationships/hyperlink" Target="https://youtu.be/UkJdOKDmTO4" TargetMode="External"/><Relationship Id="rId2852" Type="http://schemas.openxmlformats.org/officeDocument/2006/relationships/hyperlink" Target="https://youtu.be/sZ-qtPivsFs?si=35mHOEGqJMYeCswW" TargetMode="External"/><Relationship Id="rId1522" Type="http://schemas.openxmlformats.org/officeDocument/2006/relationships/hyperlink" Target="https://youtu.be/zDa47CZ6kZE" TargetMode="External"/><Relationship Id="rId2853" Type="http://schemas.openxmlformats.org/officeDocument/2006/relationships/hyperlink" Target="https://youtu.be/uR041B_Mtdg"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ViscousHelplessCarabeefTebowing-S-93KT0xAo5FgTEd" TargetMode="External"/><Relationship Id="rId1524" Type="http://schemas.openxmlformats.org/officeDocument/2006/relationships/hyperlink" Target="https://youtu.be/XTQSEPesUK8" TargetMode="External"/><Relationship Id="rId2855" Type="http://schemas.openxmlformats.org/officeDocument/2006/relationships/hyperlink" Target="https://youtu.be/uh6cTGdi7DA" TargetMode="External"/><Relationship Id="rId1525" Type="http://schemas.openxmlformats.org/officeDocument/2006/relationships/hyperlink" Target="https://youtu.be/bqnOhkvDyGg" TargetMode="External"/><Relationship Id="rId2856" Type="http://schemas.openxmlformats.org/officeDocument/2006/relationships/hyperlink" Target="https://youtu.be/Dv1TvIfiZts"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SparklyPluckyFlyPJSalt-8DGQ46oV3HtIw1JW"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HeadstrongKitschyTomatoFreakinStinkin-skucx88V6cLW2uRC"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02463883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DVYnYhBPcoY?si=OugetNnKaBrbIxKE"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DarlingQuaintGoblinDxCat-ht9B7uxsNRHRQQgu"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5YzyXaJq0VM?si=hl2fllQr8hqFvDJr"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78cQOXD-8m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Vcj1iQUY7L4"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0nszH_OsVFY?si=1vZmdoRbmBpyNqgd"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t1Cu_wtBX4?si=5LRBisijQNk5iFS8"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WJoSVS1Z3xg?si=fYQpmxkGT7jYspnD"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HR_8M5C1vsQ?si=Ys-a79qZJeEqrNW3"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kR-lJRg0CzA"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JollyHeartlessRadicchioYouDontSay-DnTtZQb3yYj2G9y0"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6izRodRG-Jo"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6p-_sgtzjE?si=UWojTwmgLec4R2C6"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DsoEyYBXa6s"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Albb8wVFO8"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B2CKi3fQkc?si=RBzp8pCgfySVqz3i"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yN15kF8l42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QGTt9T_bdN0"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rrZsnQOCJTY"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HG3hv0ssIsE?si=owrXympLAXpc-o60"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StrongRelievedWhaleCclamChamp-GxTqgCRS_aJvTd3l"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y9rheWl06I"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_0djMnD5vs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nTi7p7Xt3P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08q6m_4FLI?t=17"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h08q6m_4FLI"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sdbX_ISt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qxetrmxdIs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6NIiiOR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XcdhjjYE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RBXgjzCnmA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1lSjQDmXPV4"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vGl0Io2el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bE2vqCzhDB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eIr_vT2HyBU" TargetMode="External"/><Relationship Id="rId3340" Type="http://schemas.openxmlformats.org/officeDocument/2006/relationships/hyperlink" Target="https://www.youtube.com/watch?v=c1a0JbGeYQw" TargetMode="External"/><Relationship Id="rId2010" Type="http://schemas.openxmlformats.org/officeDocument/2006/relationships/hyperlink" Target="https://youtu.be/2S9HwDAe1mo" TargetMode="External"/><Relationship Id="rId3342" Type="http://schemas.openxmlformats.org/officeDocument/2006/relationships/hyperlink" Target="https://youtu.be/p6taesLvQnI" TargetMode="External"/><Relationship Id="rId2011" Type="http://schemas.openxmlformats.org/officeDocument/2006/relationships/hyperlink" Target="https://youtu.be/0SXJlCw9p6Q" TargetMode="External"/><Relationship Id="rId3341" Type="http://schemas.openxmlformats.org/officeDocument/2006/relationships/hyperlink" Target="https://youtu.be/iqxAAuoszW0"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5n5G5Prn4E4"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8nEu-AX89xQ"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a5SKsvLsNU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oYJmt9xuN2s"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Li_QcGdq6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hV9BTnmR0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pag5OgFa-2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QnKXrjvJcW8"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OkpJ8_cW35c"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3m97t6tp29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BrainyEncouragingGrassBudStar-2D1zGgy3xj8nr8wJ"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FJ-n-TcDIf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_gaming/status/1374359061391581191"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5036836762816515"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VkSJErBsxQ4&amp;feature=youtu.b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AG5FY3kV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ZN38JdGGFmk"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ClHigHZYVx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BD-mRbQcJAM"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KeDOSS_rZy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8q7o_zP_T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1e9z1PbD77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ei_mzBjl3h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STNcYhrfQBU" TargetMode="External"/><Relationship Id="rId3315" Type="http://schemas.openxmlformats.org/officeDocument/2006/relationships/hyperlink" Target="https://youtu.be/wnb2S-ZM6U4" TargetMode="External"/><Relationship Id="rId3314" Type="http://schemas.openxmlformats.org/officeDocument/2006/relationships/hyperlink" Target="https://youtu.be/ludIvyZW0sw" TargetMode="External"/><Relationship Id="rId3317" Type="http://schemas.openxmlformats.org/officeDocument/2006/relationships/hyperlink" Target="https://youtu.be/c8LC4B9Vvkg" TargetMode="External"/><Relationship Id="rId3316" Type="http://schemas.openxmlformats.org/officeDocument/2006/relationships/hyperlink" Target="https://youtu.be/Sp05l_QXKZg" TargetMode="External"/><Relationship Id="rId3319" Type="http://schemas.openxmlformats.org/officeDocument/2006/relationships/hyperlink" Target="https://youtu.be/R6qJaEgyXcs" TargetMode="External"/><Relationship Id="rId3318" Type="http://schemas.openxmlformats.org/officeDocument/2006/relationships/hyperlink" Target="https://youtu.be/dk2mn7vS6Kk" TargetMode="External"/><Relationship Id="rId3311" Type="http://schemas.openxmlformats.org/officeDocument/2006/relationships/hyperlink" Target="https://youtu.be/5ItCib67nd4" TargetMode="External"/><Relationship Id="rId3310" Type="http://schemas.openxmlformats.org/officeDocument/2006/relationships/hyperlink" Target="https://youtu.be/kUpiYpqjSf4" TargetMode="External"/><Relationship Id="rId3313" Type="http://schemas.openxmlformats.org/officeDocument/2006/relationships/hyperlink" Target="https://youtu.be/MQ4431xDyKg" TargetMode="External"/><Relationship Id="rId3312" Type="http://schemas.openxmlformats.org/officeDocument/2006/relationships/hyperlink" Target="https://youtu.be/bXwkS_c6hb0" TargetMode="External"/><Relationship Id="rId3304" Type="http://schemas.openxmlformats.org/officeDocument/2006/relationships/hyperlink" Target="https://youtu.be/5sBu6lUT9RE" TargetMode="External"/><Relationship Id="rId3303" Type="http://schemas.openxmlformats.org/officeDocument/2006/relationships/hyperlink" Target="https://youtu.be/HIeVgcy-xtw" TargetMode="External"/><Relationship Id="rId3306" Type="http://schemas.openxmlformats.org/officeDocument/2006/relationships/hyperlink" Target="https://youtu.be/sp1sPQlZ4J0" TargetMode="External"/><Relationship Id="rId3305" Type="http://schemas.openxmlformats.org/officeDocument/2006/relationships/hyperlink" Target="https://youtu.be/c1nqEpTKr0E" TargetMode="External"/><Relationship Id="rId3308" Type="http://schemas.openxmlformats.org/officeDocument/2006/relationships/hyperlink" Target="https://youtu.be/kbMDUx7MwXE" TargetMode="External"/><Relationship Id="rId3307" Type="http://schemas.openxmlformats.org/officeDocument/2006/relationships/hyperlink" Target="https://youtu.be/kbMDUx7MwXE" TargetMode="External"/><Relationship Id="rId3309" Type="http://schemas.openxmlformats.org/officeDocument/2006/relationships/hyperlink" Target="https://youtu.be/jGysVsWZTkg" TargetMode="External"/><Relationship Id="rId3300" Type="http://schemas.openxmlformats.org/officeDocument/2006/relationships/hyperlink" Target="https://youtu.be/01NeQiQX0LU" TargetMode="External"/><Relationship Id="rId3302" Type="http://schemas.openxmlformats.org/officeDocument/2006/relationships/hyperlink" Target="https://youtu.be/YPMd_F15dOM" TargetMode="External"/><Relationship Id="rId3301" Type="http://schemas.openxmlformats.org/officeDocument/2006/relationships/hyperlink" Target="https://youtu.be/KtqbanHvemo"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SparklyCallousCheeseHassaanChop"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961406996"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jvdFWQScL4g"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OilyResoluteWrenWow" TargetMode="External"/><Relationship Id="rId2009" Type="http://schemas.openxmlformats.org/officeDocument/2006/relationships/hyperlink" Target="https://youtu.be/OyCQx3t6ZYE" TargetMode="External"/><Relationship Id="rId3331" Type="http://schemas.openxmlformats.org/officeDocument/2006/relationships/hyperlink" Target="https://youtu.be/rUQqqvBx88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EQfi7qNj_BI" TargetMode="External"/><Relationship Id="rId2001" Type="http://schemas.openxmlformats.org/officeDocument/2006/relationships/hyperlink" Target="https://youtu.be/O4NTBfuxH50" TargetMode="External"/><Relationship Id="rId3333" Type="http://schemas.openxmlformats.org/officeDocument/2006/relationships/hyperlink" Target="https://youtu.be/2O1PA2iX0zY"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6YztZoaTSc"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875864310" TargetMode="External"/><Relationship Id="rId2004" Type="http://schemas.openxmlformats.org/officeDocument/2006/relationships/hyperlink" Target="https://youtu.be/-D5SqQbUgxs" TargetMode="External"/><Relationship Id="rId3334" Type="http://schemas.openxmlformats.org/officeDocument/2006/relationships/hyperlink" Target="https://youtu.be/WbEtprLGID0" TargetMode="External"/><Relationship Id="rId3326" Type="http://schemas.openxmlformats.org/officeDocument/2006/relationships/hyperlink" Target="https://youtu.be/1i_AVBjJUxM" TargetMode="External"/><Relationship Id="rId3325" Type="http://schemas.openxmlformats.org/officeDocument/2006/relationships/hyperlink" Target="https://youtu.be/7K-re3OdSN0" TargetMode="External"/><Relationship Id="rId3328" Type="http://schemas.openxmlformats.org/officeDocument/2006/relationships/hyperlink" Target="https://youtu.be/14XtK7BAy94" TargetMode="External"/><Relationship Id="rId3327" Type="http://schemas.openxmlformats.org/officeDocument/2006/relationships/hyperlink" Target="https://youtu.be/mJxnxexXk1w" TargetMode="External"/><Relationship Id="rId3329" Type="http://schemas.openxmlformats.org/officeDocument/2006/relationships/hyperlink" Target="https://youtu.be/AhrASTid91E" TargetMode="External"/><Relationship Id="rId3320" Type="http://schemas.openxmlformats.org/officeDocument/2006/relationships/hyperlink" Target="https://youtu.be/j7-8YNFT0co" TargetMode="External"/><Relationship Id="rId3322" Type="http://schemas.openxmlformats.org/officeDocument/2006/relationships/hyperlink" Target="https://youtu.be/Bsr_tRNbUK0" TargetMode="External"/><Relationship Id="rId3321" Type="http://schemas.openxmlformats.org/officeDocument/2006/relationships/hyperlink" Target="https://youtu.be/qHrR4WiaAvE" TargetMode="External"/><Relationship Id="rId3324" Type="http://schemas.openxmlformats.org/officeDocument/2006/relationships/hyperlink" Target="https://youtu.be/hVgd3hos45M" TargetMode="External"/><Relationship Id="rId3323" Type="http://schemas.openxmlformats.org/officeDocument/2006/relationships/hyperlink" Target="https://youtu.be/KonmYHL9k-I"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120536860303360"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500345171943432"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7RwpSqYaoG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z9Ko2MsTTb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8G37-1EDDPc"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yzAIJNz9yeQ" TargetMode="External"/><Relationship Id="rId2065" Type="http://schemas.openxmlformats.org/officeDocument/2006/relationships/hyperlink" Target="https://youtu.be/KnAOuUWvMw0" TargetMode="External"/><Relationship Id="rId3397" Type="http://schemas.openxmlformats.org/officeDocument/2006/relationships/hyperlink" Target="https://youtu.be/K1nCKnWMVRY" TargetMode="External"/><Relationship Id="rId2066" Type="http://schemas.openxmlformats.org/officeDocument/2006/relationships/hyperlink" Target="https://youtu.be/ih72PfgTrlQ" TargetMode="External"/><Relationship Id="rId3396" Type="http://schemas.openxmlformats.org/officeDocument/2006/relationships/hyperlink" Target="https://www.twitch.tv/videos/86791147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reamyCharmingMoonOpieOP"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6dC2qWCsfig"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MagnificentSavageLionResidentSleeper-iqxh7JjaEGn-6K98"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2518044539244554"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2006974032273409"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73273538799091723"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8496092182941700"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47109177495621635"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057844895962317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6655995112288256"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599878234561331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clips.twitch.tv/SincereFrailKiwiMcaT-cll-Z5LVUleWSJQj"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oxoWIcEabdM"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lc3xwtARF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rxoTM4Ywv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h8-dOiebvy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6ckMTVhUsz0"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clips.twitch.tv/SpinelessCrowdedMetalNotLikeThis-NFgxTWVg1bHGAQFi"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i7r_qOr_cXg"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e_fjYfcBFxI?t=91"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V4eSfU-5U5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hGlgfKEVg8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pSvdq6isPS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SpineyConsiderateLadiesOneHand-DdJcYa04uXIMUw1b"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lKWhqixgpOI"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vBOwbhgREek"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InN6JrMrD1Y"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sZuBiufTYs"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Ame1dyHAj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AbrasiveHonestOrangeChefFrank-j8cDNyhsaAF9Icmr"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N_eafUtJ3F8"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ItBrVNSktmo"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s9T8WWTGj0" TargetMode="External"/><Relationship Id="rId2900" Type="http://schemas.openxmlformats.org/officeDocument/2006/relationships/hyperlink" Target="https://clips.twitch.tv/SolidPerfectSandwichDerp-865AbQlAGdrhQILD" TargetMode="External"/><Relationship Id="rId2901" Type="http://schemas.openxmlformats.org/officeDocument/2006/relationships/hyperlink" Target="https://clips.twitch.tv/GleamingPerfectHamCclamChamp-jFnYmbomn_l-QbEC" TargetMode="External"/><Relationship Id="rId2902" Type="http://schemas.openxmlformats.org/officeDocument/2006/relationships/hyperlink" Target="https://youtu.be/nU39IMkm8w0" TargetMode="External"/><Relationship Id="rId2903" Type="http://schemas.openxmlformats.org/officeDocument/2006/relationships/hyperlink" Target="https://youtu.be/YuiSZnk7wx4" TargetMode="External"/><Relationship Id="rId2904" Type="http://schemas.openxmlformats.org/officeDocument/2006/relationships/hyperlink" Target="https://youtu.be/rAB7TqLFJuw?si=Ev9AlvQZ03To222J" TargetMode="External"/><Relationship Id="rId2905" Type="http://schemas.openxmlformats.org/officeDocument/2006/relationships/hyperlink" Target="https://youtu.be/n-p6FtdE57E" TargetMode="External"/><Relationship Id="rId2906" Type="http://schemas.openxmlformats.org/officeDocument/2006/relationships/hyperlink" Target="https://clips.twitch.tv/BetterSmallPoxTheThing-WaS8ZgfSeycrHOAP" TargetMode="External"/><Relationship Id="rId2907" Type="http://schemas.openxmlformats.org/officeDocument/2006/relationships/hyperlink" Target="https://clips.twitch.tv/NastyImpossibleCrabAMPEnergyCherry-g2mwU33oKy1EP3fo" TargetMode="External"/><Relationship Id="rId2908" Type="http://schemas.openxmlformats.org/officeDocument/2006/relationships/hyperlink" Target="https://youtu.be/q0wfTMcrG2c" TargetMode="External"/><Relationship Id="rId2909" Type="http://schemas.openxmlformats.org/officeDocument/2006/relationships/hyperlink" Target="https://youtu.be/RkId4sqRWCM?t=11" TargetMode="External"/><Relationship Id="rId2920" Type="http://schemas.openxmlformats.org/officeDocument/2006/relationships/hyperlink" Target="https://youtu.be/KsCaHmAtT40?t=73" TargetMode="External"/><Relationship Id="rId2921" Type="http://schemas.openxmlformats.org/officeDocument/2006/relationships/hyperlink" Target="https://clips.twitch.tv/ArborealBenevolentAlbatrossRaccAttack-tG8zkd8ZWCpLllAt" TargetMode="External"/><Relationship Id="rId2922" Type="http://schemas.openxmlformats.org/officeDocument/2006/relationships/hyperlink" Target="https://www.twitch.tv/videos/978843334" TargetMode="External"/><Relationship Id="rId2923" Type="http://schemas.openxmlformats.org/officeDocument/2006/relationships/hyperlink" Target="https://youtu.be/nvZHnEp3KPs" TargetMode="External"/><Relationship Id="rId2924" Type="http://schemas.openxmlformats.org/officeDocument/2006/relationships/hyperlink" Target="https://youtu.be/7nND3fN067c" TargetMode="External"/><Relationship Id="rId2925" Type="http://schemas.openxmlformats.org/officeDocument/2006/relationships/hyperlink" Target="https://youtu.be/7VV4yzQV6B8" TargetMode="External"/><Relationship Id="rId2926" Type="http://schemas.openxmlformats.org/officeDocument/2006/relationships/hyperlink" Target="https://youtu.be/yYgJO43PiR0" TargetMode="External"/><Relationship Id="rId2927" Type="http://schemas.openxmlformats.org/officeDocument/2006/relationships/hyperlink" Target="https://youtu.be/AaZj0nu2fB4"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RelievedConcernedYogurtDeIlluminati-zMj7smUzIz4TJdUV" TargetMode="External"/><Relationship Id="rId2911" Type="http://schemas.openxmlformats.org/officeDocument/2006/relationships/hyperlink" Target="https://youtu.be/QXJWIGZ_-PM?t=87" TargetMode="External"/><Relationship Id="rId2912" Type="http://schemas.openxmlformats.org/officeDocument/2006/relationships/hyperlink" Target="https://youtu.be/Bc_KeNmwrGE?t=14" TargetMode="External"/><Relationship Id="rId2913" Type="http://schemas.openxmlformats.org/officeDocument/2006/relationships/hyperlink" Target="https://youtu.be/Qw5fWLP9z9I?t=54" TargetMode="External"/><Relationship Id="rId2914" Type="http://schemas.openxmlformats.org/officeDocument/2006/relationships/hyperlink" Target="https://clips.twitch.tv/AbnegateBashfulMosquitoCoolStoryBro-G2yAtvJJ0m-qb9Z_" TargetMode="External"/><Relationship Id="rId2915" Type="http://schemas.openxmlformats.org/officeDocument/2006/relationships/hyperlink" Target="https://youtu.be/9X8uD16gIe4" TargetMode="External"/><Relationship Id="rId2916" Type="http://schemas.openxmlformats.org/officeDocument/2006/relationships/hyperlink" Target="https://youtu.be/-_a-JdF9-eg" TargetMode="External"/><Relationship Id="rId2917" Type="http://schemas.openxmlformats.org/officeDocument/2006/relationships/hyperlink" Target="https://youtu.be/TVtB24SbhQ8?t=27" TargetMode="External"/><Relationship Id="rId2918" Type="http://schemas.openxmlformats.org/officeDocument/2006/relationships/hyperlink" Target="https://youtu.be/G_2PNqonhiE?t=78" TargetMode="External"/><Relationship Id="rId2919" Type="http://schemas.openxmlformats.org/officeDocument/2006/relationships/hyperlink" Target="https://www.twitch.tv/videos/156207353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oFa9Fham62c" TargetMode="External"/><Relationship Id="rId3413" Type="http://schemas.openxmlformats.org/officeDocument/2006/relationships/hyperlink" Target="https://youtu.be/_vlhzyWD5Tk" TargetMode="External"/><Relationship Id="rId3416" Type="http://schemas.openxmlformats.org/officeDocument/2006/relationships/hyperlink" Target="https://youtu.be/2Y_eB2PGdcI" TargetMode="External"/><Relationship Id="rId3415" Type="http://schemas.openxmlformats.org/officeDocument/2006/relationships/hyperlink" Target="https://youtu.be/NNPXltghmL4" TargetMode="External"/><Relationship Id="rId3418" Type="http://schemas.openxmlformats.org/officeDocument/2006/relationships/hyperlink" Target="https://youtu.be/38BDWIz596o" TargetMode="External"/><Relationship Id="rId3417" Type="http://schemas.openxmlformats.org/officeDocument/2006/relationships/hyperlink" Target="https://clips.twitch.tv/TenaciousAnnoyingHerringWOOP" TargetMode="External"/><Relationship Id="rId3419" Type="http://schemas.openxmlformats.org/officeDocument/2006/relationships/hyperlink" Target="https://youtu.be/zNgWybAwmK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Yt0zyR9tMF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8I7D7nA__e4"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LaconicSaltyJackalDAESuppy" TargetMode="External"/><Relationship Id="rId3403" Type="http://schemas.openxmlformats.org/officeDocument/2006/relationships/hyperlink" Target="https://clips.twitch.tv/CautiousTemperedBottleYouWHY" TargetMode="External"/><Relationship Id="rId3402" Type="http://schemas.openxmlformats.org/officeDocument/2006/relationships/hyperlink" Target="https://www.twitch.tv/videos/867911473" TargetMode="External"/><Relationship Id="rId3405" Type="http://schemas.openxmlformats.org/officeDocument/2006/relationships/hyperlink" Target="https://youtu.be/ztgKfdQDdCE" TargetMode="External"/><Relationship Id="rId3404" Type="http://schemas.openxmlformats.org/officeDocument/2006/relationships/hyperlink" Target="https://clips.twitch.tv/DepressedSweetCattleTheTarFu" TargetMode="External"/><Relationship Id="rId3407" Type="http://schemas.openxmlformats.org/officeDocument/2006/relationships/hyperlink" Target="https://clips.twitch.tv/WanderingHonestBeaverPupper" TargetMode="External"/><Relationship Id="rId3406" Type="http://schemas.openxmlformats.org/officeDocument/2006/relationships/hyperlink" Target="https://clips.twitch.tv/AthleticVibrantLobsterNomNom" TargetMode="External"/><Relationship Id="rId3409" Type="http://schemas.openxmlformats.org/officeDocument/2006/relationships/hyperlink" Target="https://youtu.be/Q5xt1Y5DP1I" TargetMode="External"/><Relationship Id="rId3408" Type="http://schemas.openxmlformats.org/officeDocument/2006/relationships/hyperlink" Target="https://clips.twitch.tv/TenaciousThankfulPeachTinyFa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istinctOilyPlumberBlargNaut" TargetMode="External"/><Relationship Id="rId870" Type="http://schemas.openxmlformats.org/officeDocument/2006/relationships/hyperlink" Target="https://youtu.be/2oqAfjjqG-g" TargetMode="External"/><Relationship Id="rId3400" Type="http://schemas.openxmlformats.org/officeDocument/2006/relationships/hyperlink" Target="https://youtu.be/PYAakrWfQxM"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d8BstfzLK4" TargetMode="External"/><Relationship Id="rId3470" Type="http://schemas.openxmlformats.org/officeDocument/2006/relationships/hyperlink" Target="https://www.youtube.com/watch?v=vbdvMNZFFug"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6DNL3nIer-o"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nPgTV1Ndmn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fqPu5IyiKk"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J4L2ABVkS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yvjAOvKZAiA"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TNON8fY4oys"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NI_eFWO8vcE"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4a9t8QQ8Hpc"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X3T9ZZSIz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p6j_MUKckJM"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2SbVn5Coi2U"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216240957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yZBt7K60eA"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20198941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95309905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SmKBzl3ASwY"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ltwagdpYLDc"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100776" TargetMode="External"/><Relationship Id="rId3490" Type="http://schemas.openxmlformats.org/officeDocument/2006/relationships/hyperlink" Target="https://www.youtube.com/watch?v=S4oGlzAKWF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60ATcpC4rT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L0pX0kEFF2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kKfeqwrHHg8"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xcxhZO7BvJw"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40nfD6pREm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FJKfE_oi77Q"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B2f5gogIPSY"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8-PbKF3qQeA"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youtube.com/watch?v=FSlD443aJsk"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gFM20J1BXg"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H7bFpLcD-W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steRzjHmiE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rfhNe_zSDk"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UwyAk-T4H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6dazNb50DcI"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jqxed1-LkF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2lvlGEOHn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_3JPlL3Pmj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MNHwaZl1-s"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eBRChBIMd2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FyY79WUdWII"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WHLT219rsv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57519468427501568"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acitAbstemiousSquidPeanutButterJellyTime-rOXXsBM6dkX7u0oS" TargetMode="External"/><Relationship Id="rId3430" Type="http://schemas.openxmlformats.org/officeDocument/2006/relationships/hyperlink" Target="https://youtu.be/7tM1xblhUA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Cr7xNueJcf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IjKpEs-Dc7c"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61ZIILT3Bz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CautiousIcyPancakeYouDontSay-tVFKCYCSjaOHFQpQ" TargetMode="External"/><Relationship Id="rId3425" Type="http://schemas.openxmlformats.org/officeDocument/2006/relationships/hyperlink" Target="https://youtu.be/3Mbc7M7uEm8" TargetMode="External"/><Relationship Id="rId3424" Type="http://schemas.openxmlformats.org/officeDocument/2006/relationships/hyperlink" Target="https://www.twitch.tv/linky628/clip/AbstruseDullYogurtVoHiYo" TargetMode="External"/><Relationship Id="rId3427" Type="http://schemas.openxmlformats.org/officeDocument/2006/relationships/hyperlink" Target="https://www.twitch.tv/linky628/clip/KawaiiSeductiveSandstormCoolStoryBob" TargetMode="External"/><Relationship Id="rId3426" Type="http://schemas.openxmlformats.org/officeDocument/2006/relationships/hyperlink" Target="https://youtu.be/zwKYh5fIKiE" TargetMode="External"/><Relationship Id="rId3429" Type="http://schemas.openxmlformats.org/officeDocument/2006/relationships/hyperlink" Target="https://youtu.be/lIdj4uOQerg?t=10630" TargetMode="External"/><Relationship Id="rId3428" Type="http://schemas.openxmlformats.org/officeDocument/2006/relationships/hyperlink" Target="https://youtu.be/wLgBafrMgH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lIdj4uOQerg?t=1169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6-6Nekn-zE" TargetMode="External"/><Relationship Id="rId893" Type="http://schemas.openxmlformats.org/officeDocument/2006/relationships/hyperlink" Target="https://youtu.be/8hzjwQ9fv2I" TargetMode="External"/><Relationship Id="rId3423" Type="http://schemas.openxmlformats.org/officeDocument/2006/relationships/hyperlink" Target="https://youtu.be/45_DhuJsqOI"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_2rljFQ2w4?t=11052"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hgBVDdP5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iGJSHz1BA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akrSPU-0bWg" TargetMode="External"/><Relationship Id="rId3450" Type="http://schemas.openxmlformats.org/officeDocument/2006/relationships/hyperlink" Target="https://youtu.be/940-hmnF3bc"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RrJQMEHIAq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WiTRLXuuPTk"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5lpY0B2fh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1009373326"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modest_tomato/clip/AmazonianSincereChinchillaSSSsss-XG84eIbLtaW8n4cA?filter=clips&amp;range=all&amp;sort=tim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aGMhM9u6a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clips.twitch.tv/ConcernedBoxyOkapiLitty-If_2beSNl1Blwg-q"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tfA20ORFXOA"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www.twitch.tv/videos/2153852400"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k5RDI6nw79U"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3065418860646407"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36192421247950849"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XCkL-zmJur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2pTWUr4GnD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YpXg5eonyBw"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IOQId00skq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www.youtube.com/watch?v=mhrWJKYZoko"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609</v>
      </c>
      <c r="CM23" s="88" t="s">
        <v>1776</v>
      </c>
      <c r="CN23" s="93" t="s">
        <v>1777</v>
      </c>
      <c r="CO23" s="93" t="s">
        <v>1778</v>
      </c>
      <c r="CP23" s="93"/>
      <c r="CQ23" s="93" t="s">
        <v>1779</v>
      </c>
      <c r="CR23" s="93" t="s">
        <v>1780</v>
      </c>
      <c r="CS23" s="92"/>
      <c r="CT23" s="88" t="s">
        <v>613</v>
      </c>
      <c r="CU23" s="88" t="s">
        <v>1781</v>
      </c>
      <c r="CV23" s="93" t="s">
        <v>404</v>
      </c>
      <c r="CW23" s="97" t="s">
        <v>1782</v>
      </c>
      <c r="CX23" s="297" t="s">
        <v>235</v>
      </c>
      <c r="CY23" s="297" t="s">
        <v>171</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1014</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998</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1056</v>
      </c>
      <c r="CP24" s="176"/>
      <c r="CQ24" s="176" t="s">
        <v>1861</v>
      </c>
      <c r="CR24" s="176" t="s">
        <v>1862</v>
      </c>
      <c r="CS24" s="92"/>
      <c r="CT24" s="205" t="s">
        <v>1863</v>
      </c>
      <c r="CU24" s="205" t="s">
        <v>1781</v>
      </c>
      <c r="CV24" s="140" t="s">
        <v>1181</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874</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915</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1096</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1204</v>
      </c>
      <c r="CE25" s="99"/>
      <c r="CF25" s="88" t="s">
        <v>1157</v>
      </c>
      <c r="CG25" s="88" t="s">
        <v>1925</v>
      </c>
      <c r="CH25" s="93" t="s">
        <v>1926</v>
      </c>
      <c r="CI25" s="88" t="s">
        <v>1927</v>
      </c>
      <c r="CJ25" s="209"/>
      <c r="CK25" s="93" t="s">
        <v>1676</v>
      </c>
      <c r="CL25" s="90" t="s">
        <v>410</v>
      </c>
      <c r="CM25" s="93" t="s">
        <v>1928</v>
      </c>
      <c r="CN25" s="98"/>
      <c r="CO25" s="93" t="s">
        <v>633</v>
      </c>
      <c r="CP25" s="93"/>
      <c r="CQ25" s="93" t="s">
        <v>1929</v>
      </c>
      <c r="CR25" s="93" t="s">
        <v>1930</v>
      </c>
      <c r="CS25" s="92"/>
      <c r="CT25" s="88" t="s">
        <v>1931</v>
      </c>
      <c r="CU25" s="93" t="s">
        <v>1932</v>
      </c>
      <c r="CV25" s="209" t="s">
        <v>1181</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1001</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895</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931</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1005</v>
      </c>
      <c r="BR26" s="353" t="str">
        <f>HYPERLINK("https://youtu.be/sYs50tvUHuo","52.01")</f>
        <v>52.01</v>
      </c>
      <c r="BS26" s="354" t="s">
        <v>1982</v>
      </c>
      <c r="BT26" s="353" t="s">
        <v>1121</v>
      </c>
      <c r="BU26" s="352" t="s">
        <v>1983</v>
      </c>
      <c r="BV26" s="353" t="str">
        <f>HYPERLINK("https://youtu.be/n7zdK3H7Bag","22.27")</f>
        <v>22.27</v>
      </c>
      <c r="BW26" s="352"/>
      <c r="BX26" s="352" t="s">
        <v>1984</v>
      </c>
      <c r="BY26" s="353" t="s">
        <v>1238</v>
      </c>
      <c r="BZ26" s="354" t="s">
        <v>954</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859</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903</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1103</v>
      </c>
      <c r="DU26" s="367" t="s">
        <v>536</v>
      </c>
      <c r="DV26" s="364" t="s">
        <v>593</v>
      </c>
      <c r="DW26" s="364" t="s">
        <v>1043</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895</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946</v>
      </c>
      <c r="BB28" s="329" t="s">
        <v>1449</v>
      </c>
      <c r="BC28" s="173" t="s">
        <v>2057</v>
      </c>
      <c r="BD28" s="173" t="s">
        <v>2058</v>
      </c>
      <c r="BE28" s="127" t="s">
        <v>2059</v>
      </c>
      <c r="BF28" s="173" t="s">
        <v>2060</v>
      </c>
      <c r="BG28" s="172"/>
      <c r="BH28" s="173" t="s">
        <v>1177</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1176</v>
      </c>
      <c r="CG28" s="135" t="s">
        <v>2073</v>
      </c>
      <c r="CH28" s="176" t="s">
        <v>2074</v>
      </c>
      <c r="CI28" s="135" t="s">
        <v>2075</v>
      </c>
      <c r="CJ28" s="135" t="s">
        <v>1474</v>
      </c>
      <c r="CK28" s="135" t="s">
        <v>2076</v>
      </c>
      <c r="CL28" s="135" t="s">
        <v>2077</v>
      </c>
      <c r="CM28" s="176" t="s">
        <v>510</v>
      </c>
      <c r="CN28" s="279"/>
      <c r="CO28" s="279"/>
      <c r="CP28" s="279"/>
      <c r="CQ28" s="176" t="s">
        <v>2078</v>
      </c>
      <c r="CR28" s="279"/>
      <c r="CS28" s="92"/>
      <c r="CT28" s="140" t="s">
        <v>2079</v>
      </c>
      <c r="CU28" s="205" t="s">
        <v>2080</v>
      </c>
      <c r="CV28" s="205" t="s">
        <v>2081</v>
      </c>
      <c r="CW28" s="140" t="s">
        <v>186</v>
      </c>
      <c r="CX28" s="205" t="s">
        <v>802</v>
      </c>
      <c r="CY28" s="372" t="s">
        <v>2082</v>
      </c>
      <c r="CZ28" s="140" t="s">
        <v>2083</v>
      </c>
      <c r="DA28" s="205" t="s">
        <v>1784</v>
      </c>
      <c r="DB28" s="140" t="s">
        <v>2084</v>
      </c>
      <c r="DC28" s="280"/>
      <c r="DD28" s="205" t="s">
        <v>2085</v>
      </c>
      <c r="DE28" s="280"/>
      <c r="DF28" s="281"/>
      <c r="DG28" s="206" t="s">
        <v>2086</v>
      </c>
      <c r="DH28" s="206"/>
      <c r="DI28" s="206" t="s">
        <v>2087</v>
      </c>
      <c r="DJ28" s="206" t="s">
        <v>2088</v>
      </c>
      <c r="DK28" s="206" t="s">
        <v>510</v>
      </c>
      <c r="DL28" s="145" t="s">
        <v>1032</v>
      </c>
      <c r="DM28" s="282"/>
      <c r="DN28" s="282"/>
      <c r="DO28" s="282"/>
      <c r="DP28" s="145" t="s">
        <v>2089</v>
      </c>
      <c r="DQ28" s="145" t="s">
        <v>2090</v>
      </c>
      <c r="DR28" s="145" t="s">
        <v>2091</v>
      </c>
      <c r="DS28" s="145" t="s">
        <v>206</v>
      </c>
      <c r="DT28" s="145" t="s">
        <v>1507</v>
      </c>
      <c r="DU28" s="145" t="s">
        <v>1717</v>
      </c>
      <c r="DV28" s="206" t="s">
        <v>2092</v>
      </c>
      <c r="DW28" s="145" t="s">
        <v>2093</v>
      </c>
      <c r="DX28" s="145" t="s">
        <v>2094</v>
      </c>
      <c r="DY28" s="206" t="s">
        <v>276</v>
      </c>
      <c r="DZ28" s="145" t="s">
        <v>2095</v>
      </c>
      <c r="EA28" s="145" t="s">
        <v>214</v>
      </c>
      <c r="EB28" s="373" t="s">
        <v>2096</v>
      </c>
    </row>
    <row r="29">
      <c r="A29" s="374" t="s">
        <v>2097</v>
      </c>
      <c r="B29" s="82" t="s">
        <v>2098</v>
      </c>
      <c r="C29" s="83" t="s">
        <v>1418</v>
      </c>
      <c r="D29" s="84" t="s">
        <v>646</v>
      </c>
      <c r="E29" s="85" t="s">
        <v>1418</v>
      </c>
      <c r="F29" s="86" t="s">
        <v>2099</v>
      </c>
      <c r="G29" s="82" t="s">
        <v>2100</v>
      </c>
      <c r="H29" s="375" t="s">
        <v>1886</v>
      </c>
      <c r="I29" s="376" t="s">
        <v>2101</v>
      </c>
      <c r="J29" s="376" t="s">
        <v>2102</v>
      </c>
      <c r="K29" s="376" t="s">
        <v>2103</v>
      </c>
      <c r="L29" s="376" t="s">
        <v>146</v>
      </c>
      <c r="M29" s="376" t="s">
        <v>2104</v>
      </c>
      <c r="N29" s="155" t="s">
        <v>2105</v>
      </c>
      <c r="O29" s="376" t="s">
        <v>1958</v>
      </c>
      <c r="P29" s="376" t="s">
        <v>343</v>
      </c>
      <c r="Q29" s="377" t="s">
        <v>2106</v>
      </c>
      <c r="R29" s="378"/>
      <c r="S29" s="377" t="s">
        <v>2107</v>
      </c>
      <c r="T29" s="378"/>
      <c r="U29" s="377" t="s">
        <v>223</v>
      </c>
      <c r="V29" s="93" t="s">
        <v>2108</v>
      </c>
      <c r="W29" s="154"/>
      <c r="X29" s="376" t="s">
        <v>223</v>
      </c>
      <c r="Y29" s="375" t="s">
        <v>1816</v>
      </c>
      <c r="Z29" s="375" t="s">
        <v>2109</v>
      </c>
      <c r="AA29" s="376" t="s">
        <v>2110</v>
      </c>
      <c r="AB29" s="376" t="s">
        <v>2111</v>
      </c>
      <c r="AC29" s="376" t="s">
        <v>2112</v>
      </c>
      <c r="AD29" s="377" t="s">
        <v>2113</v>
      </c>
      <c r="AE29" s="376" t="s">
        <v>895</v>
      </c>
      <c r="AF29" s="376" t="s">
        <v>1346</v>
      </c>
      <c r="AG29" s="379" t="s">
        <v>2111</v>
      </c>
      <c r="AH29" s="378"/>
      <c r="AI29" s="378"/>
      <c r="AJ29" s="378"/>
      <c r="AK29" s="158"/>
      <c r="AL29" s="376" t="s">
        <v>1224</v>
      </c>
      <c r="AM29" s="376" t="s">
        <v>846</v>
      </c>
      <c r="AN29" s="378"/>
      <c r="AO29" s="378"/>
      <c r="AP29" s="378"/>
      <c r="AQ29" s="378"/>
      <c r="AR29" s="376" t="s">
        <v>133</v>
      </c>
      <c r="AS29" s="378"/>
      <c r="AT29" s="376" t="s">
        <v>674</v>
      </c>
      <c r="AU29" s="376" t="s">
        <v>2114</v>
      </c>
      <c r="AV29" s="377" t="s">
        <v>2115</v>
      </c>
      <c r="AW29" s="378"/>
      <c r="AX29" s="376" t="s">
        <v>2116</v>
      </c>
      <c r="AY29" s="378"/>
      <c r="AZ29" s="378"/>
      <c r="BA29" s="376" t="s">
        <v>2117</v>
      </c>
      <c r="BB29" s="376" t="s">
        <v>2024</v>
      </c>
      <c r="BC29" s="376" t="s">
        <v>143</v>
      </c>
      <c r="BD29" s="376" t="s">
        <v>1156</v>
      </c>
      <c r="BE29" s="376" t="s">
        <v>2118</v>
      </c>
      <c r="BF29" s="375" t="s">
        <v>2119</v>
      </c>
      <c r="BG29" s="378"/>
      <c r="BH29" s="376" t="s">
        <v>2120</v>
      </c>
      <c r="BI29" s="377"/>
      <c r="BJ29" s="375" t="s">
        <v>2121</v>
      </c>
      <c r="BK29" s="376" t="s">
        <v>2122</v>
      </c>
      <c r="BL29" s="378"/>
      <c r="BM29" s="378"/>
      <c r="BN29" s="378"/>
      <c r="BO29" s="378"/>
      <c r="BP29" s="380"/>
      <c r="BQ29" s="375" t="s">
        <v>2123</v>
      </c>
      <c r="BR29" s="375" t="s">
        <v>2124</v>
      </c>
      <c r="BS29" s="376" t="s">
        <v>2125</v>
      </c>
      <c r="BT29" s="376" t="s">
        <v>2126</v>
      </c>
      <c r="BU29" s="376" t="s">
        <v>1976</v>
      </c>
      <c r="BV29" s="375" t="s">
        <v>1374</v>
      </c>
      <c r="BW29" s="376" t="s">
        <v>2127</v>
      </c>
      <c r="BX29" s="377" t="s">
        <v>2128</v>
      </c>
      <c r="BY29" s="375" t="s">
        <v>2129</v>
      </c>
      <c r="BZ29" s="379" t="s">
        <v>2130</v>
      </c>
      <c r="CA29" s="378"/>
      <c r="CB29" s="378"/>
      <c r="CC29" s="378"/>
      <c r="CD29" s="378"/>
      <c r="CE29" s="380"/>
      <c r="CF29" s="376" t="s">
        <v>2131</v>
      </c>
      <c r="CG29" s="375" t="s">
        <v>2132</v>
      </c>
      <c r="CH29" s="376" t="s">
        <v>1039</v>
      </c>
      <c r="CI29" s="375" t="s">
        <v>2133</v>
      </c>
      <c r="CJ29" s="381" t="s">
        <v>2134</v>
      </c>
      <c r="CK29" s="375" t="s">
        <v>1858</v>
      </c>
      <c r="CL29" s="375" t="s">
        <v>1145</v>
      </c>
      <c r="CM29" s="376" t="s">
        <v>2135</v>
      </c>
      <c r="CN29" s="378"/>
      <c r="CO29" s="375" t="s">
        <v>354</v>
      </c>
      <c r="CP29" s="378"/>
      <c r="CQ29" s="378"/>
      <c r="CR29" s="378"/>
      <c r="CS29" s="154"/>
      <c r="CT29" s="376" t="s">
        <v>936</v>
      </c>
      <c r="CU29" s="376" t="s">
        <v>2136</v>
      </c>
      <c r="CV29" s="376" t="s">
        <v>1308</v>
      </c>
      <c r="CW29" s="376" t="s">
        <v>2137</v>
      </c>
      <c r="CX29" s="376" t="s">
        <v>2138</v>
      </c>
      <c r="CY29" s="375" t="s">
        <v>2139</v>
      </c>
      <c r="CZ29" s="155" t="s">
        <v>189</v>
      </c>
      <c r="DA29" s="379" t="s">
        <v>305</v>
      </c>
      <c r="DB29" s="378"/>
      <c r="DC29" s="378"/>
      <c r="DD29" s="378"/>
      <c r="DE29" s="378"/>
      <c r="DF29" s="380"/>
      <c r="DG29" s="375" t="s">
        <v>625</v>
      </c>
      <c r="DH29" s="378"/>
      <c r="DI29" s="378"/>
      <c r="DJ29" s="378"/>
      <c r="DK29" s="376" t="s">
        <v>528</v>
      </c>
      <c r="DL29" s="376" t="s">
        <v>2140</v>
      </c>
      <c r="DM29" s="376" t="s">
        <v>630</v>
      </c>
      <c r="DN29" s="376" t="s">
        <v>2141</v>
      </c>
      <c r="DO29" s="378"/>
      <c r="DP29" s="375" t="s">
        <v>2142</v>
      </c>
      <c r="DQ29" s="376" t="s">
        <v>1747</v>
      </c>
      <c r="DR29" s="378"/>
      <c r="DS29" s="376" t="s">
        <v>1019</v>
      </c>
      <c r="DT29" s="378"/>
      <c r="DU29" s="376" t="s">
        <v>638</v>
      </c>
      <c r="DV29" s="378"/>
      <c r="DW29" s="378"/>
      <c r="DX29" s="378"/>
      <c r="DY29" s="378"/>
      <c r="DZ29" s="378"/>
      <c r="EA29" s="378"/>
      <c r="EB29" s="155" t="s">
        <v>2143</v>
      </c>
    </row>
    <row r="30">
      <c r="A30" s="382" t="s">
        <v>2144</v>
      </c>
      <c r="B30" s="103" t="s">
        <v>2145</v>
      </c>
      <c r="C30" s="104" t="s">
        <v>1418</v>
      </c>
      <c r="D30" s="105" t="s">
        <v>1418</v>
      </c>
      <c r="E30" s="106" t="s">
        <v>1418</v>
      </c>
      <c r="F30" s="107" t="s">
        <v>2146</v>
      </c>
      <c r="G30" s="103" t="s">
        <v>441</v>
      </c>
      <c r="H30" s="112" t="s">
        <v>858</v>
      </c>
      <c r="I30" s="299" t="s">
        <v>2147</v>
      </c>
      <c r="J30" s="112" t="s">
        <v>2148</v>
      </c>
      <c r="K30" s="112" t="s">
        <v>1559</v>
      </c>
      <c r="L30" s="110" t="s">
        <v>2149</v>
      </c>
      <c r="M30" s="112" t="s">
        <v>2150</v>
      </c>
      <c r="N30" s="112" t="s">
        <v>2151</v>
      </c>
      <c r="O30" s="112" t="s">
        <v>2152</v>
      </c>
      <c r="P30" s="110" t="s">
        <v>107</v>
      </c>
      <c r="Q30" s="112" t="s">
        <v>2153</v>
      </c>
      <c r="R30" s="383" t="s">
        <v>2154</v>
      </c>
      <c r="S30" s="166" t="s">
        <v>2155</v>
      </c>
      <c r="T30" s="166" t="s">
        <v>2156</v>
      </c>
      <c r="U30" s="166" t="s">
        <v>1220</v>
      </c>
      <c r="V30" s="112" t="s">
        <v>2157</v>
      </c>
      <c r="W30" s="114"/>
      <c r="X30" s="116" t="s">
        <v>1775</v>
      </c>
      <c r="Y30" s="116" t="s">
        <v>2158</v>
      </c>
      <c r="Z30" s="116" t="s">
        <v>2159</v>
      </c>
      <c r="AA30" s="370" t="s">
        <v>2160</v>
      </c>
      <c r="AB30" s="196" t="s">
        <v>1583</v>
      </c>
      <c r="AC30" s="116" t="s">
        <v>2161</v>
      </c>
      <c r="AD30" s="197" t="s">
        <v>2162</v>
      </c>
      <c r="AE30" s="116" t="s">
        <v>2163</v>
      </c>
      <c r="AF30" s="116" t="s">
        <v>567</v>
      </c>
      <c r="AG30" s="116" t="s">
        <v>2164</v>
      </c>
      <c r="AH30" s="197" t="s">
        <v>756</v>
      </c>
      <c r="AI30" s="116" t="s">
        <v>2165</v>
      </c>
      <c r="AJ30" s="116" t="s">
        <v>2166</v>
      </c>
      <c r="AK30" s="96"/>
      <c r="AL30" s="120" t="s">
        <v>2167</v>
      </c>
      <c r="AM30" s="167" t="s">
        <v>1661</v>
      </c>
      <c r="AN30" s="199" t="s">
        <v>2168</v>
      </c>
      <c r="AO30" s="121" t="s">
        <v>130</v>
      </c>
      <c r="AP30" s="121" t="s">
        <v>2169</v>
      </c>
      <c r="AQ30" s="121" t="s">
        <v>1623</v>
      </c>
      <c r="AR30" s="167" t="s">
        <v>402</v>
      </c>
      <c r="AS30" s="121" t="s">
        <v>2170</v>
      </c>
      <c r="AT30" s="121" t="s">
        <v>2171</v>
      </c>
      <c r="AU30" s="121" t="s">
        <v>2172</v>
      </c>
      <c r="AV30" s="121" t="s">
        <v>2173</v>
      </c>
      <c r="AW30" s="167" t="s">
        <v>2174</v>
      </c>
      <c r="AX30" s="167" t="s">
        <v>2175</v>
      </c>
      <c r="AY30" s="199" t="s">
        <v>2176</v>
      </c>
      <c r="AZ30" s="384"/>
      <c r="BA30" s="173" t="s">
        <v>2177</v>
      </c>
      <c r="BB30" s="127" t="s">
        <v>2178</v>
      </c>
      <c r="BC30" s="127" t="s">
        <v>2057</v>
      </c>
      <c r="BD30" s="127" t="s">
        <v>1361</v>
      </c>
      <c r="BE30" s="127" t="s">
        <v>1470</v>
      </c>
      <c r="BF30" s="173" t="s">
        <v>2179</v>
      </c>
      <c r="BG30" s="127" t="s">
        <v>1763</v>
      </c>
      <c r="BH30" s="127" t="s">
        <v>1855</v>
      </c>
      <c r="BI30" s="127" t="s">
        <v>2180</v>
      </c>
      <c r="BJ30" s="173"/>
      <c r="BK30" s="127" t="s">
        <v>1979</v>
      </c>
      <c r="BL30" s="173" t="s">
        <v>2181</v>
      </c>
      <c r="BM30" s="127" t="s">
        <v>862</v>
      </c>
      <c r="BN30" s="173" t="s">
        <v>2182</v>
      </c>
      <c r="BO30" s="173" t="s">
        <v>2183</v>
      </c>
      <c r="BP30" s="385"/>
      <c r="BQ30" s="130" t="s">
        <v>2184</v>
      </c>
      <c r="BR30" s="130" t="s">
        <v>235</v>
      </c>
      <c r="BS30" s="130" t="s">
        <v>2185</v>
      </c>
      <c r="BT30" s="130" t="s">
        <v>2186</v>
      </c>
      <c r="BU30" s="174" t="s">
        <v>2187</v>
      </c>
      <c r="BV30" s="130" t="s">
        <v>2188</v>
      </c>
      <c r="BW30" s="174" t="s">
        <v>2189</v>
      </c>
      <c r="BX30" s="130" t="s">
        <v>2190</v>
      </c>
      <c r="BY30" s="174"/>
      <c r="BZ30" s="174" t="s">
        <v>1944</v>
      </c>
      <c r="CA30" s="130" t="s">
        <v>2191</v>
      </c>
      <c r="CB30" s="130" t="s">
        <v>2192</v>
      </c>
      <c r="CC30" s="130" t="s">
        <v>258</v>
      </c>
      <c r="CD30" s="130" t="s">
        <v>1893</v>
      </c>
      <c r="CE30" s="386"/>
      <c r="CF30" s="310" t="s">
        <v>2193</v>
      </c>
      <c r="CG30" s="135" t="s">
        <v>2194</v>
      </c>
      <c r="CH30" s="135" t="s">
        <v>2195</v>
      </c>
      <c r="CI30" s="135" t="s">
        <v>2196</v>
      </c>
      <c r="CJ30" s="310" t="s">
        <v>1263</v>
      </c>
      <c r="CK30" s="135" t="s">
        <v>2197</v>
      </c>
      <c r="CL30" s="135" t="s">
        <v>817</v>
      </c>
      <c r="CM30" s="135" t="s">
        <v>2198</v>
      </c>
      <c r="CN30" s="176" t="s">
        <v>2199</v>
      </c>
      <c r="CO30" s="135" t="s">
        <v>2200</v>
      </c>
      <c r="CP30" s="176" t="s">
        <v>2201</v>
      </c>
      <c r="CQ30" s="176" t="s">
        <v>2202</v>
      </c>
      <c r="CR30" s="135" t="s">
        <v>2203</v>
      </c>
      <c r="CS30" s="387"/>
      <c r="CT30" s="140" t="s">
        <v>359</v>
      </c>
      <c r="CU30" s="205" t="s">
        <v>2204</v>
      </c>
      <c r="CV30" s="140" t="s">
        <v>176</v>
      </c>
      <c r="CW30" s="140" t="s">
        <v>940</v>
      </c>
      <c r="CX30" s="388" t="s">
        <v>2205</v>
      </c>
      <c r="CY30" s="140" t="s">
        <v>766</v>
      </c>
      <c r="CZ30" s="388" t="s">
        <v>2206</v>
      </c>
      <c r="DA30" s="388" t="s">
        <v>2207</v>
      </c>
      <c r="DB30" s="140" t="s">
        <v>2208</v>
      </c>
      <c r="DC30" s="205" t="s">
        <v>2209</v>
      </c>
      <c r="DD30" s="140" t="s">
        <v>2210</v>
      </c>
      <c r="DE30" s="140" t="s">
        <v>408</v>
      </c>
      <c r="DF30" s="140"/>
      <c r="DG30" s="145" t="s">
        <v>625</v>
      </c>
      <c r="DH30" s="206" t="s">
        <v>2211</v>
      </c>
      <c r="DI30" s="206" t="s">
        <v>2212</v>
      </c>
      <c r="DJ30" s="145" t="s">
        <v>2213</v>
      </c>
      <c r="DK30" s="145" t="s">
        <v>528</v>
      </c>
      <c r="DL30" s="145" t="s">
        <v>948</v>
      </c>
      <c r="DM30" s="206" t="s">
        <v>2214</v>
      </c>
      <c r="DN30" s="206" t="s">
        <v>1545</v>
      </c>
      <c r="DO30" s="206" t="s">
        <v>729</v>
      </c>
      <c r="DP30" s="145" t="s">
        <v>2017</v>
      </c>
      <c r="DQ30" s="145" t="s">
        <v>2215</v>
      </c>
      <c r="DR30" s="389" t="s">
        <v>184</v>
      </c>
      <c r="DS30" s="206" t="s">
        <v>2216</v>
      </c>
      <c r="DT30" s="145" t="s">
        <v>2217</v>
      </c>
      <c r="DU30" s="145" t="s">
        <v>1944</v>
      </c>
      <c r="DV30" s="206" t="s">
        <v>1381</v>
      </c>
      <c r="DW30" s="206" t="s">
        <v>2218</v>
      </c>
      <c r="DX30" s="145" t="s">
        <v>1273</v>
      </c>
      <c r="DY30" s="145" t="s">
        <v>2219</v>
      </c>
      <c r="DZ30" s="206" t="s">
        <v>1159</v>
      </c>
      <c r="EA30" s="206" t="s">
        <v>1281</v>
      </c>
      <c r="EB30" s="316" t="s">
        <v>2220</v>
      </c>
    </row>
    <row r="31">
      <c r="A31" s="390" t="s">
        <v>2221</v>
      </c>
      <c r="B31" s="82" t="s">
        <v>2222</v>
      </c>
      <c r="C31" s="83" t="s">
        <v>545</v>
      </c>
      <c r="D31" s="84" t="s">
        <v>1418</v>
      </c>
      <c r="E31" s="85" t="s">
        <v>545</v>
      </c>
      <c r="F31" s="86" t="s">
        <v>2099</v>
      </c>
      <c r="G31" s="82" t="s">
        <v>2223</v>
      </c>
      <c r="H31" s="88" t="s">
        <v>2224</v>
      </c>
      <c r="I31" s="88" t="s">
        <v>2225</v>
      </c>
      <c r="J31" s="88" t="s">
        <v>2226</v>
      </c>
      <c r="K31" s="88" t="s">
        <v>444</v>
      </c>
      <c r="L31" s="88" t="s">
        <v>195</v>
      </c>
      <c r="M31" s="93" t="s">
        <v>104</v>
      </c>
      <c r="N31" s="88" t="s">
        <v>2227</v>
      </c>
      <c r="O31" s="88" t="s">
        <v>1334</v>
      </c>
      <c r="P31" s="88" t="s">
        <v>107</v>
      </c>
      <c r="Q31" s="98"/>
      <c r="R31" s="98"/>
      <c r="S31" s="98"/>
      <c r="T31" s="98"/>
      <c r="U31" s="98"/>
      <c r="V31" s="98"/>
      <c r="W31" s="92"/>
      <c r="X31" s="88" t="s">
        <v>223</v>
      </c>
      <c r="Y31" s="88" t="s">
        <v>1142</v>
      </c>
      <c r="Z31" s="297" t="s">
        <v>2228</v>
      </c>
      <c r="AA31" s="88" t="s">
        <v>2229</v>
      </c>
      <c r="AB31" s="88" t="s">
        <v>2077</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1019</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1032</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963</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913</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919</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1138</v>
      </c>
      <c r="CG32" s="176" t="s">
        <v>2309</v>
      </c>
      <c r="CH32" s="176" t="s">
        <v>2310</v>
      </c>
      <c r="CI32" s="135" t="s">
        <v>2311</v>
      </c>
      <c r="CJ32" s="310" t="s">
        <v>1781</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1253</v>
      </c>
      <c r="DO32" s="141" t="s">
        <v>1191</v>
      </c>
      <c r="DP32" s="206" t="s">
        <v>2326</v>
      </c>
      <c r="DQ32" s="206" t="s">
        <v>2022</v>
      </c>
      <c r="DR32" s="206" t="s">
        <v>2327</v>
      </c>
      <c r="DS32" s="206" t="s">
        <v>2328</v>
      </c>
      <c r="DT32" s="282"/>
      <c r="DU32" s="206" t="s">
        <v>1712</v>
      </c>
      <c r="DV32" s="206" t="s">
        <v>2329</v>
      </c>
      <c r="DW32" s="206" t="s">
        <v>2330</v>
      </c>
      <c r="DX32" s="206" t="s">
        <v>2331</v>
      </c>
      <c r="DY32" s="206" t="s">
        <v>1177</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2107</v>
      </c>
      <c r="T33" s="98"/>
      <c r="U33" s="98"/>
      <c r="V33" s="98"/>
      <c r="W33" s="92"/>
      <c r="X33" s="88" t="s">
        <v>2343</v>
      </c>
      <c r="Y33" s="88" t="s">
        <v>562</v>
      </c>
      <c r="Z33" s="88" t="s">
        <v>2344</v>
      </c>
      <c r="AA33" s="88" t="s">
        <v>564</v>
      </c>
      <c r="AB33" s="88" t="s">
        <v>1831</v>
      </c>
      <c r="AC33" s="88" t="s">
        <v>2345</v>
      </c>
      <c r="AD33" s="98"/>
      <c r="AE33" s="88" t="s">
        <v>895</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1763</v>
      </c>
      <c r="BS33" s="88" t="s">
        <v>2331</v>
      </c>
      <c r="BT33" s="88" t="s">
        <v>1765</v>
      </c>
      <c r="BU33" s="88" t="s">
        <v>1658</v>
      </c>
      <c r="BV33" s="88" t="s">
        <v>2354</v>
      </c>
      <c r="BW33" s="98"/>
      <c r="BX33" s="98"/>
      <c r="BY33" s="88" t="s">
        <v>2355</v>
      </c>
      <c r="BZ33" s="88" t="s">
        <v>1770</v>
      </c>
      <c r="CA33" s="88" t="s">
        <v>2356</v>
      </c>
      <c r="CB33" s="98"/>
      <c r="CC33" s="98"/>
      <c r="CD33" s="98"/>
      <c r="CE33" s="261"/>
      <c r="CF33" s="87" t="s">
        <v>2059</v>
      </c>
      <c r="CG33" s="88" t="s">
        <v>880</v>
      </c>
      <c r="CH33" s="88" t="s">
        <v>2357</v>
      </c>
      <c r="CI33" s="88" t="s">
        <v>173</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1014</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2337</v>
      </c>
      <c r="H34" s="112" t="s">
        <v>2371</v>
      </c>
      <c r="I34" s="112" t="s">
        <v>2372</v>
      </c>
      <c r="J34" s="112" t="s">
        <v>1888</v>
      </c>
      <c r="K34" s="112" t="s">
        <v>444</v>
      </c>
      <c r="L34" s="112" t="s">
        <v>2373</v>
      </c>
      <c r="M34" s="166" t="s">
        <v>2374</v>
      </c>
      <c r="N34" s="112" t="s">
        <v>2375</v>
      </c>
      <c r="O34" s="112" t="s">
        <v>448</v>
      </c>
      <c r="P34" s="112" t="s">
        <v>555</v>
      </c>
      <c r="Q34" s="166"/>
      <c r="R34" s="222"/>
      <c r="S34" s="166" t="s">
        <v>922</v>
      </c>
      <c r="T34" s="222"/>
      <c r="U34" s="166" t="s">
        <v>2376</v>
      </c>
      <c r="V34" s="222"/>
      <c r="W34" s="92"/>
      <c r="X34" s="116" t="s">
        <v>2267</v>
      </c>
      <c r="Y34" s="115" t="s">
        <v>1142</v>
      </c>
      <c r="Z34" s="116" t="s">
        <v>563</v>
      </c>
      <c r="AA34" s="116" t="s">
        <v>2377</v>
      </c>
      <c r="AB34" s="116" t="s">
        <v>1831</v>
      </c>
      <c r="AC34" s="116" t="s">
        <v>2378</v>
      </c>
      <c r="AD34" s="197" t="s">
        <v>2379</v>
      </c>
      <c r="AE34" s="116" t="s">
        <v>1077</v>
      </c>
      <c r="AF34" s="116" t="s">
        <v>122</v>
      </c>
      <c r="AG34" s="270"/>
      <c r="AH34" s="270"/>
      <c r="AI34" s="270"/>
      <c r="AJ34" s="270"/>
      <c r="AK34" s="96"/>
      <c r="AL34" s="121" t="s">
        <v>2380</v>
      </c>
      <c r="AM34" s="121" t="s">
        <v>128</v>
      </c>
      <c r="AN34" s="271"/>
      <c r="AO34" s="167"/>
      <c r="AP34" s="271"/>
      <c r="AQ34" s="271"/>
      <c r="AR34" s="271"/>
      <c r="AS34" s="271"/>
      <c r="AT34" s="121" t="s">
        <v>674</v>
      </c>
      <c r="AU34" s="121" t="s">
        <v>2094</v>
      </c>
      <c r="AV34" s="167"/>
      <c r="AW34" s="271"/>
      <c r="AX34" s="271"/>
      <c r="AY34" s="271"/>
      <c r="AZ34" s="167"/>
      <c r="BA34" s="127" t="s">
        <v>335</v>
      </c>
      <c r="BB34" s="127" t="s">
        <v>680</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2186</v>
      </c>
      <c r="BU34" s="130" t="s">
        <v>2386</v>
      </c>
      <c r="BV34" s="130" t="s">
        <v>2387</v>
      </c>
      <c r="BW34" s="174" t="s">
        <v>2388</v>
      </c>
      <c r="BX34" s="174" t="s">
        <v>2389</v>
      </c>
      <c r="BY34" s="130" t="s">
        <v>2390</v>
      </c>
      <c r="BZ34" s="130" t="s">
        <v>165</v>
      </c>
      <c r="CA34" s="276"/>
      <c r="CB34" s="276"/>
      <c r="CC34" s="276"/>
      <c r="CD34" s="276"/>
      <c r="CE34" s="277"/>
      <c r="CF34" s="135" t="s">
        <v>565</v>
      </c>
      <c r="CG34" s="135" t="s">
        <v>1925</v>
      </c>
      <c r="CH34" s="135" t="s">
        <v>2391</v>
      </c>
      <c r="CI34" s="176" t="s">
        <v>2392</v>
      </c>
      <c r="CJ34" s="176" t="s">
        <v>1391</v>
      </c>
      <c r="CK34" s="135" t="s">
        <v>849</v>
      </c>
      <c r="CL34" s="135" t="s">
        <v>2393</v>
      </c>
      <c r="CM34" s="135" t="s">
        <v>1533</v>
      </c>
      <c r="CN34" s="279"/>
      <c r="CO34" s="279"/>
      <c r="CP34" s="279"/>
      <c r="CQ34" s="279"/>
      <c r="CR34" s="279"/>
      <c r="CS34" s="92"/>
      <c r="CT34" s="140" t="s">
        <v>1735</v>
      </c>
      <c r="CU34" s="140" t="s">
        <v>2394</v>
      </c>
      <c r="CV34" s="140" t="s">
        <v>967</v>
      </c>
      <c r="CW34" s="140" t="s">
        <v>568</v>
      </c>
      <c r="CX34" s="140" t="s">
        <v>1184</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816</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437</v>
      </c>
      <c r="E35" s="85" t="s">
        <v>1418</v>
      </c>
      <c r="F35" s="86" t="s">
        <v>2401</v>
      </c>
      <c r="G35" s="82" t="s">
        <v>915</v>
      </c>
      <c r="H35" s="93" t="s">
        <v>2402</v>
      </c>
      <c r="I35" s="93" t="s">
        <v>2403</v>
      </c>
      <c r="J35" s="88" t="s">
        <v>2404</v>
      </c>
      <c r="K35" s="88" t="s">
        <v>2405</v>
      </c>
      <c r="L35" s="88" t="s">
        <v>2406</v>
      </c>
      <c r="M35" s="88" t="s">
        <v>2407</v>
      </c>
      <c r="N35" s="93" t="s">
        <v>2408</v>
      </c>
      <c r="O35" s="93" t="s">
        <v>2040</v>
      </c>
      <c r="P35" s="88" t="s">
        <v>652</v>
      </c>
      <c r="Q35" s="98"/>
      <c r="R35" s="98"/>
      <c r="S35" s="88" t="s">
        <v>1206</v>
      </c>
      <c r="T35" s="88" t="s">
        <v>1869</v>
      </c>
      <c r="U35" s="93" t="s">
        <v>2409</v>
      </c>
      <c r="V35" s="98"/>
      <c r="W35" s="92"/>
      <c r="X35" s="88" t="s">
        <v>2410</v>
      </c>
      <c r="Y35" s="88" t="s">
        <v>2411</v>
      </c>
      <c r="Z35" s="88" t="s">
        <v>2412</v>
      </c>
      <c r="AA35" s="93" t="s">
        <v>2413</v>
      </c>
      <c r="AB35" s="88" t="s">
        <v>1831</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1088</v>
      </c>
      <c r="AW35" s="98"/>
      <c r="AX35" s="98"/>
      <c r="AY35" s="98"/>
      <c r="AZ35" s="98"/>
      <c r="BA35" s="88" t="s">
        <v>2423</v>
      </c>
      <c r="BB35" s="93" t="s">
        <v>2424</v>
      </c>
      <c r="BC35" s="88" t="s">
        <v>2318</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2125</v>
      </c>
      <c r="BT35" s="88" t="s">
        <v>904</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2309</v>
      </c>
      <c r="CH35" s="88" t="s">
        <v>1243</v>
      </c>
      <c r="CI35" s="88" t="s">
        <v>2439</v>
      </c>
      <c r="CJ35" s="209"/>
      <c r="CK35" s="88" t="s">
        <v>134</v>
      </c>
      <c r="CL35" s="88" t="s">
        <v>2440</v>
      </c>
      <c r="CM35" s="88" t="s">
        <v>2198</v>
      </c>
      <c r="CN35" s="98"/>
      <c r="CO35" s="88" t="s">
        <v>633</v>
      </c>
      <c r="CP35" s="98"/>
      <c r="CQ35" s="98"/>
      <c r="CR35" s="98"/>
      <c r="CS35" s="92"/>
      <c r="CT35" s="88" t="s">
        <v>450</v>
      </c>
      <c r="CU35" s="93" t="s">
        <v>1604</v>
      </c>
      <c r="CV35" s="98"/>
      <c r="CW35" s="93" t="s">
        <v>2441</v>
      </c>
      <c r="CX35" s="93" t="s">
        <v>1620</v>
      </c>
      <c r="CY35" s="88" t="s">
        <v>2442</v>
      </c>
      <c r="CZ35" s="93" t="s">
        <v>2443</v>
      </c>
      <c r="DA35" s="93" t="s">
        <v>2444</v>
      </c>
      <c r="DB35" s="98"/>
      <c r="DC35" s="88" t="s">
        <v>2445</v>
      </c>
      <c r="DD35" s="93" t="s">
        <v>2446</v>
      </c>
      <c r="DE35" s="98"/>
      <c r="DF35" s="261"/>
      <c r="DG35" s="88" t="s">
        <v>973</v>
      </c>
      <c r="DH35" s="98"/>
      <c r="DI35" s="93" t="s">
        <v>2447</v>
      </c>
      <c r="DJ35" s="98"/>
      <c r="DK35" s="90" t="s">
        <v>199</v>
      </c>
      <c r="DL35" s="98"/>
      <c r="DM35" s="93" t="s">
        <v>874</v>
      </c>
      <c r="DN35" s="98"/>
      <c r="DO35" s="98"/>
      <c r="DP35" s="97" t="s">
        <v>2448</v>
      </c>
      <c r="DQ35" s="88" t="s">
        <v>1623</v>
      </c>
      <c r="DR35" s="88" t="s">
        <v>2449</v>
      </c>
      <c r="DS35" s="88" t="s">
        <v>2450</v>
      </c>
      <c r="DT35" s="88" t="s">
        <v>2451</v>
      </c>
      <c r="DU35" s="88" t="s">
        <v>201</v>
      </c>
      <c r="DV35" s="98"/>
      <c r="DW35" s="98"/>
      <c r="DX35" s="88" t="s">
        <v>1019</v>
      </c>
      <c r="DY35" s="93" t="s">
        <v>1978</v>
      </c>
      <c r="DZ35" s="88" t="s">
        <v>2452</v>
      </c>
      <c r="EA35" s="88" t="s">
        <v>2453</v>
      </c>
      <c r="EB35" s="97" t="s">
        <v>1803</v>
      </c>
    </row>
    <row r="36">
      <c r="A36" s="165" t="s">
        <v>2454</v>
      </c>
      <c r="B36" s="103" t="s">
        <v>2455</v>
      </c>
      <c r="C36" s="104" t="s">
        <v>1418</v>
      </c>
      <c r="D36" s="105" t="s">
        <v>1418</v>
      </c>
      <c r="E36" s="106" t="s">
        <v>1418</v>
      </c>
      <c r="F36" s="107" t="s">
        <v>2337</v>
      </c>
      <c r="G36" s="103" t="s">
        <v>1634</v>
      </c>
      <c r="H36" s="112" t="s">
        <v>2456</v>
      </c>
      <c r="I36" s="301" t="s">
        <v>2457</v>
      </c>
      <c r="J36" s="112" t="s">
        <v>2458</v>
      </c>
      <c r="K36" s="112" t="s">
        <v>1810</v>
      </c>
      <c r="L36" s="112" t="s">
        <v>2291</v>
      </c>
      <c r="M36" s="112" t="s">
        <v>2459</v>
      </c>
      <c r="N36" s="112" t="s">
        <v>2460</v>
      </c>
      <c r="O36" s="110" t="s">
        <v>2461</v>
      </c>
      <c r="P36" s="299" t="s">
        <v>555</v>
      </c>
      <c r="Q36" s="397" t="s">
        <v>2462</v>
      </c>
      <c r="R36" s="112" t="s">
        <v>2463</v>
      </c>
      <c r="S36" s="397" t="s">
        <v>996</v>
      </c>
      <c r="T36" s="112" t="s">
        <v>2464</v>
      </c>
      <c r="U36" s="110" t="s">
        <v>2465</v>
      </c>
      <c r="V36" s="301" t="s">
        <v>2466</v>
      </c>
      <c r="W36" s="210"/>
      <c r="X36" s="303" t="s">
        <v>1858</v>
      </c>
      <c r="Y36" s="115" t="s">
        <v>1568</v>
      </c>
      <c r="Z36" s="196" t="s">
        <v>2467</v>
      </c>
      <c r="AA36" s="116" t="s">
        <v>1668</v>
      </c>
      <c r="AB36" s="116" t="s">
        <v>2468</v>
      </c>
      <c r="AC36" s="116" t="s">
        <v>2469</v>
      </c>
      <c r="AD36" s="116" t="s">
        <v>2470</v>
      </c>
      <c r="AE36" s="197" t="s">
        <v>2320</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604</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504</v>
      </c>
      <c r="BV36" s="130" t="s">
        <v>2066</v>
      </c>
      <c r="BW36" s="129" t="s">
        <v>2500</v>
      </c>
      <c r="BX36" s="174" t="s">
        <v>2501</v>
      </c>
      <c r="BY36" s="399" t="str">
        <f>HYPERLINK("https://clips.twitch.tv/RamshackleBlindingCaribouPupper", "2:21.41")</f>
        <v>2:21.41</v>
      </c>
      <c r="BZ36" s="175" t="s">
        <v>2502</v>
      </c>
      <c r="CA36" s="174" t="s">
        <v>875</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1056</v>
      </c>
      <c r="CP36" s="135" t="s">
        <v>2512</v>
      </c>
      <c r="CQ36" s="135" t="s">
        <v>2513</v>
      </c>
      <c r="CR36" s="176" t="s">
        <v>2514</v>
      </c>
      <c r="CS36" s="92"/>
      <c r="CT36" s="401" t="s">
        <v>2515</v>
      </c>
      <c r="CU36" s="205" t="s">
        <v>1991</v>
      </c>
      <c r="CV36" s="137" t="s">
        <v>2516</v>
      </c>
      <c r="CW36" s="401" t="s">
        <v>2517</v>
      </c>
      <c r="CX36" s="401" t="s">
        <v>2518</v>
      </c>
      <c r="CY36" s="140" t="s">
        <v>2519</v>
      </c>
      <c r="CZ36" s="401" t="s">
        <v>787</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495</v>
      </c>
      <c r="DN36" s="145" t="s">
        <v>2526</v>
      </c>
      <c r="DO36" s="145" t="s">
        <v>1253</v>
      </c>
      <c r="DP36" s="206" t="s">
        <v>150</v>
      </c>
      <c r="DQ36" s="145" t="s">
        <v>2527</v>
      </c>
      <c r="DR36" s="145" t="s">
        <v>2528</v>
      </c>
      <c r="DS36" s="145" t="s">
        <v>2529</v>
      </c>
      <c r="DT36" s="145" t="s">
        <v>2530</v>
      </c>
      <c r="DU36" s="145" t="s">
        <v>1712</v>
      </c>
      <c r="DV36" s="145" t="s">
        <v>2531</v>
      </c>
      <c r="DW36" s="145" t="s">
        <v>2532</v>
      </c>
      <c r="DX36" s="145" t="s">
        <v>582</v>
      </c>
      <c r="DY36" s="145" t="s">
        <v>2533</v>
      </c>
      <c r="DZ36" s="145" t="s">
        <v>903</v>
      </c>
      <c r="EA36" s="145" t="s">
        <v>2534</v>
      </c>
      <c r="EB36" s="142" t="s">
        <v>2535</v>
      </c>
    </row>
    <row r="37">
      <c r="A37" s="402" t="s">
        <v>2536</v>
      </c>
      <c r="B37" s="82" t="s">
        <v>2537</v>
      </c>
      <c r="C37" s="83" t="s">
        <v>646</v>
      </c>
      <c r="D37" s="84" t="s">
        <v>437</v>
      </c>
      <c r="E37" s="85" t="s">
        <v>1418</v>
      </c>
      <c r="F37" s="86" t="s">
        <v>2100</v>
      </c>
      <c r="G37" s="82" t="s">
        <v>1131</v>
      </c>
      <c r="H37" s="88" t="s">
        <v>1716</v>
      </c>
      <c r="I37" s="97" t="s">
        <v>2538</v>
      </c>
      <c r="J37" s="88" t="s">
        <v>2539</v>
      </c>
      <c r="K37" s="97" t="s">
        <v>1559</v>
      </c>
      <c r="L37" s="88" t="s">
        <v>2540</v>
      </c>
      <c r="M37" s="97" t="s">
        <v>2541</v>
      </c>
      <c r="N37" s="88" t="s">
        <v>105</v>
      </c>
      <c r="O37" s="88" t="s">
        <v>2542</v>
      </c>
      <c r="P37" s="88" t="s">
        <v>1000</v>
      </c>
      <c r="Q37" s="97" t="str">
        <f>HYPERLINK("https://twitter.com/Qbe_Root/status/1254604046691860480","1:09.56")</f>
        <v>1:09.56</v>
      </c>
      <c r="R37" s="93"/>
      <c r="S37" s="88" t="s">
        <v>2543</v>
      </c>
      <c r="T37" s="98"/>
      <c r="U37" s="88" t="s">
        <v>403</v>
      </c>
      <c r="V37" s="93" t="s">
        <v>2544</v>
      </c>
      <c r="W37" s="114"/>
      <c r="X37" s="97" t="s">
        <v>2545</v>
      </c>
      <c r="Y37" s="97" t="s">
        <v>1429</v>
      </c>
      <c r="Z37" s="88" t="s">
        <v>2198</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1084</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1102</v>
      </c>
      <c r="CC37" s="88" t="s">
        <v>2576</v>
      </c>
      <c r="CD37" s="98"/>
      <c r="CE37" s="261"/>
      <c r="CF37" s="88" t="s">
        <v>2577</v>
      </c>
      <c r="CG37" s="88" t="s">
        <v>2056</v>
      </c>
      <c r="CH37" s="93" t="s">
        <v>2578</v>
      </c>
      <c r="CI37" s="88" t="s">
        <v>2579</v>
      </c>
      <c r="CJ37" s="88" t="s">
        <v>2580</v>
      </c>
      <c r="CK37" s="88" t="s">
        <v>2112</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285"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1050</v>
      </c>
      <c r="EB37" s="285" t="s">
        <v>2601</v>
      </c>
    </row>
    <row r="38">
      <c r="A38" s="165" t="s">
        <v>2602</v>
      </c>
      <c r="B38" s="103" t="s">
        <v>2603</v>
      </c>
      <c r="C38" s="104" t="s">
        <v>1418</v>
      </c>
      <c r="D38" s="105" t="s">
        <v>1418</v>
      </c>
      <c r="E38" s="106" t="s">
        <v>1418</v>
      </c>
      <c r="F38" s="107" t="s">
        <v>988</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753</v>
      </c>
      <c r="AA38" s="197" t="s">
        <v>252</v>
      </c>
      <c r="AB38" s="197" t="s">
        <v>2329</v>
      </c>
      <c r="AC38" s="116" t="s">
        <v>2612</v>
      </c>
      <c r="AD38" s="197" t="s">
        <v>2613</v>
      </c>
      <c r="AE38" s="197" t="s">
        <v>895</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2194</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1167</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856</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943</v>
      </c>
      <c r="DH38" s="282"/>
      <c r="DI38" s="282"/>
      <c r="DJ38" s="282"/>
      <c r="DK38" s="282"/>
      <c r="DL38" s="282"/>
      <c r="DM38" s="282"/>
      <c r="DN38" s="282"/>
      <c r="DO38" s="282"/>
      <c r="DP38" s="145" t="s">
        <v>2638</v>
      </c>
      <c r="DQ38" s="206" t="s">
        <v>633</v>
      </c>
      <c r="DR38" s="282"/>
      <c r="DS38" s="282"/>
      <c r="DT38" s="282"/>
      <c r="DU38" s="282"/>
      <c r="DV38" s="282"/>
      <c r="DW38" s="282"/>
      <c r="DX38" s="282"/>
      <c r="DY38" s="206" t="s">
        <v>958</v>
      </c>
      <c r="DZ38" s="282"/>
      <c r="EA38" s="282"/>
      <c r="EB38" s="316"/>
    </row>
    <row r="39">
      <c r="A39" s="317" t="s">
        <v>2639</v>
      </c>
      <c r="B39" s="82" t="s">
        <v>2640</v>
      </c>
      <c r="C39" s="83" t="s">
        <v>1418</v>
      </c>
      <c r="D39" s="84" t="s">
        <v>1418</v>
      </c>
      <c r="E39" s="85" t="s">
        <v>1418</v>
      </c>
      <c r="F39" s="86" t="s">
        <v>219</v>
      </c>
      <c r="G39" s="82" t="s">
        <v>2100</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1108</v>
      </c>
      <c r="Y39" s="93" t="s">
        <v>2650</v>
      </c>
      <c r="Z39" s="93" t="s">
        <v>2159</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2241</v>
      </c>
      <c r="BI39" s="98"/>
      <c r="BJ39" s="88" t="s">
        <v>2664</v>
      </c>
      <c r="BK39" s="93" t="s">
        <v>800</v>
      </c>
      <c r="BL39" s="93" t="s">
        <v>2212</v>
      </c>
      <c r="BM39" s="93" t="s">
        <v>2665</v>
      </c>
      <c r="BN39" s="93" t="s">
        <v>2666</v>
      </c>
      <c r="BO39" s="93" t="s">
        <v>2667</v>
      </c>
      <c r="BP39" s="99"/>
      <c r="BQ39" s="93" t="s">
        <v>2668</v>
      </c>
      <c r="BR39" s="93" t="s">
        <v>2169</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1012</v>
      </c>
      <c r="AS40" s="416" t="s">
        <v>748</v>
      </c>
      <c r="AT40" s="167" t="s">
        <v>1215</v>
      </c>
      <c r="AU40" s="418" t="str">
        <f>HYPERLINK("https://www.youtube.com/watch?v=I53jRzHVHbs","25.78")</f>
        <v>25.78</v>
      </c>
      <c r="AV40" s="417" t="s">
        <v>978</v>
      </c>
      <c r="AW40" s="345"/>
      <c r="AX40" s="417" t="s">
        <v>2716</v>
      </c>
      <c r="AY40" s="419" t="s">
        <v>2717</v>
      </c>
      <c r="AZ40" s="420"/>
      <c r="BA40" s="173" t="s">
        <v>2718</v>
      </c>
      <c r="BB40" s="421" t="s">
        <v>2719</v>
      </c>
      <c r="BC40" s="421" t="s">
        <v>1356</v>
      </c>
      <c r="BD40" s="422" t="s">
        <v>2529</v>
      </c>
      <c r="BE40" s="423" t="s">
        <v>2720</v>
      </c>
      <c r="BF40" s="421" t="s">
        <v>1782</v>
      </c>
      <c r="BG40" s="173" t="s">
        <v>2721</v>
      </c>
      <c r="BH40" s="421" t="s">
        <v>410</v>
      </c>
      <c r="BI40" s="172"/>
      <c r="BJ40" s="422" t="s">
        <v>2722</v>
      </c>
      <c r="BK40" s="421" t="s">
        <v>2723</v>
      </c>
      <c r="BL40" s="200" t="s">
        <v>2724</v>
      </c>
      <c r="BM40" s="424" t="str">
        <f>HYPERLINK("https://youtu.be/PNHoaVHANBk","42.06")</f>
        <v>42.06</v>
      </c>
      <c r="BN40" s="421" t="s">
        <v>972</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996</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2165</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963</v>
      </c>
      <c r="AV41" s="93" t="s">
        <v>2782</v>
      </c>
      <c r="AW41" s="88" t="s">
        <v>1189</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1306</v>
      </c>
      <c r="CP41" s="101"/>
      <c r="CQ41" s="89" t="s">
        <v>2806</v>
      </c>
      <c r="CR41" s="97" t="s">
        <v>2807</v>
      </c>
      <c r="CS41" s="92"/>
      <c r="CT41" s="98"/>
      <c r="CU41" s="93" t="s">
        <v>2735</v>
      </c>
      <c r="CV41" s="209" t="s">
        <v>1145</v>
      </c>
      <c r="CW41" s="93" t="s">
        <v>2808</v>
      </c>
      <c r="CX41" s="93" t="s">
        <v>2809</v>
      </c>
      <c r="CY41" s="93" t="s">
        <v>735</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2115</v>
      </c>
      <c r="AW42" s="271"/>
      <c r="AX42" s="121" t="s">
        <v>1427</v>
      </c>
      <c r="AY42" s="271"/>
      <c r="AZ42" s="271"/>
      <c r="BA42" s="127" t="s">
        <v>2839</v>
      </c>
      <c r="BB42" s="127" t="s">
        <v>2424</v>
      </c>
      <c r="BC42" s="127" t="s">
        <v>2840</v>
      </c>
      <c r="BD42" s="127" t="s">
        <v>1165</v>
      </c>
      <c r="BE42" s="127" t="s">
        <v>2841</v>
      </c>
      <c r="BF42" s="127" t="s">
        <v>258</v>
      </c>
      <c r="BG42" s="172"/>
      <c r="BH42" s="173" t="s">
        <v>2241</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2330</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609</v>
      </c>
      <c r="CW42" s="140" t="s">
        <v>1390</v>
      </c>
      <c r="CX42" s="140" t="s">
        <v>2028</v>
      </c>
      <c r="CY42" s="140" t="s">
        <v>2330</v>
      </c>
      <c r="CZ42" s="140" t="s">
        <v>2861</v>
      </c>
      <c r="DA42" s="140" t="s">
        <v>1215</v>
      </c>
      <c r="DB42" s="280"/>
      <c r="DC42" s="280"/>
      <c r="DD42" s="140" t="s">
        <v>2862</v>
      </c>
      <c r="DE42" s="280"/>
      <c r="DF42" s="281"/>
      <c r="DG42" s="145" t="s">
        <v>850</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1088</v>
      </c>
      <c r="DY42" s="282"/>
      <c r="DZ42" s="282"/>
      <c r="EA42" s="145" t="s">
        <v>2333</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873</v>
      </c>
      <c r="N43" s="88" t="s">
        <v>2874</v>
      </c>
      <c r="O43" s="88" t="s">
        <v>2610</v>
      </c>
      <c r="P43" s="88" t="s">
        <v>1564</v>
      </c>
      <c r="Q43" s="447" t="s">
        <v>2875</v>
      </c>
      <c r="R43" s="448" t="s">
        <v>1372</v>
      </c>
      <c r="S43" s="88" t="s">
        <v>139</v>
      </c>
      <c r="T43" s="297" t="s">
        <v>1652</v>
      </c>
      <c r="U43" s="93" t="s">
        <v>1234</v>
      </c>
      <c r="V43" s="93" t="s">
        <v>2876</v>
      </c>
      <c r="W43" s="92"/>
      <c r="X43" s="88" t="s">
        <v>1420</v>
      </c>
      <c r="Y43" s="93" t="s">
        <v>721</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936</v>
      </c>
      <c r="AM43" s="88" t="s">
        <v>2738</v>
      </c>
      <c r="AN43" s="93" t="s">
        <v>2883</v>
      </c>
      <c r="AO43" s="93" t="s">
        <v>2884</v>
      </c>
      <c r="AP43" s="93" t="s">
        <v>2885</v>
      </c>
      <c r="AQ43" s="447" t="s">
        <v>2886</v>
      </c>
      <c r="AR43" s="93" t="s">
        <v>2887</v>
      </c>
      <c r="AS43" s="88" t="s">
        <v>1380</v>
      </c>
      <c r="AT43" s="93" t="s">
        <v>1577</v>
      </c>
      <c r="AU43" s="93" t="s">
        <v>1056</v>
      </c>
      <c r="AV43" s="93" t="s">
        <v>2888</v>
      </c>
      <c r="AW43" s="93" t="s">
        <v>1522</v>
      </c>
      <c r="AX43" s="93" t="s">
        <v>996</v>
      </c>
      <c r="AY43" s="447" t="s">
        <v>2889</v>
      </c>
      <c r="AZ43" s="447"/>
      <c r="BA43" s="88" t="s">
        <v>2831</v>
      </c>
      <c r="BB43" s="93" t="s">
        <v>1478</v>
      </c>
      <c r="BC43" s="88" t="s">
        <v>2890</v>
      </c>
      <c r="BD43" s="88" t="s">
        <v>2891</v>
      </c>
      <c r="BE43" s="93" t="s">
        <v>1212</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2498</v>
      </c>
      <c r="BT43" s="88" t="s">
        <v>981</v>
      </c>
      <c r="BU43" s="88" t="s">
        <v>2900</v>
      </c>
      <c r="BV43" s="88" t="s">
        <v>2214</v>
      </c>
      <c r="BW43" s="98"/>
      <c r="BX43" s="93" t="s">
        <v>1850</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2204</v>
      </c>
      <c r="CV43" s="93" t="s">
        <v>899</v>
      </c>
      <c r="CW43" s="88" t="s">
        <v>602</v>
      </c>
      <c r="CX43" s="93" t="s">
        <v>2918</v>
      </c>
      <c r="CY43" s="93" t="s">
        <v>1047</v>
      </c>
      <c r="CZ43" s="88" t="s">
        <v>2919</v>
      </c>
      <c r="DA43" s="93" t="s">
        <v>2920</v>
      </c>
      <c r="DB43" s="93" t="s">
        <v>1688</v>
      </c>
      <c r="DC43" s="93" t="s">
        <v>1660</v>
      </c>
      <c r="DD43" s="93" t="s">
        <v>2921</v>
      </c>
      <c r="DE43" s="93" t="s">
        <v>2922</v>
      </c>
      <c r="DF43" s="93"/>
      <c r="DG43" s="93" t="s">
        <v>1002</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1084</v>
      </c>
      <c r="DX43" s="88" t="s">
        <v>2933</v>
      </c>
      <c r="DY43" s="93" t="s">
        <v>2318</v>
      </c>
      <c r="DZ43" s="93" t="s">
        <v>1515</v>
      </c>
      <c r="EA43" s="93" t="s">
        <v>859</v>
      </c>
      <c r="EB43" s="285" t="s">
        <v>2934</v>
      </c>
    </row>
    <row r="44">
      <c r="A44" s="449" t="s">
        <v>2935</v>
      </c>
      <c r="B44" s="103" t="s">
        <v>2936</v>
      </c>
      <c r="C44" s="104" t="s">
        <v>1418</v>
      </c>
      <c r="D44" s="105" t="s">
        <v>545</v>
      </c>
      <c r="E44" s="106" t="s">
        <v>545</v>
      </c>
      <c r="F44" s="107" t="s">
        <v>2937</v>
      </c>
      <c r="G44" s="103" t="s">
        <v>2370</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2228</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1180</v>
      </c>
      <c r="CL44" s="135" t="s">
        <v>2964</v>
      </c>
      <c r="CM44" s="135" t="s">
        <v>796</v>
      </c>
      <c r="CN44" s="279"/>
      <c r="CO44" s="279"/>
      <c r="CP44" s="279"/>
      <c r="CQ44" s="279"/>
      <c r="CR44" s="279"/>
      <c r="CS44" s="92"/>
      <c r="CT44" s="140" t="s">
        <v>2965</v>
      </c>
      <c r="CU44" s="280"/>
      <c r="CV44" s="140" t="s">
        <v>1096</v>
      </c>
      <c r="CW44" s="140" t="s">
        <v>2966</v>
      </c>
      <c r="CX44" s="372" t="s">
        <v>2967</v>
      </c>
      <c r="CY44" s="140" t="str">
        <f>HYPERLINK("https://clips.twitch.tv/ComfortableBadOctopusSeemsGood-tMvOD8fMvPQ1BZUe", "26.50")</f>
        <v>26.50</v>
      </c>
      <c r="CZ44" s="140" t="s">
        <v>2968</v>
      </c>
      <c r="DA44" s="140" t="s">
        <v>2171</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545</v>
      </c>
      <c r="E45" s="85" t="s">
        <v>545</v>
      </c>
      <c r="F45" s="86" t="s">
        <v>1200</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1195</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868</v>
      </c>
      <c r="CA45" s="378"/>
      <c r="CB45" s="378"/>
      <c r="CC45" s="378"/>
      <c r="CD45" s="378"/>
      <c r="CE45" s="454"/>
      <c r="CF45" s="378" t="s">
        <v>2995</v>
      </c>
      <c r="CG45" s="455" t="s">
        <v>1281</v>
      </c>
      <c r="CH45" s="377" t="s">
        <v>2996</v>
      </c>
      <c r="CI45" s="378" t="s">
        <v>2997</v>
      </c>
      <c r="CJ45" s="378"/>
      <c r="CK45" s="378" t="s">
        <v>2187</v>
      </c>
      <c r="CL45" s="378" t="s">
        <v>2743</v>
      </c>
      <c r="CM45" s="376" t="s">
        <v>2998</v>
      </c>
      <c r="CN45" s="378"/>
      <c r="CO45" s="378" t="s">
        <v>2999</v>
      </c>
      <c r="CP45" s="378"/>
      <c r="CQ45" s="378" t="s">
        <v>3000</v>
      </c>
      <c r="CR45" s="378"/>
      <c r="CS45" s="154"/>
      <c r="CT45" s="378" t="s">
        <v>3001</v>
      </c>
      <c r="CU45" s="378" t="s">
        <v>966</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896</v>
      </c>
      <c r="DM45" s="378" t="s">
        <v>3004</v>
      </c>
      <c r="DN45" s="378" t="s">
        <v>3005</v>
      </c>
      <c r="DO45" s="378"/>
      <c r="DP45" s="378" t="s">
        <v>2790</v>
      </c>
      <c r="DQ45" s="378"/>
      <c r="DR45" s="378" t="s">
        <v>245</v>
      </c>
      <c r="DS45" s="378"/>
      <c r="DT45" s="378"/>
      <c r="DU45" s="378" t="s">
        <v>3006</v>
      </c>
      <c r="DV45" s="378"/>
      <c r="DW45" s="378"/>
      <c r="DX45" s="376" t="s">
        <v>859</v>
      </c>
      <c r="DY45" s="378"/>
      <c r="DZ45" s="378"/>
      <c r="EA45" s="378" t="s">
        <v>3007</v>
      </c>
      <c r="EB45" s="378" t="s">
        <v>3008</v>
      </c>
    </row>
    <row r="46">
      <c r="A46" s="165" t="s">
        <v>3009</v>
      </c>
      <c r="B46" s="103" t="s">
        <v>3010</v>
      </c>
      <c r="C46" s="104" t="s">
        <v>1418</v>
      </c>
      <c r="D46" s="105" t="s">
        <v>1418</v>
      </c>
      <c r="E46" s="106" t="s">
        <v>1418</v>
      </c>
      <c r="F46" s="107" t="s">
        <v>545</v>
      </c>
      <c r="G46" s="103" t="s">
        <v>740</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704</v>
      </c>
      <c r="AB46" s="303" t="s">
        <v>2329</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402</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1043</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737</v>
      </c>
      <c r="CA46" s="174" t="s">
        <v>3047</v>
      </c>
      <c r="CB46" s="174" t="s">
        <v>3048</v>
      </c>
      <c r="CC46" s="174" t="s">
        <v>3049</v>
      </c>
      <c r="CD46" s="276"/>
      <c r="CE46" s="277"/>
      <c r="CF46" s="133" t="str">
        <f>HYPERLINK("https://clips.twitch.tv/KawaiiRacySwordPeoplesChamp","53.72")</f>
        <v>53.72</v>
      </c>
      <c r="CG46" s="176" t="s">
        <v>2172</v>
      </c>
      <c r="CH46" s="176" t="s">
        <v>3050</v>
      </c>
      <c r="CI46" s="176" t="s">
        <v>3051</v>
      </c>
      <c r="CJ46" s="176" t="s">
        <v>3052</v>
      </c>
      <c r="CK46" s="457" t="s">
        <v>3053</v>
      </c>
      <c r="CL46" s="310" t="s">
        <v>2468</v>
      </c>
      <c r="CM46" s="176" t="s">
        <v>2141</v>
      </c>
      <c r="CN46" s="279"/>
      <c r="CO46" s="176" t="s">
        <v>1694</v>
      </c>
      <c r="CP46" s="176"/>
      <c r="CQ46" s="176" t="s">
        <v>3054</v>
      </c>
      <c r="CR46" s="279"/>
      <c r="CS46" s="92"/>
      <c r="CT46" s="205" t="s">
        <v>3055</v>
      </c>
      <c r="CU46" s="205" t="s">
        <v>3056</v>
      </c>
      <c r="CV46" s="205" t="s">
        <v>3057</v>
      </c>
      <c r="CW46" s="205" t="s">
        <v>3058</v>
      </c>
      <c r="CX46" s="205" t="s">
        <v>2792</v>
      </c>
      <c r="CY46" s="205" t="s">
        <v>2964</v>
      </c>
      <c r="CZ46" s="313" t="s">
        <v>889</v>
      </c>
      <c r="DA46" s="205" t="s">
        <v>846</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1159</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661</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1184</v>
      </c>
      <c r="BB47" s="376" t="s">
        <v>1834</v>
      </c>
      <c r="BC47" s="376" t="s">
        <v>2318</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874</v>
      </c>
      <c r="BW47" s="460" t="s">
        <v>3088</v>
      </c>
      <c r="BX47" s="459"/>
      <c r="BY47" s="376" t="s">
        <v>3089</v>
      </c>
      <c r="BZ47" s="460" t="s">
        <v>3090</v>
      </c>
      <c r="CA47" s="459"/>
      <c r="CB47" s="459"/>
      <c r="CC47" s="459"/>
      <c r="CD47" s="459"/>
      <c r="CE47" s="463"/>
      <c r="CF47" s="460" t="s">
        <v>3091</v>
      </c>
      <c r="CG47" s="376" t="s">
        <v>2743</v>
      </c>
      <c r="CH47" s="376" t="s">
        <v>3092</v>
      </c>
      <c r="CI47" s="376" t="s">
        <v>3093</v>
      </c>
      <c r="CJ47" s="459"/>
      <c r="CK47" s="376" t="s">
        <v>175</v>
      </c>
      <c r="CL47" s="460" t="s">
        <v>1606</v>
      </c>
      <c r="CM47" s="376" t="s">
        <v>1993</v>
      </c>
      <c r="CN47" s="459"/>
      <c r="CO47" s="459"/>
      <c r="CP47" s="459"/>
      <c r="CQ47" s="459"/>
      <c r="CR47" s="459"/>
      <c r="CS47" s="462"/>
      <c r="CT47" s="376" t="s">
        <v>3094</v>
      </c>
      <c r="CU47" s="459"/>
      <c r="CV47" s="376" t="s">
        <v>179</v>
      </c>
      <c r="CW47" s="460" t="s">
        <v>186</v>
      </c>
      <c r="CX47" s="376" t="s">
        <v>3095</v>
      </c>
      <c r="CY47" s="460" t="s">
        <v>880</v>
      </c>
      <c r="CZ47" s="376" t="s">
        <v>1890</v>
      </c>
      <c r="DA47" s="460" t="s">
        <v>3096</v>
      </c>
      <c r="DB47" s="459"/>
      <c r="DC47" s="459"/>
      <c r="DD47" s="459"/>
      <c r="DE47" s="459"/>
      <c r="DF47" s="463"/>
      <c r="DG47" s="460" t="s">
        <v>3097</v>
      </c>
      <c r="DH47" s="459"/>
      <c r="DI47" s="459"/>
      <c r="DJ47" s="459"/>
      <c r="DK47" s="459"/>
      <c r="DL47" s="459"/>
      <c r="DM47" s="459"/>
      <c r="DN47" s="459"/>
      <c r="DO47" s="459"/>
      <c r="DP47" s="460" t="s">
        <v>2955</v>
      </c>
      <c r="DQ47" s="376" t="s">
        <v>731</v>
      </c>
      <c r="DR47" s="459"/>
      <c r="DS47" s="459"/>
      <c r="DT47" s="459"/>
      <c r="DU47" s="459"/>
      <c r="DV47" s="459"/>
      <c r="DW47" s="459"/>
      <c r="DX47" s="459"/>
      <c r="DY47" s="459"/>
      <c r="DZ47" s="459"/>
      <c r="EA47" s="459"/>
      <c r="EB47" s="459"/>
    </row>
    <row r="48">
      <c r="A48" s="165" t="s">
        <v>3098</v>
      </c>
      <c r="B48" s="103" t="s">
        <v>3099</v>
      </c>
      <c r="C48" s="104" t="s">
        <v>1418</v>
      </c>
      <c r="D48" s="105" t="s">
        <v>1418</v>
      </c>
      <c r="E48" s="106" t="s">
        <v>1418</v>
      </c>
      <c r="F48" s="107" t="s">
        <v>220</v>
      </c>
      <c r="G48" s="103" t="s">
        <v>2370</v>
      </c>
      <c r="H48" s="222"/>
      <c r="I48" s="166" t="s">
        <v>3100</v>
      </c>
      <c r="J48" s="166" t="s">
        <v>1558</v>
      </c>
      <c r="K48" s="112" t="s">
        <v>1810</v>
      </c>
      <c r="L48" s="112" t="s">
        <v>625</v>
      </c>
      <c r="M48" s="166" t="s">
        <v>1348</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3107</v>
      </c>
      <c r="BB48" s="173" t="s">
        <v>1161</v>
      </c>
      <c r="BC48" s="173" t="s">
        <v>711</v>
      </c>
      <c r="BD48" s="127" t="s">
        <v>3108</v>
      </c>
      <c r="BE48" s="173" t="s">
        <v>3109</v>
      </c>
      <c r="BF48" s="172"/>
      <c r="BG48" s="172"/>
      <c r="BH48" s="127" t="s">
        <v>3110</v>
      </c>
      <c r="BI48" s="127" t="s">
        <v>3083</v>
      </c>
      <c r="BJ48" s="172"/>
      <c r="BK48" s="127" t="s">
        <v>3111</v>
      </c>
      <c r="BL48" s="172"/>
      <c r="BM48" s="172"/>
      <c r="BN48" s="172"/>
      <c r="BO48" s="172"/>
      <c r="BP48" s="273"/>
      <c r="BQ48" s="174" t="s">
        <v>2740</v>
      </c>
      <c r="BR48" s="174" t="s">
        <v>2432</v>
      </c>
      <c r="BS48" s="174" t="s">
        <v>3112</v>
      </c>
      <c r="BT48" s="174" t="s">
        <v>3113</v>
      </c>
      <c r="BU48" s="174" t="s">
        <v>696</v>
      </c>
      <c r="BV48" s="174" t="s">
        <v>1847</v>
      </c>
      <c r="BW48" s="130" t="s">
        <v>3114</v>
      </c>
      <c r="BX48" s="174" t="s">
        <v>3115</v>
      </c>
      <c r="BY48" s="276"/>
      <c r="BZ48" s="174" t="s">
        <v>1030</v>
      </c>
      <c r="CA48" s="276"/>
      <c r="CB48" s="276"/>
      <c r="CC48" s="276"/>
      <c r="CD48" s="276"/>
      <c r="CE48" s="277"/>
      <c r="CF48" s="176" t="s">
        <v>3116</v>
      </c>
      <c r="CG48" s="323" t="s">
        <v>937</v>
      </c>
      <c r="CH48" s="135" t="s">
        <v>3117</v>
      </c>
      <c r="CI48" s="135" t="s">
        <v>3118</v>
      </c>
      <c r="CJ48" s="310"/>
      <c r="CK48" s="331" t="s">
        <v>2290</v>
      </c>
      <c r="CL48" s="323" t="s">
        <v>1583</v>
      </c>
      <c r="CM48" s="176" t="s">
        <v>2998</v>
      </c>
      <c r="CN48" s="279"/>
      <c r="CO48" s="279"/>
      <c r="CP48" s="279"/>
      <c r="CQ48" s="279"/>
      <c r="CR48" s="279"/>
      <c r="CS48" s="92"/>
      <c r="CT48" s="140" t="s">
        <v>1528</v>
      </c>
      <c r="CU48" s="280"/>
      <c r="CV48" s="372" t="s">
        <v>1075</v>
      </c>
      <c r="CW48" s="372" t="s">
        <v>3119</v>
      </c>
      <c r="CX48" s="205" t="s">
        <v>112</v>
      </c>
      <c r="CY48" s="205" t="s">
        <v>707</v>
      </c>
      <c r="CZ48" s="388" t="s">
        <v>3120</v>
      </c>
      <c r="DA48" s="205" t="s">
        <v>190</v>
      </c>
      <c r="DB48" s="280"/>
      <c r="DC48" s="280"/>
      <c r="DD48" s="280"/>
      <c r="DE48" s="280"/>
      <c r="DF48" s="281"/>
      <c r="DG48" s="206" t="s">
        <v>1543</v>
      </c>
      <c r="DH48" s="282"/>
      <c r="DI48" s="282"/>
      <c r="DJ48" s="282"/>
      <c r="DK48" s="282"/>
      <c r="DL48" s="282"/>
      <c r="DM48" s="282"/>
      <c r="DN48" s="282"/>
      <c r="DO48" s="282"/>
      <c r="DP48" s="464" t="s">
        <v>3121</v>
      </c>
      <c r="DQ48" s="206" t="s">
        <v>640</v>
      </c>
      <c r="DR48" s="282"/>
      <c r="DS48" s="282"/>
      <c r="DT48" s="282"/>
      <c r="DU48" s="282"/>
      <c r="DV48" s="282"/>
      <c r="DW48" s="282"/>
      <c r="DX48" s="282"/>
      <c r="DY48" s="282"/>
      <c r="DZ48" s="282"/>
      <c r="EA48" s="282"/>
      <c r="EB48" s="465"/>
    </row>
    <row r="49">
      <c r="A49" s="81" t="s">
        <v>3122</v>
      </c>
      <c r="B49" s="82" t="s">
        <v>3123</v>
      </c>
      <c r="C49" s="83" t="s">
        <v>1418</v>
      </c>
      <c r="D49" s="84" t="s">
        <v>1418</v>
      </c>
      <c r="E49" s="85" t="s">
        <v>545</v>
      </c>
      <c r="F49" s="86" t="s">
        <v>3124</v>
      </c>
      <c r="G49" s="82" t="s">
        <v>2337</v>
      </c>
      <c r="H49" s="93" t="s">
        <v>3125</v>
      </c>
      <c r="I49" s="93" t="s">
        <v>3126</v>
      </c>
      <c r="J49" s="88" t="s">
        <v>3127</v>
      </c>
      <c r="K49" s="88" t="s">
        <v>3128</v>
      </c>
      <c r="L49" s="88" t="s">
        <v>2137</v>
      </c>
      <c r="M49" s="93" t="s">
        <v>3129</v>
      </c>
      <c r="N49" s="88" t="s">
        <v>3130</v>
      </c>
      <c r="O49" s="88" t="s">
        <v>3131</v>
      </c>
      <c r="P49" s="88" t="s">
        <v>1564</v>
      </c>
      <c r="Q49" s="98"/>
      <c r="R49" s="98"/>
      <c r="S49" s="93" t="s">
        <v>3132</v>
      </c>
      <c r="T49" s="98"/>
      <c r="U49" s="93" t="s">
        <v>3133</v>
      </c>
      <c r="V49" s="98"/>
      <c r="W49" s="92"/>
      <c r="X49" s="376" t="s">
        <v>2652</v>
      </c>
      <c r="Y49" s="88" t="s">
        <v>3134</v>
      </c>
      <c r="Z49" s="93" t="s">
        <v>245</v>
      </c>
      <c r="AA49" s="88" t="s">
        <v>3078</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1268</v>
      </c>
      <c r="BB49" s="88" t="s">
        <v>680</v>
      </c>
      <c r="BC49" s="88" t="s">
        <v>933</v>
      </c>
      <c r="BD49" s="297" t="s">
        <v>3138</v>
      </c>
      <c r="BE49" s="93" t="s">
        <v>3139</v>
      </c>
      <c r="BF49" s="98"/>
      <c r="BG49" s="98"/>
      <c r="BH49" s="88" t="s">
        <v>1322</v>
      </c>
      <c r="BI49" s="98"/>
      <c r="BJ49" s="88" t="s">
        <v>150</v>
      </c>
      <c r="BK49" s="93" t="s">
        <v>3140</v>
      </c>
      <c r="BL49" s="98"/>
      <c r="BM49" s="98"/>
      <c r="BN49" s="98"/>
      <c r="BO49" s="98"/>
      <c r="BP49" s="261"/>
      <c r="BQ49" s="93" t="s">
        <v>3141</v>
      </c>
      <c r="BR49" s="88" t="s">
        <v>2245</v>
      </c>
      <c r="BS49" s="88" t="s">
        <v>3142</v>
      </c>
      <c r="BT49" s="93" t="s">
        <v>3143</v>
      </c>
      <c r="BU49" s="88" t="s">
        <v>3144</v>
      </c>
      <c r="BV49" s="88" t="s">
        <v>1847</v>
      </c>
      <c r="BW49" s="98"/>
      <c r="BX49" s="93" t="s">
        <v>3145</v>
      </c>
      <c r="BY49" s="93" t="s">
        <v>3146</v>
      </c>
      <c r="BZ49" s="88" t="s">
        <v>3113</v>
      </c>
      <c r="CA49" s="98"/>
      <c r="CB49" s="98"/>
      <c r="CC49" s="98"/>
      <c r="CD49" s="98"/>
      <c r="CE49" s="261"/>
      <c r="CF49" s="88" t="s">
        <v>1004</v>
      </c>
      <c r="CG49" s="93" t="s">
        <v>1450</v>
      </c>
      <c r="CH49" s="88" t="s">
        <v>605</v>
      </c>
      <c r="CI49" s="93" t="s">
        <v>3147</v>
      </c>
      <c r="CJ49" s="93" t="s">
        <v>2204</v>
      </c>
      <c r="CK49" s="93" t="s">
        <v>3148</v>
      </c>
      <c r="CL49" s="88" t="s">
        <v>3149</v>
      </c>
      <c r="CM49" s="93" t="s">
        <v>1577</v>
      </c>
      <c r="CN49" s="98"/>
      <c r="CO49" s="98"/>
      <c r="CP49" s="98"/>
      <c r="CQ49" s="98"/>
      <c r="CR49" s="98"/>
      <c r="CS49" s="92"/>
      <c r="CT49" s="89" t="s">
        <v>2049</v>
      </c>
      <c r="CU49" s="93" t="s">
        <v>2910</v>
      </c>
      <c r="CV49" s="88" t="s">
        <v>1079</v>
      </c>
      <c r="CW49" s="88" t="s">
        <v>717</v>
      </c>
      <c r="CX49" s="88" t="s">
        <v>2423</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1483</v>
      </c>
      <c r="DR49" s="98"/>
      <c r="DS49" s="98"/>
      <c r="DT49" s="98"/>
      <c r="DU49" s="98"/>
      <c r="DV49" s="98"/>
      <c r="DW49" s="98"/>
      <c r="DX49" s="98"/>
      <c r="DY49" s="98"/>
      <c r="DZ49" s="98"/>
      <c r="EA49" s="98"/>
      <c r="EB49" s="285"/>
    </row>
    <row r="50">
      <c r="A50" s="466" t="s">
        <v>3157</v>
      </c>
      <c r="B50" s="467" t="s">
        <v>3158</v>
      </c>
      <c r="C50" s="104" t="s">
        <v>1418</v>
      </c>
      <c r="D50" s="105" t="s">
        <v>1418</v>
      </c>
      <c r="E50" s="106" t="s">
        <v>1418</v>
      </c>
      <c r="F50" s="107" t="s">
        <v>1130</v>
      </c>
      <c r="G50" s="103" t="s">
        <v>3159</v>
      </c>
      <c r="H50" s="468" t="s">
        <v>837</v>
      </c>
      <c r="I50" s="468" t="s">
        <v>3160</v>
      </c>
      <c r="J50" s="468" t="s">
        <v>651</v>
      </c>
      <c r="K50" s="468" t="s">
        <v>1810</v>
      </c>
      <c r="L50" s="468" t="s">
        <v>3161</v>
      </c>
      <c r="M50" s="468" t="s">
        <v>3162</v>
      </c>
      <c r="N50" s="468" t="s">
        <v>3163</v>
      </c>
      <c r="O50" s="468" t="s">
        <v>2827</v>
      </c>
      <c r="P50" s="468" t="s">
        <v>2828</v>
      </c>
      <c r="Q50" s="468" t="s">
        <v>341</v>
      </c>
      <c r="R50" s="469"/>
      <c r="S50" s="470" t="s">
        <v>3164</v>
      </c>
      <c r="T50" s="469"/>
      <c r="U50" s="469"/>
      <c r="V50" s="471" t="s">
        <v>3165</v>
      </c>
      <c r="W50" s="187"/>
      <c r="X50" s="472" t="s">
        <v>3166</v>
      </c>
      <c r="Y50" s="472" t="s">
        <v>2945</v>
      </c>
      <c r="Z50" s="472" t="s">
        <v>3167</v>
      </c>
      <c r="AA50" s="472" t="s">
        <v>3168</v>
      </c>
      <c r="AB50" s="472" t="s">
        <v>977</v>
      </c>
      <c r="AC50" s="472" t="s">
        <v>2787</v>
      </c>
      <c r="AD50" s="116" t="s">
        <v>3169</v>
      </c>
      <c r="AE50" s="472" t="s">
        <v>3170</v>
      </c>
      <c r="AF50" s="473" t="s">
        <v>2710</v>
      </c>
      <c r="AG50" s="474"/>
      <c r="AH50" s="474"/>
      <c r="AI50" s="116" t="s">
        <v>3171</v>
      </c>
      <c r="AJ50" s="116" t="s">
        <v>3172</v>
      </c>
      <c r="AK50" s="189"/>
      <c r="AL50" s="121" t="s">
        <v>3173</v>
      </c>
      <c r="AM50" s="121" t="s">
        <v>825</v>
      </c>
      <c r="AN50" s="121" t="s">
        <v>3174</v>
      </c>
      <c r="AO50" s="121" t="s">
        <v>3175</v>
      </c>
      <c r="AP50" s="121" t="s">
        <v>3176</v>
      </c>
      <c r="AQ50" s="121" t="s">
        <v>807</v>
      </c>
      <c r="AR50" s="121" t="s">
        <v>1217</v>
      </c>
      <c r="AS50" s="121" t="s">
        <v>3177</v>
      </c>
      <c r="AT50" s="475" t="s">
        <v>2745</v>
      </c>
      <c r="AU50" s="475" t="s">
        <v>3178</v>
      </c>
      <c r="AV50" s="476" t="s">
        <v>3179</v>
      </c>
      <c r="AW50" s="477"/>
      <c r="AX50" s="477"/>
      <c r="AY50" s="121" t="s">
        <v>3180</v>
      </c>
      <c r="AZ50" s="478"/>
      <c r="BA50" s="479" t="s">
        <v>3181</v>
      </c>
      <c r="BB50" s="479" t="s">
        <v>1189</v>
      </c>
      <c r="BC50" s="479" t="s">
        <v>964</v>
      </c>
      <c r="BD50" s="479" t="s">
        <v>3182</v>
      </c>
      <c r="BE50" s="479" t="s">
        <v>3183</v>
      </c>
      <c r="BF50" s="480"/>
      <c r="BG50" s="480"/>
      <c r="BH50" s="479" t="s">
        <v>2073</v>
      </c>
      <c r="BI50" s="480"/>
      <c r="BJ50" s="479" t="s">
        <v>2323</v>
      </c>
      <c r="BK50" s="481" t="s">
        <v>2723</v>
      </c>
      <c r="BL50" s="127" t="s">
        <v>3184</v>
      </c>
      <c r="BM50" s="481" t="s">
        <v>694</v>
      </c>
      <c r="BN50" s="127" t="s">
        <v>3185</v>
      </c>
      <c r="BO50" s="127" t="s">
        <v>3186</v>
      </c>
      <c r="BP50" s="482"/>
      <c r="BQ50" s="483" t="s">
        <v>3187</v>
      </c>
      <c r="BR50" s="483" t="s">
        <v>134</v>
      </c>
      <c r="BS50" s="483" t="s">
        <v>3188</v>
      </c>
      <c r="BT50" s="483" t="s">
        <v>3189</v>
      </c>
      <c r="BU50" s="483" t="s">
        <v>3190</v>
      </c>
      <c r="BV50" s="483" t="s">
        <v>2069</v>
      </c>
      <c r="BW50" s="483" t="s">
        <v>3191</v>
      </c>
      <c r="BX50" s="484"/>
      <c r="BY50" s="483" t="s">
        <v>3192</v>
      </c>
      <c r="BZ50" s="485" t="s">
        <v>2817</v>
      </c>
      <c r="CA50" s="130" t="s">
        <v>3193</v>
      </c>
      <c r="CB50" s="486"/>
      <c r="CC50" s="486"/>
      <c r="CD50" s="130" t="s">
        <v>3194</v>
      </c>
      <c r="CE50" s="487"/>
      <c r="CF50" s="488" t="s">
        <v>3195</v>
      </c>
      <c r="CG50" s="489" t="s">
        <v>3178</v>
      </c>
      <c r="CH50" s="489" t="s">
        <v>3196</v>
      </c>
      <c r="CI50" s="489" t="s">
        <v>3197</v>
      </c>
      <c r="CJ50" s="488" t="s">
        <v>3198</v>
      </c>
      <c r="CK50" s="489" t="s">
        <v>170</v>
      </c>
      <c r="CL50" s="489" t="s">
        <v>1694</v>
      </c>
      <c r="CM50" s="489" t="s">
        <v>3199</v>
      </c>
      <c r="CN50" s="490"/>
      <c r="CO50" s="490"/>
      <c r="CP50" s="490"/>
      <c r="CQ50" s="490"/>
      <c r="CR50" s="135" t="s">
        <v>3200</v>
      </c>
      <c r="CS50" s="187"/>
      <c r="CT50" s="491" t="s">
        <v>183</v>
      </c>
      <c r="CU50" s="492" t="s">
        <v>2586</v>
      </c>
      <c r="CV50" s="491" t="s">
        <v>3201</v>
      </c>
      <c r="CW50" s="491" t="s">
        <v>1115</v>
      </c>
      <c r="CX50" s="491" t="s">
        <v>2841</v>
      </c>
      <c r="CY50" s="491" t="s">
        <v>3202</v>
      </c>
      <c r="CZ50" s="491" t="s">
        <v>3203</v>
      </c>
      <c r="DA50" s="491" t="s">
        <v>2444</v>
      </c>
      <c r="DB50" s="140" t="s">
        <v>927</v>
      </c>
      <c r="DC50" s="140" t="s">
        <v>3204</v>
      </c>
      <c r="DD50" s="493"/>
      <c r="DE50" s="140" t="s">
        <v>3205</v>
      </c>
      <c r="DF50" s="494"/>
      <c r="DG50" s="495" t="s">
        <v>258</v>
      </c>
      <c r="DH50" s="496"/>
      <c r="DI50" s="496"/>
      <c r="DJ50" s="496"/>
      <c r="DK50" s="495" t="s">
        <v>528</v>
      </c>
      <c r="DL50" s="145" t="s">
        <v>3206</v>
      </c>
      <c r="DM50" s="145" t="s">
        <v>3207</v>
      </c>
      <c r="DN50" s="496"/>
      <c r="DO50" s="496"/>
      <c r="DP50" s="497" t="s">
        <v>3208</v>
      </c>
      <c r="DQ50" s="145" t="s">
        <v>3209</v>
      </c>
      <c r="DR50" s="145" t="s">
        <v>3210</v>
      </c>
      <c r="DS50" s="145" t="s">
        <v>1982</v>
      </c>
      <c r="DT50" s="496"/>
      <c r="DU50" s="145" t="s">
        <v>1625</v>
      </c>
      <c r="DV50" s="496"/>
      <c r="DW50" s="496"/>
      <c r="DX50" s="496"/>
      <c r="DY50" s="497" t="s">
        <v>3211</v>
      </c>
      <c r="DZ50" s="145" t="s">
        <v>2452</v>
      </c>
      <c r="EA50" s="145" t="s">
        <v>1124</v>
      </c>
      <c r="EB50" s="145" t="s">
        <v>215</v>
      </c>
    </row>
    <row r="51">
      <c r="A51" s="498" t="s">
        <v>3212</v>
      </c>
      <c r="B51" s="82" t="s">
        <v>3213</v>
      </c>
      <c r="C51" s="83" t="s">
        <v>1418</v>
      </c>
      <c r="D51" s="84" t="s">
        <v>1418</v>
      </c>
      <c r="E51" s="85" t="s">
        <v>545</v>
      </c>
      <c r="F51" s="86" t="s">
        <v>987</v>
      </c>
      <c r="G51" s="82" t="s">
        <v>3214</v>
      </c>
      <c r="H51" s="93" t="s">
        <v>3215</v>
      </c>
      <c r="I51" s="93" t="s">
        <v>3216</v>
      </c>
      <c r="J51" s="93" t="s">
        <v>1662</v>
      </c>
      <c r="K51" s="93" t="s">
        <v>1810</v>
      </c>
      <c r="L51" s="93" t="s">
        <v>3217</v>
      </c>
      <c r="M51" s="93" t="s">
        <v>3218</v>
      </c>
      <c r="N51" s="93" t="s">
        <v>3219</v>
      </c>
      <c r="O51" s="209" t="s">
        <v>558</v>
      </c>
      <c r="P51" s="93" t="s">
        <v>3220</v>
      </c>
      <c r="Q51" s="93" t="s">
        <v>3221</v>
      </c>
      <c r="R51" s="88" t="s">
        <v>1730</v>
      </c>
      <c r="S51" s="97" t="str">
        <f>HYPERLINK("https://www.youtube.com/watch?v=LyUwSuOy_jk","39.79")</f>
        <v>39.79</v>
      </c>
      <c r="T51" s="93" t="s">
        <v>3222</v>
      </c>
      <c r="U51" s="93" t="s">
        <v>2951</v>
      </c>
      <c r="V51" s="93" t="s">
        <v>3223</v>
      </c>
      <c r="W51" s="92"/>
      <c r="X51" s="93" t="s">
        <v>3224</v>
      </c>
      <c r="Y51" s="93" t="s">
        <v>3225</v>
      </c>
      <c r="Z51" s="93" t="s">
        <v>2273</v>
      </c>
      <c r="AA51" s="93" t="s">
        <v>2741</v>
      </c>
      <c r="AB51" s="93" t="s">
        <v>1822</v>
      </c>
      <c r="AC51" s="93" t="s">
        <v>569</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859</v>
      </c>
      <c r="AR51" s="93" t="s">
        <v>3236</v>
      </c>
      <c r="AS51" s="93" t="s">
        <v>3237</v>
      </c>
      <c r="AT51" s="209" t="s">
        <v>3031</v>
      </c>
      <c r="AU51" s="93" t="s">
        <v>2115</v>
      </c>
      <c r="AV51" s="93" t="s">
        <v>1181</v>
      </c>
      <c r="AW51" s="93" t="s">
        <v>854</v>
      </c>
      <c r="AX51" s="93" t="s">
        <v>2765</v>
      </c>
      <c r="AY51" s="93" t="s">
        <v>3238</v>
      </c>
      <c r="AZ51" s="98"/>
      <c r="BA51" s="93" t="s">
        <v>3239</v>
      </c>
      <c r="BB51" s="93" t="s">
        <v>1161</v>
      </c>
      <c r="BC51" s="93" t="s">
        <v>1016</v>
      </c>
      <c r="BD51" s="93" t="s">
        <v>3240</v>
      </c>
      <c r="BE51" s="93" t="s">
        <v>3241</v>
      </c>
      <c r="BF51" s="93" t="s">
        <v>3242</v>
      </c>
      <c r="BG51" s="93" t="s">
        <v>866</v>
      </c>
      <c r="BH51" s="93" t="s">
        <v>1177</v>
      </c>
      <c r="BI51" s="98"/>
      <c r="BJ51" s="93" t="s">
        <v>3243</v>
      </c>
      <c r="BK51" s="93" t="s">
        <v>3244</v>
      </c>
      <c r="BL51" s="98"/>
      <c r="BM51" s="98"/>
      <c r="BN51" s="98"/>
      <c r="BO51" s="98"/>
      <c r="BP51" s="261"/>
      <c r="BQ51" s="93" t="s">
        <v>3245</v>
      </c>
      <c r="BR51" s="93" t="s">
        <v>3246</v>
      </c>
      <c r="BS51" s="93" t="s">
        <v>3247</v>
      </c>
      <c r="BT51" s="93" t="s">
        <v>3248</v>
      </c>
      <c r="BU51" s="93" t="s">
        <v>3249</v>
      </c>
      <c r="BV51" s="93" t="s">
        <v>981</v>
      </c>
      <c r="BW51" s="93" t="s">
        <v>3250</v>
      </c>
      <c r="BX51" s="93" t="s">
        <v>3251</v>
      </c>
      <c r="BY51" s="93" t="s">
        <v>3252</v>
      </c>
      <c r="BZ51" s="93" t="s">
        <v>1678</v>
      </c>
      <c r="CA51" s="98"/>
      <c r="CB51" s="98"/>
      <c r="CC51" s="97" t="str">
        <f>HYPERLINK("https://youtu.be/toUWVFNC1VQ","44.39")</f>
        <v>44.39</v>
      </c>
      <c r="CD51" s="98"/>
      <c r="CE51" s="261"/>
      <c r="CF51" s="93" t="s">
        <v>3253</v>
      </c>
      <c r="CG51" s="209" t="s">
        <v>3254</v>
      </c>
      <c r="CH51" s="93" t="s">
        <v>3255</v>
      </c>
      <c r="CI51" s="93" t="s">
        <v>3256</v>
      </c>
      <c r="CJ51" s="93" t="s">
        <v>3140</v>
      </c>
      <c r="CK51" s="93" t="s">
        <v>3257</v>
      </c>
      <c r="CL51" s="93" t="s">
        <v>3258</v>
      </c>
      <c r="CM51" s="93" t="s">
        <v>3259</v>
      </c>
      <c r="CN51" s="98"/>
      <c r="CO51" s="98"/>
      <c r="CP51" s="98"/>
      <c r="CQ51" s="98"/>
      <c r="CR51" s="98"/>
      <c r="CS51" s="92"/>
      <c r="CT51" s="93" t="s">
        <v>3260</v>
      </c>
      <c r="CU51" s="93" t="s">
        <v>3261</v>
      </c>
      <c r="CV51" s="209" t="s">
        <v>1194</v>
      </c>
      <c r="CW51" s="93" t="s">
        <v>3262</v>
      </c>
      <c r="CX51" s="93" t="s">
        <v>3263</v>
      </c>
      <c r="CY51" s="93" t="s">
        <v>2329</v>
      </c>
      <c r="CZ51" s="209" t="s">
        <v>2206</v>
      </c>
      <c r="DA51" s="93" t="s">
        <v>3264</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3265</v>
      </c>
      <c r="B52" s="103" t="s">
        <v>3266</v>
      </c>
      <c r="C52" s="104" t="s">
        <v>1418</v>
      </c>
      <c r="D52" s="105" t="s">
        <v>1418</v>
      </c>
      <c r="E52" s="106" t="s">
        <v>1418</v>
      </c>
      <c r="F52" s="107" t="s">
        <v>3267</v>
      </c>
      <c r="G52" s="103" t="s">
        <v>3268</v>
      </c>
      <c r="H52" s="112" t="s">
        <v>3269</v>
      </c>
      <c r="I52" s="383" t="s">
        <v>2294</v>
      </c>
      <c r="J52" s="112" t="s">
        <v>996</v>
      </c>
      <c r="K52" s="290" t="s">
        <v>3270</v>
      </c>
      <c r="L52" s="290" t="s">
        <v>2522</v>
      </c>
      <c r="M52" s="112" t="s">
        <v>3271</v>
      </c>
      <c r="N52" s="500" t="s">
        <v>3272</v>
      </c>
      <c r="O52" s="290" t="s">
        <v>3273</v>
      </c>
      <c r="P52" s="112" t="s">
        <v>2828</v>
      </c>
      <c r="Q52" s="112" t="s">
        <v>3274</v>
      </c>
      <c r="R52" s="222"/>
      <c r="S52" s="166" t="s">
        <v>3275</v>
      </c>
      <c r="T52" s="222"/>
      <c r="U52" s="290" t="s">
        <v>1220</v>
      </c>
      <c r="V52" s="290" t="s">
        <v>3276</v>
      </c>
      <c r="W52" s="92"/>
      <c r="X52" s="116" t="s">
        <v>1614</v>
      </c>
      <c r="Y52" s="116" t="s">
        <v>3277</v>
      </c>
      <c r="Z52" s="370" t="s">
        <v>405</v>
      </c>
      <c r="AA52" s="116" t="s">
        <v>3278</v>
      </c>
      <c r="AB52" s="116" t="s">
        <v>426</v>
      </c>
      <c r="AC52" s="116" t="s">
        <v>3279</v>
      </c>
      <c r="AD52" s="270"/>
      <c r="AE52" s="116" t="s">
        <v>3280</v>
      </c>
      <c r="AF52" s="116" t="s">
        <v>2471</v>
      </c>
      <c r="AG52" s="270"/>
      <c r="AH52" s="270"/>
      <c r="AI52" s="116" t="s">
        <v>2918</v>
      </c>
      <c r="AJ52" s="197" t="s">
        <v>3281</v>
      </c>
      <c r="AK52" s="96"/>
      <c r="AL52" s="306" t="s">
        <v>1447</v>
      </c>
      <c r="AM52" s="121" t="s">
        <v>2555</v>
      </c>
      <c r="AN52" s="121" t="s">
        <v>3282</v>
      </c>
      <c r="AO52" s="121" t="s">
        <v>3283</v>
      </c>
      <c r="AP52" s="167" t="s">
        <v>3284</v>
      </c>
      <c r="AQ52" s="167" t="s">
        <v>518</v>
      </c>
      <c r="AR52" s="167" t="s">
        <v>3285</v>
      </c>
      <c r="AS52" s="271"/>
      <c r="AT52" s="121" t="s">
        <v>3286</v>
      </c>
      <c r="AU52" s="306" t="s">
        <v>2393</v>
      </c>
      <c r="AV52" s="306" t="s">
        <v>2914</v>
      </c>
      <c r="AW52" s="271"/>
      <c r="AX52" s="121" t="s">
        <v>1399</v>
      </c>
      <c r="AY52" s="121" t="s">
        <v>3287</v>
      </c>
      <c r="AZ52" s="271"/>
      <c r="BA52" s="501" t="s">
        <v>2410</v>
      </c>
      <c r="BB52" s="127" t="s">
        <v>2645</v>
      </c>
      <c r="BC52" s="501" t="s">
        <v>3288</v>
      </c>
      <c r="BD52" s="501" t="s">
        <v>3289</v>
      </c>
      <c r="BE52" s="127" t="s">
        <v>145</v>
      </c>
      <c r="BF52" s="501" t="s">
        <v>3290</v>
      </c>
      <c r="BG52" s="172"/>
      <c r="BH52" s="501" t="s">
        <v>3002</v>
      </c>
      <c r="BI52" s="127" t="s">
        <v>274</v>
      </c>
      <c r="BJ52" s="501"/>
      <c r="BK52" s="127" t="s">
        <v>2894</v>
      </c>
      <c r="BL52" s="173" t="s">
        <v>3291</v>
      </c>
      <c r="BM52" s="173" t="s">
        <v>2125</v>
      </c>
      <c r="BN52" s="501" t="s">
        <v>1842</v>
      </c>
      <c r="BO52" s="127" t="s">
        <v>3292</v>
      </c>
      <c r="BP52" s="273"/>
      <c r="BQ52" s="132" t="s">
        <v>3081</v>
      </c>
      <c r="BR52" s="132" t="s">
        <v>3293</v>
      </c>
      <c r="BS52" s="132" t="s">
        <v>3294</v>
      </c>
      <c r="BT52" s="130" t="s">
        <v>380</v>
      </c>
      <c r="BU52" s="132" t="s">
        <v>2841</v>
      </c>
      <c r="BV52" s="130" t="s">
        <v>3295</v>
      </c>
      <c r="BW52" s="130" t="s">
        <v>3296</v>
      </c>
      <c r="BX52" s="130" t="s">
        <v>3297</v>
      </c>
      <c r="BY52" s="132"/>
      <c r="BZ52" s="130" t="s">
        <v>1709</v>
      </c>
      <c r="CA52" s="130" t="s">
        <v>3298</v>
      </c>
      <c r="CB52" s="130" t="s">
        <v>3299</v>
      </c>
      <c r="CC52" s="130" t="s">
        <v>3300</v>
      </c>
      <c r="CD52" s="174" t="s">
        <v>3301</v>
      </c>
      <c r="CE52" s="277"/>
      <c r="CF52" s="135" t="s">
        <v>3302</v>
      </c>
      <c r="CG52" s="323" t="s">
        <v>733</v>
      </c>
      <c r="CH52" s="135" t="s">
        <v>3303</v>
      </c>
      <c r="CI52" s="135" t="s">
        <v>3304</v>
      </c>
      <c r="CJ52" s="136" t="s">
        <v>116</v>
      </c>
      <c r="CK52" s="136" t="s">
        <v>3305</v>
      </c>
      <c r="CL52" s="135" t="s">
        <v>3306</v>
      </c>
      <c r="CM52" s="135" t="s">
        <v>3259</v>
      </c>
      <c r="CN52" s="323" t="s">
        <v>3307</v>
      </c>
      <c r="CO52" s="176" t="s">
        <v>649</v>
      </c>
      <c r="CP52" s="279"/>
      <c r="CQ52" s="135" t="s">
        <v>3308</v>
      </c>
      <c r="CR52" s="135" t="s">
        <v>3309</v>
      </c>
      <c r="CS52" s="92"/>
      <c r="CT52" s="314" t="s">
        <v>3310</v>
      </c>
      <c r="CU52" s="314" t="s">
        <v>3311</v>
      </c>
      <c r="CV52" s="372" t="s">
        <v>3312</v>
      </c>
      <c r="CW52" s="140" t="s">
        <v>3313</v>
      </c>
      <c r="CX52" s="314" t="s">
        <v>3314</v>
      </c>
      <c r="CY52" s="372" t="s">
        <v>937</v>
      </c>
      <c r="CZ52" s="140" t="s">
        <v>2443</v>
      </c>
      <c r="DA52" s="140" t="s">
        <v>2681</v>
      </c>
      <c r="DB52" s="205" t="s">
        <v>3315</v>
      </c>
      <c r="DC52" s="205" t="s">
        <v>1042</v>
      </c>
      <c r="DD52" s="205" t="s">
        <v>3316</v>
      </c>
      <c r="DE52" s="205" t="s">
        <v>3317</v>
      </c>
      <c r="DF52" s="281"/>
      <c r="DG52" s="207" t="s">
        <v>3318</v>
      </c>
      <c r="DH52" s="282"/>
      <c r="DI52" s="282"/>
      <c r="DJ52" s="207"/>
      <c r="DK52" s="207" t="s">
        <v>1993</v>
      </c>
      <c r="DL52" s="207" t="s">
        <v>3319</v>
      </c>
      <c r="DM52" s="206" t="s">
        <v>3320</v>
      </c>
      <c r="DN52" s="206" t="s">
        <v>3321</v>
      </c>
      <c r="DO52" s="282"/>
      <c r="DP52" s="145" t="s">
        <v>3322</v>
      </c>
      <c r="DQ52" s="207" t="s">
        <v>3323</v>
      </c>
      <c r="DR52" s="206" t="s">
        <v>3324</v>
      </c>
      <c r="DS52" s="464" t="s">
        <v>1273</v>
      </c>
      <c r="DT52" s="145" t="s">
        <v>3325</v>
      </c>
      <c r="DU52" s="206" t="s">
        <v>2754</v>
      </c>
      <c r="DV52" s="206" t="s">
        <v>2450</v>
      </c>
      <c r="DW52" s="206" t="s">
        <v>3326</v>
      </c>
      <c r="DX52" s="206" t="s">
        <v>3327</v>
      </c>
      <c r="DY52" s="145" t="s">
        <v>3328</v>
      </c>
      <c r="DZ52" s="206" t="s">
        <v>1192</v>
      </c>
      <c r="EA52" s="145" t="s">
        <v>1495</v>
      </c>
      <c r="EB52" s="316" t="s">
        <v>3329</v>
      </c>
    </row>
    <row r="53">
      <c r="A53" s="317" t="s">
        <v>3330</v>
      </c>
      <c r="B53" s="82" t="s">
        <v>3331</v>
      </c>
      <c r="C53" s="83" t="s">
        <v>545</v>
      </c>
      <c r="D53" s="84" t="s">
        <v>545</v>
      </c>
      <c r="E53" s="85" t="s">
        <v>545</v>
      </c>
      <c r="F53" s="86" t="s">
        <v>3332</v>
      </c>
      <c r="G53" s="82" t="s">
        <v>2370</v>
      </c>
      <c r="H53" s="88" t="s">
        <v>493</v>
      </c>
      <c r="I53" s="88" t="s">
        <v>3333</v>
      </c>
      <c r="J53" s="88" t="s">
        <v>3334</v>
      </c>
      <c r="K53" s="97" t="s">
        <v>2103</v>
      </c>
      <c r="L53" s="209" t="s">
        <v>103</v>
      </c>
      <c r="M53" s="98"/>
      <c r="N53" s="295" t="s">
        <v>3335</v>
      </c>
      <c r="O53" s="209" t="s">
        <v>3336</v>
      </c>
      <c r="P53" s="88" t="s">
        <v>555</v>
      </c>
      <c r="Q53" s="93" t="s">
        <v>3337</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1433</v>
      </c>
      <c r="AG53" s="98"/>
      <c r="AH53" s="98"/>
      <c r="AI53" s="98"/>
      <c r="AJ53" s="98"/>
      <c r="AK53" s="96"/>
      <c r="AL53" s="98"/>
      <c r="AM53" s="89" t="s">
        <v>249</v>
      </c>
      <c r="AN53" s="98"/>
      <c r="AO53" s="98"/>
      <c r="AP53" s="98"/>
      <c r="AQ53" s="98"/>
      <c r="AR53" s="98"/>
      <c r="AS53" s="98"/>
      <c r="AT53" s="98"/>
      <c r="AU53" s="93" t="s">
        <v>3341</v>
      </c>
      <c r="AV53" s="98"/>
      <c r="AW53" s="97" t="str">
        <f>HYPERLINK("https://youtu.be/6Ivs7QCASPU","42.96")</f>
        <v>42.96</v>
      </c>
      <c r="AX53" s="98"/>
      <c r="AY53" s="98"/>
      <c r="AZ53" s="98"/>
      <c r="BA53" s="93" t="s">
        <v>742</v>
      </c>
      <c r="BB53" s="93" t="s">
        <v>3342</v>
      </c>
      <c r="BC53" s="93" t="s">
        <v>1356</v>
      </c>
      <c r="BD53" s="285" t="s">
        <v>947</v>
      </c>
      <c r="BE53" s="87" t="s">
        <v>3343</v>
      </c>
      <c r="BF53" s="98"/>
      <c r="BG53" s="98"/>
      <c r="BH53" s="93" t="s">
        <v>2094</v>
      </c>
      <c r="BI53" s="98"/>
      <c r="BJ53" s="295" t="s">
        <v>2986</v>
      </c>
      <c r="BK53" s="97" t="str">
        <f>HYPERLINK("https://www.twitch.tv/kaffelon/clip/WittyHonestRaccoonSmoocherZ?filter=clips&amp;range=all&amp;sort=time","12.53")</f>
        <v>12.53</v>
      </c>
      <c r="BL53" s="98"/>
      <c r="BM53" s="98"/>
      <c r="BN53" s="98"/>
      <c r="BO53" s="98"/>
      <c r="BP53" s="261"/>
      <c r="BQ53" s="93"/>
      <c r="BR53" s="285" t="s">
        <v>3344</v>
      </c>
      <c r="BS53" s="93" t="s">
        <v>2185</v>
      </c>
      <c r="BT53" s="93" t="s">
        <v>3345</v>
      </c>
      <c r="BU53" s="93" t="s">
        <v>3346</v>
      </c>
      <c r="BV53" s="93" t="s">
        <v>2863</v>
      </c>
      <c r="BW53" s="98"/>
      <c r="BX53" s="98"/>
      <c r="BY53" s="93" t="s">
        <v>3347</v>
      </c>
      <c r="BZ53" s="93" t="s">
        <v>3348</v>
      </c>
      <c r="CA53" s="97" t="str">
        <f>HYPERLINK("https://www.youtube.com/watch?v=PyA-SZuIcJQ","4:26.17")</f>
        <v>4:26.17</v>
      </c>
      <c r="CB53" s="98"/>
      <c r="CC53" s="98"/>
      <c r="CD53" s="98"/>
      <c r="CE53" s="261"/>
      <c r="CF53" s="88" t="s">
        <v>170</v>
      </c>
      <c r="CG53" s="93" t="s">
        <v>1084</v>
      </c>
      <c r="CH53" s="209" t="s">
        <v>3349</v>
      </c>
      <c r="CI53" s="93" t="s">
        <v>3350</v>
      </c>
      <c r="CJ53" s="93"/>
      <c r="CK53" s="93" t="s">
        <v>3351</v>
      </c>
      <c r="CL53" s="93" t="s">
        <v>2329</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3353</v>
      </c>
      <c r="DQ53" s="93"/>
      <c r="DR53" s="98"/>
      <c r="DS53" s="98"/>
      <c r="DT53" s="98"/>
      <c r="DU53" s="98"/>
      <c r="DV53" s="98"/>
      <c r="DW53" s="98"/>
      <c r="DX53" s="93"/>
      <c r="DY53" s="98"/>
      <c r="DZ53" s="98"/>
      <c r="EA53" s="98"/>
      <c r="EB53" s="285"/>
    </row>
    <row r="54">
      <c r="A54" s="502" t="s">
        <v>3354</v>
      </c>
      <c r="B54" s="103" t="s">
        <v>3355</v>
      </c>
      <c r="C54" s="104" t="s">
        <v>1418</v>
      </c>
      <c r="D54" s="105" t="s">
        <v>1418</v>
      </c>
      <c r="E54" s="106" t="s">
        <v>1418</v>
      </c>
      <c r="F54" s="107" t="s">
        <v>1806</v>
      </c>
      <c r="G54" s="103" t="s">
        <v>2820</v>
      </c>
      <c r="H54" s="112" t="s">
        <v>2569</v>
      </c>
      <c r="I54" s="112" t="s">
        <v>3356</v>
      </c>
      <c r="J54" s="166" t="s">
        <v>3357</v>
      </c>
      <c r="K54" s="166" t="s">
        <v>3358</v>
      </c>
      <c r="L54" s="503" t="str">
        <f>hyperlink("https://www.twitch.tv/videos/642998947","44.64")</f>
        <v>44.64</v>
      </c>
      <c r="M54" s="112" t="s">
        <v>3359</v>
      </c>
      <c r="N54" s="503" t="str">
        <f>hyperlink("https://www.twitch.tv/videos/642995088","1:11.81")</f>
        <v>1:11.81</v>
      </c>
      <c r="O54" s="112" t="s">
        <v>1753</v>
      </c>
      <c r="P54" s="166" t="s">
        <v>1564</v>
      </c>
      <c r="Q54" s="166" t="s">
        <v>3360</v>
      </c>
      <c r="R54" s="222"/>
      <c r="S54" s="166" t="s">
        <v>2155</v>
      </c>
      <c r="T54" s="166" t="s">
        <v>2473</v>
      </c>
      <c r="U54" s="166" t="s">
        <v>2343</v>
      </c>
      <c r="V54" s="166" t="s">
        <v>3361</v>
      </c>
      <c r="W54" s="92"/>
      <c r="X54" s="197" t="s">
        <v>2385</v>
      </c>
      <c r="Y54" s="197" t="s">
        <v>3277</v>
      </c>
      <c r="Z54" s="197" t="s">
        <v>245</v>
      </c>
      <c r="AA54" s="115" t="s">
        <v>3362</v>
      </c>
      <c r="AB54" s="197" t="s">
        <v>3363</v>
      </c>
      <c r="AC54" s="197" t="s">
        <v>3195</v>
      </c>
      <c r="AD54" s="116" t="s">
        <v>3364</v>
      </c>
      <c r="AE54" s="116" t="s">
        <v>810</v>
      </c>
      <c r="AF54" s="197" t="s">
        <v>567</v>
      </c>
      <c r="AG54" s="270"/>
      <c r="AH54" s="270"/>
      <c r="AI54" s="270"/>
      <c r="AJ54" s="197" t="s">
        <v>3365</v>
      </c>
      <c r="AK54" s="96"/>
      <c r="AL54" s="121" t="s">
        <v>3366</v>
      </c>
      <c r="AM54" s="121" t="s">
        <v>3367</v>
      </c>
      <c r="AN54" s="271"/>
      <c r="AO54" s="271"/>
      <c r="AP54" s="121" t="s">
        <v>3368</v>
      </c>
      <c r="AQ54" s="121" t="s">
        <v>3369</v>
      </c>
      <c r="AR54" s="271"/>
      <c r="AS54" s="167" t="s">
        <v>3370</v>
      </c>
      <c r="AT54" s="167" t="s">
        <v>2555</v>
      </c>
      <c r="AU54" s="121" t="s">
        <v>1016</v>
      </c>
      <c r="AV54" s="271"/>
      <c r="AW54" s="271"/>
      <c r="AX54" s="199" t="s">
        <v>3049</v>
      </c>
      <c r="AY54" s="271"/>
      <c r="AZ54" s="271"/>
      <c r="BA54" s="173" t="s">
        <v>3371</v>
      </c>
      <c r="BB54" s="173" t="s">
        <v>1161</v>
      </c>
      <c r="BC54" s="173" t="s">
        <v>2318</v>
      </c>
      <c r="BD54" s="127" t="s">
        <v>1372</v>
      </c>
      <c r="BE54" s="173" t="s">
        <v>3372</v>
      </c>
      <c r="BF54" s="172"/>
      <c r="BG54" s="172"/>
      <c r="BH54" s="173" t="s">
        <v>263</v>
      </c>
      <c r="BI54" s="172"/>
      <c r="BJ54" s="173" t="s">
        <v>3373</v>
      </c>
      <c r="BK54" s="329" t="s">
        <v>614</v>
      </c>
      <c r="BL54" s="172"/>
      <c r="BM54" s="172"/>
      <c r="BN54" s="172"/>
      <c r="BO54" s="172"/>
      <c r="BP54" s="273"/>
      <c r="BQ54" s="174" t="s">
        <v>783</v>
      </c>
      <c r="BR54" s="174" t="s">
        <v>3374</v>
      </c>
      <c r="BS54" s="174" t="s">
        <v>3375</v>
      </c>
      <c r="BT54" s="308" t="s">
        <v>904</v>
      </c>
      <c r="BU54" s="174" t="s">
        <v>3376</v>
      </c>
      <c r="BV54" s="130" t="s">
        <v>2214</v>
      </c>
      <c r="BW54" s="276"/>
      <c r="BX54" s="276"/>
      <c r="BY54" s="174" t="s">
        <v>3377</v>
      </c>
      <c r="BZ54" s="174" t="s">
        <v>3378</v>
      </c>
      <c r="CA54" s="174" t="s">
        <v>3379</v>
      </c>
      <c r="CB54" s="174" t="s">
        <v>3380</v>
      </c>
      <c r="CC54" s="130" t="s">
        <v>1543</v>
      </c>
      <c r="CD54" s="174" t="s">
        <v>3381</v>
      </c>
      <c r="CE54" s="174"/>
      <c r="CF54" s="323" t="s">
        <v>2911</v>
      </c>
      <c r="CG54" s="504" t="str">
        <f>hyperlink("https://twitter.com/Reborn_Frog/status/1364932529577357313","28.55")</f>
        <v>28.55</v>
      </c>
      <c r="CH54" s="176" t="s">
        <v>3382</v>
      </c>
      <c r="CI54" s="176" t="s">
        <v>3383</v>
      </c>
      <c r="CJ54" s="176"/>
      <c r="CK54" s="310" t="s">
        <v>3384</v>
      </c>
      <c r="CL54" s="176" t="s">
        <v>3312</v>
      </c>
      <c r="CM54" s="176" t="s">
        <v>2998</v>
      </c>
      <c r="CN54" s="279"/>
      <c r="CO54" s="279"/>
      <c r="CP54" s="279"/>
      <c r="CQ54" s="176" t="s">
        <v>3054</v>
      </c>
      <c r="CR54" s="279"/>
      <c r="CS54" s="92"/>
      <c r="CT54" s="140" t="s">
        <v>2966</v>
      </c>
      <c r="CU54" s="205" t="s">
        <v>2247</v>
      </c>
      <c r="CV54" s="140" t="s">
        <v>3385</v>
      </c>
      <c r="CW54" s="140" t="s">
        <v>3386</v>
      </c>
      <c r="CX54" s="280"/>
      <c r="CY54" s="280"/>
      <c r="CZ54" s="140" t="s">
        <v>3387</v>
      </c>
      <c r="DA54" s="205" t="s">
        <v>3232</v>
      </c>
      <c r="DB54" s="280"/>
      <c r="DC54" s="280"/>
      <c r="DD54" s="280"/>
      <c r="DE54" s="388" t="s">
        <v>2880</v>
      </c>
      <c r="DF54" s="388"/>
      <c r="DG54" s="282"/>
      <c r="DH54" s="282"/>
      <c r="DI54" s="282"/>
      <c r="DJ54" s="207"/>
      <c r="DK54" s="287"/>
      <c r="DL54" s="145" t="s">
        <v>200</v>
      </c>
      <c r="DM54" s="282"/>
      <c r="DN54" s="282"/>
      <c r="DO54" s="282"/>
      <c r="DP54" s="464" t="s">
        <v>3388</v>
      </c>
      <c r="DQ54" s="505" t="str">
        <f>hyperlink("https://www.twitch.tv/videos/777078690","31.58")</f>
        <v>31.58</v>
      </c>
      <c r="DR54" s="282"/>
      <c r="DS54" s="282"/>
      <c r="DT54" s="282"/>
      <c r="DU54" s="282"/>
      <c r="DV54" s="282"/>
      <c r="DW54" s="282"/>
      <c r="DX54" s="282"/>
      <c r="DY54" s="282"/>
      <c r="DZ54" s="282"/>
      <c r="EA54" s="282"/>
      <c r="EB54" s="316"/>
    </row>
    <row r="55">
      <c r="A55" s="506" t="s">
        <v>3389</v>
      </c>
      <c r="B55" s="82" t="s">
        <v>3390</v>
      </c>
      <c r="C55" s="83" t="s">
        <v>1418</v>
      </c>
      <c r="D55" s="84" t="s">
        <v>1418</v>
      </c>
      <c r="E55" s="85" t="s">
        <v>1418</v>
      </c>
      <c r="F55" s="86" t="s">
        <v>1201</v>
      </c>
      <c r="G55" s="82" t="s">
        <v>3214</v>
      </c>
      <c r="H55" s="101" t="s">
        <v>3391</v>
      </c>
      <c r="I55" s="94" t="s">
        <v>2061</v>
      </c>
      <c r="J55" s="101" t="s">
        <v>3392</v>
      </c>
      <c r="K55" s="101" t="s">
        <v>1810</v>
      </c>
      <c r="L55" s="88" t="s">
        <v>2697</v>
      </c>
      <c r="M55" s="101" t="s">
        <v>3393</v>
      </c>
      <c r="N55" s="101" t="s">
        <v>3394</v>
      </c>
      <c r="O55" s="101" t="s">
        <v>3395</v>
      </c>
      <c r="P55" s="101" t="s">
        <v>2828</v>
      </c>
      <c r="Q55" s="93" t="s">
        <v>3396</v>
      </c>
      <c r="R55" s="98"/>
      <c r="S55" s="93" t="s">
        <v>922</v>
      </c>
      <c r="T55" s="98"/>
      <c r="U55" s="93" t="s">
        <v>1904</v>
      </c>
      <c r="V55" s="93" t="s">
        <v>3397</v>
      </c>
      <c r="W55" s="92"/>
      <c r="X55" s="101" t="s">
        <v>1223</v>
      </c>
      <c r="Y55" s="101" t="s">
        <v>3398</v>
      </c>
      <c r="Z55" s="101" t="s">
        <v>2710</v>
      </c>
      <c r="AA55" s="88" t="s">
        <v>3119</v>
      </c>
      <c r="AB55" s="101" t="s">
        <v>1606</v>
      </c>
      <c r="AC55" s="101" t="s">
        <v>3399</v>
      </c>
      <c r="AD55" s="98"/>
      <c r="AE55" s="101" t="s">
        <v>3400</v>
      </c>
      <c r="AF55" s="101" t="s">
        <v>1993</v>
      </c>
      <c r="AG55" s="93" t="s">
        <v>3401</v>
      </c>
      <c r="AH55" s="98"/>
      <c r="AI55" s="101" t="s">
        <v>3402</v>
      </c>
      <c r="AJ55" s="93" t="s">
        <v>3403</v>
      </c>
      <c r="AK55" s="96"/>
      <c r="AL55" s="101" t="s">
        <v>3026</v>
      </c>
      <c r="AM55" s="101" t="s">
        <v>1655</v>
      </c>
      <c r="AN55" s="93" t="s">
        <v>3404</v>
      </c>
      <c r="AO55" s="98"/>
      <c r="AP55" s="93"/>
      <c r="AQ55" s="93" t="s">
        <v>3405</v>
      </c>
      <c r="AR55" s="98"/>
      <c r="AS55" s="98"/>
      <c r="AT55" s="101" t="s">
        <v>3406</v>
      </c>
      <c r="AU55" s="101" t="s">
        <v>963</v>
      </c>
      <c r="AV55" s="101" t="s">
        <v>1549</v>
      </c>
      <c r="AW55" s="98"/>
      <c r="AX55" s="93" t="s">
        <v>1206</v>
      </c>
      <c r="AY55" s="93" t="s">
        <v>3407</v>
      </c>
      <c r="AZ55" s="98"/>
      <c r="BA55" s="101" t="s">
        <v>291</v>
      </c>
      <c r="BB55" s="101" t="s">
        <v>3408</v>
      </c>
      <c r="BC55" s="101" t="s">
        <v>3037</v>
      </c>
      <c r="BD55" s="101" t="s">
        <v>855</v>
      </c>
      <c r="BE55" s="101" t="s">
        <v>3409</v>
      </c>
      <c r="BF55" s="101" t="s">
        <v>3260</v>
      </c>
      <c r="BG55" s="98"/>
      <c r="BH55" s="101" t="s">
        <v>963</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07" t="s">
        <v>3424</v>
      </c>
      <c r="CE55" s="261"/>
      <c r="CF55" s="101" t="s">
        <v>3425</v>
      </c>
      <c r="CG55" s="101" t="s">
        <v>512</v>
      </c>
      <c r="CH55" s="101" t="s">
        <v>2597</v>
      </c>
      <c r="CI55" s="88" t="s">
        <v>3426</v>
      </c>
      <c r="CJ55" s="209" t="s">
        <v>3261</v>
      </c>
      <c r="CK55" s="101" t="s">
        <v>3427</v>
      </c>
      <c r="CL55" s="101" t="s">
        <v>3428</v>
      </c>
      <c r="CM55" s="101" t="s">
        <v>3429</v>
      </c>
      <c r="CN55" s="260"/>
      <c r="CO55" s="98"/>
      <c r="CP55" s="98"/>
      <c r="CQ55" s="98"/>
      <c r="CR55" s="93" t="s">
        <v>3430</v>
      </c>
      <c r="CS55" s="92"/>
      <c r="CT55" s="101" t="s">
        <v>411</v>
      </c>
      <c r="CU55" s="101" t="s">
        <v>3431</v>
      </c>
      <c r="CV55" s="88" t="s">
        <v>977</v>
      </c>
      <c r="CW55" s="101" t="s">
        <v>3432</v>
      </c>
      <c r="CX55" s="101" t="s">
        <v>3433</v>
      </c>
      <c r="CY55" s="101" t="s">
        <v>3434</v>
      </c>
      <c r="CZ55" s="161" t="s">
        <v>2744</v>
      </c>
      <c r="DA55" s="101" t="s">
        <v>572</v>
      </c>
      <c r="DB55" s="88" t="s">
        <v>1981</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08" t="s">
        <v>3441</v>
      </c>
      <c r="B56" s="103" t="s">
        <v>3442</v>
      </c>
      <c r="C56" s="104" t="s">
        <v>1418</v>
      </c>
      <c r="D56" s="105" t="s">
        <v>545</v>
      </c>
      <c r="E56" s="106" t="s">
        <v>1418</v>
      </c>
      <c r="F56" s="107" t="s">
        <v>219</v>
      </c>
      <c r="G56" s="103" t="s">
        <v>740</v>
      </c>
      <c r="H56" s="166" t="s">
        <v>2769</v>
      </c>
      <c r="I56" s="166" t="s">
        <v>2061</v>
      </c>
      <c r="J56" s="166" t="s">
        <v>448</v>
      </c>
      <c r="K56" s="112" t="s">
        <v>3443</v>
      </c>
      <c r="L56" s="166" t="s">
        <v>3444</v>
      </c>
      <c r="M56" s="166" t="s">
        <v>3445</v>
      </c>
      <c r="N56" s="166" t="s">
        <v>3015</v>
      </c>
      <c r="O56" s="112" t="s">
        <v>2700</v>
      </c>
      <c r="P56" s="112" t="s">
        <v>107</v>
      </c>
      <c r="Q56" s="112" t="s">
        <v>3446</v>
      </c>
      <c r="R56" s="222"/>
      <c r="S56" s="166" t="s">
        <v>3447</v>
      </c>
      <c r="T56" s="222"/>
      <c r="U56" s="112" t="s">
        <v>1665</v>
      </c>
      <c r="V56" s="222"/>
      <c r="W56" s="92"/>
      <c r="X56" s="117" t="s">
        <v>3448</v>
      </c>
      <c r="Y56" s="197" t="s">
        <v>3449</v>
      </c>
      <c r="Z56" s="197" t="s">
        <v>1533</v>
      </c>
      <c r="AA56" s="197" t="s">
        <v>3450</v>
      </c>
      <c r="AB56" s="116" t="s">
        <v>2440</v>
      </c>
      <c r="AC56" s="197" t="s">
        <v>3451</v>
      </c>
      <c r="AD56" s="197" t="s">
        <v>2880</v>
      </c>
      <c r="AE56" s="197" t="s">
        <v>3227</v>
      </c>
      <c r="AF56" s="392" t="s">
        <v>567</v>
      </c>
      <c r="AG56" s="392" t="s">
        <v>2245</v>
      </c>
      <c r="AH56" s="270"/>
      <c r="AI56" s="197" t="s">
        <v>1740</v>
      </c>
      <c r="AJ56" s="270"/>
      <c r="AK56" s="96"/>
      <c r="AL56" s="167" t="s">
        <v>3318</v>
      </c>
      <c r="AM56" s="167" t="s">
        <v>1235</v>
      </c>
      <c r="AN56" s="271"/>
      <c r="AO56" s="271"/>
      <c r="AP56" s="271"/>
      <c r="AQ56" s="167" t="s">
        <v>3452</v>
      </c>
      <c r="AR56" s="167" t="s">
        <v>1698</v>
      </c>
      <c r="AS56" s="271"/>
      <c r="AT56" s="509" t="s">
        <v>3453</v>
      </c>
      <c r="AU56" s="167" t="s">
        <v>3454</v>
      </c>
      <c r="AV56" s="167" t="s">
        <v>3182</v>
      </c>
      <c r="AW56" s="271"/>
      <c r="AX56" s="509" t="s">
        <v>1662</v>
      </c>
      <c r="AY56" s="271"/>
      <c r="AZ56" s="271"/>
      <c r="BA56" s="173" t="s">
        <v>3455</v>
      </c>
      <c r="BB56" s="173" t="s">
        <v>2984</v>
      </c>
      <c r="BC56" s="173" t="s">
        <v>3254</v>
      </c>
      <c r="BD56" s="173" t="s">
        <v>3456</v>
      </c>
      <c r="BE56" s="127" t="s">
        <v>3457</v>
      </c>
      <c r="BF56" s="127" t="s">
        <v>3458</v>
      </c>
      <c r="BG56" s="172"/>
      <c r="BH56" s="173" t="s">
        <v>3459</v>
      </c>
      <c r="BI56" s="172"/>
      <c r="BJ56" s="173" t="s">
        <v>3460</v>
      </c>
      <c r="BK56" s="173" t="s">
        <v>2564</v>
      </c>
      <c r="BL56" s="172"/>
      <c r="BM56" s="173" t="s">
        <v>3461</v>
      </c>
      <c r="BN56" s="173" t="s">
        <v>972</v>
      </c>
      <c r="BO56" s="173" t="s">
        <v>3462</v>
      </c>
      <c r="BP56" s="273"/>
      <c r="BQ56" s="174" t="s">
        <v>3463</v>
      </c>
      <c r="BR56" s="174" t="s">
        <v>1836</v>
      </c>
      <c r="BS56" s="174" t="s">
        <v>918</v>
      </c>
      <c r="BT56" s="174" t="s">
        <v>981</v>
      </c>
      <c r="BU56" s="174" t="s">
        <v>3464</v>
      </c>
      <c r="BV56" s="130" t="s">
        <v>165</v>
      </c>
      <c r="BW56" s="174" t="s">
        <v>3465</v>
      </c>
      <c r="BX56" s="276"/>
      <c r="BY56" s="174" t="s">
        <v>3466</v>
      </c>
      <c r="BZ56" s="510" t="s">
        <v>201</v>
      </c>
      <c r="CA56" s="174" t="s">
        <v>3467</v>
      </c>
      <c r="CB56" s="130" t="s">
        <v>3468</v>
      </c>
      <c r="CC56" s="130" t="s">
        <v>339</v>
      </c>
      <c r="CD56" s="276"/>
      <c r="CE56" s="277"/>
      <c r="CF56" s="176" t="s">
        <v>3469</v>
      </c>
      <c r="CG56" s="176" t="s">
        <v>257</v>
      </c>
      <c r="CH56" s="176" t="s">
        <v>1888</v>
      </c>
      <c r="CI56" s="176" t="s">
        <v>3470</v>
      </c>
      <c r="CJ56" s="176" t="s">
        <v>1391</v>
      </c>
      <c r="CK56" s="176" t="s">
        <v>2911</v>
      </c>
      <c r="CL56" s="176" t="s">
        <v>3471</v>
      </c>
      <c r="CM56" s="176" t="s">
        <v>3472</v>
      </c>
      <c r="CN56" s="279"/>
      <c r="CO56" s="176" t="s">
        <v>3473</v>
      </c>
      <c r="CP56" s="279"/>
      <c r="CQ56" s="176" t="s">
        <v>3474</v>
      </c>
      <c r="CR56" s="279"/>
      <c r="CS56" s="92"/>
      <c r="CT56" s="205" t="s">
        <v>3475</v>
      </c>
      <c r="CU56" s="205" t="s">
        <v>1781</v>
      </c>
      <c r="CV56" s="205" t="s">
        <v>1624</v>
      </c>
      <c r="CW56" s="205" t="s">
        <v>3476</v>
      </c>
      <c r="CX56" s="205" t="s">
        <v>3477</v>
      </c>
      <c r="CY56" s="140" t="s">
        <v>1096</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880</v>
      </c>
      <c r="DY56" s="282"/>
      <c r="DZ56" s="206" t="s">
        <v>3486</v>
      </c>
      <c r="EA56" s="206" t="s">
        <v>685</v>
      </c>
      <c r="EB56" s="143" t="s">
        <v>3487</v>
      </c>
    </row>
    <row r="57">
      <c r="A57" s="511" t="s">
        <v>3488</v>
      </c>
      <c r="B57" s="82" t="s">
        <v>3489</v>
      </c>
      <c r="C57" s="83" t="s">
        <v>545</v>
      </c>
      <c r="D57" s="84" t="s">
        <v>545</v>
      </c>
      <c r="E57" s="85" t="s">
        <v>1418</v>
      </c>
      <c r="F57" s="86" t="s">
        <v>439</v>
      </c>
      <c r="G57" s="82" t="s">
        <v>3490</v>
      </c>
      <c r="H57" s="93" t="s">
        <v>2169</v>
      </c>
      <c r="I57" s="93" t="s">
        <v>1290</v>
      </c>
      <c r="J57" s="93" t="s">
        <v>3491</v>
      </c>
      <c r="K57" s="93" t="s">
        <v>3492</v>
      </c>
      <c r="L57" s="93" t="s">
        <v>463</v>
      </c>
      <c r="M57" s="98"/>
      <c r="N57" s="93" t="s">
        <v>3493</v>
      </c>
      <c r="O57" s="88" t="s">
        <v>3494</v>
      </c>
      <c r="P57" s="93" t="s">
        <v>107</v>
      </c>
      <c r="Q57" s="98"/>
      <c r="R57" s="98"/>
      <c r="S57" s="98"/>
      <c r="T57" s="98"/>
      <c r="U57" s="98"/>
      <c r="V57" s="98"/>
      <c r="W57" s="92"/>
      <c r="X57" s="88" t="s">
        <v>2117</v>
      </c>
      <c r="Y57" s="93" t="s">
        <v>1340</v>
      </c>
      <c r="Z57" s="93" t="s">
        <v>1898</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3037</v>
      </c>
      <c r="AV57" s="98"/>
      <c r="AW57" s="98"/>
      <c r="AX57" s="93" t="s">
        <v>749</v>
      </c>
      <c r="AY57" s="98"/>
      <c r="AZ57" s="98"/>
      <c r="BA57" s="93" t="s">
        <v>3501</v>
      </c>
      <c r="BB57" s="93" t="s">
        <v>3502</v>
      </c>
      <c r="BC57" s="93" t="s">
        <v>3037</v>
      </c>
      <c r="BD57" s="93" t="s">
        <v>3503</v>
      </c>
      <c r="BE57" s="93" t="s">
        <v>3504</v>
      </c>
      <c r="BF57" s="87" t="s">
        <v>2418</v>
      </c>
      <c r="BG57" s="98"/>
      <c r="BH57" s="93" t="s">
        <v>171</v>
      </c>
      <c r="BI57" s="93"/>
      <c r="BJ57" s="93" t="s">
        <v>3505</v>
      </c>
      <c r="BK57" s="93" t="s">
        <v>1913</v>
      </c>
      <c r="BL57" s="98"/>
      <c r="BM57" s="93" t="s">
        <v>339</v>
      </c>
      <c r="BN57" s="93" t="s">
        <v>3506</v>
      </c>
      <c r="BO57" s="98"/>
      <c r="BP57" s="261"/>
      <c r="BQ57" s="93" t="s">
        <v>3507</v>
      </c>
      <c r="BR57" s="93" t="s">
        <v>3508</v>
      </c>
      <c r="BS57" s="93" t="s">
        <v>3196</v>
      </c>
      <c r="BT57" s="88" t="s">
        <v>975</v>
      </c>
      <c r="BU57" s="93" t="s">
        <v>3509</v>
      </c>
      <c r="BV57" s="93" t="s">
        <v>3510</v>
      </c>
      <c r="BW57" s="98"/>
      <c r="BX57" s="98"/>
      <c r="BY57" s="93" t="s">
        <v>3511</v>
      </c>
      <c r="BZ57" s="98"/>
      <c r="CA57" s="98"/>
      <c r="CB57" s="98"/>
      <c r="CC57" s="98"/>
      <c r="CD57" s="98"/>
      <c r="CE57" s="261"/>
      <c r="CF57" s="93" t="s">
        <v>3135</v>
      </c>
      <c r="CG57" s="93" t="s">
        <v>1109</v>
      </c>
      <c r="CH57" s="93" t="s">
        <v>1856</v>
      </c>
      <c r="CI57" s="93" t="s">
        <v>3512</v>
      </c>
      <c r="CJ57" s="93"/>
      <c r="CK57" s="93" t="s">
        <v>2662</v>
      </c>
      <c r="CL57" s="93" t="s">
        <v>3513</v>
      </c>
      <c r="CM57" s="93" t="s">
        <v>3060</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12" t="s">
        <v>3524</v>
      </c>
      <c r="B58" s="103" t="s">
        <v>3525</v>
      </c>
      <c r="C58" s="104" t="s">
        <v>1418</v>
      </c>
      <c r="D58" s="105" t="s">
        <v>1418</v>
      </c>
      <c r="E58" s="106" t="s">
        <v>1418</v>
      </c>
      <c r="F58" s="107" t="s">
        <v>2146</v>
      </c>
      <c r="G58" s="103" t="s">
        <v>3526</v>
      </c>
      <c r="H58" s="112" t="s">
        <v>3527</v>
      </c>
      <c r="I58" s="112" t="s">
        <v>3528</v>
      </c>
      <c r="J58" s="112" t="s">
        <v>3529</v>
      </c>
      <c r="K58" s="112" t="s">
        <v>1810</v>
      </c>
      <c r="L58" s="112" t="s">
        <v>2824</v>
      </c>
      <c r="M58" s="112" t="s">
        <v>3530</v>
      </c>
      <c r="N58" s="112" t="s">
        <v>3531</v>
      </c>
      <c r="O58" s="112" t="s">
        <v>3532</v>
      </c>
      <c r="P58" s="112" t="s">
        <v>3533</v>
      </c>
      <c r="Q58" s="166" t="s">
        <v>3534</v>
      </c>
      <c r="R58" s="222"/>
      <c r="S58" s="112" t="s">
        <v>2264</v>
      </c>
      <c r="T58" s="222"/>
      <c r="U58" s="112" t="s">
        <v>3535</v>
      </c>
      <c r="V58" s="166" t="s">
        <v>3536</v>
      </c>
      <c r="W58" s="92"/>
      <c r="X58" s="116" t="s">
        <v>2769</v>
      </c>
      <c r="Y58" s="116" t="s">
        <v>3537</v>
      </c>
      <c r="Z58" s="116" t="s">
        <v>3538</v>
      </c>
      <c r="AA58" s="116" t="s">
        <v>3362</v>
      </c>
      <c r="AB58" s="116" t="s">
        <v>3106</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2054</v>
      </c>
      <c r="AU58" s="121" t="s">
        <v>933</v>
      </c>
      <c r="AV58" s="271"/>
      <c r="AW58" s="271"/>
      <c r="AX58" s="121" t="s">
        <v>3547</v>
      </c>
      <c r="AY58" s="167" t="s">
        <v>3548</v>
      </c>
      <c r="AZ58" s="167"/>
      <c r="BA58" s="127" t="s">
        <v>2767</v>
      </c>
      <c r="BB58" s="127" t="s">
        <v>2487</v>
      </c>
      <c r="BC58" s="127" t="s">
        <v>3549</v>
      </c>
      <c r="BD58" s="171" t="s">
        <v>3550</v>
      </c>
      <c r="BE58" s="127" t="s">
        <v>3551</v>
      </c>
      <c r="BF58" s="127" t="s">
        <v>3552</v>
      </c>
      <c r="BG58" s="172"/>
      <c r="BH58" s="127" t="s">
        <v>367</v>
      </c>
      <c r="BI58" s="127" t="s">
        <v>2722</v>
      </c>
      <c r="BJ58" s="127" t="s">
        <v>3553</v>
      </c>
      <c r="BK58" s="127" t="s">
        <v>3554</v>
      </c>
      <c r="BL58" s="172"/>
      <c r="BM58" s="127" t="s">
        <v>3555</v>
      </c>
      <c r="BN58" s="127" t="s">
        <v>1457</v>
      </c>
      <c r="BO58" s="172"/>
      <c r="BP58" s="273"/>
      <c r="BQ58" s="130" t="s">
        <v>3556</v>
      </c>
      <c r="BR58" s="130" t="s">
        <v>858</v>
      </c>
      <c r="BS58" s="130" t="s">
        <v>2185</v>
      </c>
      <c r="BT58" s="130" t="s">
        <v>3557</v>
      </c>
      <c r="BU58" s="130" t="s">
        <v>3558</v>
      </c>
      <c r="BV58" s="130" t="s">
        <v>1594</v>
      </c>
      <c r="BW58" s="276"/>
      <c r="BX58" s="130" t="s">
        <v>3559</v>
      </c>
      <c r="BY58" s="130" t="s">
        <v>3560</v>
      </c>
      <c r="BZ58" s="130" t="s">
        <v>2069</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1317</v>
      </c>
      <c r="CM58" s="135" t="s">
        <v>177</v>
      </c>
      <c r="CN58" s="279"/>
      <c r="CO58" s="279"/>
      <c r="CP58" s="176"/>
      <c r="CQ58" s="135" t="s">
        <v>656</v>
      </c>
      <c r="CR58" s="279"/>
      <c r="CS58" s="92"/>
      <c r="CT58" s="140" t="s">
        <v>869</v>
      </c>
      <c r="CU58" s="140" t="s">
        <v>3261</v>
      </c>
      <c r="CV58" s="140" t="s">
        <v>899</v>
      </c>
      <c r="CW58" s="140" t="s">
        <v>3570</v>
      </c>
      <c r="CX58" s="140" t="s">
        <v>3571</v>
      </c>
      <c r="CY58" s="205" t="s">
        <v>3328</v>
      </c>
      <c r="CZ58" s="140" t="s">
        <v>3572</v>
      </c>
      <c r="DA58" s="140" t="s">
        <v>2054</v>
      </c>
      <c r="DB58" s="280"/>
      <c r="DC58" s="280"/>
      <c r="DD58" s="280"/>
      <c r="DE58" s="205" t="s">
        <v>3573</v>
      </c>
      <c r="DF58" s="205"/>
      <c r="DG58" s="145" t="s">
        <v>2697</v>
      </c>
      <c r="DH58" s="282"/>
      <c r="DI58" s="282"/>
      <c r="DJ58" s="282"/>
      <c r="DK58" s="145" t="s">
        <v>510</v>
      </c>
      <c r="DL58" s="282"/>
      <c r="DM58" s="282"/>
      <c r="DN58" s="145" t="s">
        <v>3574</v>
      </c>
      <c r="DO58" s="282"/>
      <c r="DP58" s="145" t="s">
        <v>3575</v>
      </c>
      <c r="DQ58" s="208" t="s">
        <v>2310</v>
      </c>
      <c r="DR58" s="206" t="s">
        <v>3576</v>
      </c>
      <c r="DS58" s="282"/>
      <c r="DT58" s="282"/>
      <c r="DU58" s="145" t="s">
        <v>1717</v>
      </c>
      <c r="DV58" s="282"/>
      <c r="DW58" s="282"/>
      <c r="DX58" s="282"/>
      <c r="DY58" s="145" t="s">
        <v>3577</v>
      </c>
      <c r="DZ58" s="282"/>
      <c r="EA58" s="145" t="s">
        <v>3578</v>
      </c>
      <c r="EB58" s="142" t="s">
        <v>3579</v>
      </c>
    </row>
    <row r="59">
      <c r="A59" s="513" t="s">
        <v>3580</v>
      </c>
      <c r="B59" s="82" t="s">
        <v>3581</v>
      </c>
      <c r="C59" s="83" t="s">
        <v>1418</v>
      </c>
      <c r="D59" s="84" t="s">
        <v>1418</v>
      </c>
      <c r="E59" s="85" t="s">
        <v>1418</v>
      </c>
      <c r="F59" s="86" t="s">
        <v>219</v>
      </c>
      <c r="G59" s="82" t="s">
        <v>221</v>
      </c>
      <c r="H59" s="93" t="s">
        <v>3582</v>
      </c>
      <c r="I59" s="93" t="s">
        <v>1868</v>
      </c>
      <c r="J59" s="93" t="s">
        <v>3583</v>
      </c>
      <c r="K59" s="88" t="s">
        <v>2696</v>
      </c>
      <c r="L59" s="88" t="s">
        <v>1331</v>
      </c>
      <c r="M59" s="93" t="s">
        <v>3584</v>
      </c>
      <c r="N59" s="88" t="s">
        <v>3585</v>
      </c>
      <c r="O59" s="93" t="s">
        <v>3550</v>
      </c>
      <c r="P59" s="93" t="s">
        <v>3220</v>
      </c>
      <c r="Q59" s="161" t="s">
        <v>3586</v>
      </c>
      <c r="R59" s="88" t="s">
        <v>3375</v>
      </c>
      <c r="S59" s="93" t="s">
        <v>3587</v>
      </c>
      <c r="T59" s="93" t="s">
        <v>1627</v>
      </c>
      <c r="U59" s="88" t="s">
        <v>3588</v>
      </c>
      <c r="V59" s="161" t="s">
        <v>3589</v>
      </c>
      <c r="W59" s="114"/>
      <c r="X59" s="93" t="s">
        <v>3590</v>
      </c>
      <c r="Y59" s="93" t="s">
        <v>3591</v>
      </c>
      <c r="Z59" s="93" t="s">
        <v>1795</v>
      </c>
      <c r="AA59" s="93" t="s">
        <v>940</v>
      </c>
      <c r="AB59" s="93" t="s">
        <v>3592</v>
      </c>
      <c r="AC59" s="93" t="s">
        <v>3593</v>
      </c>
      <c r="AD59" s="93" t="s">
        <v>3594</v>
      </c>
      <c r="AE59" s="93" t="s">
        <v>3595</v>
      </c>
      <c r="AF59" s="93" t="s">
        <v>3324</v>
      </c>
      <c r="AG59" s="93" t="s">
        <v>3596</v>
      </c>
      <c r="AH59" s="93" t="s">
        <v>2952</v>
      </c>
      <c r="AI59" s="93" t="s">
        <v>2918</v>
      </c>
      <c r="AJ59" s="93" t="s">
        <v>3597</v>
      </c>
      <c r="AK59" s="96"/>
      <c r="AL59" s="93" t="s">
        <v>3094</v>
      </c>
      <c r="AM59" s="93" t="s">
        <v>1323</v>
      </c>
      <c r="AN59" s="93" t="s">
        <v>3598</v>
      </c>
      <c r="AO59" s="93" t="s">
        <v>3599</v>
      </c>
      <c r="AP59" s="93" t="s">
        <v>3600</v>
      </c>
      <c r="AQ59" s="93" t="s">
        <v>3601</v>
      </c>
      <c r="AR59" s="93" t="s">
        <v>3602</v>
      </c>
      <c r="AS59" s="93"/>
      <c r="AT59" s="93" t="s">
        <v>3603</v>
      </c>
      <c r="AU59" s="88" t="s">
        <v>3079</v>
      </c>
      <c r="AV59" s="93" t="s">
        <v>320</v>
      </c>
      <c r="AW59" s="93"/>
      <c r="AX59" s="93" t="s">
        <v>930</v>
      </c>
      <c r="AY59" s="93" t="s">
        <v>3604</v>
      </c>
      <c r="AZ59" s="93"/>
      <c r="BA59" s="93" t="s">
        <v>187</v>
      </c>
      <c r="BB59" s="88" t="s">
        <v>2634</v>
      </c>
      <c r="BC59" s="88" t="s">
        <v>2057</v>
      </c>
      <c r="BD59" s="93" t="s">
        <v>3605</v>
      </c>
      <c r="BE59" s="93" t="s">
        <v>3606</v>
      </c>
      <c r="BF59" s="93" t="s">
        <v>1220</v>
      </c>
      <c r="BG59" s="93" t="s">
        <v>3607</v>
      </c>
      <c r="BH59" s="88" t="s">
        <v>1751</v>
      </c>
      <c r="BI59" s="93" t="s">
        <v>2624</v>
      </c>
      <c r="BJ59" s="93" t="s">
        <v>3608</v>
      </c>
      <c r="BK59" s="93" t="s">
        <v>3609</v>
      </c>
      <c r="BL59" s="93"/>
      <c r="BM59" s="88" t="s">
        <v>1584</v>
      </c>
      <c r="BN59" s="93" t="s">
        <v>3610</v>
      </c>
      <c r="BO59" s="93" t="s">
        <v>3227</v>
      </c>
      <c r="BP59" s="93"/>
      <c r="BQ59" s="88" t="s">
        <v>3611</v>
      </c>
      <c r="BR59" s="93" t="s">
        <v>3612</v>
      </c>
      <c r="BS59" s="93" t="s">
        <v>3112</v>
      </c>
      <c r="BT59" s="93" t="s">
        <v>3248</v>
      </c>
      <c r="BU59" s="93" t="s">
        <v>3204</v>
      </c>
      <c r="BV59" s="93" t="s">
        <v>3613</v>
      </c>
      <c r="BW59" s="93" t="s">
        <v>3465</v>
      </c>
      <c r="BX59" s="93" t="s">
        <v>3614</v>
      </c>
      <c r="BY59" s="93" t="s">
        <v>2960</v>
      </c>
      <c r="BZ59" s="93" t="s">
        <v>3615</v>
      </c>
      <c r="CA59" s="93" t="s">
        <v>2437</v>
      </c>
      <c r="CB59" s="93" t="s">
        <v>1337</v>
      </c>
      <c r="CC59" s="93" t="s">
        <v>1641</v>
      </c>
      <c r="CD59" s="93" t="s">
        <v>3616</v>
      </c>
      <c r="CE59" s="93"/>
      <c r="CF59" s="93" t="s">
        <v>3617</v>
      </c>
      <c r="CG59" s="161" t="s">
        <v>295</v>
      </c>
      <c r="CH59" s="93" t="s">
        <v>3434</v>
      </c>
      <c r="CI59" s="93" t="s">
        <v>2899</v>
      </c>
      <c r="CJ59" s="93" t="s">
        <v>3618</v>
      </c>
      <c r="CK59" s="93" t="s">
        <v>3619</v>
      </c>
      <c r="CL59" s="93" t="s">
        <v>1583</v>
      </c>
      <c r="CM59" s="93" t="s">
        <v>3620</v>
      </c>
      <c r="CN59" s="93" t="s">
        <v>3621</v>
      </c>
      <c r="CO59" s="88" t="s">
        <v>819</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1158</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1722</v>
      </c>
      <c r="DV59" s="93" t="s">
        <v>3640</v>
      </c>
      <c r="DW59" s="93" t="s">
        <v>2678</v>
      </c>
      <c r="DX59" s="93" t="s">
        <v>2827</v>
      </c>
      <c r="DY59" s="93" t="s">
        <v>428</v>
      </c>
      <c r="DZ59" s="93" t="s">
        <v>3641</v>
      </c>
      <c r="EA59" s="93" t="s">
        <v>367</v>
      </c>
      <c r="EB59" s="285" t="s">
        <v>3642</v>
      </c>
    </row>
    <row r="60">
      <c r="A60" s="514" t="s">
        <v>3643</v>
      </c>
      <c r="B60" s="103" t="s">
        <v>3644</v>
      </c>
      <c r="C60" s="104" t="s">
        <v>1418</v>
      </c>
      <c r="D60" s="105" t="s">
        <v>1418</v>
      </c>
      <c r="E60" s="106" t="s">
        <v>545</v>
      </c>
      <c r="F60" s="107" t="s">
        <v>3645</v>
      </c>
      <c r="G60" s="103" t="s">
        <v>2820</v>
      </c>
      <c r="H60" s="166" t="s">
        <v>1763</v>
      </c>
      <c r="I60" s="299" t="s">
        <v>3646</v>
      </c>
      <c r="J60" s="299" t="s">
        <v>3647</v>
      </c>
      <c r="K60" s="112" t="s">
        <v>3648</v>
      </c>
      <c r="L60" s="299" t="s">
        <v>1924</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2468</v>
      </c>
      <c r="AC60" s="116" t="s">
        <v>3657</v>
      </c>
      <c r="AD60" s="197" t="s">
        <v>3658</v>
      </c>
      <c r="AE60" s="370" t="s">
        <v>3497</v>
      </c>
      <c r="AF60" s="196" t="s">
        <v>1898</v>
      </c>
      <c r="AG60" s="270"/>
      <c r="AH60" s="270"/>
      <c r="AI60" s="270"/>
      <c r="AJ60" s="270"/>
      <c r="AK60" s="96"/>
      <c r="AL60" s="271"/>
      <c r="AM60" s="167" t="s">
        <v>390</v>
      </c>
      <c r="AN60" s="271"/>
      <c r="AO60" s="271"/>
      <c r="AP60" s="271"/>
      <c r="AQ60" s="271"/>
      <c r="AR60" s="271"/>
      <c r="AS60" s="271"/>
      <c r="AT60" s="167" t="s">
        <v>1215</v>
      </c>
      <c r="AU60" s="167" t="s">
        <v>3659</v>
      </c>
      <c r="AV60" s="167" t="s">
        <v>3660</v>
      </c>
      <c r="AW60" s="271"/>
      <c r="AX60" s="271"/>
      <c r="AY60" s="271"/>
      <c r="AZ60" s="271"/>
      <c r="BA60" s="173" t="s">
        <v>3661</v>
      </c>
      <c r="BB60" s="173" t="s">
        <v>1288</v>
      </c>
      <c r="BC60" s="173" t="s">
        <v>1356</v>
      </c>
      <c r="BD60" s="171" t="s">
        <v>3662</v>
      </c>
      <c r="BE60" s="173" t="s">
        <v>3263</v>
      </c>
      <c r="BF60" s="173" t="s">
        <v>3663</v>
      </c>
      <c r="BG60" s="172"/>
      <c r="BH60" s="125" t="s">
        <v>1254</v>
      </c>
      <c r="BI60" s="173" t="s">
        <v>3664</v>
      </c>
      <c r="BJ60" s="173" t="s">
        <v>1188</v>
      </c>
      <c r="BK60" s="173" t="s">
        <v>2493</v>
      </c>
      <c r="BL60" s="172"/>
      <c r="BM60" s="172"/>
      <c r="BN60" s="172"/>
      <c r="BO60" s="172"/>
      <c r="BP60" s="273"/>
      <c r="BQ60" s="174" t="s">
        <v>3665</v>
      </c>
      <c r="BR60" s="174" t="s">
        <v>926</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3539</v>
      </c>
      <c r="CG60" s="135" t="s">
        <v>2660</v>
      </c>
      <c r="CH60" s="331" t="s">
        <v>3670</v>
      </c>
      <c r="CI60" s="176" t="s">
        <v>3671</v>
      </c>
      <c r="CJ60" s="504" t="s">
        <v>3672</v>
      </c>
      <c r="CK60" s="135" t="s">
        <v>1452</v>
      </c>
      <c r="CL60" s="135" t="s">
        <v>2309</v>
      </c>
      <c r="CM60" s="176" t="s">
        <v>2877</v>
      </c>
      <c r="CN60" s="279"/>
      <c r="CO60" s="279"/>
      <c r="CP60" s="279"/>
      <c r="CQ60" s="279"/>
      <c r="CR60" s="279"/>
      <c r="CS60" s="92"/>
      <c r="CT60" s="205" t="s">
        <v>3673</v>
      </c>
      <c r="CU60" s="388" t="s">
        <v>2204</v>
      </c>
      <c r="CV60" s="205" t="s">
        <v>609</v>
      </c>
      <c r="CW60" s="388" t="s">
        <v>3432</v>
      </c>
      <c r="CX60" s="205" t="s">
        <v>2490</v>
      </c>
      <c r="CY60" s="280"/>
      <c r="CZ60" s="388" t="s">
        <v>3674</v>
      </c>
      <c r="DA60" s="140" t="s">
        <v>1312</v>
      </c>
      <c r="DB60" s="280"/>
      <c r="DC60" s="280"/>
      <c r="DD60" s="280"/>
      <c r="DE60" s="280"/>
      <c r="DF60" s="281"/>
      <c r="DG60" s="206" t="s">
        <v>1357</v>
      </c>
      <c r="DH60" s="206" t="s">
        <v>526</v>
      </c>
      <c r="DI60" s="282"/>
      <c r="DJ60" s="282"/>
      <c r="DK60" s="145" t="s">
        <v>3675</v>
      </c>
      <c r="DL60" s="206" t="s">
        <v>1120</v>
      </c>
      <c r="DM60" s="206" t="s">
        <v>2325</v>
      </c>
      <c r="DN60" s="145" t="s">
        <v>630</v>
      </c>
      <c r="DO60" s="282"/>
      <c r="DP60" s="145" t="s">
        <v>686</v>
      </c>
      <c r="DQ60" s="464" t="s">
        <v>3659</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444</v>
      </c>
      <c r="L61" s="88" t="s">
        <v>1638</v>
      </c>
      <c r="M61" s="93" t="s">
        <v>3682</v>
      </c>
      <c r="N61" s="93" t="s">
        <v>3683</v>
      </c>
      <c r="O61" s="93" t="s">
        <v>3605</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1161</v>
      </c>
      <c r="BC61" s="88" t="s">
        <v>1450</v>
      </c>
      <c r="BD61" s="88" t="s">
        <v>3692</v>
      </c>
      <c r="BE61" s="93" t="s">
        <v>1600</v>
      </c>
      <c r="BF61" s="98"/>
      <c r="BG61" s="98"/>
      <c r="BH61" s="93" t="s">
        <v>323</v>
      </c>
      <c r="BI61" s="98"/>
      <c r="BJ61" s="93" t="s">
        <v>3693</v>
      </c>
      <c r="BK61" s="93" t="s">
        <v>1391</v>
      </c>
      <c r="BL61" s="98"/>
      <c r="BM61" s="98"/>
      <c r="BN61" s="98"/>
      <c r="BO61" s="98"/>
      <c r="BP61" s="261"/>
      <c r="BQ61" s="93"/>
      <c r="BR61" s="93" t="s">
        <v>657</v>
      </c>
      <c r="BS61" s="93" t="s">
        <v>2632</v>
      </c>
      <c r="BT61" s="93" t="s">
        <v>2186</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2257</v>
      </c>
      <c r="H62" s="299" t="s">
        <v>1876</v>
      </c>
      <c r="I62" s="299" t="s">
        <v>3709</v>
      </c>
      <c r="J62" s="299" t="s">
        <v>3710</v>
      </c>
      <c r="K62" s="299" t="s">
        <v>1559</v>
      </c>
      <c r="L62" s="299" t="s">
        <v>777</v>
      </c>
      <c r="M62" s="299" t="s">
        <v>3711</v>
      </c>
      <c r="N62" s="299" t="s">
        <v>3712</v>
      </c>
      <c r="O62" s="299" t="s">
        <v>807</v>
      </c>
      <c r="P62" s="299" t="s">
        <v>3533</v>
      </c>
      <c r="Q62" s="299"/>
      <c r="R62" s="299" t="s">
        <v>3713</v>
      </c>
      <c r="S62" s="299" t="s">
        <v>3555</v>
      </c>
      <c r="T62" s="299" t="s">
        <v>1524</v>
      </c>
      <c r="U62" s="299" t="s">
        <v>3714</v>
      </c>
      <c r="V62" s="299" t="s">
        <v>3715</v>
      </c>
      <c r="W62" s="515"/>
      <c r="X62" s="196" t="s">
        <v>3053</v>
      </c>
      <c r="Y62" s="196" t="s">
        <v>1052</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3140</v>
      </c>
      <c r="AS62" s="518"/>
      <c r="AT62" s="199" t="s">
        <v>3728</v>
      </c>
      <c r="AU62" s="199" t="s">
        <v>1450</v>
      </c>
      <c r="AV62" s="199" t="s">
        <v>3729</v>
      </c>
      <c r="AW62" s="518"/>
      <c r="AX62" s="199" t="s">
        <v>1137</v>
      </c>
      <c r="AY62" s="199" t="s">
        <v>3730</v>
      </c>
      <c r="AZ62" s="199"/>
      <c r="BA62" s="171" t="s">
        <v>3731</v>
      </c>
      <c r="BB62" s="171" t="s">
        <v>1560</v>
      </c>
      <c r="BC62" s="171" t="s">
        <v>1387</v>
      </c>
      <c r="BD62" s="171" t="s">
        <v>3732</v>
      </c>
      <c r="BE62" s="171" t="s">
        <v>3733</v>
      </c>
      <c r="BF62" s="171" t="s">
        <v>3734</v>
      </c>
      <c r="BG62" s="171" t="s">
        <v>3735</v>
      </c>
      <c r="BH62" s="171" t="s">
        <v>963</v>
      </c>
      <c r="BI62" s="171" t="s">
        <v>3736</v>
      </c>
      <c r="BJ62" s="171" t="s">
        <v>3737</v>
      </c>
      <c r="BK62" s="171" t="s">
        <v>3738</v>
      </c>
      <c r="BL62" s="519"/>
      <c r="BM62" s="171" t="s">
        <v>1372</v>
      </c>
      <c r="BN62" s="171" t="s">
        <v>3739</v>
      </c>
      <c r="BO62" s="171" t="s">
        <v>1595</v>
      </c>
      <c r="BP62" s="171"/>
      <c r="BQ62" s="308" t="s">
        <v>3740</v>
      </c>
      <c r="BR62" s="308" t="s">
        <v>2720</v>
      </c>
      <c r="BS62" s="308" t="s">
        <v>2155</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748</v>
      </c>
      <c r="CG62" s="331" t="s">
        <v>3202</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2586</v>
      </c>
      <c r="CV62" s="388" t="s">
        <v>532</v>
      </c>
      <c r="CW62" s="388" t="s">
        <v>3756</v>
      </c>
      <c r="CX62" s="388" t="s">
        <v>3757</v>
      </c>
      <c r="CY62" s="388" t="s">
        <v>2743</v>
      </c>
      <c r="CZ62" s="388" t="s">
        <v>3758</v>
      </c>
      <c r="DA62" s="388" t="s">
        <v>3152</v>
      </c>
      <c r="DB62" s="388" t="s">
        <v>3759</v>
      </c>
      <c r="DC62" s="388" t="s">
        <v>3080</v>
      </c>
      <c r="DD62" s="388" t="s">
        <v>3760</v>
      </c>
      <c r="DE62" s="388" t="s">
        <v>3761</v>
      </c>
      <c r="DF62" s="388"/>
      <c r="DG62" s="208" t="s">
        <v>3762</v>
      </c>
      <c r="DH62" s="208" t="s">
        <v>196</v>
      </c>
      <c r="DI62" s="208" t="s">
        <v>3763</v>
      </c>
      <c r="DJ62" s="208"/>
      <c r="DK62" s="208" t="s">
        <v>528</v>
      </c>
      <c r="DL62" s="208" t="s">
        <v>161</v>
      </c>
      <c r="DM62" s="208" t="s">
        <v>3764</v>
      </c>
      <c r="DN62" s="208" t="s">
        <v>3765</v>
      </c>
      <c r="DO62" s="208" t="s">
        <v>3324</v>
      </c>
      <c r="DP62" s="208" t="s">
        <v>3766</v>
      </c>
      <c r="DQ62" s="208" t="s">
        <v>3767</v>
      </c>
      <c r="DR62" s="208" t="s">
        <v>2586</v>
      </c>
      <c r="DS62" s="208" t="s">
        <v>3768</v>
      </c>
      <c r="DT62" s="208" t="s">
        <v>3769</v>
      </c>
      <c r="DU62" s="208" t="s">
        <v>3770</v>
      </c>
      <c r="DV62" s="208" t="s">
        <v>1918</v>
      </c>
      <c r="DW62" s="208" t="s">
        <v>2678</v>
      </c>
      <c r="DX62" s="208" t="s">
        <v>3771</v>
      </c>
      <c r="DY62" s="208" t="s">
        <v>1058</v>
      </c>
      <c r="DZ62" s="208" t="s">
        <v>933</v>
      </c>
      <c r="EA62" s="208" t="s">
        <v>3772</v>
      </c>
      <c r="EB62" s="315" t="s">
        <v>3773</v>
      </c>
    </row>
    <row r="63">
      <c r="A63" s="81" t="s">
        <v>3774</v>
      </c>
      <c r="B63" s="82" t="s">
        <v>3775</v>
      </c>
      <c r="C63" s="83" t="s">
        <v>1418</v>
      </c>
      <c r="D63" s="84" t="s">
        <v>1418</v>
      </c>
      <c r="E63" s="85" t="s">
        <v>1418</v>
      </c>
      <c r="F63" s="86" t="s">
        <v>439</v>
      </c>
      <c r="G63" s="82" t="s">
        <v>3776</v>
      </c>
      <c r="H63" s="98"/>
      <c r="I63" s="93" t="s">
        <v>3777</v>
      </c>
      <c r="J63" s="93" t="s">
        <v>2148</v>
      </c>
      <c r="K63" s="295" t="s">
        <v>2696</v>
      </c>
      <c r="L63" s="93" t="s">
        <v>602</v>
      </c>
      <c r="M63" s="285" t="s">
        <v>3778</v>
      </c>
      <c r="N63" s="93" t="s">
        <v>672</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3280</v>
      </c>
      <c r="AF63" s="93" t="s">
        <v>3783</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3784</v>
      </c>
      <c r="BB63" s="93" t="s">
        <v>854</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3239</v>
      </c>
      <c r="BS63" s="93" t="s">
        <v>3132</v>
      </c>
      <c r="BT63" s="93" t="s">
        <v>3788</v>
      </c>
      <c r="BU63" s="93" t="s">
        <v>3018</v>
      </c>
      <c r="BV63" s="93" t="s">
        <v>3613</v>
      </c>
      <c r="BW63" s="93" t="s">
        <v>3789</v>
      </c>
      <c r="BX63" s="97" t="str">
        <f>HYPERLINK("https://clips.twitch.tv/EnergeticWrongManateeKlappa","2:32.84")</f>
        <v>2:32.84</v>
      </c>
      <c r="BY63" s="93" t="s">
        <v>3790</v>
      </c>
      <c r="BZ63" s="93" t="s">
        <v>868</v>
      </c>
      <c r="CA63" s="98"/>
      <c r="CB63" s="98"/>
      <c r="CC63" s="98"/>
      <c r="CD63" s="98"/>
      <c r="CE63" s="261"/>
      <c r="CF63" s="97" t="s">
        <v>1966</v>
      </c>
      <c r="CG63" s="93" t="s">
        <v>3178</v>
      </c>
      <c r="CH63" s="93" t="s">
        <v>1165</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3261</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3801</v>
      </c>
      <c r="H64" s="166" t="s">
        <v>3569</v>
      </c>
      <c r="I64" s="166" t="s">
        <v>3073</v>
      </c>
      <c r="J64" s="166" t="s">
        <v>101</v>
      </c>
      <c r="K64" s="290" t="s">
        <v>1559</v>
      </c>
      <c r="L64" s="112" t="s">
        <v>3802</v>
      </c>
      <c r="M64" s="166" t="s">
        <v>3803</v>
      </c>
      <c r="N64" s="166" t="s">
        <v>672</v>
      </c>
      <c r="O64" s="166" t="s">
        <v>3804</v>
      </c>
      <c r="P64" s="112" t="s">
        <v>107</v>
      </c>
      <c r="Q64" s="222"/>
      <c r="R64" s="222"/>
      <c r="S64" s="112" t="s">
        <v>3102</v>
      </c>
      <c r="T64" s="222"/>
      <c r="U64" s="166" t="s">
        <v>2951</v>
      </c>
      <c r="V64" s="222"/>
      <c r="W64" s="92"/>
      <c r="X64" s="197" t="s">
        <v>1676</v>
      </c>
      <c r="Y64" s="197" t="s">
        <v>3805</v>
      </c>
      <c r="Z64" s="197" t="s">
        <v>3533</v>
      </c>
      <c r="AA64" s="197" t="s">
        <v>1174</v>
      </c>
      <c r="AB64" s="197" t="s">
        <v>2200</v>
      </c>
      <c r="AC64" s="197" t="s">
        <v>3806</v>
      </c>
      <c r="AD64" s="270"/>
      <c r="AE64" s="197" t="s">
        <v>2881</v>
      </c>
      <c r="AF64" s="197" t="s">
        <v>3807</v>
      </c>
      <c r="AG64" s="270"/>
      <c r="AH64" s="197"/>
      <c r="AI64" s="197" t="s">
        <v>2720</v>
      </c>
      <c r="AJ64" s="270"/>
      <c r="AK64" s="96"/>
      <c r="AL64" s="167" t="s">
        <v>3808</v>
      </c>
      <c r="AM64" s="167" t="s">
        <v>3809</v>
      </c>
      <c r="AN64" s="271"/>
      <c r="AO64" s="271"/>
      <c r="AP64" s="271"/>
      <c r="AQ64" s="271"/>
      <c r="AR64" s="271"/>
      <c r="AS64" s="271"/>
      <c r="AT64" s="306" t="s">
        <v>3367</v>
      </c>
      <c r="AU64" s="167" t="s">
        <v>963</v>
      </c>
      <c r="AV64" s="167" t="s">
        <v>3810</v>
      </c>
      <c r="AW64" s="271"/>
      <c r="AX64" s="167" t="s">
        <v>2975</v>
      </c>
      <c r="AY64" s="271"/>
      <c r="AZ64" s="271"/>
      <c r="BA64" s="173" t="s">
        <v>2652</v>
      </c>
      <c r="BB64" s="173" t="s">
        <v>973</v>
      </c>
      <c r="BC64" s="173" t="s">
        <v>3549</v>
      </c>
      <c r="BD64" s="127" t="s">
        <v>3811</v>
      </c>
      <c r="BE64" s="127" t="s">
        <v>2071</v>
      </c>
      <c r="BF64" s="173" t="s">
        <v>1524</v>
      </c>
      <c r="BG64" s="172"/>
      <c r="BH64" s="173" t="s">
        <v>2073</v>
      </c>
      <c r="BI64" s="172"/>
      <c r="BJ64" s="173" t="s">
        <v>3812</v>
      </c>
      <c r="BK64" s="173" t="s">
        <v>3041</v>
      </c>
      <c r="BL64" s="172"/>
      <c r="BM64" s="127" t="s">
        <v>1654</v>
      </c>
      <c r="BN64" s="173" t="s">
        <v>3813</v>
      </c>
      <c r="BO64" s="172"/>
      <c r="BP64" s="273"/>
      <c r="BQ64" s="174"/>
      <c r="BR64" s="174" t="s">
        <v>2432</v>
      </c>
      <c r="BS64" s="174" t="s">
        <v>3814</v>
      </c>
      <c r="BT64" s="174" t="s">
        <v>3815</v>
      </c>
      <c r="BU64" s="174" t="s">
        <v>460</v>
      </c>
      <c r="BV64" s="174" t="s">
        <v>3816</v>
      </c>
      <c r="BW64" s="276"/>
      <c r="BX64" s="276"/>
      <c r="BY64" s="174" t="s">
        <v>3817</v>
      </c>
      <c r="BZ64" s="174" t="s">
        <v>897</v>
      </c>
      <c r="CA64" s="174" t="s">
        <v>3818</v>
      </c>
      <c r="CB64" s="174" t="s">
        <v>2915</v>
      </c>
      <c r="CC64" s="174" t="s">
        <v>142</v>
      </c>
      <c r="CD64" s="276"/>
      <c r="CE64" s="277"/>
      <c r="CF64" s="176" t="s">
        <v>3819</v>
      </c>
      <c r="CG64" s="176" t="s">
        <v>2890</v>
      </c>
      <c r="CH64" s="176" t="s">
        <v>3820</v>
      </c>
      <c r="CI64" s="176" t="s">
        <v>3821</v>
      </c>
      <c r="CJ64" s="176"/>
      <c r="CK64" s="176" t="s">
        <v>3822</v>
      </c>
      <c r="CL64" s="176" t="s">
        <v>817</v>
      </c>
      <c r="CM64" s="176" t="s">
        <v>2998</v>
      </c>
      <c r="CN64" s="279"/>
      <c r="CO64" s="279"/>
      <c r="CP64" s="176"/>
      <c r="CQ64" s="176" t="s">
        <v>2306</v>
      </c>
      <c r="CR64" s="279"/>
      <c r="CS64" s="92"/>
      <c r="CT64" s="205" t="s">
        <v>3823</v>
      </c>
      <c r="CU64" s="205" t="s">
        <v>2586</v>
      </c>
      <c r="CV64" s="205" t="s">
        <v>3824</v>
      </c>
      <c r="CW64" s="205" t="s">
        <v>3825</v>
      </c>
      <c r="CX64" s="205" t="s">
        <v>3826</v>
      </c>
      <c r="CY64" s="205" t="s">
        <v>3827</v>
      </c>
      <c r="CZ64" s="140" t="s">
        <v>3387</v>
      </c>
      <c r="DA64" s="205" t="s">
        <v>1702</v>
      </c>
      <c r="DB64" s="280"/>
      <c r="DC64" s="280"/>
      <c r="DD64" s="280"/>
      <c r="DE64" s="280"/>
      <c r="DF64" s="281"/>
      <c r="DG64" s="206" t="s">
        <v>258</v>
      </c>
      <c r="DH64" s="282"/>
      <c r="DI64" s="282"/>
      <c r="DJ64" s="206"/>
      <c r="DK64" s="282"/>
      <c r="DL64" s="206" t="s">
        <v>3706</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1418</v>
      </c>
      <c r="D65" s="84" t="s">
        <v>1418</v>
      </c>
      <c r="E65" s="85" t="s">
        <v>1418</v>
      </c>
      <c r="F65" s="86" t="s">
        <v>2937</v>
      </c>
      <c r="G65" s="82" t="s">
        <v>3834</v>
      </c>
      <c r="H65" s="98"/>
      <c r="I65" s="297" t="s">
        <v>3835</v>
      </c>
      <c r="J65" s="88" t="s">
        <v>3836</v>
      </c>
      <c r="K65" s="88" t="s">
        <v>2644</v>
      </c>
      <c r="L65" s="297" t="s">
        <v>3837</v>
      </c>
      <c r="M65" s="98"/>
      <c r="N65" s="88" t="s">
        <v>1640</v>
      </c>
      <c r="O65" s="88" t="s">
        <v>1730</v>
      </c>
      <c r="P65" s="88" t="s">
        <v>555</v>
      </c>
      <c r="Q65" s="98"/>
      <c r="R65" s="98"/>
      <c r="S65" s="98"/>
      <c r="T65" s="98"/>
      <c r="U65" s="98"/>
      <c r="V65" s="98"/>
      <c r="W65" s="92"/>
      <c r="X65" s="88" t="s">
        <v>693</v>
      </c>
      <c r="Y65" s="88" t="s">
        <v>3838</v>
      </c>
      <c r="Z65" s="88" t="s">
        <v>116</v>
      </c>
      <c r="AA65" s="88" t="s">
        <v>3839</v>
      </c>
      <c r="AB65" s="88" t="s">
        <v>539</v>
      </c>
      <c r="AC65" s="88" t="s">
        <v>3840</v>
      </c>
      <c r="AD65" s="98"/>
      <c r="AE65" s="98"/>
      <c r="AF65" s="88" t="s">
        <v>3841</v>
      </c>
      <c r="AG65" s="98"/>
      <c r="AH65" s="101"/>
      <c r="AI65" s="88" t="s">
        <v>3842</v>
      </c>
      <c r="AJ65" s="98"/>
      <c r="AK65" s="96"/>
      <c r="AL65" s="98"/>
      <c r="AM65" s="88" t="s">
        <v>1655</v>
      </c>
      <c r="AN65" s="98"/>
      <c r="AO65" s="98"/>
      <c r="AP65" s="98"/>
      <c r="AQ65" s="98"/>
      <c r="AR65" s="98"/>
      <c r="AS65" s="98"/>
      <c r="AT65" s="88" t="s">
        <v>3453</v>
      </c>
      <c r="AU65" s="88" t="s">
        <v>3843</v>
      </c>
      <c r="AV65" s="98"/>
      <c r="AW65" s="98"/>
      <c r="AX65" s="98"/>
      <c r="AY65" s="98"/>
      <c r="AZ65" s="98"/>
      <c r="BA65" s="88" t="s">
        <v>291</v>
      </c>
      <c r="BB65" s="161" t="s">
        <v>551</v>
      </c>
      <c r="BC65" s="88" t="s">
        <v>143</v>
      </c>
      <c r="BD65" s="88" t="s">
        <v>1006</v>
      </c>
      <c r="BE65" s="88" t="s">
        <v>3427</v>
      </c>
      <c r="BF65" s="88" t="s">
        <v>3844</v>
      </c>
      <c r="BG65" s="98"/>
      <c r="BH65" s="88" t="s">
        <v>211</v>
      </c>
      <c r="BI65" s="88" t="s">
        <v>3845</v>
      </c>
      <c r="BJ65" s="101"/>
      <c r="BK65" s="88" t="s">
        <v>3846</v>
      </c>
      <c r="BL65" s="98"/>
      <c r="BM65" s="98"/>
      <c r="BN65" s="98"/>
      <c r="BO65" s="98"/>
      <c r="BP65" s="261"/>
      <c r="BQ65" s="98"/>
      <c r="BR65" s="88" t="s">
        <v>3847</v>
      </c>
      <c r="BS65" s="88" t="s">
        <v>3848</v>
      </c>
      <c r="BT65" s="88" t="s">
        <v>253</v>
      </c>
      <c r="BU65" s="161" t="s">
        <v>1195</v>
      </c>
      <c r="BV65" s="88" t="s">
        <v>1374</v>
      </c>
      <c r="BW65" s="98"/>
      <c r="BX65" s="98"/>
      <c r="BY65" s="98"/>
      <c r="BZ65" s="88" t="s">
        <v>1711</v>
      </c>
      <c r="CA65" s="98"/>
      <c r="CB65" s="98"/>
      <c r="CC65" s="98"/>
      <c r="CD65" s="98"/>
      <c r="CE65" s="261"/>
      <c r="CF65" s="161" t="s">
        <v>3849</v>
      </c>
      <c r="CG65" s="161" t="s">
        <v>1752</v>
      </c>
      <c r="CH65" s="98"/>
      <c r="CI65" s="98"/>
      <c r="CJ65" s="98"/>
      <c r="CK65" s="98"/>
      <c r="CL65" s="88" t="s">
        <v>2200</v>
      </c>
      <c r="CM65" s="88" t="s">
        <v>1776</v>
      </c>
      <c r="CN65" s="98"/>
      <c r="CO65" s="98"/>
      <c r="CP65" s="98"/>
      <c r="CQ65" s="98"/>
      <c r="CR65" s="98"/>
      <c r="CS65" s="92"/>
      <c r="CT65" s="98"/>
      <c r="CU65" s="88" t="s">
        <v>184</v>
      </c>
      <c r="CV65" s="88" t="s">
        <v>3850</v>
      </c>
      <c r="CW65" s="88" t="s">
        <v>3058</v>
      </c>
      <c r="CX65" s="98"/>
      <c r="CY65" s="98"/>
      <c r="CZ65" s="285" t="s">
        <v>1348</v>
      </c>
      <c r="DA65" s="88" t="s">
        <v>128</v>
      </c>
      <c r="DB65" s="98"/>
      <c r="DC65" s="98"/>
      <c r="DD65" s="98"/>
      <c r="DE65" s="88" t="s">
        <v>3851</v>
      </c>
      <c r="DF65" s="88"/>
      <c r="DG65" s="98"/>
      <c r="DH65" s="98"/>
      <c r="DI65" s="98"/>
      <c r="DJ65" s="101"/>
      <c r="DK65" s="98"/>
      <c r="DL65" s="88" t="s">
        <v>2140</v>
      </c>
      <c r="DM65" s="98"/>
      <c r="DN65" s="98"/>
      <c r="DO65" s="98"/>
      <c r="DP65" s="88" t="s">
        <v>1809</v>
      </c>
      <c r="DQ65" s="297"/>
      <c r="DR65" s="98"/>
      <c r="DS65" s="88" t="s">
        <v>1667</v>
      </c>
      <c r="DT65" s="98"/>
      <c r="DU65" s="88" t="s">
        <v>975</v>
      </c>
      <c r="DV65" s="98"/>
      <c r="DW65" s="98"/>
      <c r="DX65" s="98"/>
      <c r="DY65" s="98"/>
      <c r="DZ65" s="98"/>
      <c r="EA65" s="98"/>
      <c r="EB65" s="285"/>
    </row>
    <row r="66">
      <c r="A66" s="522" t="s">
        <v>3852</v>
      </c>
      <c r="B66" s="523" t="s">
        <v>3853</v>
      </c>
      <c r="C66" s="524" t="s">
        <v>1418</v>
      </c>
      <c r="D66" s="525" t="s">
        <v>1418</v>
      </c>
      <c r="E66" s="526" t="s">
        <v>1418</v>
      </c>
      <c r="F66" s="527" t="s">
        <v>3854</v>
      </c>
      <c r="G66" s="523" t="s">
        <v>441</v>
      </c>
      <c r="H66" s="528" t="s">
        <v>1797</v>
      </c>
      <c r="I66" s="528" t="s">
        <v>3855</v>
      </c>
      <c r="J66" s="335" t="s">
        <v>1504</v>
      </c>
      <c r="K66" s="528" t="s">
        <v>3492</v>
      </c>
      <c r="L66" s="528" t="s">
        <v>2517</v>
      </c>
      <c r="M66" s="528" t="s">
        <v>3856</v>
      </c>
      <c r="N66" s="335" t="s">
        <v>3283</v>
      </c>
      <c r="O66" s="529" t="s">
        <v>3857</v>
      </c>
      <c r="P66" s="528" t="s">
        <v>2750</v>
      </c>
      <c r="Q66" s="528" t="s">
        <v>3858</v>
      </c>
      <c r="R66" s="528" t="s">
        <v>3859</v>
      </c>
      <c r="S66" s="528" t="s">
        <v>3082</v>
      </c>
      <c r="T66" s="528" t="s">
        <v>2607</v>
      </c>
      <c r="U66" s="528" t="s">
        <v>3860</v>
      </c>
      <c r="V66" s="528" t="s">
        <v>3861</v>
      </c>
      <c r="W66" s="154"/>
      <c r="X66" s="340" t="s">
        <v>3849</v>
      </c>
      <c r="Y66" s="340" t="s">
        <v>3862</v>
      </c>
      <c r="Z66" s="338" t="s">
        <v>1385</v>
      </c>
      <c r="AA66" s="340" t="s">
        <v>2413</v>
      </c>
      <c r="AB66" s="340" t="s">
        <v>1831</v>
      </c>
      <c r="AC66" s="340" t="s">
        <v>3863</v>
      </c>
      <c r="AD66" s="338" t="s">
        <v>2353</v>
      </c>
      <c r="AE66" s="338" t="s">
        <v>1473</v>
      </c>
      <c r="AF66" s="340" t="s">
        <v>3721</v>
      </c>
      <c r="AG66" s="338" t="s">
        <v>2577</v>
      </c>
      <c r="AH66" s="340" t="s">
        <v>3864</v>
      </c>
      <c r="AI66" s="338" t="s">
        <v>2469</v>
      </c>
      <c r="AJ66" s="338" t="s">
        <v>3865</v>
      </c>
      <c r="AK66" s="158"/>
      <c r="AL66" s="344" t="s">
        <v>397</v>
      </c>
      <c r="AM66" s="530" t="s">
        <v>161</v>
      </c>
      <c r="AN66" s="531" t="s">
        <v>3866</v>
      </c>
      <c r="AO66" s="343" t="s">
        <v>3867</v>
      </c>
      <c r="AP66" s="343" t="s">
        <v>3868</v>
      </c>
      <c r="AQ66" s="343" t="s">
        <v>2576</v>
      </c>
      <c r="AR66" s="343" t="s">
        <v>3869</v>
      </c>
      <c r="AS66" s="343" t="s">
        <v>3870</v>
      </c>
      <c r="AT66" s="531" t="s">
        <v>2589</v>
      </c>
      <c r="AU66" s="344" t="s">
        <v>367</v>
      </c>
      <c r="AV66" s="343" t="s">
        <v>3518</v>
      </c>
      <c r="AW66" s="343" t="s">
        <v>1796</v>
      </c>
      <c r="AX66" s="343" t="s">
        <v>3871</v>
      </c>
      <c r="AY66" s="343" t="s">
        <v>3872</v>
      </c>
      <c r="AZ66" s="343"/>
      <c r="BA66" s="532" t="s">
        <v>3873</v>
      </c>
      <c r="BB66" s="349" t="s">
        <v>2645</v>
      </c>
      <c r="BC66" s="532" t="s">
        <v>1304</v>
      </c>
      <c r="BD66" s="532" t="s">
        <v>3013</v>
      </c>
      <c r="BE66" s="532" t="s">
        <v>3293</v>
      </c>
      <c r="BF66" s="533" t="s">
        <v>3874</v>
      </c>
      <c r="BG66" s="349" t="s">
        <v>3875</v>
      </c>
      <c r="BH66" s="533" t="s">
        <v>3876</v>
      </c>
      <c r="BI66" s="349" t="s">
        <v>3877</v>
      </c>
      <c r="BJ66" s="349" t="s">
        <v>3878</v>
      </c>
      <c r="BK66" s="532" t="s">
        <v>3869</v>
      </c>
      <c r="BL66" s="532" t="s">
        <v>3879</v>
      </c>
      <c r="BM66" s="532" t="s">
        <v>2064</v>
      </c>
      <c r="BN66" s="532" t="s">
        <v>155</v>
      </c>
      <c r="BO66" s="532" t="s">
        <v>3880</v>
      </c>
      <c r="BP66" s="532"/>
      <c r="BQ66" s="354" t="s">
        <v>3881</v>
      </c>
      <c r="BR66" s="534" t="s">
        <v>3035</v>
      </c>
      <c r="BS66" s="354" t="s">
        <v>3882</v>
      </c>
      <c r="BT66" s="535" t="s">
        <v>267</v>
      </c>
      <c r="BU66" s="536" t="s">
        <v>3883</v>
      </c>
      <c r="BV66" s="536" t="s">
        <v>394</v>
      </c>
      <c r="BW66" s="536" t="s">
        <v>3884</v>
      </c>
      <c r="BX66" s="354" t="s">
        <v>2190</v>
      </c>
      <c r="BY66" s="534" t="s">
        <v>3885</v>
      </c>
      <c r="BZ66" s="536" t="s">
        <v>2502</v>
      </c>
      <c r="CA66" s="536" t="s">
        <v>3886</v>
      </c>
      <c r="CB66" s="536" t="s">
        <v>347</v>
      </c>
      <c r="CC66" s="536" t="s">
        <v>3887</v>
      </c>
      <c r="CD66" s="354" t="s">
        <v>3888</v>
      </c>
      <c r="CE66" s="537"/>
      <c r="CF66" s="457" t="s">
        <v>2209</v>
      </c>
      <c r="CG66" s="457" t="s">
        <v>3033</v>
      </c>
      <c r="CH66" s="457" t="s">
        <v>3889</v>
      </c>
      <c r="CI66" s="356" t="s">
        <v>3890</v>
      </c>
      <c r="CJ66" s="538" t="s">
        <v>3891</v>
      </c>
      <c r="CK66" s="457" t="s">
        <v>3892</v>
      </c>
      <c r="CL66" s="356" t="s">
        <v>3312</v>
      </c>
      <c r="CM66" s="356" t="s">
        <v>3893</v>
      </c>
      <c r="CN66" s="457" t="s">
        <v>3894</v>
      </c>
      <c r="CO66" s="457" t="s">
        <v>3895</v>
      </c>
      <c r="CP66" s="457"/>
      <c r="CQ66" s="457" t="s">
        <v>1435</v>
      </c>
      <c r="CR66" s="457" t="s">
        <v>3347</v>
      </c>
      <c r="CS66" s="154"/>
      <c r="CT66" s="359" t="s">
        <v>266</v>
      </c>
      <c r="CU66" s="359" t="s">
        <v>3896</v>
      </c>
      <c r="CV66" s="359" t="s">
        <v>3897</v>
      </c>
      <c r="CW66" s="359" t="s">
        <v>3898</v>
      </c>
      <c r="CX66" s="359" t="s">
        <v>3899</v>
      </c>
      <c r="CY66" s="359" t="s">
        <v>3900</v>
      </c>
      <c r="CZ66" s="539" t="s">
        <v>3901</v>
      </c>
      <c r="DA66" s="359" t="s">
        <v>3902</v>
      </c>
      <c r="DB66" s="359" t="s">
        <v>3903</v>
      </c>
      <c r="DC66" s="359" t="s">
        <v>2290</v>
      </c>
      <c r="DD66" s="359" t="s">
        <v>2515</v>
      </c>
      <c r="DE66" s="359" t="s">
        <v>3404</v>
      </c>
      <c r="DF66" s="359"/>
      <c r="DG66" s="366" t="s">
        <v>1910</v>
      </c>
      <c r="DH66" s="366"/>
      <c r="DI66" s="366" t="s">
        <v>3904</v>
      </c>
      <c r="DJ66" s="366" t="s">
        <v>3905</v>
      </c>
      <c r="DK66" s="366" t="s">
        <v>2594</v>
      </c>
      <c r="DL66" s="366" t="s">
        <v>695</v>
      </c>
      <c r="DM66" s="366" t="s">
        <v>3906</v>
      </c>
      <c r="DN66" s="366" t="s">
        <v>3907</v>
      </c>
      <c r="DO66" s="366" t="s">
        <v>3633</v>
      </c>
      <c r="DP66" s="366" t="s">
        <v>3704</v>
      </c>
      <c r="DQ66" s="366" t="s">
        <v>3209</v>
      </c>
      <c r="DR66" s="366" t="s">
        <v>3398</v>
      </c>
      <c r="DS66" s="366" t="s">
        <v>3908</v>
      </c>
      <c r="DT66" s="540" t="s">
        <v>3909</v>
      </c>
      <c r="DU66" s="541" t="s">
        <v>638</v>
      </c>
      <c r="DV66" s="366" t="s">
        <v>3910</v>
      </c>
      <c r="DW66" s="366" t="s">
        <v>3178</v>
      </c>
      <c r="DX66" s="366" t="s">
        <v>3601</v>
      </c>
      <c r="DY66" s="366" t="s">
        <v>2148</v>
      </c>
      <c r="DZ66" s="366" t="s">
        <v>3788</v>
      </c>
      <c r="EA66" s="366" t="s">
        <v>1831</v>
      </c>
      <c r="EB66" s="316" t="s">
        <v>3911</v>
      </c>
    </row>
    <row r="67">
      <c r="A67" s="542" t="s">
        <v>3912</v>
      </c>
      <c r="B67" s="82" t="s">
        <v>3913</v>
      </c>
      <c r="C67" s="83" t="s">
        <v>1418</v>
      </c>
      <c r="D67" s="84" t="s">
        <v>1418</v>
      </c>
      <c r="E67" s="85" t="s">
        <v>1418</v>
      </c>
      <c r="F67" s="86" t="s">
        <v>987</v>
      </c>
      <c r="G67" s="82" t="s">
        <v>2870</v>
      </c>
      <c r="H67" s="88" t="s">
        <v>3391</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3023</v>
      </c>
      <c r="AF67" s="93" t="s">
        <v>1433</v>
      </c>
      <c r="AG67" s="93" t="s">
        <v>3928</v>
      </c>
      <c r="AH67" s="93"/>
      <c r="AI67" s="93" t="s">
        <v>3263</v>
      </c>
      <c r="AJ67" s="93" t="s">
        <v>3929</v>
      </c>
      <c r="AK67" s="96"/>
      <c r="AL67" s="93" t="s">
        <v>998</v>
      </c>
      <c r="AM67" s="93" t="s">
        <v>3930</v>
      </c>
      <c r="AN67" s="93" t="s">
        <v>3931</v>
      </c>
      <c r="AO67" s="93" t="s">
        <v>990</v>
      </c>
      <c r="AP67" s="93" t="s">
        <v>3932</v>
      </c>
      <c r="AQ67" s="93" t="s">
        <v>172</v>
      </c>
      <c r="AR67" s="93" t="s">
        <v>3933</v>
      </c>
      <c r="AS67" s="93" t="s">
        <v>3934</v>
      </c>
      <c r="AT67" s="93" t="s">
        <v>572</v>
      </c>
      <c r="AU67" s="93" t="s">
        <v>3935</v>
      </c>
      <c r="AV67" s="93" t="s">
        <v>3936</v>
      </c>
      <c r="AW67" s="93" t="s">
        <v>3937</v>
      </c>
      <c r="AX67" s="88" t="s">
        <v>554</v>
      </c>
      <c r="AY67" s="93" t="s">
        <v>3938</v>
      </c>
      <c r="AZ67" s="98"/>
      <c r="BA67" s="93" t="s">
        <v>198</v>
      </c>
      <c r="BB67" s="93" t="s">
        <v>3939</v>
      </c>
      <c r="BC67" s="93" t="s">
        <v>1800</v>
      </c>
      <c r="BD67" s="88" t="s">
        <v>867</v>
      </c>
      <c r="BE67" s="93" t="s">
        <v>2809</v>
      </c>
      <c r="BF67" s="93" t="s">
        <v>3940</v>
      </c>
      <c r="BG67" s="93" t="s">
        <v>3941</v>
      </c>
      <c r="BH67" s="93" t="s">
        <v>2507</v>
      </c>
      <c r="BI67" s="93" t="s">
        <v>2895</v>
      </c>
      <c r="BJ67" s="93"/>
      <c r="BK67" s="93" t="s">
        <v>3942</v>
      </c>
      <c r="BL67" s="93" t="s">
        <v>1530</v>
      </c>
      <c r="BM67" s="93" t="s">
        <v>2597</v>
      </c>
      <c r="BN67" s="93" t="s">
        <v>3943</v>
      </c>
      <c r="BO67" s="93" t="s">
        <v>3944</v>
      </c>
      <c r="BP67" s="99"/>
      <c r="BQ67" s="93" t="s">
        <v>3945</v>
      </c>
      <c r="BR67" s="88" t="s">
        <v>3946</v>
      </c>
      <c r="BS67" s="93" t="s">
        <v>3814</v>
      </c>
      <c r="BT67" s="93" t="s">
        <v>3947</v>
      </c>
      <c r="BU67" s="93" t="s">
        <v>3569</v>
      </c>
      <c r="BV67" s="93" t="s">
        <v>1625</v>
      </c>
      <c r="BW67" s="93" t="s">
        <v>3948</v>
      </c>
      <c r="BX67" s="93" t="s">
        <v>3949</v>
      </c>
      <c r="BY67" s="98"/>
      <c r="BZ67" s="93" t="s">
        <v>3950</v>
      </c>
      <c r="CA67" s="93" t="s">
        <v>3951</v>
      </c>
      <c r="CB67" s="93" t="s">
        <v>842</v>
      </c>
      <c r="CC67" s="93" t="s">
        <v>2174</v>
      </c>
      <c r="CD67" s="93" t="s">
        <v>3952</v>
      </c>
      <c r="CE67" s="261"/>
      <c r="CF67" s="543">
        <v>55.85</v>
      </c>
      <c r="CG67" s="93" t="s">
        <v>241</v>
      </c>
      <c r="CH67" s="93" t="s">
        <v>3953</v>
      </c>
      <c r="CI67" s="93" t="s">
        <v>2909</v>
      </c>
      <c r="CJ67" s="93" t="s">
        <v>2246</v>
      </c>
      <c r="CK67" s="93" t="s">
        <v>3954</v>
      </c>
      <c r="CL67" s="93" t="s">
        <v>2527</v>
      </c>
      <c r="CM67" s="209" t="s">
        <v>3955</v>
      </c>
      <c r="CN67" s="93" t="s">
        <v>3956</v>
      </c>
      <c r="CO67" s="93" t="s">
        <v>3957</v>
      </c>
      <c r="CP67" s="98"/>
      <c r="CQ67" s="93" t="s">
        <v>3958</v>
      </c>
      <c r="CR67" s="93" t="s">
        <v>3959</v>
      </c>
      <c r="CS67" s="92"/>
      <c r="CT67" s="93" t="s">
        <v>3960</v>
      </c>
      <c r="CU67" s="88" t="s">
        <v>1689</v>
      </c>
      <c r="CV67" s="97" t="str">
        <f>HYPERLINK("https://youtu.be/1NiHXh4G_7o","31.54")</f>
        <v>31.54</v>
      </c>
      <c r="CW67" s="93" t="s">
        <v>3961</v>
      </c>
      <c r="CX67" s="93" t="s">
        <v>3962</v>
      </c>
      <c r="CY67" s="93" t="s">
        <v>3963</v>
      </c>
      <c r="CZ67" s="93" t="s">
        <v>3964</v>
      </c>
      <c r="DA67" s="88" t="s">
        <v>3965</v>
      </c>
      <c r="DB67" s="93" t="s">
        <v>3966</v>
      </c>
      <c r="DC67" s="93" t="s">
        <v>3967</v>
      </c>
      <c r="DD67" s="93" t="s">
        <v>1224</v>
      </c>
      <c r="DE67" s="93" t="s">
        <v>3968</v>
      </c>
      <c r="DF67" s="261"/>
      <c r="DG67" s="88" t="s">
        <v>3969</v>
      </c>
      <c r="DH67" s="93"/>
      <c r="DI67" s="93" t="s">
        <v>1873</v>
      </c>
      <c r="DJ67" s="93" t="s">
        <v>3970</v>
      </c>
      <c r="DK67" s="93" t="s">
        <v>3971</v>
      </c>
      <c r="DL67" s="93" t="s">
        <v>695</v>
      </c>
      <c r="DM67" s="93" t="s">
        <v>3972</v>
      </c>
      <c r="DN67" s="93" t="s">
        <v>3973</v>
      </c>
      <c r="DO67" s="93" t="s">
        <v>3974</v>
      </c>
      <c r="DP67" s="93" t="s">
        <v>1953</v>
      </c>
      <c r="DQ67" s="88" t="s">
        <v>2985</v>
      </c>
      <c r="DR67" s="93" t="s">
        <v>444</v>
      </c>
      <c r="DS67" s="93" t="s">
        <v>3132</v>
      </c>
      <c r="DT67" s="93" t="s">
        <v>3975</v>
      </c>
      <c r="DU67" s="93" t="s">
        <v>3976</v>
      </c>
      <c r="DV67" s="93" t="s">
        <v>377</v>
      </c>
      <c r="DW67" s="544" t="s">
        <v>3057</v>
      </c>
      <c r="DX67" s="93" t="s">
        <v>3977</v>
      </c>
      <c r="DY67" s="93" t="s">
        <v>3978</v>
      </c>
      <c r="DZ67" s="93" t="s">
        <v>1919</v>
      </c>
      <c r="EA67" s="93" t="s">
        <v>3979</v>
      </c>
      <c r="EB67" s="285" t="s">
        <v>3980</v>
      </c>
    </row>
    <row r="68">
      <c r="A68" s="165" t="s">
        <v>3981</v>
      </c>
      <c r="B68" s="103" t="s">
        <v>3982</v>
      </c>
      <c r="C68" s="104" t="s">
        <v>1418</v>
      </c>
      <c r="D68" s="105" t="s">
        <v>545</v>
      </c>
      <c r="E68" s="106" t="s">
        <v>1418</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3294</v>
      </c>
      <c r="T68" s="222"/>
      <c r="U68" s="112" t="s">
        <v>1220</v>
      </c>
      <c r="V68" s="166" t="s">
        <v>3991</v>
      </c>
      <c r="W68" s="92"/>
      <c r="X68" s="116" t="s">
        <v>3992</v>
      </c>
      <c r="Y68" s="197" t="s">
        <v>1010</v>
      </c>
      <c r="Z68" s="197" t="s">
        <v>3993</v>
      </c>
      <c r="AA68" s="116" t="s">
        <v>3717</v>
      </c>
      <c r="AB68" s="116" t="s">
        <v>3994</v>
      </c>
      <c r="AC68" s="197" t="s">
        <v>3995</v>
      </c>
      <c r="AD68" s="197"/>
      <c r="AE68" s="197" t="s">
        <v>3996</v>
      </c>
      <c r="AF68" s="197" t="s">
        <v>2273</v>
      </c>
      <c r="AG68" s="197" t="s">
        <v>3997</v>
      </c>
      <c r="AH68" s="197"/>
      <c r="AI68" s="197" t="s">
        <v>3998</v>
      </c>
      <c r="AJ68" s="116" t="s">
        <v>700</v>
      </c>
      <c r="AK68" s="96"/>
      <c r="AL68" s="167" t="s">
        <v>3458</v>
      </c>
      <c r="AM68" s="121" t="s">
        <v>3809</v>
      </c>
      <c r="AN68" s="167" t="s">
        <v>3999</v>
      </c>
      <c r="AO68" s="167" t="s">
        <v>4000</v>
      </c>
      <c r="AP68" s="167" t="s">
        <v>4001</v>
      </c>
      <c r="AQ68" s="167" t="s">
        <v>2626</v>
      </c>
      <c r="AR68" s="271"/>
      <c r="AS68" s="271"/>
      <c r="AT68" s="167" t="s">
        <v>1946</v>
      </c>
      <c r="AU68" s="167" t="s">
        <v>1056</v>
      </c>
      <c r="AV68" s="167" t="s">
        <v>1747</v>
      </c>
      <c r="AW68" s="271"/>
      <c r="AX68" s="121" t="s">
        <v>4002</v>
      </c>
      <c r="AY68" s="167" t="s">
        <v>4003</v>
      </c>
      <c r="AZ68" s="167"/>
      <c r="BA68" s="127" t="s">
        <v>2020</v>
      </c>
      <c r="BB68" s="173" t="s">
        <v>1478</v>
      </c>
      <c r="BC68" s="127" t="s">
        <v>1304</v>
      </c>
      <c r="BD68" s="127" t="s">
        <v>3494</v>
      </c>
      <c r="BE68" s="171" t="s">
        <v>4004</v>
      </c>
      <c r="BF68" s="173" t="s">
        <v>2267</v>
      </c>
      <c r="BG68" s="173" t="s">
        <v>1838</v>
      </c>
      <c r="BH68" s="173" t="s">
        <v>3002</v>
      </c>
      <c r="BI68" s="173" t="s">
        <v>4005</v>
      </c>
      <c r="BJ68" s="171" t="s">
        <v>4006</v>
      </c>
      <c r="BK68" s="173" t="s">
        <v>3846</v>
      </c>
      <c r="BL68" s="127" t="s">
        <v>4007</v>
      </c>
      <c r="BM68" s="127" t="s">
        <v>4008</v>
      </c>
      <c r="BN68" s="173" t="s">
        <v>4009</v>
      </c>
      <c r="BO68" s="173" t="s">
        <v>4010</v>
      </c>
      <c r="BP68" s="173"/>
      <c r="BQ68" s="130" t="s">
        <v>3085</v>
      </c>
      <c r="BR68" s="174" t="s">
        <v>2292</v>
      </c>
      <c r="BS68" s="130" t="s">
        <v>3848</v>
      </c>
      <c r="BT68" s="308" t="s">
        <v>3557</v>
      </c>
      <c r="BU68" s="174" t="s">
        <v>4011</v>
      </c>
      <c r="BV68" s="308" t="s">
        <v>3816</v>
      </c>
      <c r="BW68" s="276"/>
      <c r="BX68" s="174" t="s">
        <v>4012</v>
      </c>
      <c r="BY68" s="174" t="s">
        <v>4013</v>
      </c>
      <c r="BZ68" s="174" t="s">
        <v>1801</v>
      </c>
      <c r="CA68" s="130" t="s">
        <v>4014</v>
      </c>
      <c r="CB68" s="130" t="s">
        <v>4015</v>
      </c>
      <c r="CC68" s="308" t="s">
        <v>934</v>
      </c>
      <c r="CD68" s="308" t="s">
        <v>4016</v>
      </c>
      <c r="CE68" s="174"/>
      <c r="CF68" s="135" t="s">
        <v>3829</v>
      </c>
      <c r="CG68" s="135" t="s">
        <v>4017</v>
      </c>
      <c r="CH68" s="331" t="s">
        <v>4018</v>
      </c>
      <c r="CI68" s="135" t="s">
        <v>4019</v>
      </c>
      <c r="CJ68" s="136"/>
      <c r="CK68" s="323" t="s">
        <v>4020</v>
      </c>
      <c r="CL68" s="135" t="s">
        <v>4021</v>
      </c>
      <c r="CM68" s="176" t="s">
        <v>4022</v>
      </c>
      <c r="CN68" s="279"/>
      <c r="CO68" s="176" t="s">
        <v>2727</v>
      </c>
      <c r="CP68" s="176" t="s">
        <v>3017</v>
      </c>
      <c r="CQ68" s="176" t="s">
        <v>1695</v>
      </c>
      <c r="CR68" s="176" t="s">
        <v>4023</v>
      </c>
      <c r="CS68" s="92"/>
      <c r="CT68" s="205" t="s">
        <v>4024</v>
      </c>
      <c r="CU68" s="205" t="s">
        <v>4025</v>
      </c>
      <c r="CV68" s="205" t="s">
        <v>3484</v>
      </c>
      <c r="CW68" s="140" t="s">
        <v>4026</v>
      </c>
      <c r="CX68" s="205" t="s">
        <v>4027</v>
      </c>
      <c r="CY68" s="372" t="s">
        <v>4028</v>
      </c>
      <c r="CZ68" s="388" t="s">
        <v>4029</v>
      </c>
      <c r="DA68" s="205" t="s">
        <v>3096</v>
      </c>
      <c r="DB68" s="205" t="s">
        <v>4030</v>
      </c>
      <c r="DC68" s="140" t="s">
        <v>4031</v>
      </c>
      <c r="DD68" s="205" t="s">
        <v>4032</v>
      </c>
      <c r="DE68" s="140" t="s">
        <v>4033</v>
      </c>
      <c r="DF68" s="205"/>
      <c r="DG68" s="206" t="s">
        <v>4034</v>
      </c>
      <c r="DH68" s="206" t="s">
        <v>886</v>
      </c>
      <c r="DI68" s="282"/>
      <c r="DJ68" s="206"/>
      <c r="DK68" s="141" t="s">
        <v>199</v>
      </c>
      <c r="DL68" s="206" t="s">
        <v>4035</v>
      </c>
      <c r="DM68" s="206" t="s">
        <v>596</v>
      </c>
      <c r="DN68" s="206" t="s">
        <v>3155</v>
      </c>
      <c r="DO68" s="282"/>
      <c r="DP68" s="206" t="s">
        <v>4036</v>
      </c>
      <c r="DQ68" s="206" t="s">
        <v>3050</v>
      </c>
      <c r="DR68" s="282"/>
      <c r="DS68" s="206" t="s">
        <v>4037</v>
      </c>
      <c r="DT68" s="206" t="s">
        <v>4038</v>
      </c>
      <c r="DU68" s="206" t="s">
        <v>975</v>
      </c>
      <c r="DV68" s="206" t="s">
        <v>4039</v>
      </c>
      <c r="DW68" s="206" t="s">
        <v>1056</v>
      </c>
      <c r="DX68" s="206" t="s">
        <v>2560</v>
      </c>
      <c r="DY68" s="206" t="s">
        <v>1494</v>
      </c>
      <c r="DZ68" s="206" t="s">
        <v>4040</v>
      </c>
      <c r="EA68" s="145" t="s">
        <v>3326</v>
      </c>
      <c r="EB68" s="316" t="s">
        <v>4041</v>
      </c>
    </row>
    <row r="69">
      <c r="A69" s="148" t="s">
        <v>4042</v>
      </c>
      <c r="B69" s="545" t="s">
        <v>4043</v>
      </c>
      <c r="C69" s="546" t="s">
        <v>1418</v>
      </c>
      <c r="D69" s="547" t="s">
        <v>545</v>
      </c>
      <c r="E69" s="548" t="s">
        <v>545</v>
      </c>
      <c r="F69" s="549" t="s">
        <v>1063</v>
      </c>
      <c r="G69" s="545" t="s">
        <v>1499</v>
      </c>
      <c r="H69" s="550" t="s">
        <v>4044</v>
      </c>
      <c r="I69" s="550" t="s">
        <v>2972</v>
      </c>
      <c r="J69" s="550" t="s">
        <v>4045</v>
      </c>
      <c r="K69" s="550" t="s">
        <v>102</v>
      </c>
      <c r="L69" s="550" t="s">
        <v>1025</v>
      </c>
      <c r="M69" s="550" t="s">
        <v>4046</v>
      </c>
      <c r="N69" s="551" t="s">
        <v>4047</v>
      </c>
      <c r="O69" s="551" t="s">
        <v>4048</v>
      </c>
      <c r="P69" s="550" t="s">
        <v>652</v>
      </c>
      <c r="Q69" s="551"/>
      <c r="R69" s="551"/>
      <c r="S69" s="551"/>
      <c r="T69" s="551"/>
      <c r="U69" s="551"/>
      <c r="V69" s="551"/>
      <c r="W69" s="552"/>
      <c r="X69" s="550" t="s">
        <v>114</v>
      </c>
      <c r="Y69" s="550" t="s">
        <v>3654</v>
      </c>
      <c r="Z69" s="100" t="s">
        <v>1001</v>
      </c>
      <c r="AA69" s="550" t="s">
        <v>4049</v>
      </c>
      <c r="AB69" s="550" t="s">
        <v>755</v>
      </c>
      <c r="AC69" s="551" t="s">
        <v>3995</v>
      </c>
      <c r="AD69" s="550" t="s">
        <v>1076</v>
      </c>
      <c r="AE69" s="551" t="s">
        <v>4050</v>
      </c>
      <c r="AF69" s="550" t="s">
        <v>1433</v>
      </c>
      <c r="AG69" s="551"/>
      <c r="AH69" s="551"/>
      <c r="AI69" s="551"/>
      <c r="AJ69" s="551"/>
      <c r="AK69" s="552"/>
      <c r="AL69" s="553" t="s">
        <v>4051</v>
      </c>
      <c r="AM69" s="550" t="s">
        <v>1946</v>
      </c>
      <c r="AN69" s="551"/>
      <c r="AO69" s="551"/>
      <c r="AP69" s="551"/>
      <c r="AQ69" s="551"/>
      <c r="AR69" s="551" t="s">
        <v>4052</v>
      </c>
      <c r="AS69" s="551"/>
      <c r="AT69" s="550" t="s">
        <v>4053</v>
      </c>
      <c r="AU69" s="550" t="s">
        <v>4054</v>
      </c>
      <c r="AV69" s="551"/>
      <c r="AW69" s="551"/>
      <c r="AX69" s="551"/>
      <c r="AY69" s="551"/>
      <c r="AZ69" s="551"/>
      <c r="BA69" s="550" t="s">
        <v>4055</v>
      </c>
      <c r="BB69" s="550" t="s">
        <v>1360</v>
      </c>
      <c r="BC69" s="551" t="s">
        <v>2318</v>
      </c>
      <c r="BD69" s="551" t="s">
        <v>583</v>
      </c>
      <c r="BE69" s="550" t="s">
        <v>3722</v>
      </c>
      <c r="BF69" s="551"/>
      <c r="BG69" s="551"/>
      <c r="BH69" s="551" t="s">
        <v>2330</v>
      </c>
      <c r="BI69" s="551"/>
      <c r="BJ69" s="551" t="s">
        <v>4056</v>
      </c>
      <c r="BK69" s="551" t="s">
        <v>1430</v>
      </c>
      <c r="BL69" s="551"/>
      <c r="BM69" s="551"/>
      <c r="BN69" s="551"/>
      <c r="BO69" s="551"/>
      <c r="BP69" s="551"/>
      <c r="BQ69" s="551"/>
      <c r="BR69" s="551" t="s">
        <v>2248</v>
      </c>
      <c r="BS69" s="550" t="s">
        <v>2626</v>
      </c>
      <c r="BT69" s="551"/>
      <c r="BU69" s="551"/>
      <c r="BV69" s="551" t="s">
        <v>2009</v>
      </c>
      <c r="BW69" s="551"/>
      <c r="BX69" s="551"/>
      <c r="BY69" s="551"/>
      <c r="BZ69" s="551"/>
      <c r="CA69" s="551"/>
      <c r="CB69" s="551"/>
      <c r="CC69" s="551"/>
      <c r="CD69" s="551"/>
      <c r="CE69" s="98"/>
      <c r="CF69" s="550" t="s">
        <v>4057</v>
      </c>
      <c r="CG69" s="97" t="s">
        <v>1518</v>
      </c>
      <c r="CH69" s="551"/>
      <c r="CI69" s="551"/>
      <c r="CJ69" s="551"/>
      <c r="CK69" s="98"/>
      <c r="CL69" s="550" t="s">
        <v>1079</v>
      </c>
      <c r="CM69" s="551" t="s">
        <v>4058</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4059</v>
      </c>
      <c r="DQ69" s="551"/>
      <c r="DR69" s="551"/>
      <c r="DS69" s="551"/>
      <c r="DT69" s="551"/>
      <c r="DU69" s="550" t="s">
        <v>903</v>
      </c>
      <c r="DV69" s="551"/>
      <c r="DW69" s="551"/>
      <c r="DX69" s="551"/>
      <c r="DY69" s="98"/>
      <c r="DZ69" s="98"/>
      <c r="EA69" s="98"/>
      <c r="EB69" s="551"/>
    </row>
    <row r="70">
      <c r="A70" s="165" t="s">
        <v>4060</v>
      </c>
      <c r="B70" s="103" t="s">
        <v>4061</v>
      </c>
      <c r="C70" s="104" t="s">
        <v>1418</v>
      </c>
      <c r="D70" s="105" t="s">
        <v>1418</v>
      </c>
      <c r="E70" s="106" t="s">
        <v>1418</v>
      </c>
      <c r="F70" s="107" t="s">
        <v>2401</v>
      </c>
      <c r="G70" s="103" t="s">
        <v>740</v>
      </c>
      <c r="H70" s="112" t="s">
        <v>3215</v>
      </c>
      <c r="I70" s="112" t="s">
        <v>4062</v>
      </c>
      <c r="J70" s="112" t="s">
        <v>3275</v>
      </c>
      <c r="K70" s="112" t="s">
        <v>1423</v>
      </c>
      <c r="L70" s="112" t="s">
        <v>411</v>
      </c>
      <c r="M70" s="290" t="s">
        <v>4063</v>
      </c>
      <c r="N70" s="112" t="s">
        <v>4064</v>
      </c>
      <c r="O70" s="112" t="s">
        <v>3336</v>
      </c>
      <c r="P70" s="112" t="s">
        <v>3754</v>
      </c>
      <c r="Q70" s="222"/>
      <c r="R70" s="222"/>
      <c r="S70" s="166" t="s">
        <v>4065</v>
      </c>
      <c r="T70" s="222"/>
      <c r="U70" s="166" t="s">
        <v>1431</v>
      </c>
      <c r="V70" s="222"/>
      <c r="W70" s="92"/>
      <c r="X70" s="116" t="s">
        <v>1394</v>
      </c>
      <c r="Y70" s="116" t="s">
        <v>4066</v>
      </c>
      <c r="Z70" s="116" t="s">
        <v>4067</v>
      </c>
      <c r="AA70" s="196" t="s">
        <v>1115</v>
      </c>
      <c r="AB70" s="116" t="s">
        <v>635</v>
      </c>
      <c r="AC70" s="116" t="s">
        <v>4068</v>
      </c>
      <c r="AD70" s="270"/>
      <c r="AE70" s="116" t="s">
        <v>4069</v>
      </c>
      <c r="AF70" s="116" t="s">
        <v>3841</v>
      </c>
      <c r="AG70" s="270"/>
      <c r="AH70" s="270"/>
      <c r="AI70" s="197" t="s">
        <v>4070</v>
      </c>
      <c r="AJ70" s="270"/>
      <c r="AK70" s="96"/>
      <c r="AL70" s="167" t="s">
        <v>195</v>
      </c>
      <c r="AM70" s="121" t="s">
        <v>3137</v>
      </c>
      <c r="AN70" s="556" t="s">
        <v>4071</v>
      </c>
      <c r="AO70" s="271"/>
      <c r="AP70" s="271"/>
      <c r="AQ70" s="271"/>
      <c r="AR70" s="271"/>
      <c r="AS70" s="271"/>
      <c r="AT70" s="121" t="s">
        <v>1655</v>
      </c>
      <c r="AU70" s="306" t="s">
        <v>731</v>
      </c>
      <c r="AV70" s="271"/>
      <c r="AW70" s="271"/>
      <c r="AX70" s="121" t="s">
        <v>4072</v>
      </c>
      <c r="AY70" s="121" t="s">
        <v>4073</v>
      </c>
      <c r="AZ70" s="271"/>
      <c r="BA70" s="127" t="s">
        <v>4074</v>
      </c>
      <c r="BB70" s="127" t="s">
        <v>4075</v>
      </c>
      <c r="BC70" s="127" t="s">
        <v>4076</v>
      </c>
      <c r="BD70" s="127" t="s">
        <v>4077</v>
      </c>
      <c r="BE70" s="127" t="s">
        <v>2469</v>
      </c>
      <c r="BF70" s="173" t="s">
        <v>442</v>
      </c>
      <c r="BG70" s="173" t="s">
        <v>4078</v>
      </c>
      <c r="BH70" s="329" t="s">
        <v>1387</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3109</v>
      </c>
      <c r="BV70" s="130" t="s">
        <v>1377</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3328</v>
      </c>
      <c r="CM70" s="176" t="s">
        <v>4097</v>
      </c>
      <c r="CN70" s="279"/>
      <c r="CO70" s="135" t="s">
        <v>4098</v>
      </c>
      <c r="CP70" s="279"/>
      <c r="CQ70" s="135" t="s">
        <v>4099</v>
      </c>
      <c r="CR70" s="279"/>
      <c r="CS70" s="92"/>
      <c r="CT70" s="205" t="s">
        <v>1352</v>
      </c>
      <c r="CU70" s="140" t="s">
        <v>1689</v>
      </c>
      <c r="CV70" s="372" t="s">
        <v>2782</v>
      </c>
      <c r="CW70" s="140" t="s">
        <v>2585</v>
      </c>
      <c r="CX70" s="205" t="s">
        <v>4100</v>
      </c>
      <c r="CY70" s="140" t="s">
        <v>2519</v>
      </c>
      <c r="CZ70" s="388" t="s">
        <v>4101</v>
      </c>
      <c r="DA70" s="140" t="s">
        <v>1744</v>
      </c>
      <c r="DB70" s="280"/>
      <c r="DC70" s="140" t="s">
        <v>4102</v>
      </c>
      <c r="DD70" s="205" t="s">
        <v>4103</v>
      </c>
      <c r="DE70" s="280"/>
      <c r="DF70" s="281"/>
      <c r="DG70" s="206" t="s">
        <v>943</v>
      </c>
      <c r="DH70" s="282"/>
      <c r="DI70" s="282"/>
      <c r="DJ70" s="282"/>
      <c r="DK70" s="145" t="s">
        <v>510</v>
      </c>
      <c r="DL70" s="206" t="s">
        <v>2009</v>
      </c>
      <c r="DM70" s="145" t="s">
        <v>1872</v>
      </c>
      <c r="DN70" s="206" t="s">
        <v>890</v>
      </c>
      <c r="DO70" s="282"/>
      <c r="DP70" s="206" t="s">
        <v>4104</v>
      </c>
      <c r="DQ70" s="282"/>
      <c r="DR70" s="206" t="s">
        <v>423</v>
      </c>
      <c r="DS70" s="145" t="s">
        <v>4105</v>
      </c>
      <c r="DT70" s="206" t="s">
        <v>1786</v>
      </c>
      <c r="DU70" s="208" t="s">
        <v>3485</v>
      </c>
      <c r="DV70" s="282"/>
      <c r="DW70" s="208" t="s">
        <v>300</v>
      </c>
      <c r="DX70" s="206" t="s">
        <v>4106</v>
      </c>
      <c r="DY70" s="206" t="s">
        <v>4107</v>
      </c>
      <c r="DZ70" s="145" t="s">
        <v>4108</v>
      </c>
      <c r="EA70" s="145" t="s">
        <v>1880</v>
      </c>
      <c r="EB70" s="142" t="s">
        <v>3008</v>
      </c>
    </row>
    <row r="71">
      <c r="A71" s="81" t="s">
        <v>4109</v>
      </c>
      <c r="B71" s="82" t="s">
        <v>4110</v>
      </c>
      <c r="C71" s="83" t="s">
        <v>1418</v>
      </c>
      <c r="D71" s="84" t="s">
        <v>1418</v>
      </c>
      <c r="E71" s="85" t="s">
        <v>1418</v>
      </c>
      <c r="F71" s="86" t="s">
        <v>2820</v>
      </c>
      <c r="G71" s="82" t="s">
        <v>3214</v>
      </c>
      <c r="H71" s="88" t="s">
        <v>2621</v>
      </c>
      <c r="I71" s="88" t="s">
        <v>4111</v>
      </c>
      <c r="J71" s="88" t="s">
        <v>3889</v>
      </c>
      <c r="K71" s="88" t="s">
        <v>1810</v>
      </c>
      <c r="L71" s="88" t="s">
        <v>4112</v>
      </c>
      <c r="M71" s="88" t="s">
        <v>4113</v>
      </c>
      <c r="N71" s="88" t="s">
        <v>4114</v>
      </c>
      <c r="O71" s="88" t="s">
        <v>2116</v>
      </c>
      <c r="P71" s="88" t="s">
        <v>107</v>
      </c>
      <c r="Q71" s="98"/>
      <c r="R71" s="98"/>
      <c r="S71" s="98"/>
      <c r="T71" s="98"/>
      <c r="U71" s="98"/>
      <c r="V71" s="98"/>
      <c r="W71" s="92"/>
      <c r="X71" s="88" t="s">
        <v>3612</v>
      </c>
      <c r="Y71" s="88" t="s">
        <v>2705</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3064</v>
      </c>
      <c r="AU71" s="88" t="s">
        <v>410</v>
      </c>
      <c r="AV71" s="98"/>
      <c r="AW71" s="98"/>
      <c r="AX71" s="98"/>
      <c r="AY71" s="98"/>
      <c r="AZ71" s="98"/>
      <c r="BA71" s="88" t="s">
        <v>2767</v>
      </c>
      <c r="BB71" s="88" t="s">
        <v>310</v>
      </c>
      <c r="BC71" s="88" t="s">
        <v>1016</v>
      </c>
      <c r="BD71" s="88" t="s">
        <v>4123</v>
      </c>
      <c r="BE71" s="88" t="s">
        <v>4124</v>
      </c>
      <c r="BF71" s="88" t="s">
        <v>3055</v>
      </c>
      <c r="BG71" s="88" t="s">
        <v>4125</v>
      </c>
      <c r="BH71" s="88" t="s">
        <v>2309</v>
      </c>
      <c r="BI71" s="88" t="s">
        <v>4126</v>
      </c>
      <c r="BJ71" s="88" t="s">
        <v>4127</v>
      </c>
      <c r="BK71" s="88" t="s">
        <v>3846</v>
      </c>
      <c r="BL71" s="88" t="s">
        <v>4128</v>
      </c>
      <c r="BM71" s="88" t="s">
        <v>4008</v>
      </c>
      <c r="BN71" s="88" t="s">
        <v>4129</v>
      </c>
      <c r="BO71" s="98"/>
      <c r="BP71" s="261"/>
      <c r="BQ71" s="88" t="s">
        <v>4130</v>
      </c>
      <c r="BR71" s="88" t="s">
        <v>4020</v>
      </c>
      <c r="BS71" s="88" t="s">
        <v>3768</v>
      </c>
      <c r="BT71" s="88" t="s">
        <v>3143</v>
      </c>
      <c r="BU71" s="88" t="s">
        <v>1470</v>
      </c>
      <c r="BV71" s="88" t="s">
        <v>1126</v>
      </c>
      <c r="BW71" s="88" t="s">
        <v>4131</v>
      </c>
      <c r="BX71" s="88" t="s">
        <v>4132</v>
      </c>
      <c r="BY71" s="98"/>
      <c r="BZ71" s="88" t="s">
        <v>2600</v>
      </c>
      <c r="CA71" s="98"/>
      <c r="CB71" s="98"/>
      <c r="CC71" s="88" t="s">
        <v>4133</v>
      </c>
      <c r="CD71" s="98"/>
      <c r="CE71" s="261"/>
      <c r="CF71" s="88" t="s">
        <v>4134</v>
      </c>
      <c r="CG71" s="88" t="s">
        <v>4135</v>
      </c>
      <c r="CH71" s="88" t="s">
        <v>2210</v>
      </c>
      <c r="CI71" s="88" t="s">
        <v>4136</v>
      </c>
      <c r="CJ71" s="88" t="s">
        <v>3041</v>
      </c>
      <c r="CK71" s="88" t="s">
        <v>369</v>
      </c>
      <c r="CL71" s="88" t="s">
        <v>1606</v>
      </c>
      <c r="CM71" s="88" t="s">
        <v>4137</v>
      </c>
      <c r="CN71" s="98"/>
      <c r="CO71" s="98"/>
      <c r="CP71" s="98"/>
      <c r="CQ71" s="98"/>
      <c r="CR71" s="98"/>
      <c r="CS71" s="92"/>
      <c r="CT71" s="88" t="s">
        <v>1864</v>
      </c>
      <c r="CU71" s="88" t="s">
        <v>550</v>
      </c>
      <c r="CV71" s="88" t="s">
        <v>4138</v>
      </c>
      <c r="CW71" s="88" t="s">
        <v>4139</v>
      </c>
      <c r="CX71" s="88" t="s">
        <v>4140</v>
      </c>
      <c r="CY71" s="88" t="s">
        <v>1831</v>
      </c>
      <c r="CZ71" s="88" t="s">
        <v>4141</v>
      </c>
      <c r="DA71" s="88" t="s">
        <v>4142</v>
      </c>
      <c r="DB71" s="98"/>
      <c r="DC71" s="98"/>
      <c r="DD71" s="88" t="s">
        <v>2409</v>
      </c>
      <c r="DE71" s="98"/>
      <c r="DF71" s="261"/>
      <c r="DG71" s="98"/>
      <c r="DH71" s="98"/>
      <c r="DI71" s="93" t="s">
        <v>3813</v>
      </c>
      <c r="DJ71" s="98"/>
      <c r="DK71" s="88" t="s">
        <v>528</v>
      </c>
      <c r="DL71" s="88" t="s">
        <v>4143</v>
      </c>
      <c r="DM71" s="93" t="s">
        <v>4144</v>
      </c>
      <c r="DN71" s="93" t="s">
        <v>3654</v>
      </c>
      <c r="DO71" s="98"/>
      <c r="DP71" s="88" t="s">
        <v>4145</v>
      </c>
      <c r="DQ71" s="88" t="s">
        <v>3713</v>
      </c>
      <c r="DR71" s="93" t="s">
        <v>4146</v>
      </c>
      <c r="DS71" s="93" t="s">
        <v>1879</v>
      </c>
      <c r="DT71" s="93" t="s">
        <v>4147</v>
      </c>
      <c r="DU71" s="88" t="s">
        <v>1712</v>
      </c>
      <c r="DV71" s="93" t="s">
        <v>3547</v>
      </c>
      <c r="DW71" s="93" t="s">
        <v>1549</v>
      </c>
      <c r="DX71" s="88" t="s">
        <v>4148</v>
      </c>
      <c r="DY71" s="88" t="s">
        <v>2173</v>
      </c>
      <c r="DZ71" s="93" t="s">
        <v>4149</v>
      </c>
      <c r="EA71" s="93" t="s">
        <v>1601</v>
      </c>
      <c r="EB71" s="557" t="s">
        <v>4150</v>
      </c>
    </row>
    <row r="72">
      <c r="A72" s="165" t="s">
        <v>4151</v>
      </c>
      <c r="B72" s="103" t="s">
        <v>4152</v>
      </c>
      <c r="C72" s="104" t="s">
        <v>1418</v>
      </c>
      <c r="D72" s="105" t="s">
        <v>1418</v>
      </c>
      <c r="E72" s="106" t="s">
        <v>1418</v>
      </c>
      <c r="F72" s="107" t="s">
        <v>1418</v>
      </c>
      <c r="G72" s="103" t="s">
        <v>4153</v>
      </c>
      <c r="H72" s="166" t="s">
        <v>1280</v>
      </c>
      <c r="I72" s="166" t="s">
        <v>4154</v>
      </c>
      <c r="J72" s="166" t="s">
        <v>4155</v>
      </c>
      <c r="K72" s="166" t="s">
        <v>3056</v>
      </c>
      <c r="L72" s="166" t="s">
        <v>3362</v>
      </c>
      <c r="M72" s="166" t="s">
        <v>521</v>
      </c>
      <c r="N72" s="166" t="s">
        <v>4156</v>
      </c>
      <c r="O72" s="166" t="s">
        <v>4157</v>
      </c>
      <c r="P72" s="166" t="s">
        <v>4158</v>
      </c>
      <c r="Q72" s="166" t="s">
        <v>4159</v>
      </c>
      <c r="R72" s="222"/>
      <c r="S72" s="166" t="s">
        <v>4160</v>
      </c>
      <c r="T72" s="222"/>
      <c r="U72" s="222"/>
      <c r="V72" s="166" t="s">
        <v>4161</v>
      </c>
      <c r="W72" s="92"/>
      <c r="X72" s="197" t="s">
        <v>1280</v>
      </c>
      <c r="Y72" s="197" t="s">
        <v>721</v>
      </c>
      <c r="Z72" s="197" t="s">
        <v>1776</v>
      </c>
      <c r="AA72" s="197" t="s">
        <v>4162</v>
      </c>
      <c r="AB72" s="197" t="s">
        <v>4163</v>
      </c>
      <c r="AC72" s="197" t="s">
        <v>1740</v>
      </c>
      <c r="AD72" s="197"/>
      <c r="AE72" s="197" t="s">
        <v>793</v>
      </c>
      <c r="AF72" s="197" t="s">
        <v>4164</v>
      </c>
      <c r="AG72" s="197" t="s">
        <v>2345</v>
      </c>
      <c r="AH72" s="197"/>
      <c r="AI72" s="197" t="s">
        <v>4165</v>
      </c>
      <c r="AJ72" s="197" t="s">
        <v>2574</v>
      </c>
      <c r="AK72" s="96"/>
      <c r="AL72" s="167" t="s">
        <v>3781</v>
      </c>
      <c r="AM72" s="167" t="s">
        <v>3406</v>
      </c>
      <c r="AN72" s="167" t="s">
        <v>4166</v>
      </c>
      <c r="AO72" s="167" t="s">
        <v>4167</v>
      </c>
      <c r="AP72" s="167" t="s">
        <v>365</v>
      </c>
      <c r="AQ72" s="167"/>
      <c r="AR72" s="167" t="s">
        <v>338</v>
      </c>
      <c r="AS72" s="167" t="s">
        <v>4168</v>
      </c>
      <c r="AT72" s="167" t="s">
        <v>815</v>
      </c>
      <c r="AU72" s="167" t="s">
        <v>840</v>
      </c>
      <c r="AV72" s="167" t="s">
        <v>4169</v>
      </c>
      <c r="AW72" s="271"/>
      <c r="AX72" s="271"/>
      <c r="AY72" s="167" t="s">
        <v>4170</v>
      </c>
      <c r="AZ72" s="167"/>
      <c r="BA72" s="173" t="s">
        <v>2248</v>
      </c>
      <c r="BB72" s="173" t="s">
        <v>2748</v>
      </c>
      <c r="BC72" s="173" t="s">
        <v>2631</v>
      </c>
      <c r="BD72" s="173" t="s">
        <v>4171</v>
      </c>
      <c r="BE72" s="173" t="s">
        <v>4172</v>
      </c>
      <c r="BF72" s="173" t="s">
        <v>412</v>
      </c>
      <c r="BG72" s="173" t="s">
        <v>4173</v>
      </c>
      <c r="BH72" s="173" t="s">
        <v>4174</v>
      </c>
      <c r="BI72" s="173" t="s">
        <v>4175</v>
      </c>
      <c r="BJ72" s="173" t="s">
        <v>4176</v>
      </c>
      <c r="BK72" s="173" t="s">
        <v>3618</v>
      </c>
      <c r="BL72" s="173" t="s">
        <v>4177</v>
      </c>
      <c r="BM72" s="172"/>
      <c r="BN72" s="172"/>
      <c r="BO72" s="172"/>
      <c r="BP72" s="273"/>
      <c r="BQ72" s="174" t="s">
        <v>4178</v>
      </c>
      <c r="BR72" s="174" t="s">
        <v>4179</v>
      </c>
      <c r="BS72" s="174" t="s">
        <v>4180</v>
      </c>
      <c r="BT72" s="174" t="s">
        <v>4108</v>
      </c>
      <c r="BU72" s="174" t="s">
        <v>4181</v>
      </c>
      <c r="BV72" s="174" t="s">
        <v>1515</v>
      </c>
      <c r="BW72" s="174" t="s">
        <v>1396</v>
      </c>
      <c r="BX72" s="174" t="s">
        <v>4182</v>
      </c>
      <c r="BY72" s="174" t="s">
        <v>4183</v>
      </c>
      <c r="BZ72" s="174" t="s">
        <v>3695</v>
      </c>
      <c r="CA72" s="174" t="s">
        <v>4184</v>
      </c>
      <c r="CB72" s="276"/>
      <c r="CC72" s="276"/>
      <c r="CD72" s="276"/>
      <c r="CE72" s="277"/>
      <c r="CF72" s="176" t="s">
        <v>4185</v>
      </c>
      <c r="CG72" s="176" t="s">
        <v>4186</v>
      </c>
      <c r="CH72" s="176" t="s">
        <v>4187</v>
      </c>
      <c r="CI72" s="176" t="s">
        <v>4188</v>
      </c>
      <c r="CJ72" s="176" t="s">
        <v>1330</v>
      </c>
      <c r="CK72" s="176" t="s">
        <v>1442</v>
      </c>
      <c r="CL72" s="176" t="s">
        <v>977</v>
      </c>
      <c r="CM72" s="176" t="s">
        <v>3620</v>
      </c>
      <c r="CN72" s="176" t="s">
        <v>4189</v>
      </c>
      <c r="CO72" s="176" t="s">
        <v>4190</v>
      </c>
      <c r="CP72" s="279"/>
      <c r="CQ72" s="279"/>
      <c r="CR72" s="279"/>
      <c r="CS72" s="92"/>
      <c r="CT72" s="205" t="s">
        <v>4191</v>
      </c>
      <c r="CU72" s="205" t="s">
        <v>4192</v>
      </c>
      <c r="CV72" s="205" t="s">
        <v>4193</v>
      </c>
      <c r="CW72" s="205" t="s">
        <v>2465</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1594</v>
      </c>
      <c r="DN72" s="206" t="s">
        <v>1014</v>
      </c>
      <c r="DO72" s="206" t="s">
        <v>4201</v>
      </c>
      <c r="DP72" s="206" t="s">
        <v>2211</v>
      </c>
      <c r="DQ72" s="206" t="s">
        <v>3660</v>
      </c>
      <c r="DR72" s="206" t="s">
        <v>4025</v>
      </c>
      <c r="DS72" s="206" t="s">
        <v>4202</v>
      </c>
      <c r="DT72" s="206" t="s">
        <v>4203</v>
      </c>
      <c r="DU72" s="206" t="s">
        <v>897</v>
      </c>
      <c r="DV72" s="206" t="s">
        <v>681</v>
      </c>
      <c r="DW72" s="206" t="s">
        <v>1381</v>
      </c>
      <c r="DX72" s="206" t="s">
        <v>4048</v>
      </c>
      <c r="DY72" s="206" t="s">
        <v>4204</v>
      </c>
      <c r="DZ72" s="206" t="s">
        <v>3578</v>
      </c>
      <c r="EA72" s="206" t="s">
        <v>4205</v>
      </c>
      <c r="EB72" s="316" t="s">
        <v>4206</v>
      </c>
    </row>
    <row r="73">
      <c r="A73" s="81" t="s">
        <v>4207</v>
      </c>
      <c r="B73" s="82" t="s">
        <v>4208</v>
      </c>
      <c r="C73" s="83" t="s">
        <v>913</v>
      </c>
      <c r="D73" s="84" t="s">
        <v>1418</v>
      </c>
      <c r="E73" s="85" t="s">
        <v>1418</v>
      </c>
      <c r="F73" s="86" t="s">
        <v>3983</v>
      </c>
      <c r="G73" s="82" t="s">
        <v>2604</v>
      </c>
      <c r="H73" s="88" t="s">
        <v>4044</v>
      </c>
      <c r="I73" s="98"/>
      <c r="J73" s="98"/>
      <c r="K73" s="98"/>
      <c r="L73" s="93" t="s">
        <v>345</v>
      </c>
      <c r="M73" s="98"/>
      <c r="N73" s="98"/>
      <c r="O73" s="93" t="s">
        <v>4209</v>
      </c>
      <c r="P73" s="93" t="s">
        <v>2828</v>
      </c>
      <c r="Q73" s="97" t="s">
        <v>232</v>
      </c>
      <c r="R73" s="98"/>
      <c r="S73" s="98"/>
      <c r="T73" s="93" t="s">
        <v>2265</v>
      </c>
      <c r="U73" s="93" t="s">
        <v>3596</v>
      </c>
      <c r="V73" s="87" t="s">
        <v>4210</v>
      </c>
      <c r="W73" s="92"/>
      <c r="X73" s="98"/>
      <c r="Y73" s="93" t="s">
        <v>3019</v>
      </c>
      <c r="Z73" s="97" t="str">
        <f>HYPERLINK("https://youtu.be/esd_xoh2Wlk","14.77")</f>
        <v>14.77</v>
      </c>
      <c r="AA73" s="98"/>
      <c r="AB73" s="88" t="s">
        <v>3513</v>
      </c>
      <c r="AC73" s="93" t="s">
        <v>4211</v>
      </c>
      <c r="AD73" s="98"/>
      <c r="AE73" s="98"/>
      <c r="AF73" s="93" t="s">
        <v>3721</v>
      </c>
      <c r="AG73" s="93" t="s">
        <v>3432</v>
      </c>
      <c r="AH73" s="93"/>
      <c r="AI73" s="93" t="s">
        <v>4212</v>
      </c>
      <c r="AJ73" s="87" t="s">
        <v>4213</v>
      </c>
      <c r="AK73" s="96"/>
      <c r="AL73" s="98"/>
      <c r="AM73" s="98"/>
      <c r="AN73" s="88" t="s">
        <v>4214</v>
      </c>
      <c r="AO73" s="98"/>
      <c r="AP73" s="161" t="s">
        <v>374</v>
      </c>
      <c r="AQ73" s="88" t="s">
        <v>2361</v>
      </c>
      <c r="AR73" s="98"/>
      <c r="AS73" s="93" t="s">
        <v>3719</v>
      </c>
      <c r="AT73" s="93" t="s">
        <v>4215</v>
      </c>
      <c r="AU73" s="88" t="s">
        <v>958</v>
      </c>
      <c r="AV73" s="88" t="s">
        <v>1778</v>
      </c>
      <c r="AW73" s="98"/>
      <c r="AX73" s="98"/>
      <c r="AY73" s="87" t="s">
        <v>4216</v>
      </c>
      <c r="AZ73" s="98"/>
      <c r="BA73" s="98"/>
      <c r="BB73" s="98"/>
      <c r="BC73" s="93"/>
      <c r="BD73" s="88" t="s">
        <v>3638</v>
      </c>
      <c r="BE73" s="98"/>
      <c r="BF73" s="88" t="s">
        <v>1995</v>
      </c>
      <c r="BG73" s="98"/>
      <c r="BH73" s="88" t="s">
        <v>2532</v>
      </c>
      <c r="BI73" s="98"/>
      <c r="BJ73" s="98"/>
      <c r="BK73" s="93" t="s">
        <v>2723</v>
      </c>
      <c r="BL73" s="98"/>
      <c r="BM73" s="98"/>
      <c r="BN73" s="98"/>
      <c r="BO73" s="87" t="s">
        <v>4217</v>
      </c>
      <c r="BP73" s="93"/>
      <c r="BQ73" s="98"/>
      <c r="BR73" s="98"/>
      <c r="BS73" s="93" t="s">
        <v>4218</v>
      </c>
      <c r="BT73" s="93" t="s">
        <v>4219</v>
      </c>
      <c r="BU73" s="98"/>
      <c r="BV73" s="93" t="s">
        <v>983</v>
      </c>
      <c r="BW73" s="98"/>
      <c r="BX73" s="98"/>
      <c r="BY73" s="98"/>
      <c r="BZ73" s="98"/>
      <c r="CA73" s="88" t="s">
        <v>4220</v>
      </c>
      <c r="CB73" s="93" t="s">
        <v>1598</v>
      </c>
      <c r="CC73" s="93" t="s">
        <v>372</v>
      </c>
      <c r="CD73" s="87" t="s">
        <v>4221</v>
      </c>
      <c r="CE73" s="99"/>
      <c r="CF73" s="93" t="s">
        <v>2947</v>
      </c>
      <c r="CG73" s="88" t="s">
        <v>3254</v>
      </c>
      <c r="CH73" s="295" t="s">
        <v>3897</v>
      </c>
      <c r="CI73" s="93" t="s">
        <v>2740</v>
      </c>
      <c r="CJ73" s="93" t="s">
        <v>3140</v>
      </c>
      <c r="CK73" s="93" t="s">
        <v>1157</v>
      </c>
      <c r="CL73" s="93" t="s">
        <v>4222</v>
      </c>
      <c r="CM73" s="98"/>
      <c r="CN73" s="98"/>
      <c r="CO73" s="161" t="s">
        <v>1819</v>
      </c>
      <c r="CP73" s="98"/>
      <c r="CQ73" s="98"/>
      <c r="CR73" s="87" t="s">
        <v>4223</v>
      </c>
      <c r="CS73" s="92"/>
      <c r="CT73" s="98"/>
      <c r="CU73" s="98"/>
      <c r="CV73" s="98"/>
      <c r="CW73" s="98"/>
      <c r="CX73" s="98"/>
      <c r="CY73" s="93" t="s">
        <v>2200</v>
      </c>
      <c r="CZ73" s="93" t="s">
        <v>2104</v>
      </c>
      <c r="DA73" s="98"/>
      <c r="DB73" s="87" t="s">
        <v>4224</v>
      </c>
      <c r="DC73" s="93"/>
      <c r="DD73" s="88" t="s">
        <v>193</v>
      </c>
      <c r="DE73" s="87" t="s">
        <v>1911</v>
      </c>
      <c r="DF73" s="99"/>
      <c r="DG73" s="98"/>
      <c r="DH73" s="98"/>
      <c r="DI73" s="98"/>
      <c r="DJ73" s="87" t="s">
        <v>3596</v>
      </c>
      <c r="DK73" s="93" t="s">
        <v>528</v>
      </c>
      <c r="DL73" s="98"/>
      <c r="DM73" s="93" t="s">
        <v>1030</v>
      </c>
      <c r="DN73" s="93" t="s">
        <v>4225</v>
      </c>
      <c r="DO73" s="98"/>
      <c r="DP73" s="98"/>
      <c r="DQ73" s="88" t="s">
        <v>2200</v>
      </c>
      <c r="DR73" s="98"/>
      <c r="DS73" s="98"/>
      <c r="DT73" s="93" t="s">
        <v>2718</v>
      </c>
      <c r="DU73" s="98"/>
      <c r="DV73" s="98"/>
      <c r="DW73" s="93" t="s">
        <v>4226</v>
      </c>
      <c r="DX73" s="97" t="s">
        <v>2928</v>
      </c>
      <c r="DY73" s="97" t="str">
        <f>HYPERLINK("https://youtu.be/cSRvv7G0qWk","25.28")</f>
        <v>25.28</v>
      </c>
      <c r="DZ73" s="93" t="s">
        <v>4227</v>
      </c>
      <c r="EA73" s="93" t="s">
        <v>4228</v>
      </c>
      <c r="EB73" s="285"/>
    </row>
    <row r="74">
      <c r="A74" s="165" t="s">
        <v>4229</v>
      </c>
      <c r="B74" s="103" t="s">
        <v>4230</v>
      </c>
      <c r="C74" s="104" t="s">
        <v>1418</v>
      </c>
      <c r="D74" s="105" t="s">
        <v>1418</v>
      </c>
      <c r="E74" s="106" t="s">
        <v>1418</v>
      </c>
      <c r="F74" s="107" t="s">
        <v>333</v>
      </c>
      <c r="G74" s="103" t="s">
        <v>2401</v>
      </c>
      <c r="H74" s="110" t="str">
        <f>HYPERLINK("https://clips.twitch.tv/LachrymoseCourteousDelicataSeemsGood","51.28")</f>
        <v>51.28</v>
      </c>
      <c r="I74" s="301" t="s">
        <v>4231</v>
      </c>
      <c r="J74" s="301" t="s">
        <v>724</v>
      </c>
      <c r="K74" s="166" t="s">
        <v>1423</v>
      </c>
      <c r="L74" s="301" t="s">
        <v>3013</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2123</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58" t="str">
        <f>HYPERLINK("https://clips.twitch.tv/BovineSecretiveTireItsBoshyTime","49.95")</f>
        <v>49.95</v>
      </c>
      <c r="BB74" s="173" t="s">
        <v>854</v>
      </c>
      <c r="BC74" s="125" t="str">
        <f>HYPERLINK("https://youtu.be/TzgOslc32vU","28.68")</f>
        <v>28.68</v>
      </c>
      <c r="BD74" s="173" t="s">
        <v>4239</v>
      </c>
      <c r="BE74" s="173" t="s">
        <v>3109</v>
      </c>
      <c r="BF74" s="172"/>
      <c r="BG74" s="172"/>
      <c r="BH74" s="173"/>
      <c r="BI74" s="172"/>
      <c r="BJ74" s="173" t="s">
        <v>1188</v>
      </c>
      <c r="BK74" s="173" t="s">
        <v>3942</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3279</v>
      </c>
      <c r="CG74" s="133" t="str">
        <f>HYPERLINK("https://youtu.be/AR9q0_E3gEQ","28.75")</f>
        <v>28.75</v>
      </c>
      <c r="CH74" s="176" t="s">
        <v>4245</v>
      </c>
      <c r="CI74" s="176"/>
      <c r="CJ74" s="176"/>
      <c r="CK74" s="176" t="s">
        <v>2490</v>
      </c>
      <c r="CL74" s="310" t="s">
        <v>4028</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1142</v>
      </c>
      <c r="Z75" s="88" t="s">
        <v>352</v>
      </c>
      <c r="AA75" s="88" t="s">
        <v>4253</v>
      </c>
      <c r="AB75" s="88" t="s">
        <v>459</v>
      </c>
      <c r="AC75" s="90" t="s">
        <v>1146</v>
      </c>
      <c r="AD75" s="98"/>
      <c r="AE75" s="88" t="s">
        <v>357</v>
      </c>
      <c r="AF75" s="88" t="s">
        <v>4067</v>
      </c>
      <c r="AG75" s="88" t="s">
        <v>4222</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3316</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3385</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4258</v>
      </c>
      <c r="B76" s="103" t="s">
        <v>4259</v>
      </c>
      <c r="C76" s="104" t="s">
        <v>545</v>
      </c>
      <c r="D76" s="105" t="s">
        <v>1418</v>
      </c>
      <c r="E76" s="106" t="s">
        <v>1418</v>
      </c>
      <c r="F76" s="107" t="s">
        <v>646</v>
      </c>
      <c r="G76" s="103" t="s">
        <v>3490</v>
      </c>
      <c r="H76" s="166" t="s">
        <v>682</v>
      </c>
      <c r="I76" s="301" t="s">
        <v>4260</v>
      </c>
      <c r="J76" s="301" t="s">
        <v>4261</v>
      </c>
      <c r="K76" s="166" t="s">
        <v>2696</v>
      </c>
      <c r="L76" s="301" t="s">
        <v>4262</v>
      </c>
      <c r="M76" s="222"/>
      <c r="N76" s="301" t="s">
        <v>4263</v>
      </c>
      <c r="O76" s="301" t="s">
        <v>3273</v>
      </c>
      <c r="P76" s="166" t="s">
        <v>107</v>
      </c>
      <c r="Q76" s="222"/>
      <c r="R76" s="222"/>
      <c r="S76" s="166" t="s">
        <v>4264</v>
      </c>
      <c r="T76" s="166" t="s">
        <v>1704</v>
      </c>
      <c r="U76" s="222"/>
      <c r="V76" s="222"/>
      <c r="W76" s="92"/>
      <c r="X76" s="197" t="s">
        <v>4265</v>
      </c>
      <c r="Y76" s="197" t="s">
        <v>4266</v>
      </c>
      <c r="Z76" s="197" t="s">
        <v>3891</v>
      </c>
      <c r="AA76" s="197" t="s">
        <v>4267</v>
      </c>
      <c r="AB76" s="197" t="s">
        <v>4021</v>
      </c>
      <c r="AC76" s="197" t="s">
        <v>4268</v>
      </c>
      <c r="AD76" s="270"/>
      <c r="AE76" s="197"/>
      <c r="AF76" s="197" t="s">
        <v>3639</v>
      </c>
      <c r="AG76" s="270"/>
      <c r="AH76" s="197"/>
      <c r="AI76" s="197" t="s">
        <v>2615</v>
      </c>
      <c r="AJ76" s="270"/>
      <c r="AK76" s="96"/>
      <c r="AL76" s="167" t="s">
        <v>851</v>
      </c>
      <c r="AM76" s="167" t="s">
        <v>4269</v>
      </c>
      <c r="AN76" s="271"/>
      <c r="AO76" s="167" t="s">
        <v>4270</v>
      </c>
      <c r="AP76" s="271"/>
      <c r="AQ76" s="271"/>
      <c r="AR76" s="271"/>
      <c r="AS76" s="271"/>
      <c r="AT76" s="167" t="s">
        <v>4271</v>
      </c>
      <c r="AU76" s="167" t="s">
        <v>1282</v>
      </c>
      <c r="AV76" s="167"/>
      <c r="AW76" s="271"/>
      <c r="AX76" s="167" t="s">
        <v>127</v>
      </c>
      <c r="AY76" s="271"/>
      <c r="AZ76" s="271"/>
      <c r="BA76" s="173" t="s">
        <v>4272</v>
      </c>
      <c r="BB76" s="173" t="s">
        <v>450</v>
      </c>
      <c r="BC76" s="173" t="s">
        <v>3037</v>
      </c>
      <c r="BD76" s="456" t="s">
        <v>4273</v>
      </c>
      <c r="BE76" s="173" t="s">
        <v>1600</v>
      </c>
      <c r="BF76" s="172"/>
      <c r="BG76" s="172"/>
      <c r="BH76" s="173" t="s">
        <v>1395</v>
      </c>
      <c r="BI76" s="173"/>
      <c r="BJ76" s="173"/>
      <c r="BK76" s="173" t="s">
        <v>1979</v>
      </c>
      <c r="BL76" s="172"/>
      <c r="BM76" s="173" t="s">
        <v>2952</v>
      </c>
      <c r="BN76" s="173" t="s">
        <v>4274</v>
      </c>
      <c r="BO76" s="172"/>
      <c r="BP76" s="273"/>
      <c r="BQ76" s="174"/>
      <c r="BR76" s="175" t="s">
        <v>4275</v>
      </c>
      <c r="BS76" s="174" t="s">
        <v>3848</v>
      </c>
      <c r="BT76" s="174" t="s">
        <v>4276</v>
      </c>
      <c r="BU76" s="174" t="s">
        <v>4277</v>
      </c>
      <c r="BV76" s="174" t="s">
        <v>737</v>
      </c>
      <c r="BW76" s="275" t="s">
        <v>4278</v>
      </c>
      <c r="BX76" s="276"/>
      <c r="BY76" s="174" t="s">
        <v>4279</v>
      </c>
      <c r="BZ76" s="174" t="s">
        <v>2442</v>
      </c>
      <c r="CA76" s="175" t="s">
        <v>4280</v>
      </c>
      <c r="CB76" s="174" t="s">
        <v>4281</v>
      </c>
      <c r="CC76" s="174" t="s">
        <v>689</v>
      </c>
      <c r="CD76" s="276"/>
      <c r="CE76" s="277"/>
      <c r="CF76" s="310" t="s">
        <v>4282</v>
      </c>
      <c r="CG76" s="176" t="s">
        <v>4283</v>
      </c>
      <c r="CH76" s="310"/>
      <c r="CI76" s="135" t="s">
        <v>4284</v>
      </c>
      <c r="CJ76" s="136"/>
      <c r="CK76" s="176" t="s">
        <v>2726</v>
      </c>
      <c r="CL76" s="176" t="s">
        <v>1549</v>
      </c>
      <c r="CM76" s="176" t="s">
        <v>2828</v>
      </c>
      <c r="CN76" s="279"/>
      <c r="CO76" s="279"/>
      <c r="CP76" s="279"/>
      <c r="CQ76" s="279"/>
      <c r="CR76" s="279"/>
      <c r="CS76" s="92"/>
      <c r="CT76" s="205" t="s">
        <v>4285</v>
      </c>
      <c r="CU76" s="280"/>
      <c r="CV76" s="205" t="s">
        <v>1694</v>
      </c>
      <c r="CW76" s="205" t="s">
        <v>3960</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4286</v>
      </c>
      <c r="DQ76" s="206"/>
      <c r="DR76" s="282"/>
      <c r="DS76" s="282"/>
      <c r="DT76" s="206" t="s">
        <v>1962</v>
      </c>
      <c r="DU76" s="282"/>
      <c r="DV76" s="282"/>
      <c r="DW76" s="282"/>
      <c r="DX76" s="282"/>
      <c r="DY76" s="206" t="s">
        <v>888</v>
      </c>
      <c r="DZ76" s="282"/>
      <c r="EA76" s="282"/>
      <c r="EB76" s="316"/>
    </row>
    <row r="77">
      <c r="A77" s="81" t="s">
        <v>4287</v>
      </c>
      <c r="B77" s="82" t="s">
        <v>4288</v>
      </c>
      <c r="C77" s="83" t="s">
        <v>1418</v>
      </c>
      <c r="D77" s="84" t="s">
        <v>1418</v>
      </c>
      <c r="E77" s="85" t="s">
        <v>1418</v>
      </c>
      <c r="F77" s="86" t="s">
        <v>1418</v>
      </c>
      <c r="G77" s="82" t="s">
        <v>3680</v>
      </c>
      <c r="H77" s="93"/>
      <c r="I77" s="93" t="s">
        <v>4289</v>
      </c>
      <c r="J77" s="93" t="s">
        <v>4290</v>
      </c>
      <c r="K77" s="93" t="s">
        <v>1810</v>
      </c>
      <c r="L77" s="93" t="s">
        <v>3624</v>
      </c>
      <c r="M77" s="93" t="s">
        <v>4291</v>
      </c>
      <c r="N77" s="93" t="s">
        <v>4292</v>
      </c>
      <c r="O77" s="93" t="s">
        <v>4048</v>
      </c>
      <c r="P77" s="93" t="s">
        <v>4293</v>
      </c>
      <c r="Q77" s="98"/>
      <c r="R77" s="98"/>
      <c r="S77" s="98"/>
      <c r="T77" s="98"/>
      <c r="U77" s="98"/>
      <c r="V77" s="98"/>
      <c r="W77" s="92"/>
      <c r="X77" s="93" t="s">
        <v>1676</v>
      </c>
      <c r="Y77" s="93" t="s">
        <v>4294</v>
      </c>
      <c r="Z77" s="93" t="s">
        <v>4295</v>
      </c>
      <c r="AA77" s="93" t="s">
        <v>1225</v>
      </c>
      <c r="AB77" s="93" t="s">
        <v>1778</v>
      </c>
      <c r="AC77" s="93" t="s">
        <v>2773</v>
      </c>
      <c r="AD77" s="98"/>
      <c r="AE77" s="285" t="s">
        <v>1345</v>
      </c>
      <c r="AF77" s="93" t="s">
        <v>3838</v>
      </c>
      <c r="AG77" s="98"/>
      <c r="AH77" s="98"/>
      <c r="AI77" s="98"/>
      <c r="AJ77" s="98"/>
      <c r="AK77" s="96"/>
      <c r="AL77" s="98"/>
      <c r="AM77" s="98"/>
      <c r="AN77" s="98"/>
      <c r="AO77" s="98"/>
      <c r="AP77" s="98"/>
      <c r="AQ77" s="98"/>
      <c r="AR77" s="98"/>
      <c r="AS77" s="98"/>
      <c r="AT77" s="93" t="s">
        <v>1550</v>
      </c>
      <c r="AU77" s="93" t="s">
        <v>4296</v>
      </c>
      <c r="AV77" s="98"/>
      <c r="AW77" s="98"/>
      <c r="AX77" s="98"/>
      <c r="AY77" s="98"/>
      <c r="AZ77" s="98"/>
      <c r="BA77" s="285" t="s">
        <v>2343</v>
      </c>
      <c r="BB77" s="93" t="s">
        <v>4297</v>
      </c>
      <c r="BC77" s="93" t="s">
        <v>2840</v>
      </c>
      <c r="BD77" s="93" t="s">
        <v>4298</v>
      </c>
      <c r="BE77" s="93" t="s">
        <v>4299</v>
      </c>
      <c r="BF77" s="93" t="s">
        <v>4300</v>
      </c>
      <c r="BG77" s="98"/>
      <c r="BH77" s="93" t="s">
        <v>2755</v>
      </c>
      <c r="BI77" s="93" t="s">
        <v>4301</v>
      </c>
      <c r="BJ77" s="93" t="s">
        <v>4302</v>
      </c>
      <c r="BK77" s="93" t="s">
        <v>3738</v>
      </c>
      <c r="BL77" s="98"/>
      <c r="BM77" s="98"/>
      <c r="BN77" s="98"/>
      <c r="BO77" s="98"/>
      <c r="BP77" s="261"/>
      <c r="BQ77" s="93" t="s">
        <v>4303</v>
      </c>
      <c r="BR77" s="93" t="s">
        <v>4304</v>
      </c>
      <c r="BS77" s="93" t="s">
        <v>3848</v>
      </c>
      <c r="BT77" s="93" t="s">
        <v>2990</v>
      </c>
      <c r="BU77" s="93" t="s">
        <v>849</v>
      </c>
      <c r="BV77" s="93" t="s">
        <v>4305</v>
      </c>
      <c r="BW77" s="93" t="s">
        <v>4306</v>
      </c>
      <c r="BX77" s="93" t="s">
        <v>4307</v>
      </c>
      <c r="BY77" s="93" t="s">
        <v>4308</v>
      </c>
      <c r="BZ77" s="93" t="s">
        <v>3613</v>
      </c>
      <c r="CA77" s="98"/>
      <c r="CB77" s="98"/>
      <c r="CC77" s="98"/>
      <c r="CD77" s="98"/>
      <c r="CE77" s="261"/>
      <c r="CF77" s="93" t="s">
        <v>2161</v>
      </c>
      <c r="CG77" s="93" t="s">
        <v>2838</v>
      </c>
      <c r="CH77" s="93" t="s">
        <v>3811</v>
      </c>
      <c r="CI77" s="93" t="s">
        <v>4309</v>
      </c>
      <c r="CJ77" s="93" t="s">
        <v>4310</v>
      </c>
      <c r="CK77" s="93" t="s">
        <v>556</v>
      </c>
      <c r="CL77" s="93" t="s">
        <v>3978</v>
      </c>
      <c r="CM77" s="93" t="s">
        <v>3352</v>
      </c>
      <c r="CN77" s="98"/>
      <c r="CO77" s="98"/>
      <c r="CP77" s="98"/>
      <c r="CQ77" s="98"/>
      <c r="CR77" s="98"/>
      <c r="CS77" s="92"/>
      <c r="CT77" s="93" t="s">
        <v>4311</v>
      </c>
      <c r="CU77" s="93" t="s">
        <v>4312</v>
      </c>
      <c r="CV77" s="93" t="s">
        <v>4313</v>
      </c>
      <c r="CW77" s="93" t="s">
        <v>4314</v>
      </c>
      <c r="CX77" s="93" t="s">
        <v>3241</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1418</v>
      </c>
      <c r="D78" s="105" t="s">
        <v>1418</v>
      </c>
      <c r="E78" s="106" t="s">
        <v>1418</v>
      </c>
      <c r="F78" s="107" t="s">
        <v>1418</v>
      </c>
      <c r="G78" s="103" t="s">
        <v>3268</v>
      </c>
      <c r="H78" s="166" t="s">
        <v>1354</v>
      </c>
      <c r="I78" s="166" t="s">
        <v>4321</v>
      </c>
      <c r="J78" s="166" t="s">
        <v>4322</v>
      </c>
      <c r="K78" s="166" t="s">
        <v>4323</v>
      </c>
      <c r="L78" s="166" t="s">
        <v>4324</v>
      </c>
      <c r="M78" s="166" t="s">
        <v>4325</v>
      </c>
      <c r="N78" s="166" t="s">
        <v>4326</v>
      </c>
      <c r="O78" s="166" t="s">
        <v>3049</v>
      </c>
      <c r="P78" s="166" t="s">
        <v>3220</v>
      </c>
      <c r="Q78" s="222"/>
      <c r="R78" s="166" t="s">
        <v>623</v>
      </c>
      <c r="S78" s="166" t="s">
        <v>4327</v>
      </c>
      <c r="T78" s="222"/>
      <c r="U78" s="222"/>
      <c r="V78" s="166" t="s">
        <v>4328</v>
      </c>
      <c r="W78" s="92"/>
      <c r="X78" s="197" t="s">
        <v>4329</v>
      </c>
      <c r="Y78" s="197" t="s">
        <v>4330</v>
      </c>
      <c r="Z78" s="197" t="s">
        <v>2805</v>
      </c>
      <c r="AA78" s="197" t="s">
        <v>1031</v>
      </c>
      <c r="AB78" s="197" t="s">
        <v>635</v>
      </c>
      <c r="AC78" s="197" t="s">
        <v>4331</v>
      </c>
      <c r="AD78" s="197" t="s">
        <v>4332</v>
      </c>
      <c r="AE78" s="197" t="s">
        <v>4333</v>
      </c>
      <c r="AF78" s="197" t="s">
        <v>4120</v>
      </c>
      <c r="AG78" s="197" t="s">
        <v>4334</v>
      </c>
      <c r="AH78" s="197"/>
      <c r="AI78" s="197" t="s">
        <v>4335</v>
      </c>
      <c r="AJ78" s="197" t="s">
        <v>4336</v>
      </c>
      <c r="AK78" s="96"/>
      <c r="AL78" s="167" t="s">
        <v>1331</v>
      </c>
      <c r="AM78" s="167" t="s">
        <v>4337</v>
      </c>
      <c r="AN78" s="167" t="s">
        <v>4338</v>
      </c>
      <c r="AO78" s="167" t="s">
        <v>4339</v>
      </c>
      <c r="AP78" s="167" t="s">
        <v>4340</v>
      </c>
      <c r="AQ78" s="167"/>
      <c r="AR78" s="167" t="s">
        <v>1012</v>
      </c>
      <c r="AS78" s="167" t="s">
        <v>4341</v>
      </c>
      <c r="AT78" s="167" t="s">
        <v>327</v>
      </c>
      <c r="AU78" s="167" t="s">
        <v>4342</v>
      </c>
      <c r="AV78" s="167" t="s">
        <v>4343</v>
      </c>
      <c r="AW78" s="167" t="s">
        <v>1662</v>
      </c>
      <c r="AX78" s="167" t="s">
        <v>1637</v>
      </c>
      <c r="AY78" s="167" t="s">
        <v>4344</v>
      </c>
      <c r="AZ78" s="167"/>
      <c r="BA78" s="173" t="s">
        <v>592</v>
      </c>
      <c r="BB78" s="173" t="s">
        <v>4345</v>
      </c>
      <c r="BC78" s="173" t="s">
        <v>2890</v>
      </c>
      <c r="BD78" s="173" t="s">
        <v>262</v>
      </c>
      <c r="BE78" s="173" t="s">
        <v>3829</v>
      </c>
      <c r="BF78" s="173" t="s">
        <v>1220</v>
      </c>
      <c r="BG78" s="173" t="s">
        <v>2773</v>
      </c>
      <c r="BH78" s="173" t="s">
        <v>517</v>
      </c>
      <c r="BI78" s="172"/>
      <c r="BJ78" s="173" t="s">
        <v>4346</v>
      </c>
      <c r="BK78" s="173" t="s">
        <v>3104</v>
      </c>
      <c r="BL78" s="172"/>
      <c r="BM78" s="173" t="s">
        <v>2064</v>
      </c>
      <c r="BN78" s="173" t="s">
        <v>4274</v>
      </c>
      <c r="BO78" s="173" t="s">
        <v>4347</v>
      </c>
      <c r="BP78" s="173"/>
      <c r="BQ78" s="174"/>
      <c r="BR78" s="174" t="s">
        <v>4348</v>
      </c>
      <c r="BS78" s="174" t="s">
        <v>4349</v>
      </c>
      <c r="BT78" s="174" t="s">
        <v>4350</v>
      </c>
      <c r="BU78" s="174" t="s">
        <v>4351</v>
      </c>
      <c r="BV78" s="174" t="s">
        <v>4352</v>
      </c>
      <c r="BW78" s="174" t="s">
        <v>1311</v>
      </c>
      <c r="BX78" s="276"/>
      <c r="BY78" s="174" t="s">
        <v>4353</v>
      </c>
      <c r="BZ78" s="174" t="s">
        <v>4354</v>
      </c>
      <c r="CA78" s="174" t="s">
        <v>4355</v>
      </c>
      <c r="CB78" s="174" t="s">
        <v>4356</v>
      </c>
      <c r="CC78" s="174" t="s">
        <v>1134</v>
      </c>
      <c r="CD78" s="174" t="s">
        <v>4357</v>
      </c>
      <c r="CE78" s="174"/>
      <c r="CF78" s="176" t="s">
        <v>4358</v>
      </c>
      <c r="CG78" s="176" t="s">
        <v>3164</v>
      </c>
      <c r="CH78" s="176" t="s">
        <v>4359</v>
      </c>
      <c r="CI78" s="176" t="s">
        <v>4360</v>
      </c>
      <c r="CJ78" s="176" t="s">
        <v>239</v>
      </c>
      <c r="CK78" s="561" t="s">
        <v>4361</v>
      </c>
      <c r="CL78" s="176" t="s">
        <v>3659</v>
      </c>
      <c r="CM78" s="176" t="s">
        <v>3620</v>
      </c>
      <c r="CN78" s="279"/>
      <c r="CO78" s="176" t="s">
        <v>1295</v>
      </c>
      <c r="CP78" s="176"/>
      <c r="CQ78" s="176" t="s">
        <v>4362</v>
      </c>
      <c r="CR78" s="176" t="s">
        <v>4363</v>
      </c>
      <c r="CS78" s="92"/>
      <c r="CT78" s="205" t="s">
        <v>2917</v>
      </c>
      <c r="CU78" s="205" t="s">
        <v>4364</v>
      </c>
      <c r="CV78" s="205" t="s">
        <v>4365</v>
      </c>
      <c r="CW78" s="205" t="s">
        <v>1548</v>
      </c>
      <c r="CX78" s="205" t="s">
        <v>4366</v>
      </c>
      <c r="CY78" s="205" t="s">
        <v>4367</v>
      </c>
      <c r="CZ78" s="205" t="s">
        <v>4368</v>
      </c>
      <c r="DA78" s="205" t="s">
        <v>4369</v>
      </c>
      <c r="DB78" s="205" t="s">
        <v>726</v>
      </c>
      <c r="DC78" s="205" t="s">
        <v>4370</v>
      </c>
      <c r="DD78" s="205" t="s">
        <v>2966</v>
      </c>
      <c r="DE78" s="205" t="s">
        <v>4371</v>
      </c>
      <c r="DF78" s="205"/>
      <c r="DG78" s="206" t="s">
        <v>4372</v>
      </c>
      <c r="DH78" s="206" t="s">
        <v>194</v>
      </c>
      <c r="DI78" s="206" t="s">
        <v>4373</v>
      </c>
      <c r="DJ78" s="206"/>
      <c r="DK78" s="206" t="s">
        <v>3893</v>
      </c>
      <c r="DL78" s="206" t="s">
        <v>4374</v>
      </c>
      <c r="DM78" s="206" t="s">
        <v>394</v>
      </c>
      <c r="DN78" s="206" t="s">
        <v>4375</v>
      </c>
      <c r="DO78" s="282"/>
      <c r="DP78" s="206" t="s">
        <v>4376</v>
      </c>
      <c r="DQ78" s="206" t="s">
        <v>4377</v>
      </c>
      <c r="DR78" s="282"/>
      <c r="DS78" s="206" t="s">
        <v>4105</v>
      </c>
      <c r="DT78" s="206" t="s">
        <v>1271</v>
      </c>
      <c r="DU78" s="206" t="s">
        <v>897</v>
      </c>
      <c r="DV78" s="282"/>
      <c r="DW78" s="206" t="s">
        <v>2218</v>
      </c>
      <c r="DX78" s="206" t="s">
        <v>3142</v>
      </c>
      <c r="DY78" s="206" t="s">
        <v>1096</v>
      </c>
      <c r="DZ78" s="206" t="s">
        <v>4378</v>
      </c>
      <c r="EA78" s="206" t="s">
        <v>2442</v>
      </c>
      <c r="EB78" s="316" t="s">
        <v>3329</v>
      </c>
    </row>
    <row r="79">
      <c r="A79" s="562" t="s">
        <v>4379</v>
      </c>
      <c r="B79" s="82" t="s">
        <v>4380</v>
      </c>
      <c r="C79" s="83" t="s">
        <v>1418</v>
      </c>
      <c r="D79" s="84" t="s">
        <v>1418</v>
      </c>
      <c r="E79" s="85" t="s">
        <v>1418</v>
      </c>
      <c r="F79" s="86" t="s">
        <v>545</v>
      </c>
      <c r="G79" s="82" t="s">
        <v>4381</v>
      </c>
      <c r="H79" s="93" t="s">
        <v>2118</v>
      </c>
      <c r="I79" s="93" t="s">
        <v>4382</v>
      </c>
      <c r="J79" s="93" t="s">
        <v>3532</v>
      </c>
      <c r="K79" s="93" t="s">
        <v>2269</v>
      </c>
      <c r="L79" s="93" t="s">
        <v>1114</v>
      </c>
      <c r="M79" s="93" t="s">
        <v>4383</v>
      </c>
      <c r="N79" s="93" t="s">
        <v>4384</v>
      </c>
      <c r="O79" s="93" t="s">
        <v>4385</v>
      </c>
      <c r="P79" s="93" t="s">
        <v>2828</v>
      </c>
      <c r="Q79" s="98"/>
      <c r="R79" s="98"/>
      <c r="S79" s="93" t="s">
        <v>1409</v>
      </c>
      <c r="T79" s="98"/>
      <c r="U79" s="93" t="s">
        <v>4386</v>
      </c>
      <c r="V79" s="98"/>
      <c r="W79" s="92"/>
      <c r="X79" s="93" t="s">
        <v>4387</v>
      </c>
      <c r="Y79" s="93" t="s">
        <v>4388</v>
      </c>
      <c r="Z79" s="93" t="s">
        <v>510</v>
      </c>
      <c r="AA79" s="93" t="s">
        <v>4389</v>
      </c>
      <c r="AB79" s="93" t="s">
        <v>3936</v>
      </c>
      <c r="AC79" s="93" t="s">
        <v>4390</v>
      </c>
      <c r="AD79" s="98"/>
      <c r="AE79" s="93" t="s">
        <v>2881</v>
      </c>
      <c r="AF79" s="93" t="s">
        <v>4391</v>
      </c>
      <c r="AG79" s="93" t="s">
        <v>4392</v>
      </c>
      <c r="AH79" s="98"/>
      <c r="AI79" s="98"/>
      <c r="AJ79" s="98"/>
      <c r="AK79" s="96"/>
      <c r="AL79" s="98"/>
      <c r="AM79" s="93" t="s">
        <v>950</v>
      </c>
      <c r="AN79" s="98"/>
      <c r="AO79" s="98"/>
      <c r="AP79" s="98"/>
      <c r="AQ79" s="98"/>
      <c r="AR79" s="98"/>
      <c r="AS79" s="98"/>
      <c r="AT79" s="93" t="s">
        <v>1946</v>
      </c>
      <c r="AU79" s="93" t="s">
        <v>3876</v>
      </c>
      <c r="AV79" s="98"/>
      <c r="AW79" s="98"/>
      <c r="AX79" s="98"/>
      <c r="AY79" s="98"/>
      <c r="AZ79" s="98"/>
      <c r="BA79" s="93" t="s">
        <v>3269</v>
      </c>
      <c r="BB79" s="93" t="s">
        <v>3502</v>
      </c>
      <c r="BC79" s="93" t="s">
        <v>295</v>
      </c>
      <c r="BD79" s="93" t="s">
        <v>4393</v>
      </c>
      <c r="BE79" s="93" t="s">
        <v>4394</v>
      </c>
      <c r="BF79" s="93" t="s">
        <v>1362</v>
      </c>
      <c r="BG79" s="98"/>
      <c r="BH79" s="93" t="s">
        <v>2172</v>
      </c>
      <c r="BI79" s="93" t="s">
        <v>4395</v>
      </c>
      <c r="BJ79" s="98"/>
      <c r="BK79" s="93" t="s">
        <v>2493</v>
      </c>
      <c r="BL79" s="98"/>
      <c r="BM79" s="98"/>
      <c r="BN79" s="93" t="s">
        <v>4396</v>
      </c>
      <c r="BO79" s="98"/>
      <c r="BP79" s="261"/>
      <c r="BQ79" s="93" t="s">
        <v>4397</v>
      </c>
      <c r="BR79" s="378" t="s">
        <v>3464</v>
      </c>
      <c r="BS79" s="378" t="s">
        <v>4398</v>
      </c>
      <c r="BT79" s="378" t="s">
        <v>4399</v>
      </c>
      <c r="BU79" s="377" t="s">
        <v>1909</v>
      </c>
      <c r="BV79" s="378" t="s">
        <v>1722</v>
      </c>
      <c r="BW79" s="88" t="s">
        <v>162</v>
      </c>
      <c r="BX79" s="93" t="s">
        <v>4400</v>
      </c>
      <c r="BY79" s="98"/>
      <c r="BZ79" s="93" t="s">
        <v>4401</v>
      </c>
      <c r="CA79" s="98"/>
      <c r="CB79" s="98"/>
      <c r="CC79" s="98"/>
      <c r="CD79" s="98"/>
      <c r="CE79" s="261"/>
      <c r="CF79" s="378" t="s">
        <v>4402</v>
      </c>
      <c r="CG79" s="377" t="s">
        <v>1387</v>
      </c>
      <c r="CH79" s="377" t="s">
        <v>4403</v>
      </c>
      <c r="CI79" s="377" t="s">
        <v>4404</v>
      </c>
      <c r="CJ79" s="377" t="s">
        <v>550</v>
      </c>
      <c r="CK79" s="378" t="s">
        <v>4405</v>
      </c>
      <c r="CL79" s="377" t="s">
        <v>1694</v>
      </c>
      <c r="CM79" s="378" t="s">
        <v>2477</v>
      </c>
      <c r="CN79" s="98"/>
      <c r="CO79" s="98"/>
      <c r="CP79" s="98"/>
      <c r="CQ79" s="98"/>
      <c r="CR79" s="98"/>
      <c r="CS79" s="92"/>
      <c r="CT79" s="378" t="s">
        <v>4406</v>
      </c>
      <c r="CU79" s="377" t="s">
        <v>2586</v>
      </c>
      <c r="CV79" s="378" t="s">
        <v>1647</v>
      </c>
      <c r="CW79" s="378" t="s">
        <v>3025</v>
      </c>
      <c r="CX79" s="378" t="s">
        <v>4407</v>
      </c>
      <c r="CY79" s="378" t="s">
        <v>1647</v>
      </c>
      <c r="CZ79" s="377" t="s">
        <v>4408</v>
      </c>
      <c r="DA79" s="378" t="s">
        <v>3429</v>
      </c>
      <c r="DB79" s="98"/>
      <c r="DC79" s="98"/>
      <c r="DD79" s="98"/>
      <c r="DE79" s="98"/>
      <c r="DF79" s="261"/>
      <c r="DG79" s="378"/>
      <c r="DH79" s="378"/>
      <c r="DI79" s="378"/>
      <c r="DJ79" s="378"/>
      <c r="DK79" s="378"/>
      <c r="DL79" s="93" t="s">
        <v>4409</v>
      </c>
      <c r="DM79" s="378"/>
      <c r="DN79" s="378"/>
      <c r="DO79" s="93" t="s">
        <v>3971</v>
      </c>
      <c r="DP79" s="93" t="s">
        <v>4410</v>
      </c>
      <c r="DQ79" s="93" t="s">
        <v>4411</v>
      </c>
      <c r="DR79" s="93" t="s">
        <v>3721</v>
      </c>
      <c r="DS79" s="93" t="s">
        <v>3012</v>
      </c>
      <c r="DT79" s="378"/>
      <c r="DU79" s="378"/>
      <c r="DV79" s="98"/>
      <c r="DW79" s="93" t="s">
        <v>4412</v>
      </c>
      <c r="DX79" s="378"/>
      <c r="DY79" s="378"/>
      <c r="DZ79" s="378"/>
      <c r="EA79" s="93" t="s">
        <v>1083</v>
      </c>
      <c r="EB79" s="377" t="s">
        <v>4413</v>
      </c>
    </row>
    <row r="80">
      <c r="A80" s="165" t="s">
        <v>4414</v>
      </c>
      <c r="B80" s="103" t="s">
        <v>4415</v>
      </c>
      <c r="C80" s="104" t="s">
        <v>1418</v>
      </c>
      <c r="D80" s="105" t="s">
        <v>1418</v>
      </c>
      <c r="E80" s="106" t="s">
        <v>1418</v>
      </c>
      <c r="F80" s="107" t="s">
        <v>4416</v>
      </c>
      <c r="G80" s="103" t="s">
        <v>2937</v>
      </c>
      <c r="H80" s="166"/>
      <c r="I80" s="112" t="s">
        <v>4417</v>
      </c>
      <c r="J80" s="222" t="s">
        <v>1637</v>
      </c>
      <c r="K80" s="299" t="s">
        <v>4418</v>
      </c>
      <c r="L80" s="112" t="s">
        <v>4419</v>
      </c>
      <c r="M80" s="383" t="s">
        <v>1728</v>
      </c>
      <c r="N80" s="222"/>
      <c r="O80" s="301" t="s">
        <v>4420</v>
      </c>
      <c r="P80" s="112" t="s">
        <v>2828</v>
      </c>
      <c r="Q80" s="222"/>
      <c r="R80" s="166"/>
      <c r="S80" s="166"/>
      <c r="T80" s="222"/>
      <c r="U80" s="222"/>
      <c r="V80" s="222"/>
      <c r="W80" s="92"/>
      <c r="X80" s="116" t="s">
        <v>1658</v>
      </c>
      <c r="Y80" s="197" t="s">
        <v>4388</v>
      </c>
      <c r="Z80" s="116" t="s">
        <v>1430</v>
      </c>
      <c r="AA80" s="197" t="s">
        <v>4421</v>
      </c>
      <c r="AB80" s="116" t="s">
        <v>3258</v>
      </c>
      <c r="AC80" s="197" t="s">
        <v>2854</v>
      </c>
      <c r="AD80" s="270"/>
      <c r="AE80" s="197"/>
      <c r="AF80" s="270"/>
      <c r="AG80" s="270"/>
      <c r="AH80" s="270"/>
      <c r="AI80" s="270"/>
      <c r="AJ80" s="270"/>
      <c r="AK80" s="96"/>
      <c r="AL80" s="271"/>
      <c r="AM80" s="271"/>
      <c r="AN80" s="167" t="s">
        <v>4422</v>
      </c>
      <c r="AO80" s="271"/>
      <c r="AP80" s="271"/>
      <c r="AQ80" s="271"/>
      <c r="AR80" s="271"/>
      <c r="AS80" s="167" t="s">
        <v>1729</v>
      </c>
      <c r="AT80" s="169" t="s">
        <v>4423</v>
      </c>
      <c r="AU80" s="271"/>
      <c r="AV80" s="271"/>
      <c r="AW80" s="271"/>
      <c r="AX80" s="271"/>
      <c r="AY80" s="271"/>
      <c r="AZ80" s="271"/>
      <c r="BA80" s="172"/>
      <c r="BB80" s="172"/>
      <c r="BC80" s="173" t="s">
        <v>1356</v>
      </c>
      <c r="BD80" s="127" t="s">
        <v>4424</v>
      </c>
      <c r="BE80" s="173" t="s">
        <v>4425</v>
      </c>
      <c r="BF80" s="172"/>
      <c r="BG80" s="172"/>
      <c r="BH80" s="173" t="s">
        <v>1355</v>
      </c>
      <c r="BI80" s="173" t="s">
        <v>4426</v>
      </c>
      <c r="BJ80" s="173"/>
      <c r="BK80" s="172"/>
      <c r="BL80" s="172"/>
      <c r="BM80" s="172"/>
      <c r="BN80" s="172"/>
      <c r="BO80" s="172"/>
      <c r="BP80" s="273"/>
      <c r="BQ80" s="174" t="s">
        <v>4427</v>
      </c>
      <c r="BR80" s="175" t="s">
        <v>4304</v>
      </c>
      <c r="BS80" s="174" t="s">
        <v>2727</v>
      </c>
      <c r="BT80" s="130" t="s">
        <v>3615</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3259</v>
      </c>
      <c r="CN80" s="279"/>
      <c r="CO80" s="279"/>
      <c r="CP80" s="279"/>
      <c r="CQ80" s="279"/>
      <c r="CR80" s="279"/>
      <c r="CS80" s="92"/>
      <c r="CT80" s="205" t="s">
        <v>4429</v>
      </c>
      <c r="CU80" s="280"/>
      <c r="CV80" s="401" t="s">
        <v>755</v>
      </c>
      <c r="CW80" s="205" t="s">
        <v>3656</v>
      </c>
      <c r="CX80" s="205" t="s">
        <v>1858</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1418</v>
      </c>
      <c r="D81" s="84" t="s">
        <v>1418</v>
      </c>
      <c r="E81" s="85" t="s">
        <v>1418</v>
      </c>
      <c r="F81" s="86" t="s">
        <v>219</v>
      </c>
      <c r="G81" s="82" t="s">
        <v>1952</v>
      </c>
      <c r="H81" s="88" t="s">
        <v>2848</v>
      </c>
      <c r="I81" s="297" t="s">
        <v>4433</v>
      </c>
      <c r="J81" s="93" t="s">
        <v>669</v>
      </c>
      <c r="K81" s="93" t="s">
        <v>4434</v>
      </c>
      <c r="L81" s="93" t="s">
        <v>4435</v>
      </c>
      <c r="M81" s="93" t="s">
        <v>4436</v>
      </c>
      <c r="N81" s="93" t="s">
        <v>4437</v>
      </c>
      <c r="O81" s="93" t="s">
        <v>372</v>
      </c>
      <c r="P81" s="93" t="s">
        <v>2805</v>
      </c>
      <c r="Q81" s="88" t="s">
        <v>4438</v>
      </c>
      <c r="R81" s="93" t="s">
        <v>2507</v>
      </c>
      <c r="S81" s="161" t="s">
        <v>2891</v>
      </c>
      <c r="T81" s="93" t="s">
        <v>2882</v>
      </c>
      <c r="U81" s="93" t="s">
        <v>2060</v>
      </c>
      <c r="V81" s="93" t="s">
        <v>4439</v>
      </c>
      <c r="W81" s="92"/>
      <c r="X81" s="297" t="s">
        <v>4440</v>
      </c>
      <c r="Y81" s="93" t="s">
        <v>3005</v>
      </c>
      <c r="Z81" s="209" t="s">
        <v>3472</v>
      </c>
      <c r="AA81" s="161" t="s">
        <v>3717</v>
      </c>
      <c r="AB81" s="161" t="s">
        <v>4441</v>
      </c>
      <c r="AC81" s="88" t="s">
        <v>4442</v>
      </c>
      <c r="AD81" s="98"/>
      <c r="AE81" s="88" t="s">
        <v>3227</v>
      </c>
      <c r="AF81" s="209" t="s">
        <v>1738</v>
      </c>
      <c r="AG81" s="93" t="s">
        <v>1836</v>
      </c>
      <c r="AH81" s="98"/>
      <c r="AI81" s="93" t="s">
        <v>3435</v>
      </c>
      <c r="AJ81" s="93" t="s">
        <v>4443</v>
      </c>
      <c r="AK81" s="96"/>
      <c r="AL81" s="93" t="s">
        <v>138</v>
      </c>
      <c r="AM81" s="93" t="s">
        <v>4444</v>
      </c>
      <c r="AN81" s="93" t="s">
        <v>4445</v>
      </c>
      <c r="AO81" s="93" t="s">
        <v>4446</v>
      </c>
      <c r="AP81" s="93" t="s">
        <v>1426</v>
      </c>
      <c r="AQ81" s="93" t="s">
        <v>3713</v>
      </c>
      <c r="AR81" s="93" t="s">
        <v>3568</v>
      </c>
      <c r="AS81" s="93" t="s">
        <v>4447</v>
      </c>
      <c r="AT81" s="93" t="s">
        <v>2685</v>
      </c>
      <c r="AU81" s="93" t="s">
        <v>1623</v>
      </c>
      <c r="AV81" s="93" t="s">
        <v>4448</v>
      </c>
      <c r="AW81" s="98"/>
      <c r="AX81" s="93" t="s">
        <v>1071</v>
      </c>
      <c r="AY81" s="297" t="s">
        <v>4449</v>
      </c>
      <c r="AZ81" s="93"/>
      <c r="BA81" s="93" t="s">
        <v>4450</v>
      </c>
      <c r="BB81" s="93" t="s">
        <v>4451</v>
      </c>
      <c r="BC81" s="88" t="s">
        <v>1304</v>
      </c>
      <c r="BD81" s="93" t="s">
        <v>4452</v>
      </c>
      <c r="BE81" s="93" t="s">
        <v>3628</v>
      </c>
      <c r="BF81" s="93" t="s">
        <v>4453</v>
      </c>
      <c r="BG81" s="93" t="s">
        <v>4454</v>
      </c>
      <c r="BH81" s="93" t="s">
        <v>1392</v>
      </c>
      <c r="BI81" s="93" t="s">
        <v>4455</v>
      </c>
      <c r="BJ81" s="93" t="s">
        <v>4456</v>
      </c>
      <c r="BK81" s="93" t="s">
        <v>2723</v>
      </c>
      <c r="BL81" s="93" t="s">
        <v>4457</v>
      </c>
      <c r="BM81" s="209" t="s">
        <v>3957</v>
      </c>
      <c r="BN81" s="93" t="s">
        <v>3739</v>
      </c>
      <c r="BO81" s="93" t="s">
        <v>4458</v>
      </c>
      <c r="BP81" s="93"/>
      <c r="BQ81" s="88" t="s">
        <v>4459</v>
      </c>
      <c r="BR81" s="93" t="s">
        <v>3139</v>
      </c>
      <c r="BS81" s="93" t="s">
        <v>4460</v>
      </c>
      <c r="BT81" s="88" t="s">
        <v>4461</v>
      </c>
      <c r="BU81" s="93" t="s">
        <v>4462</v>
      </c>
      <c r="BV81" s="93" t="s">
        <v>328</v>
      </c>
      <c r="BW81" s="98"/>
      <c r="BX81" s="98"/>
      <c r="BY81" s="209" t="s">
        <v>3560</v>
      </c>
      <c r="BZ81" s="93" t="s">
        <v>4228</v>
      </c>
      <c r="CA81" s="93" t="s">
        <v>4463</v>
      </c>
      <c r="CB81" s="93" t="s">
        <v>4464</v>
      </c>
      <c r="CC81" s="93" t="s">
        <v>1663</v>
      </c>
      <c r="CD81" s="93" t="s">
        <v>4465</v>
      </c>
      <c r="CE81" s="261"/>
      <c r="CF81" s="93" t="s">
        <v>4466</v>
      </c>
      <c r="CG81" s="93" t="s">
        <v>640</v>
      </c>
      <c r="CH81" s="93" t="s">
        <v>4467</v>
      </c>
      <c r="CI81" s="93" t="s">
        <v>4468</v>
      </c>
      <c r="CJ81" s="93" t="s">
        <v>1263</v>
      </c>
      <c r="CK81" s="93" t="s">
        <v>4093</v>
      </c>
      <c r="CL81" s="88" t="s">
        <v>4469</v>
      </c>
      <c r="CM81" s="93" t="s">
        <v>4470</v>
      </c>
      <c r="CN81" s="93" t="s">
        <v>4471</v>
      </c>
      <c r="CO81" s="93" t="s">
        <v>4424</v>
      </c>
      <c r="CP81" s="93"/>
      <c r="CQ81" s="93" t="s">
        <v>1435</v>
      </c>
      <c r="CR81" s="88" t="s">
        <v>4472</v>
      </c>
      <c r="CS81" s="92"/>
      <c r="CT81" s="93" t="s">
        <v>4473</v>
      </c>
      <c r="CU81" s="93" t="s">
        <v>1143</v>
      </c>
      <c r="CV81" s="93" t="s">
        <v>4474</v>
      </c>
      <c r="CW81" s="93" t="s">
        <v>3215</v>
      </c>
      <c r="CX81" s="93" t="s">
        <v>1482</v>
      </c>
      <c r="CY81" s="93" t="s">
        <v>4475</v>
      </c>
      <c r="CZ81" s="209" t="s">
        <v>4476</v>
      </c>
      <c r="DA81" s="93" t="s">
        <v>4477</v>
      </c>
      <c r="DB81" s="93" t="s">
        <v>4478</v>
      </c>
      <c r="DC81" s="93" t="s">
        <v>2879</v>
      </c>
      <c r="DD81" s="93" t="s">
        <v>4479</v>
      </c>
      <c r="DE81" s="88" t="s">
        <v>4480</v>
      </c>
      <c r="DF81" s="93"/>
      <c r="DG81" s="98"/>
      <c r="DH81" s="98"/>
      <c r="DI81" s="93" t="s">
        <v>4481</v>
      </c>
      <c r="DJ81" s="98"/>
      <c r="DK81" s="88" t="s">
        <v>3675</v>
      </c>
      <c r="DL81" s="93" t="s">
        <v>1855</v>
      </c>
      <c r="DM81" s="93" t="s">
        <v>3906</v>
      </c>
      <c r="DN81" s="93" t="s">
        <v>4482</v>
      </c>
      <c r="DO81" s="93" t="s">
        <v>4483</v>
      </c>
      <c r="DP81" s="93" t="s">
        <v>4214</v>
      </c>
      <c r="DQ81" s="93" t="s">
        <v>4484</v>
      </c>
      <c r="DR81" s="93" t="s">
        <v>815</v>
      </c>
      <c r="DS81" s="93" t="s">
        <v>1799</v>
      </c>
      <c r="DT81" s="93" t="s">
        <v>2651</v>
      </c>
      <c r="DU81" s="93" t="s">
        <v>4485</v>
      </c>
      <c r="DV81" s="93" t="s">
        <v>4486</v>
      </c>
      <c r="DW81" s="93" t="s">
        <v>4487</v>
      </c>
      <c r="DX81" s="93" t="s">
        <v>3074</v>
      </c>
      <c r="DY81" s="93" t="s">
        <v>2599</v>
      </c>
      <c r="DZ81" s="88" t="s">
        <v>4488</v>
      </c>
      <c r="EA81" s="88" t="s">
        <v>4040</v>
      </c>
      <c r="EB81" s="97" t="s">
        <v>2934</v>
      </c>
    </row>
    <row r="82">
      <c r="A82" s="165" t="s">
        <v>4489</v>
      </c>
      <c r="B82" s="103" t="s">
        <v>4490</v>
      </c>
      <c r="C82" s="104" t="s">
        <v>1418</v>
      </c>
      <c r="D82" s="105" t="s">
        <v>1418</v>
      </c>
      <c r="E82" s="106" t="s">
        <v>1418</v>
      </c>
      <c r="F82" s="107" t="s">
        <v>2401</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1978</v>
      </c>
      <c r="S82" s="166" t="s">
        <v>4240</v>
      </c>
      <c r="T82" s="166" t="s">
        <v>2139</v>
      </c>
      <c r="U82" s="166" t="s">
        <v>4498</v>
      </c>
      <c r="V82" s="166" t="s">
        <v>4499</v>
      </c>
      <c r="W82" s="92"/>
      <c r="X82" s="116" t="s">
        <v>1470</v>
      </c>
      <c r="Y82" s="116" t="s">
        <v>468</v>
      </c>
      <c r="Z82" s="116" t="s">
        <v>293</v>
      </c>
      <c r="AA82" s="197" t="s">
        <v>4500</v>
      </c>
      <c r="AB82" s="197" t="s">
        <v>3033</v>
      </c>
      <c r="AC82" s="116" t="s">
        <v>2747</v>
      </c>
      <c r="AD82" s="116" t="s">
        <v>4501</v>
      </c>
      <c r="AE82" s="116" t="s">
        <v>4502</v>
      </c>
      <c r="AF82" s="116" t="s">
        <v>1564</v>
      </c>
      <c r="AG82" s="197" t="s">
        <v>4503</v>
      </c>
      <c r="AH82" s="197" t="s">
        <v>4504</v>
      </c>
      <c r="AI82" s="197" t="s">
        <v>3540</v>
      </c>
      <c r="AJ82" s="197" t="s">
        <v>4505</v>
      </c>
      <c r="AK82" s="96"/>
      <c r="AL82" s="167" t="s">
        <v>715</v>
      </c>
      <c r="AM82" s="167" t="s">
        <v>4506</v>
      </c>
      <c r="AN82" s="167" t="s">
        <v>4507</v>
      </c>
      <c r="AO82" s="167" t="s">
        <v>4508</v>
      </c>
      <c r="AP82" s="167" t="s">
        <v>4509</v>
      </c>
      <c r="AQ82" s="167"/>
      <c r="AR82" s="167" t="s">
        <v>3545</v>
      </c>
      <c r="AS82" s="167" t="s">
        <v>2898</v>
      </c>
      <c r="AT82" s="121" t="s">
        <v>2745</v>
      </c>
      <c r="AU82" s="121" t="s">
        <v>179</v>
      </c>
      <c r="AV82" s="121" t="s">
        <v>635</v>
      </c>
      <c r="AW82" s="167" t="s">
        <v>4106</v>
      </c>
      <c r="AX82" s="167" t="s">
        <v>3231</v>
      </c>
      <c r="AY82" s="167" t="s">
        <v>4510</v>
      </c>
      <c r="AZ82" s="167"/>
      <c r="BA82" s="127" t="s">
        <v>286</v>
      </c>
      <c r="BB82" s="127" t="s">
        <v>4345</v>
      </c>
      <c r="BC82" s="127" t="s">
        <v>4511</v>
      </c>
      <c r="BD82" s="127" t="s">
        <v>3476</v>
      </c>
      <c r="BE82" s="173" t="s">
        <v>4512</v>
      </c>
      <c r="BF82" s="173" t="s">
        <v>4513</v>
      </c>
      <c r="BG82" s="173" t="s">
        <v>4514</v>
      </c>
      <c r="BH82" s="127" t="s">
        <v>295</v>
      </c>
      <c r="BI82" s="173" t="s">
        <v>4515</v>
      </c>
      <c r="BJ82" s="173"/>
      <c r="BK82" s="127" t="s">
        <v>4516</v>
      </c>
      <c r="BL82" s="173" t="s">
        <v>4517</v>
      </c>
      <c r="BM82" s="173" t="s">
        <v>4032</v>
      </c>
      <c r="BN82" s="127" t="s">
        <v>4518</v>
      </c>
      <c r="BO82" s="173" t="s">
        <v>4519</v>
      </c>
      <c r="BP82" s="173"/>
      <c r="BQ82" s="276"/>
      <c r="BR82" s="174" t="s">
        <v>4520</v>
      </c>
      <c r="BS82" s="130" t="s">
        <v>101</v>
      </c>
      <c r="BT82" s="130" t="s">
        <v>1050</v>
      </c>
      <c r="BU82" s="130" t="s">
        <v>4521</v>
      </c>
      <c r="BV82" s="130" t="s">
        <v>2126</v>
      </c>
      <c r="BW82" s="174" t="s">
        <v>700</v>
      </c>
      <c r="BX82" s="174" t="s">
        <v>4522</v>
      </c>
      <c r="BY82" s="276"/>
      <c r="BZ82" s="130" t="s">
        <v>4523</v>
      </c>
      <c r="CA82" s="130" t="s">
        <v>4524</v>
      </c>
      <c r="CB82" s="130" t="s">
        <v>1139</v>
      </c>
      <c r="CC82" s="174" t="s">
        <v>139</v>
      </c>
      <c r="CD82" s="174" t="s">
        <v>4525</v>
      </c>
      <c r="CE82" s="174"/>
      <c r="CF82" s="323" t="s">
        <v>4526</v>
      </c>
      <c r="CG82" s="135" t="s">
        <v>1736</v>
      </c>
      <c r="CH82" s="135" t="s">
        <v>4527</v>
      </c>
      <c r="CI82" s="176" t="s">
        <v>3250</v>
      </c>
      <c r="CJ82" s="504" t="s">
        <v>4192</v>
      </c>
      <c r="CK82" s="135" t="s">
        <v>4528</v>
      </c>
      <c r="CL82" s="135" t="s">
        <v>4469</v>
      </c>
      <c r="CM82" s="135" t="s">
        <v>1776</v>
      </c>
      <c r="CN82" s="176" t="s">
        <v>4529</v>
      </c>
      <c r="CO82" s="176" t="s">
        <v>775</v>
      </c>
      <c r="CP82" s="176" t="s">
        <v>2291</v>
      </c>
      <c r="CQ82" s="176" t="s">
        <v>4530</v>
      </c>
      <c r="CR82" s="176" t="s">
        <v>871</v>
      </c>
      <c r="CS82" s="92"/>
      <c r="CT82" s="372" t="s">
        <v>4531</v>
      </c>
      <c r="CU82" s="140" t="s">
        <v>1991</v>
      </c>
      <c r="CV82" s="205" t="s">
        <v>2498</v>
      </c>
      <c r="CW82" s="205" t="s">
        <v>3418</v>
      </c>
      <c r="CX82" s="205" t="s">
        <v>548</v>
      </c>
      <c r="CY82" s="205" t="s">
        <v>3209</v>
      </c>
      <c r="CZ82" s="140" t="s">
        <v>4532</v>
      </c>
      <c r="DA82" s="205" t="s">
        <v>363</v>
      </c>
      <c r="DB82" s="205" t="s">
        <v>4533</v>
      </c>
      <c r="DC82" s="205" t="s">
        <v>2071</v>
      </c>
      <c r="DD82" s="205" t="s">
        <v>4534</v>
      </c>
      <c r="DE82" s="205" t="s">
        <v>4535</v>
      </c>
      <c r="DF82" s="205"/>
      <c r="DG82" s="206" t="s">
        <v>4536</v>
      </c>
      <c r="DH82" s="206" t="s">
        <v>4537</v>
      </c>
      <c r="DI82" s="206" t="s">
        <v>4538</v>
      </c>
      <c r="DJ82" s="145" t="s">
        <v>1468</v>
      </c>
      <c r="DK82" s="145" t="s">
        <v>3893</v>
      </c>
      <c r="DL82" s="206" t="s">
        <v>4539</v>
      </c>
      <c r="DM82" s="206" t="s">
        <v>4540</v>
      </c>
      <c r="DN82" s="206" t="s">
        <v>3005</v>
      </c>
      <c r="DO82" s="206" t="s">
        <v>4201</v>
      </c>
      <c r="DP82" s="145" t="s">
        <v>4541</v>
      </c>
      <c r="DQ82" s="145" t="s">
        <v>3461</v>
      </c>
      <c r="DR82" s="145" t="s">
        <v>3752</v>
      </c>
      <c r="DS82" s="206" t="s">
        <v>2107</v>
      </c>
      <c r="DT82" s="206" t="s">
        <v>4542</v>
      </c>
      <c r="DU82" s="145" t="s">
        <v>2754</v>
      </c>
      <c r="DV82" s="206" t="s">
        <v>2185</v>
      </c>
      <c r="DW82" s="206" t="s">
        <v>1831</v>
      </c>
      <c r="DX82" s="206" t="s">
        <v>2485</v>
      </c>
      <c r="DY82" s="206" t="s">
        <v>1456</v>
      </c>
      <c r="DZ82" s="206" t="s">
        <v>2055</v>
      </c>
      <c r="EA82" s="206" t="s">
        <v>4543</v>
      </c>
      <c r="EB82" s="142" t="s">
        <v>4544</v>
      </c>
    </row>
    <row r="83">
      <c r="A83" s="563" t="s">
        <v>4545</v>
      </c>
      <c r="B83" s="564" t="s">
        <v>4546</v>
      </c>
      <c r="C83" s="565" t="s">
        <v>1418</v>
      </c>
      <c r="D83" s="566" t="s">
        <v>1418</v>
      </c>
      <c r="E83" s="567" t="s">
        <v>1418</v>
      </c>
      <c r="F83" s="568" t="s">
        <v>437</v>
      </c>
      <c r="G83" s="564" t="s">
        <v>4547</v>
      </c>
      <c r="H83" s="297"/>
      <c r="I83" s="285" t="s">
        <v>4548</v>
      </c>
      <c r="J83" s="297" t="s">
        <v>2975</v>
      </c>
      <c r="K83" s="297" t="s">
        <v>4549</v>
      </c>
      <c r="L83" s="297" t="s">
        <v>2771</v>
      </c>
      <c r="M83" s="88" t="s">
        <v>4550</v>
      </c>
      <c r="N83" s="297" t="s">
        <v>4551</v>
      </c>
      <c r="O83" s="297" t="s">
        <v>3804</v>
      </c>
      <c r="P83" s="297" t="s">
        <v>2943</v>
      </c>
      <c r="Q83" s="569"/>
      <c r="R83" s="569"/>
      <c r="S83" s="569"/>
      <c r="T83" s="569"/>
      <c r="U83" s="569"/>
      <c r="V83" s="569"/>
      <c r="W83" s="570"/>
      <c r="X83" s="297" t="s">
        <v>2976</v>
      </c>
      <c r="Y83" s="297" t="s">
        <v>2982</v>
      </c>
      <c r="Z83" s="297" t="s">
        <v>2159</v>
      </c>
      <c r="AA83" s="297" t="s">
        <v>1115</v>
      </c>
      <c r="AB83" s="297" t="s">
        <v>1778</v>
      </c>
      <c r="AC83" s="297" t="s">
        <v>3927</v>
      </c>
      <c r="AD83" s="569"/>
      <c r="AE83" s="297" t="s">
        <v>2353</v>
      </c>
      <c r="AF83" s="297" t="s">
        <v>3199</v>
      </c>
      <c r="AG83" s="569"/>
      <c r="AH83" s="569"/>
      <c r="AI83" s="297"/>
      <c r="AJ83" s="569"/>
      <c r="AK83" s="571"/>
      <c r="AL83" s="297"/>
      <c r="AM83" s="297"/>
      <c r="AN83" s="569"/>
      <c r="AO83" s="569"/>
      <c r="AP83" s="572"/>
      <c r="AQ83" s="572"/>
      <c r="AR83" s="569"/>
      <c r="AS83" s="569"/>
      <c r="AT83" s="297" t="s">
        <v>4552</v>
      </c>
      <c r="AU83" s="297" t="s">
        <v>1450</v>
      </c>
      <c r="AV83" s="297"/>
      <c r="AW83" s="569"/>
      <c r="AX83" s="569"/>
      <c r="AY83" s="569"/>
      <c r="AZ83" s="569"/>
      <c r="BA83" s="297" t="s">
        <v>3181</v>
      </c>
      <c r="BB83" s="297" t="s">
        <v>809</v>
      </c>
      <c r="BC83" s="297" t="s">
        <v>295</v>
      </c>
      <c r="BD83" s="297" t="s">
        <v>4553</v>
      </c>
      <c r="BE83" s="297" t="s">
        <v>4450</v>
      </c>
      <c r="BF83" s="297"/>
      <c r="BG83" s="569"/>
      <c r="BH83" s="297" t="s">
        <v>1282</v>
      </c>
      <c r="BI83" s="569"/>
      <c r="BJ83" s="297" t="s">
        <v>4554</v>
      </c>
      <c r="BK83" s="297" t="s">
        <v>4080</v>
      </c>
      <c r="BL83" s="569"/>
      <c r="BM83" s="569"/>
      <c r="BN83" s="297"/>
      <c r="BO83" s="569"/>
      <c r="BP83" s="573"/>
      <c r="BQ83" s="297" t="s">
        <v>4555</v>
      </c>
      <c r="BR83" s="297" t="s">
        <v>4556</v>
      </c>
      <c r="BS83" s="297" t="s">
        <v>4557</v>
      </c>
      <c r="BT83" s="297" t="s">
        <v>4558</v>
      </c>
      <c r="BU83" s="297" t="s">
        <v>2187</v>
      </c>
      <c r="BV83" s="297" t="s">
        <v>822</v>
      </c>
      <c r="BW83" s="88" t="s">
        <v>4559</v>
      </c>
      <c r="BX83" s="297"/>
      <c r="BY83" s="297" t="s">
        <v>4560</v>
      </c>
      <c r="BZ83" s="297" t="s">
        <v>4561</v>
      </c>
      <c r="CA83" s="569"/>
      <c r="CB83" s="569"/>
      <c r="CC83" s="569"/>
      <c r="CD83" s="569"/>
      <c r="CE83" s="573"/>
      <c r="CF83" s="297" t="s">
        <v>4562</v>
      </c>
      <c r="CG83" s="297" t="s">
        <v>1308</v>
      </c>
      <c r="CH83" s="297" t="s">
        <v>3547</v>
      </c>
      <c r="CI83" s="297" t="s">
        <v>4563</v>
      </c>
      <c r="CJ83" s="297" t="s">
        <v>4564</v>
      </c>
      <c r="CK83" s="297" t="s">
        <v>4565</v>
      </c>
      <c r="CL83" s="297" t="s">
        <v>1628</v>
      </c>
      <c r="CM83" s="297" t="s">
        <v>4566</v>
      </c>
      <c r="CN83" s="574"/>
      <c r="CO83" s="569"/>
      <c r="CP83" s="569"/>
      <c r="CQ83" s="569"/>
      <c r="CR83" s="569"/>
      <c r="CS83" s="570"/>
      <c r="CT83" s="297" t="s">
        <v>4567</v>
      </c>
      <c r="CU83" s="297" t="s">
        <v>4568</v>
      </c>
      <c r="CV83" s="297" t="s">
        <v>1006</v>
      </c>
      <c r="CW83" s="297" t="s">
        <v>3717</v>
      </c>
      <c r="CX83" s="297" t="s">
        <v>2153</v>
      </c>
      <c r="CY83" s="297" t="s">
        <v>3793</v>
      </c>
      <c r="CZ83" s="297" t="s">
        <v>4569</v>
      </c>
      <c r="DA83" s="297" t="s">
        <v>4142</v>
      </c>
      <c r="DB83" s="569"/>
      <c r="DC83" s="569"/>
      <c r="DD83" s="569"/>
      <c r="DE83" s="569"/>
      <c r="DF83" s="573"/>
      <c r="DG83" s="297" t="s">
        <v>4570</v>
      </c>
      <c r="DH83" s="569"/>
      <c r="DI83" s="569"/>
      <c r="DJ83" s="297"/>
      <c r="DK83" s="297"/>
      <c r="DL83" s="297"/>
      <c r="DM83" s="569"/>
      <c r="DN83" s="569"/>
      <c r="DO83" s="569"/>
      <c r="DP83" s="297" t="s">
        <v>4571</v>
      </c>
      <c r="DQ83" s="297" t="s">
        <v>4572</v>
      </c>
      <c r="DR83" s="569"/>
      <c r="DS83" s="297"/>
      <c r="DT83" s="569"/>
      <c r="DU83" s="569"/>
      <c r="DV83" s="569"/>
      <c r="DW83" s="569"/>
      <c r="DX83" s="569"/>
      <c r="DY83" s="297"/>
      <c r="DZ83" s="569"/>
      <c r="EA83" s="569"/>
      <c r="EB83" s="285"/>
    </row>
    <row r="84">
      <c r="A84" s="165" t="s">
        <v>4573</v>
      </c>
      <c r="B84" s="103" t="s">
        <v>4574</v>
      </c>
      <c r="C84" s="104" t="s">
        <v>1418</v>
      </c>
      <c r="D84" s="105" t="s">
        <v>1418</v>
      </c>
      <c r="E84" s="106" t="s">
        <v>1418</v>
      </c>
      <c r="F84" s="107" t="s">
        <v>437</v>
      </c>
      <c r="G84" s="103" t="s">
        <v>4575</v>
      </c>
      <c r="H84" s="166"/>
      <c r="I84" s="166" t="s">
        <v>4576</v>
      </c>
      <c r="J84" s="166" t="s">
        <v>2695</v>
      </c>
      <c r="K84" s="166" t="s">
        <v>3915</v>
      </c>
      <c r="L84" s="166" t="s">
        <v>4577</v>
      </c>
      <c r="M84" s="222"/>
      <c r="N84" s="166" t="s">
        <v>1226</v>
      </c>
      <c r="O84" s="166" t="s">
        <v>4578</v>
      </c>
      <c r="P84" s="166" t="s">
        <v>238</v>
      </c>
      <c r="Q84" s="222"/>
      <c r="R84" s="222"/>
      <c r="S84" s="222"/>
      <c r="T84" s="222"/>
      <c r="U84" s="222"/>
      <c r="V84" s="222"/>
      <c r="W84" s="92"/>
      <c r="X84" s="197" t="s">
        <v>2076</v>
      </c>
      <c r="Y84" s="197" t="s">
        <v>577</v>
      </c>
      <c r="Z84" s="197" t="s">
        <v>3533</v>
      </c>
      <c r="AA84" s="197" t="s">
        <v>4579</v>
      </c>
      <c r="AB84" s="197" t="s">
        <v>3592</v>
      </c>
      <c r="AC84" s="197" t="s">
        <v>4580</v>
      </c>
      <c r="AD84" s="270"/>
      <c r="AE84" s="270"/>
      <c r="AF84" s="197" t="s">
        <v>3652</v>
      </c>
      <c r="AG84" s="270"/>
      <c r="AH84" s="270"/>
      <c r="AI84" s="270"/>
      <c r="AJ84" s="270"/>
      <c r="AK84" s="96"/>
      <c r="AL84" s="271"/>
      <c r="AM84" s="271"/>
      <c r="AN84" s="271"/>
      <c r="AO84" s="271"/>
      <c r="AP84" s="271"/>
      <c r="AQ84" s="271"/>
      <c r="AR84" s="271"/>
      <c r="AS84" s="271"/>
      <c r="AT84" s="167" t="s">
        <v>3965</v>
      </c>
      <c r="AU84" s="167" t="s">
        <v>1043</v>
      </c>
      <c r="AV84" s="271"/>
      <c r="AW84" s="271"/>
      <c r="AX84" s="271"/>
      <c r="AY84" s="271"/>
      <c r="AZ84" s="271"/>
      <c r="BA84" s="172"/>
      <c r="BB84" s="173" t="s">
        <v>4075</v>
      </c>
      <c r="BC84" s="173" t="s">
        <v>1450</v>
      </c>
      <c r="BD84" s="173" t="s">
        <v>4398</v>
      </c>
      <c r="BE84" s="173" t="s">
        <v>938</v>
      </c>
      <c r="BF84" s="172"/>
      <c r="BG84" s="172"/>
      <c r="BH84" s="173" t="s">
        <v>769</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4582</v>
      </c>
      <c r="CI84" s="176" t="s">
        <v>4583</v>
      </c>
      <c r="CJ84" s="176"/>
      <c r="CK84" s="176" t="s">
        <v>4584</v>
      </c>
      <c r="CL84" s="176" t="s">
        <v>2237</v>
      </c>
      <c r="CM84" s="176" t="s">
        <v>4566</v>
      </c>
      <c r="CN84" s="279"/>
      <c r="CO84" s="279"/>
      <c r="CP84" s="279"/>
      <c r="CQ84" s="279"/>
      <c r="CR84" s="279"/>
      <c r="CS84" s="92"/>
      <c r="CT84" s="205" t="s">
        <v>4585</v>
      </c>
      <c r="CU84" s="280"/>
      <c r="CV84" s="205" t="s">
        <v>1831</v>
      </c>
      <c r="CW84" s="140" t="s">
        <v>4586</v>
      </c>
      <c r="CX84" s="205" t="s">
        <v>4587</v>
      </c>
      <c r="CY84" s="205" t="s">
        <v>3338</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1418</v>
      </c>
      <c r="D85" s="84" t="s">
        <v>1418</v>
      </c>
      <c r="E85" s="85" t="s">
        <v>1418</v>
      </c>
      <c r="F85" s="86" t="s">
        <v>1418</v>
      </c>
      <c r="G85" s="82" t="s">
        <v>4592</v>
      </c>
      <c r="H85" s="98"/>
      <c r="I85" s="93" t="s">
        <v>4593</v>
      </c>
      <c r="J85" s="93" t="s">
        <v>4594</v>
      </c>
      <c r="K85" s="93" t="s">
        <v>4595</v>
      </c>
      <c r="L85" s="93" t="s">
        <v>2291</v>
      </c>
      <c r="M85" s="93" t="s">
        <v>4596</v>
      </c>
      <c r="N85" s="93" t="s">
        <v>4597</v>
      </c>
      <c r="O85" s="93" t="s">
        <v>934</v>
      </c>
      <c r="P85" s="93" t="s">
        <v>3993</v>
      </c>
      <c r="Q85" s="98"/>
      <c r="R85" s="93" t="s">
        <v>3713</v>
      </c>
      <c r="S85" s="93" t="s">
        <v>1504</v>
      </c>
      <c r="T85" s="98"/>
      <c r="U85" s="98"/>
      <c r="V85" s="98"/>
      <c r="W85" s="92"/>
      <c r="X85" s="93" t="s">
        <v>4598</v>
      </c>
      <c r="Y85" s="93" t="s">
        <v>363</v>
      </c>
      <c r="Z85" s="93" t="s">
        <v>2828</v>
      </c>
      <c r="AA85" s="285" t="s">
        <v>3168</v>
      </c>
      <c r="AB85" s="572" t="s">
        <v>4021</v>
      </c>
      <c r="AC85" s="93" t="s">
        <v>4599</v>
      </c>
      <c r="AD85" s="93"/>
      <c r="AE85" s="93" t="s">
        <v>4600</v>
      </c>
      <c r="AF85" s="93" t="s">
        <v>4601</v>
      </c>
      <c r="AG85" s="98"/>
      <c r="AH85" s="98"/>
      <c r="AI85" s="98"/>
      <c r="AJ85" s="93" t="s">
        <v>4602</v>
      </c>
      <c r="AK85" s="96"/>
      <c r="AL85" s="93"/>
      <c r="AM85" s="93" t="s">
        <v>4603</v>
      </c>
      <c r="AN85" s="98"/>
      <c r="AO85" s="93" t="s">
        <v>2969</v>
      </c>
      <c r="AP85" s="98"/>
      <c r="AQ85" s="98"/>
      <c r="AR85" s="98"/>
      <c r="AS85" s="98"/>
      <c r="AT85" s="98"/>
      <c r="AU85" s="93" t="s">
        <v>517</v>
      </c>
      <c r="AV85" s="98"/>
      <c r="AW85" s="98"/>
      <c r="AX85" s="93" t="s">
        <v>1276</v>
      </c>
      <c r="AY85" s="98"/>
      <c r="AZ85" s="98"/>
      <c r="BA85" s="98"/>
      <c r="BB85" s="93" t="s">
        <v>676</v>
      </c>
      <c r="BC85" s="93" t="s">
        <v>2318</v>
      </c>
      <c r="BD85" s="572" t="s">
        <v>4604</v>
      </c>
      <c r="BE85" s="93" t="s">
        <v>1600</v>
      </c>
      <c r="BF85" s="98"/>
      <c r="BG85" s="98"/>
      <c r="BH85" s="93" t="s">
        <v>2318</v>
      </c>
      <c r="BI85" s="93" t="s">
        <v>4605</v>
      </c>
      <c r="BJ85" s="93"/>
      <c r="BK85" s="98"/>
      <c r="BL85" s="98"/>
      <c r="BM85" s="93" t="s">
        <v>4606</v>
      </c>
      <c r="BN85" s="98"/>
      <c r="BO85" s="98"/>
      <c r="BP85" s="261"/>
      <c r="BQ85" s="93" t="s">
        <v>4607</v>
      </c>
      <c r="BR85" s="93" t="s">
        <v>3582</v>
      </c>
      <c r="BS85" s="93" t="s">
        <v>3303</v>
      </c>
      <c r="BT85" s="93" t="s">
        <v>4228</v>
      </c>
      <c r="BU85" s="93" t="s">
        <v>2882</v>
      </c>
      <c r="BV85" s="93" t="s">
        <v>3044</v>
      </c>
      <c r="BW85" s="98"/>
      <c r="BX85" s="93" t="s">
        <v>4608</v>
      </c>
      <c r="BY85" s="93"/>
      <c r="BZ85" s="93" t="s">
        <v>4609</v>
      </c>
      <c r="CA85" s="98"/>
      <c r="CB85" s="98"/>
      <c r="CC85" s="98"/>
      <c r="CD85" s="285" t="s">
        <v>4610</v>
      </c>
      <c r="CE85" s="285"/>
      <c r="CF85" s="93" t="s">
        <v>4611</v>
      </c>
      <c r="CG85" s="93" t="s">
        <v>4612</v>
      </c>
      <c r="CH85" s="93" t="s">
        <v>4613</v>
      </c>
      <c r="CI85" s="93" t="s">
        <v>4614</v>
      </c>
      <c r="CJ85" s="93"/>
      <c r="CK85" s="93" t="s">
        <v>1746</v>
      </c>
      <c r="CL85" s="93" t="s">
        <v>3164</v>
      </c>
      <c r="CM85" s="93" t="s">
        <v>432</v>
      </c>
      <c r="CN85" s="98"/>
      <c r="CO85" s="98"/>
      <c r="CP85" s="98"/>
      <c r="CQ85" s="98"/>
      <c r="CR85" s="93" t="s">
        <v>4615</v>
      </c>
      <c r="CS85" s="92"/>
      <c r="CT85" s="93" t="s">
        <v>4616</v>
      </c>
      <c r="CU85" s="98"/>
      <c r="CV85" s="93" t="s">
        <v>3871</v>
      </c>
      <c r="CW85" s="93" t="s">
        <v>4617</v>
      </c>
      <c r="CX85" s="93" t="s">
        <v>4618</v>
      </c>
      <c r="CY85" s="93" t="s">
        <v>855</v>
      </c>
      <c r="CZ85" s="93" t="s">
        <v>4619</v>
      </c>
      <c r="DA85" s="93" t="s">
        <v>3096</v>
      </c>
      <c r="DB85" s="98"/>
      <c r="DC85" s="98"/>
      <c r="DD85" s="98"/>
      <c r="DE85" s="93" t="s">
        <v>4620</v>
      </c>
      <c r="DF85" s="93"/>
      <c r="DG85" s="93" t="s">
        <v>4621</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4622</v>
      </c>
      <c r="B86" s="103" t="s">
        <v>4623</v>
      </c>
      <c r="C86" s="104" t="s">
        <v>1418</v>
      </c>
      <c r="D86" s="105" t="s">
        <v>1418</v>
      </c>
      <c r="E86" s="106" t="s">
        <v>1418</v>
      </c>
      <c r="F86" s="107" t="s">
        <v>2937</v>
      </c>
      <c r="G86" s="103" t="s">
        <v>2401</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3814</v>
      </c>
      <c r="BE86" s="125" t="str">
        <f>HYPERLINK("https://www.twitch.tv/videos/212002831","53.30")</f>
        <v>53.30</v>
      </c>
      <c r="BF86" s="172"/>
      <c r="BG86" s="172"/>
      <c r="BH86" s="125" t="str">
        <f>HYPERLINK("https://clips.twitch.tv/ImpossibleLitigiousElephantSpicyBoy","28.85")</f>
        <v>28.85</v>
      </c>
      <c r="BI86" s="172"/>
      <c r="BJ86" s="456"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4626</v>
      </c>
      <c r="CH86" s="133" t="str">
        <f>HYPERLINK("https://clips.twitch.tv/VenomousSavoryOtterPeteZaroll","36.77")</f>
        <v>36.77</v>
      </c>
      <c r="CI86" s="576" t="str">
        <f>HYPERLINK("https://www.twitch.tv/videos/203127903","1:35.90")</f>
        <v>1:35.90</v>
      </c>
      <c r="CJ86" s="577"/>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1418</v>
      </c>
      <c r="D87" s="84" t="s">
        <v>1418</v>
      </c>
      <c r="E87" s="85" t="s">
        <v>1418</v>
      </c>
      <c r="F87" s="86" t="s">
        <v>1418</v>
      </c>
      <c r="G87" s="82" t="s">
        <v>4592</v>
      </c>
      <c r="H87" s="93"/>
      <c r="I87" s="93" t="s">
        <v>3575</v>
      </c>
      <c r="J87" s="93" t="s">
        <v>4630</v>
      </c>
      <c r="K87" s="93" t="s">
        <v>4631</v>
      </c>
      <c r="L87" s="93" t="s">
        <v>4632</v>
      </c>
      <c r="M87" s="98"/>
      <c r="N87" s="93" t="s">
        <v>4633</v>
      </c>
      <c r="O87" s="93" t="s">
        <v>4209</v>
      </c>
      <c r="P87" s="93" t="s">
        <v>4634</v>
      </c>
      <c r="Q87" s="98"/>
      <c r="R87" s="98"/>
      <c r="S87" s="93" t="s">
        <v>1206</v>
      </c>
      <c r="T87" s="98"/>
      <c r="U87" s="93" t="s">
        <v>1934</v>
      </c>
      <c r="V87" s="98"/>
      <c r="W87" s="92"/>
      <c r="X87" s="93" t="s">
        <v>1384</v>
      </c>
      <c r="Y87" s="93" t="s">
        <v>721</v>
      </c>
      <c r="Z87" s="93" t="s">
        <v>4635</v>
      </c>
      <c r="AA87" s="93" t="s">
        <v>4636</v>
      </c>
      <c r="AB87" s="93" t="s">
        <v>1694</v>
      </c>
      <c r="AC87" s="93" t="s">
        <v>1642</v>
      </c>
      <c r="AD87" s="98"/>
      <c r="AE87" s="93" t="s">
        <v>3023</v>
      </c>
      <c r="AF87" s="98"/>
      <c r="AG87" s="98"/>
      <c r="AH87" s="93"/>
      <c r="AI87" s="93" t="s">
        <v>3017</v>
      </c>
      <c r="AJ87" s="98"/>
      <c r="AK87" s="96"/>
      <c r="AL87" s="98"/>
      <c r="AM87" s="93" t="s">
        <v>4237</v>
      </c>
      <c r="AN87" s="98"/>
      <c r="AO87" s="93" t="s">
        <v>4637</v>
      </c>
      <c r="AP87" s="98"/>
      <c r="AQ87" s="98"/>
      <c r="AR87" s="98"/>
      <c r="AS87" s="98"/>
      <c r="AT87" s="93" t="s">
        <v>1946</v>
      </c>
      <c r="AU87" s="93" t="s">
        <v>3182</v>
      </c>
      <c r="AV87" s="98"/>
      <c r="AW87" s="93"/>
      <c r="AX87" s="93" t="s">
        <v>4638</v>
      </c>
      <c r="AY87" s="98"/>
      <c r="AZ87" s="98"/>
      <c r="BA87" s="93" t="s">
        <v>4639</v>
      </c>
      <c r="BB87" s="93" t="s">
        <v>4262</v>
      </c>
      <c r="BC87" s="98"/>
      <c r="BD87" s="93" t="s">
        <v>1427</v>
      </c>
      <c r="BE87" s="93" t="s">
        <v>1509</v>
      </c>
      <c r="BF87" s="98"/>
      <c r="BG87" s="98"/>
      <c r="BH87" s="93" t="s">
        <v>1177</v>
      </c>
      <c r="BI87" s="93" t="s">
        <v>4640</v>
      </c>
      <c r="BJ87" s="93"/>
      <c r="BK87" s="98"/>
      <c r="BL87" s="98"/>
      <c r="BM87" s="93" t="s">
        <v>3587</v>
      </c>
      <c r="BN87" s="98"/>
      <c r="BO87" s="98"/>
      <c r="BP87" s="261"/>
      <c r="BQ87" s="93" t="s">
        <v>4641</v>
      </c>
      <c r="BR87" s="93" t="s">
        <v>3582</v>
      </c>
      <c r="BS87" s="93" t="s">
        <v>2298</v>
      </c>
      <c r="BT87" s="93" t="s">
        <v>4642</v>
      </c>
      <c r="BU87" s="93" t="s">
        <v>242</v>
      </c>
      <c r="BV87" s="93" t="s">
        <v>3788</v>
      </c>
      <c r="BW87" s="98"/>
      <c r="BX87" s="93" t="s">
        <v>2390</v>
      </c>
      <c r="BY87" s="93" t="s">
        <v>4643</v>
      </c>
      <c r="BZ87" s="93"/>
      <c r="CA87" s="98"/>
      <c r="CB87" s="93" t="s">
        <v>1482</v>
      </c>
      <c r="CC87" s="93" t="s">
        <v>142</v>
      </c>
      <c r="CD87" s="98"/>
      <c r="CE87" s="261"/>
      <c r="CF87" s="93" t="s">
        <v>3998</v>
      </c>
      <c r="CG87" s="93" t="s">
        <v>176</v>
      </c>
      <c r="CH87" s="579"/>
      <c r="CI87" s="93" t="s">
        <v>4644</v>
      </c>
      <c r="CJ87" s="93"/>
      <c r="CK87" s="93" t="s">
        <v>4645</v>
      </c>
      <c r="CL87" s="93" t="s">
        <v>3149</v>
      </c>
      <c r="CM87" s="98"/>
      <c r="CN87" s="98"/>
      <c r="CO87" s="98"/>
      <c r="CP87" s="93"/>
      <c r="CQ87" s="93" t="s">
        <v>4646</v>
      </c>
      <c r="CR87" s="98"/>
      <c r="CS87" s="92"/>
      <c r="CT87" s="93" t="s">
        <v>3792</v>
      </c>
      <c r="CU87" s="98"/>
      <c r="CV87" s="93" t="s">
        <v>4612</v>
      </c>
      <c r="CW87" s="93" t="s">
        <v>4647</v>
      </c>
      <c r="CX87" s="93" t="s">
        <v>4268</v>
      </c>
      <c r="CY87" s="98"/>
      <c r="CZ87" s="93" t="s">
        <v>4648</v>
      </c>
      <c r="DA87" s="93" t="s">
        <v>4649</v>
      </c>
      <c r="DB87" s="98"/>
      <c r="DC87" s="93" t="s">
        <v>2270</v>
      </c>
      <c r="DD87" s="98"/>
      <c r="DE87" s="98"/>
      <c r="DF87" s="261"/>
      <c r="DG87" s="98"/>
      <c r="DH87" s="98"/>
      <c r="DI87" s="98"/>
      <c r="DJ87" s="98"/>
      <c r="DK87" s="93" t="s">
        <v>1692</v>
      </c>
      <c r="DL87" s="98"/>
      <c r="DM87" s="98"/>
      <c r="DN87" s="98"/>
      <c r="DO87" s="98"/>
      <c r="DP87" s="98"/>
      <c r="DQ87" s="98"/>
      <c r="DR87" s="93" t="s">
        <v>2244</v>
      </c>
      <c r="DS87" s="98"/>
      <c r="DT87" s="98"/>
      <c r="DU87" s="93" t="s">
        <v>4650</v>
      </c>
      <c r="DV87" s="98"/>
      <c r="DW87" s="98"/>
      <c r="DX87" s="93" t="s">
        <v>144</v>
      </c>
      <c r="DY87" s="93" t="s">
        <v>4651</v>
      </c>
      <c r="DZ87" s="98"/>
      <c r="EA87" s="98"/>
      <c r="EB87" s="285"/>
    </row>
    <row r="88">
      <c r="A88" s="580" t="s">
        <v>4652</v>
      </c>
      <c r="B88" s="581" t="s">
        <v>4653</v>
      </c>
      <c r="C88" s="582" t="s">
        <v>1418</v>
      </c>
      <c r="D88" s="583" t="s">
        <v>1418</v>
      </c>
      <c r="E88" s="584" t="s">
        <v>1418</v>
      </c>
      <c r="F88" s="585" t="s">
        <v>2869</v>
      </c>
      <c r="G88" s="581" t="s">
        <v>1259</v>
      </c>
      <c r="H88" s="586" t="s">
        <v>4654</v>
      </c>
      <c r="I88" s="587" t="s">
        <v>4655</v>
      </c>
      <c r="J88" s="586" t="s">
        <v>4656</v>
      </c>
      <c r="K88" s="586" t="s">
        <v>2764</v>
      </c>
      <c r="L88" s="586" t="s">
        <v>2767</v>
      </c>
      <c r="M88" s="586" t="s">
        <v>4657</v>
      </c>
      <c r="N88" s="587" t="s">
        <v>4658</v>
      </c>
      <c r="O88" s="586" t="s">
        <v>372</v>
      </c>
      <c r="P88" s="588" t="s">
        <v>4659</v>
      </c>
      <c r="Q88" s="588" t="s">
        <v>4660</v>
      </c>
      <c r="R88" s="588" t="s">
        <v>2516</v>
      </c>
      <c r="S88" s="588" t="s">
        <v>4098</v>
      </c>
      <c r="T88" s="588" t="s">
        <v>1335</v>
      </c>
      <c r="U88" s="588" t="s">
        <v>4661</v>
      </c>
      <c r="V88" s="586" t="s">
        <v>4662</v>
      </c>
      <c r="W88" s="589"/>
      <c r="X88" s="590" t="s">
        <v>2792</v>
      </c>
      <c r="Y88" s="590" t="s">
        <v>4663</v>
      </c>
      <c r="Z88" s="591" t="s">
        <v>510</v>
      </c>
      <c r="AA88" s="591" t="s">
        <v>628</v>
      </c>
      <c r="AB88" s="590" t="s">
        <v>2289</v>
      </c>
      <c r="AC88" s="591" t="s">
        <v>4664</v>
      </c>
      <c r="AD88" s="590"/>
      <c r="AE88" s="590" t="s">
        <v>4665</v>
      </c>
      <c r="AF88" s="592" t="s">
        <v>4666</v>
      </c>
      <c r="AG88" s="590" t="s">
        <v>3527</v>
      </c>
      <c r="AH88" s="593" t="s">
        <v>1313</v>
      </c>
      <c r="AI88" s="116" t="s">
        <v>2165</v>
      </c>
      <c r="AJ88" s="593" t="s">
        <v>4667</v>
      </c>
      <c r="AK88" s="594"/>
      <c r="AL88" s="595" t="s">
        <v>3386</v>
      </c>
      <c r="AM88" s="595" t="s">
        <v>1374</v>
      </c>
      <c r="AN88" s="595" t="s">
        <v>4668</v>
      </c>
      <c r="AO88" s="596" t="s">
        <v>2874</v>
      </c>
      <c r="AP88" s="596" t="s">
        <v>131</v>
      </c>
      <c r="AQ88" s="596" t="s">
        <v>4669</v>
      </c>
      <c r="AR88" s="595" t="s">
        <v>4670</v>
      </c>
      <c r="AS88" s="596" t="s">
        <v>4671</v>
      </c>
      <c r="AT88" s="596" t="s">
        <v>3031</v>
      </c>
      <c r="AU88" s="597" t="s">
        <v>2529</v>
      </c>
      <c r="AV88" s="595" t="s">
        <v>3660</v>
      </c>
      <c r="AW88" s="596" t="s">
        <v>259</v>
      </c>
      <c r="AX88" s="596" t="s">
        <v>749</v>
      </c>
      <c r="AY88" s="596" t="s">
        <v>4672</v>
      </c>
      <c r="AZ88" s="598"/>
      <c r="BA88" s="599" t="s">
        <v>4673</v>
      </c>
      <c r="BB88" s="600" t="s">
        <v>418</v>
      </c>
      <c r="BC88" s="599" t="s">
        <v>615</v>
      </c>
      <c r="BD88" s="601" t="s">
        <v>138</v>
      </c>
      <c r="BE88" s="599" t="s">
        <v>4674</v>
      </c>
      <c r="BF88" s="599" t="s">
        <v>4675</v>
      </c>
      <c r="BG88" s="599" t="s">
        <v>4299</v>
      </c>
      <c r="BH88" s="599" t="s">
        <v>2468</v>
      </c>
      <c r="BI88" s="599" t="s">
        <v>4676</v>
      </c>
      <c r="BJ88" s="173"/>
      <c r="BK88" s="601" t="s">
        <v>2493</v>
      </c>
      <c r="BL88" s="602"/>
      <c r="BM88" s="602"/>
      <c r="BN88" s="602"/>
      <c r="BO88" s="602"/>
      <c r="BP88" s="603"/>
      <c r="BQ88" s="604"/>
      <c r="BR88" s="605" t="s">
        <v>4677</v>
      </c>
      <c r="BS88" s="606" t="s">
        <v>4678</v>
      </c>
      <c r="BT88" s="605" t="s">
        <v>2849</v>
      </c>
      <c r="BU88" s="606" t="s">
        <v>4299</v>
      </c>
      <c r="BV88" s="606" t="s">
        <v>4679</v>
      </c>
      <c r="BW88" s="606" t="s">
        <v>4680</v>
      </c>
      <c r="BX88" s="607" t="s">
        <v>4681</v>
      </c>
      <c r="BY88" s="604"/>
      <c r="BZ88" s="608" t="s">
        <v>4682</v>
      </c>
      <c r="CA88" s="604"/>
      <c r="CB88" s="604"/>
      <c r="CC88" s="604"/>
      <c r="CD88" s="604"/>
      <c r="CE88" s="609"/>
      <c r="CF88" s="610" t="s">
        <v>4683</v>
      </c>
      <c r="CG88" s="611" t="s">
        <v>819</v>
      </c>
      <c r="CH88" s="612" t="s">
        <v>4684</v>
      </c>
      <c r="CI88" s="611" t="s">
        <v>4685</v>
      </c>
      <c r="CJ88" s="611" t="s">
        <v>4686</v>
      </c>
      <c r="CK88" s="611" t="s">
        <v>4687</v>
      </c>
      <c r="CL88" s="611" t="s">
        <v>1066</v>
      </c>
      <c r="CM88" s="612" t="s">
        <v>4097</v>
      </c>
      <c r="CN88" s="611"/>
      <c r="CO88" s="612" t="s">
        <v>3666</v>
      </c>
      <c r="CP88" s="612" t="s">
        <v>180</v>
      </c>
      <c r="CQ88" s="613"/>
      <c r="CR88" s="613"/>
      <c r="CS88" s="589"/>
      <c r="CT88" s="614" t="s">
        <v>4513</v>
      </c>
      <c r="CU88" s="615" t="s">
        <v>2136</v>
      </c>
      <c r="CV88" s="616" t="s">
        <v>4688</v>
      </c>
      <c r="CW88" s="615" t="s">
        <v>4689</v>
      </c>
      <c r="CX88" s="616" t="s">
        <v>4690</v>
      </c>
      <c r="CY88" s="614" t="s">
        <v>2125</v>
      </c>
      <c r="CZ88" s="617" t="s">
        <v>4691</v>
      </c>
      <c r="DA88" s="618" t="s">
        <v>1060</v>
      </c>
      <c r="DB88" s="619"/>
      <c r="DC88" s="619"/>
      <c r="DD88" s="619"/>
      <c r="DE88" s="619"/>
      <c r="DF88" s="620"/>
      <c r="DG88" s="621" t="s">
        <v>3916</v>
      </c>
      <c r="DH88" s="622"/>
      <c r="DI88" s="621" t="s">
        <v>4692</v>
      </c>
      <c r="DJ88" s="621"/>
      <c r="DK88" s="623" t="s">
        <v>4693</v>
      </c>
      <c r="DL88" s="621" t="s">
        <v>4694</v>
      </c>
      <c r="DM88" s="621" t="s">
        <v>4695</v>
      </c>
      <c r="DN88" s="621" t="s">
        <v>1872</v>
      </c>
      <c r="DO88" s="621" t="s">
        <v>4696</v>
      </c>
      <c r="DP88" s="621" t="s">
        <v>4697</v>
      </c>
      <c r="DQ88" s="624" t="s">
        <v>4698</v>
      </c>
      <c r="DR88" s="621" t="s">
        <v>3128</v>
      </c>
      <c r="DS88" s="621" t="s">
        <v>4699</v>
      </c>
      <c r="DT88" s="625"/>
      <c r="DU88" s="623" t="s">
        <v>1625</v>
      </c>
      <c r="DV88" s="622"/>
      <c r="DW88" s="623" t="s">
        <v>2964</v>
      </c>
      <c r="DX88" s="621" t="s">
        <v>2823</v>
      </c>
      <c r="DY88" s="625"/>
      <c r="DZ88" s="621" t="s">
        <v>1032</v>
      </c>
      <c r="EA88" s="625"/>
      <c r="EB88" s="142" t="s">
        <v>4700</v>
      </c>
    </row>
    <row r="89">
      <c r="A89" s="81" t="s">
        <v>4701</v>
      </c>
      <c r="B89" s="82" t="s">
        <v>4702</v>
      </c>
      <c r="C89" s="83" t="s">
        <v>1418</v>
      </c>
      <c r="D89" s="84" t="s">
        <v>1418</v>
      </c>
      <c r="E89" s="85" t="s">
        <v>1418</v>
      </c>
      <c r="F89" s="86" t="s">
        <v>334</v>
      </c>
      <c r="G89" s="82" t="s">
        <v>1130</v>
      </c>
      <c r="H89" s="93" t="s">
        <v>3415</v>
      </c>
      <c r="I89" s="93" t="s">
        <v>4703</v>
      </c>
      <c r="J89" s="93" t="s">
        <v>1276</v>
      </c>
      <c r="K89" s="93" t="s">
        <v>4595</v>
      </c>
      <c r="L89" s="93" t="s">
        <v>4704</v>
      </c>
      <c r="M89" s="98"/>
      <c r="N89" s="93" t="s">
        <v>2199</v>
      </c>
      <c r="O89" s="93" t="s">
        <v>4393</v>
      </c>
      <c r="P89" s="93" t="s">
        <v>1010</v>
      </c>
      <c r="Q89" s="93" t="s">
        <v>2686</v>
      </c>
      <c r="R89" s="98"/>
      <c r="S89" s="93" t="s">
        <v>4032</v>
      </c>
      <c r="T89" s="98"/>
      <c r="U89" s="98"/>
      <c r="V89" s="93" t="s">
        <v>4705</v>
      </c>
      <c r="W89" s="92"/>
      <c r="X89" s="93" t="s">
        <v>4706</v>
      </c>
      <c r="Y89" s="93" t="s">
        <v>4707</v>
      </c>
      <c r="Z89" s="93" t="s">
        <v>238</v>
      </c>
      <c r="AA89" s="93" t="s">
        <v>4708</v>
      </c>
      <c r="AB89" s="93" t="s">
        <v>4709</v>
      </c>
      <c r="AC89" s="93" t="s">
        <v>2885</v>
      </c>
      <c r="AD89" s="93" t="s">
        <v>4472</v>
      </c>
      <c r="AE89" s="93" t="s">
        <v>1294</v>
      </c>
      <c r="AF89" s="93" t="s">
        <v>4293</v>
      </c>
      <c r="AG89" s="93" t="s">
        <v>1410</v>
      </c>
      <c r="AH89" s="93"/>
      <c r="AI89" s="88" t="s">
        <v>4710</v>
      </c>
      <c r="AJ89" s="93" t="s">
        <v>4711</v>
      </c>
      <c r="AK89" s="96"/>
      <c r="AL89" s="93" t="s">
        <v>3630</v>
      </c>
      <c r="AM89" s="93" t="s">
        <v>390</v>
      </c>
      <c r="AN89" s="93" t="s">
        <v>4712</v>
      </c>
      <c r="AO89" s="93" t="s">
        <v>4713</v>
      </c>
      <c r="AP89" s="93" t="s">
        <v>1574</v>
      </c>
      <c r="AQ89" s="93"/>
      <c r="AR89" s="93" t="s">
        <v>1531</v>
      </c>
      <c r="AS89" s="93" t="s">
        <v>4714</v>
      </c>
      <c r="AT89" s="93" t="s">
        <v>2477</v>
      </c>
      <c r="AU89" s="88" t="s">
        <v>2074</v>
      </c>
      <c r="AV89" s="93" t="s">
        <v>1794</v>
      </c>
      <c r="AW89" s="98"/>
      <c r="AX89" s="93" t="s">
        <v>930</v>
      </c>
      <c r="AY89" s="93" t="s">
        <v>4715</v>
      </c>
      <c r="AZ89" s="93"/>
      <c r="BA89" s="98"/>
      <c r="BB89" s="93" t="s">
        <v>925</v>
      </c>
      <c r="BC89" s="93" t="s">
        <v>1047</v>
      </c>
      <c r="BD89" s="93" t="s">
        <v>1390</v>
      </c>
      <c r="BE89" s="93" t="s">
        <v>4716</v>
      </c>
      <c r="BF89" s="93" t="s">
        <v>4717</v>
      </c>
      <c r="BG89" s="98"/>
      <c r="BH89" s="93" t="s">
        <v>407</v>
      </c>
      <c r="BI89" s="93" t="s">
        <v>4718</v>
      </c>
      <c r="BJ89" s="93"/>
      <c r="BK89" s="93" t="s">
        <v>4719</v>
      </c>
      <c r="BL89" s="98"/>
      <c r="BM89" s="93" t="s">
        <v>3132</v>
      </c>
      <c r="BN89" s="93" t="s">
        <v>2293</v>
      </c>
      <c r="BO89" s="93" t="s">
        <v>4720</v>
      </c>
      <c r="BP89" s="93"/>
      <c r="BQ89" s="98"/>
      <c r="BR89" s="98"/>
      <c r="BS89" s="93" t="s">
        <v>4721</v>
      </c>
      <c r="BT89" s="93" t="s">
        <v>2231</v>
      </c>
      <c r="BU89" s="93" t="s">
        <v>4722</v>
      </c>
      <c r="BV89" s="93" t="s">
        <v>2817</v>
      </c>
      <c r="BW89" s="98"/>
      <c r="BX89" s="93" t="s">
        <v>4723</v>
      </c>
      <c r="BY89" s="98"/>
      <c r="BZ89" s="93" t="s">
        <v>1116</v>
      </c>
      <c r="CA89" s="93" t="s">
        <v>4724</v>
      </c>
      <c r="CB89" s="93" t="s">
        <v>666</v>
      </c>
      <c r="CC89" s="93" t="s">
        <v>4123</v>
      </c>
      <c r="CD89" s="88" t="s">
        <v>4725</v>
      </c>
      <c r="CE89" s="99"/>
      <c r="CF89" s="93" t="s">
        <v>4726</v>
      </c>
      <c r="CG89" s="93" t="s">
        <v>1822</v>
      </c>
      <c r="CH89" s="98"/>
      <c r="CI89" s="98"/>
      <c r="CJ89" s="98" t="s">
        <v>3311</v>
      </c>
      <c r="CK89" s="98"/>
      <c r="CL89" s="93" t="s">
        <v>3086</v>
      </c>
      <c r="CM89" s="93" t="s">
        <v>3367</v>
      </c>
      <c r="CN89" s="98"/>
      <c r="CO89" s="93" t="s">
        <v>4008</v>
      </c>
      <c r="CP89" s="98"/>
      <c r="CQ89" s="98"/>
      <c r="CR89" s="88" t="s">
        <v>4727</v>
      </c>
      <c r="CS89" s="92"/>
      <c r="CT89" s="93" t="s">
        <v>2585</v>
      </c>
      <c r="CU89" s="88" t="s">
        <v>2204</v>
      </c>
      <c r="CV89" s="93" t="s">
        <v>4728</v>
      </c>
      <c r="CW89" s="93" t="s">
        <v>1234</v>
      </c>
      <c r="CX89" s="93" t="s">
        <v>4729</v>
      </c>
      <c r="CY89" s="98"/>
      <c r="CZ89" s="98"/>
      <c r="DA89" s="93" t="s">
        <v>4730</v>
      </c>
      <c r="DB89" s="88" t="s">
        <v>4731</v>
      </c>
      <c r="DC89" s="93" t="s">
        <v>1335</v>
      </c>
      <c r="DD89" s="98"/>
      <c r="DE89" s="93" t="s">
        <v>4732</v>
      </c>
      <c r="DF89" s="93"/>
      <c r="DG89" s="98"/>
      <c r="DH89" s="93" t="s">
        <v>4373</v>
      </c>
      <c r="DI89" s="98"/>
      <c r="DJ89" s="93"/>
      <c r="DK89" s="93" t="s">
        <v>4634</v>
      </c>
      <c r="DL89" s="93" t="s">
        <v>4733</v>
      </c>
      <c r="DM89" s="88" t="s">
        <v>3972</v>
      </c>
      <c r="DN89" s="93" t="s">
        <v>3063</v>
      </c>
      <c r="DO89" s="93" t="s">
        <v>2284</v>
      </c>
      <c r="DP89" s="93" t="s">
        <v>1040</v>
      </c>
      <c r="DQ89" s="98"/>
      <c r="DR89" s="93" t="s">
        <v>4734</v>
      </c>
      <c r="DS89" s="93" t="s">
        <v>4735</v>
      </c>
      <c r="DT89" s="93" t="s">
        <v>4736</v>
      </c>
      <c r="DU89" s="93" t="s">
        <v>4737</v>
      </c>
      <c r="DV89" s="93" t="s">
        <v>1918</v>
      </c>
      <c r="DW89" s="93" t="s">
        <v>1381</v>
      </c>
      <c r="DX89" s="93" t="s">
        <v>3275</v>
      </c>
      <c r="DY89" s="93" t="s">
        <v>3079</v>
      </c>
      <c r="DZ89" s="93" t="s">
        <v>4738</v>
      </c>
      <c r="EA89" s="93" t="s">
        <v>1587</v>
      </c>
      <c r="EB89" s="285" t="s">
        <v>4739</v>
      </c>
    </row>
    <row r="90">
      <c r="A90" s="626" t="s">
        <v>4740</v>
      </c>
      <c r="B90" s="103" t="s">
        <v>4741</v>
      </c>
      <c r="C90" s="104" t="s">
        <v>1418</v>
      </c>
      <c r="D90" s="105" t="s">
        <v>1418</v>
      </c>
      <c r="E90" s="106" t="s">
        <v>1418</v>
      </c>
      <c r="F90" s="107" t="s">
        <v>219</v>
      </c>
      <c r="G90" s="103" t="s">
        <v>2337</v>
      </c>
      <c r="H90" s="222"/>
      <c r="I90" s="222"/>
      <c r="J90" s="166" t="s">
        <v>4742</v>
      </c>
      <c r="K90" s="166" t="s">
        <v>1001</v>
      </c>
      <c r="L90" s="166" t="s">
        <v>4743</v>
      </c>
      <c r="M90" s="166" t="s">
        <v>4744</v>
      </c>
      <c r="N90" s="166" t="s">
        <v>4745</v>
      </c>
      <c r="O90" s="166" t="s">
        <v>2665</v>
      </c>
      <c r="P90" s="112" t="s">
        <v>2943</v>
      </c>
      <c r="Q90" s="222"/>
      <c r="R90" s="222"/>
      <c r="S90" s="222"/>
      <c r="T90" s="222"/>
      <c r="U90" s="222"/>
      <c r="V90" s="166" t="s">
        <v>4746</v>
      </c>
      <c r="W90" s="92"/>
      <c r="X90" s="370" t="s">
        <v>4747</v>
      </c>
      <c r="Y90" s="197" t="s">
        <v>1010</v>
      </c>
      <c r="Z90" s="116" t="s">
        <v>1738</v>
      </c>
      <c r="AA90" s="116" t="s">
        <v>4748</v>
      </c>
      <c r="AB90" s="116" t="s">
        <v>2329</v>
      </c>
      <c r="AC90" s="370" t="s">
        <v>4370</v>
      </c>
      <c r="AD90" s="197"/>
      <c r="AE90" s="196" t="s">
        <v>3497</v>
      </c>
      <c r="AF90" s="116" t="s">
        <v>1898</v>
      </c>
      <c r="AG90" s="270"/>
      <c r="AH90" s="270"/>
      <c r="AI90" s="197" t="s">
        <v>2021</v>
      </c>
      <c r="AJ90" s="197" t="s">
        <v>4749</v>
      </c>
      <c r="AK90" s="96"/>
      <c r="AL90" s="271"/>
      <c r="AM90" s="271"/>
      <c r="AN90" s="271"/>
      <c r="AO90" s="271"/>
      <c r="AP90" s="167" t="s">
        <v>234</v>
      </c>
      <c r="AQ90" s="167"/>
      <c r="AR90" s="271"/>
      <c r="AS90" s="271"/>
      <c r="AT90" s="167" t="s">
        <v>908</v>
      </c>
      <c r="AU90" s="306" t="s">
        <v>4750</v>
      </c>
      <c r="AV90" s="271"/>
      <c r="AW90" s="271"/>
      <c r="AX90" s="121" t="s">
        <v>342</v>
      </c>
      <c r="AY90" s="167" t="s">
        <v>4751</v>
      </c>
      <c r="AZ90" s="167"/>
      <c r="BA90" s="173" t="s">
        <v>4093</v>
      </c>
      <c r="BB90" s="173" t="s">
        <v>1871</v>
      </c>
      <c r="BC90" s="173" t="s">
        <v>2173</v>
      </c>
      <c r="BD90" s="127" t="s">
        <v>379</v>
      </c>
      <c r="BE90" s="173" t="s">
        <v>1229</v>
      </c>
      <c r="BF90" s="172"/>
      <c r="BG90" s="172"/>
      <c r="BH90" s="329" t="s">
        <v>2618</v>
      </c>
      <c r="BI90" s="172"/>
      <c r="BJ90" s="173" t="s">
        <v>4752</v>
      </c>
      <c r="BK90" s="172"/>
      <c r="BL90" s="173"/>
      <c r="BM90" s="173" t="s">
        <v>3666</v>
      </c>
      <c r="BN90" s="173" t="s">
        <v>4481</v>
      </c>
      <c r="BO90" s="172"/>
      <c r="BP90" s="273"/>
      <c r="BQ90" s="276"/>
      <c r="BR90" s="174" t="s">
        <v>2193</v>
      </c>
      <c r="BS90" s="129" t="s">
        <v>3375</v>
      </c>
      <c r="BT90" s="174" t="s">
        <v>2010</v>
      </c>
      <c r="BU90" s="174" t="s">
        <v>4753</v>
      </c>
      <c r="BV90" s="174" t="s">
        <v>2817</v>
      </c>
      <c r="BW90" s="276"/>
      <c r="BX90" s="276"/>
      <c r="BY90" s="276"/>
      <c r="BZ90" s="130" t="s">
        <v>4682</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4661</v>
      </c>
      <c r="CU90" s="280"/>
      <c r="CV90" s="372" t="s">
        <v>1602</v>
      </c>
      <c r="CW90" s="205" t="s">
        <v>4406</v>
      </c>
      <c r="CX90" s="205" t="s">
        <v>4761</v>
      </c>
      <c r="CY90" s="205" t="s">
        <v>4762</v>
      </c>
      <c r="CZ90" s="372" t="s">
        <v>4648</v>
      </c>
      <c r="DA90" s="205" t="s">
        <v>3096</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545</v>
      </c>
      <c r="E91" s="85" t="s">
        <v>1418</v>
      </c>
      <c r="F91" s="86" t="s">
        <v>2034</v>
      </c>
      <c r="G91" s="82" t="s">
        <v>2015</v>
      </c>
      <c r="H91" s="93" t="s">
        <v>792</v>
      </c>
      <c r="I91" s="88" t="s">
        <v>4771</v>
      </c>
      <c r="J91" s="88" t="s">
        <v>4772</v>
      </c>
      <c r="K91" s="88" t="s">
        <v>3915</v>
      </c>
      <c r="L91" s="88" t="s">
        <v>2775</v>
      </c>
      <c r="M91" s="88" t="s">
        <v>3393</v>
      </c>
      <c r="N91" s="88" t="s">
        <v>4773</v>
      </c>
      <c r="O91" s="88" t="s">
        <v>4209</v>
      </c>
      <c r="P91" s="88" t="s">
        <v>4774</v>
      </c>
      <c r="Q91" s="88" t="s">
        <v>4775</v>
      </c>
      <c r="R91" s="98"/>
      <c r="S91" s="88" t="s">
        <v>2985</v>
      </c>
      <c r="T91" s="88" t="s">
        <v>4776</v>
      </c>
      <c r="U91" s="98"/>
      <c r="V91" s="93" t="s">
        <v>4777</v>
      </c>
      <c r="W91" s="92"/>
      <c r="X91" s="88" t="s">
        <v>1746</v>
      </c>
      <c r="Y91" s="98"/>
      <c r="Z91" s="88" t="s">
        <v>1073</v>
      </c>
      <c r="AA91" s="161" t="s">
        <v>4778</v>
      </c>
      <c r="AB91" s="88" t="s">
        <v>1483</v>
      </c>
      <c r="AC91" s="93" t="s">
        <v>2701</v>
      </c>
      <c r="AD91" s="98"/>
      <c r="AE91" s="88" t="s">
        <v>3497</v>
      </c>
      <c r="AF91" s="88" t="s">
        <v>4779</v>
      </c>
      <c r="AG91" s="98"/>
      <c r="AH91" s="93" t="s">
        <v>2753</v>
      </c>
      <c r="AI91" s="93" t="s">
        <v>756</v>
      </c>
      <c r="AJ91" s="98"/>
      <c r="AK91" s="96"/>
      <c r="AL91" s="93" t="s">
        <v>4780</v>
      </c>
      <c r="AM91" s="93" t="s">
        <v>4781</v>
      </c>
      <c r="AN91" s="98"/>
      <c r="AO91" s="93" t="s">
        <v>4782</v>
      </c>
      <c r="AP91" s="98"/>
      <c r="AQ91" s="98"/>
      <c r="AR91" s="98"/>
      <c r="AS91" s="93" t="s">
        <v>3299</v>
      </c>
      <c r="AT91" s="88" t="s">
        <v>3429</v>
      </c>
      <c r="AU91" s="88" t="s">
        <v>3057</v>
      </c>
      <c r="AV91" s="88" t="s">
        <v>4783</v>
      </c>
      <c r="AW91" s="98"/>
      <c r="AX91" s="88" t="s">
        <v>4327</v>
      </c>
      <c r="AY91" s="98"/>
      <c r="AZ91" s="98"/>
      <c r="BA91" s="93" t="s">
        <v>2016</v>
      </c>
      <c r="BB91" s="93" t="s">
        <v>2824</v>
      </c>
      <c r="BC91" s="93" t="s">
        <v>2056</v>
      </c>
      <c r="BD91" s="88" t="s">
        <v>4784</v>
      </c>
      <c r="BE91" s="88" t="s">
        <v>4580</v>
      </c>
      <c r="BF91" s="98"/>
      <c r="BG91" s="98"/>
      <c r="BH91" s="88" t="s">
        <v>2755</v>
      </c>
      <c r="BI91" s="98"/>
      <c r="BJ91" s="88" t="s">
        <v>4785</v>
      </c>
      <c r="BK91" s="88" t="s">
        <v>3210</v>
      </c>
      <c r="BL91" s="98"/>
      <c r="BM91" s="88" t="s">
        <v>2485</v>
      </c>
      <c r="BN91" s="98"/>
      <c r="BO91" s="98"/>
      <c r="BP91" s="261"/>
      <c r="BQ91" s="88" t="s">
        <v>4786</v>
      </c>
      <c r="BR91" s="98"/>
      <c r="BS91" s="93" t="s">
        <v>4787</v>
      </c>
      <c r="BT91" s="88" t="s">
        <v>4561</v>
      </c>
      <c r="BU91" s="98"/>
      <c r="BV91" s="98"/>
      <c r="BW91" s="98"/>
      <c r="BX91" s="93" t="s">
        <v>4788</v>
      </c>
      <c r="BY91" s="161" t="s">
        <v>803</v>
      </c>
      <c r="BZ91" s="88" t="s">
        <v>4789</v>
      </c>
      <c r="CA91" s="88" t="s">
        <v>4790</v>
      </c>
      <c r="CB91" s="93" t="s">
        <v>4791</v>
      </c>
      <c r="CC91" s="88" t="s">
        <v>4002</v>
      </c>
      <c r="CD91" s="98"/>
      <c r="CE91" s="261"/>
      <c r="CF91" s="88" t="s">
        <v>4792</v>
      </c>
      <c r="CG91" s="88" t="s">
        <v>1306</v>
      </c>
      <c r="CH91" s="93" t="s">
        <v>4793</v>
      </c>
      <c r="CI91" s="88" t="s">
        <v>4794</v>
      </c>
      <c r="CJ91" s="88" t="s">
        <v>4795</v>
      </c>
      <c r="CK91" s="88" t="s">
        <v>4425</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2319</v>
      </c>
      <c r="DB91" s="98"/>
      <c r="DC91" s="93" t="s">
        <v>4800</v>
      </c>
      <c r="DD91" s="88" t="s">
        <v>4801</v>
      </c>
      <c r="DE91" s="98"/>
      <c r="DF91" s="261"/>
      <c r="DG91" s="98"/>
      <c r="DH91" s="98"/>
      <c r="DI91" s="98"/>
      <c r="DJ91" s="98"/>
      <c r="DK91" s="98"/>
      <c r="DL91" s="98"/>
      <c r="DM91" s="88" t="s">
        <v>1192</v>
      </c>
      <c r="DN91" s="93" t="s">
        <v>3155</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545</v>
      </c>
      <c r="E92" s="106" t="s">
        <v>545</v>
      </c>
      <c r="F92" s="107" t="s">
        <v>2869</v>
      </c>
      <c r="G92" s="103" t="s">
        <v>3267</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2076</v>
      </c>
      <c r="Y92" s="116" t="s">
        <v>2158</v>
      </c>
      <c r="Z92" s="116" t="s">
        <v>4295</v>
      </c>
      <c r="AA92" s="116" t="s">
        <v>4811</v>
      </c>
      <c r="AB92" s="116" t="s">
        <v>2237</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4451</v>
      </c>
      <c r="BC92" s="127" t="s">
        <v>2057</v>
      </c>
      <c r="BD92" s="127" t="s">
        <v>4045</v>
      </c>
      <c r="BE92" s="172"/>
      <c r="BF92" s="172"/>
      <c r="BG92" s="172"/>
      <c r="BH92" s="127" t="s">
        <v>1587</v>
      </c>
      <c r="BI92" s="173" t="s">
        <v>4814</v>
      </c>
      <c r="BJ92" s="172"/>
      <c r="BK92" s="172"/>
      <c r="BL92" s="172"/>
      <c r="BM92" s="127" t="s">
        <v>689</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923</v>
      </c>
      <c r="CE92" s="277"/>
      <c r="CF92" s="279"/>
      <c r="CG92" s="135" t="s">
        <v>404</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4619</v>
      </c>
      <c r="DA92" s="280"/>
      <c r="DB92" s="280"/>
      <c r="DC92" s="280"/>
      <c r="DD92" s="205" t="s">
        <v>372</v>
      </c>
      <c r="DE92" s="280"/>
      <c r="DF92" s="281"/>
      <c r="DG92" s="282"/>
      <c r="DH92" s="282"/>
      <c r="DI92" s="282"/>
      <c r="DJ92" s="145" t="s">
        <v>4504</v>
      </c>
      <c r="DK92" s="144" t="s">
        <v>199</v>
      </c>
      <c r="DL92" s="282"/>
      <c r="DM92" s="145" t="s">
        <v>422</v>
      </c>
      <c r="DN92" s="180" t="s">
        <v>4825</v>
      </c>
      <c r="DO92" s="145" t="s">
        <v>4826</v>
      </c>
      <c r="DP92" s="282"/>
      <c r="DQ92" s="282"/>
      <c r="DR92" s="282"/>
      <c r="DS92" s="206" t="s">
        <v>4460</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3325</v>
      </c>
      <c r="U93" s="209"/>
      <c r="V93" s="98"/>
      <c r="W93" s="92"/>
      <c r="X93" s="97" t="s">
        <v>3469</v>
      </c>
      <c r="Y93" s="97" t="s">
        <v>2251</v>
      </c>
      <c r="Z93" s="97" t="s">
        <v>457</v>
      </c>
      <c r="AA93" s="88" t="s">
        <v>4833</v>
      </c>
      <c r="AB93" s="98"/>
      <c r="AC93" s="88" t="s">
        <v>4834</v>
      </c>
      <c r="AD93" s="97" t="s">
        <v>4835</v>
      </c>
      <c r="AE93" s="98"/>
      <c r="AF93" s="98"/>
      <c r="AG93" s="98"/>
      <c r="AH93" s="94"/>
      <c r="AI93" s="97" t="s">
        <v>1704</v>
      </c>
      <c r="AJ93" s="98"/>
      <c r="AK93" s="96"/>
      <c r="AL93" s="98"/>
      <c r="AM93" s="98"/>
      <c r="AN93" s="98"/>
      <c r="AO93" s="98"/>
      <c r="AP93" s="98"/>
      <c r="AQ93" s="98"/>
      <c r="AR93" s="97" t="s">
        <v>1041</v>
      </c>
      <c r="AS93" s="98"/>
      <c r="AT93" s="98"/>
      <c r="AU93" s="88" t="s">
        <v>4688</v>
      </c>
      <c r="AV93" s="98"/>
      <c r="AW93" s="97" t="s">
        <v>451</v>
      </c>
      <c r="AX93" s="209"/>
      <c r="AY93" s="98"/>
      <c r="AZ93" s="98"/>
      <c r="BA93" s="98"/>
      <c r="BB93" s="98"/>
      <c r="BC93" s="98"/>
      <c r="BD93" s="88" t="s">
        <v>4836</v>
      </c>
      <c r="BE93" s="98"/>
      <c r="BF93" s="98"/>
      <c r="BG93" s="98"/>
      <c r="BH93" s="98"/>
      <c r="BI93" s="88" t="s">
        <v>4837</v>
      </c>
      <c r="BJ93" s="93"/>
      <c r="BK93" s="98"/>
      <c r="BL93" s="98"/>
      <c r="BM93" s="97" t="s">
        <v>2429</v>
      </c>
      <c r="BN93" s="97" t="s">
        <v>972</v>
      </c>
      <c r="BO93" s="98"/>
      <c r="BP93" s="261"/>
      <c r="BQ93" s="93"/>
      <c r="BR93" s="97" t="s">
        <v>776</v>
      </c>
      <c r="BS93" s="97" t="s">
        <v>3768</v>
      </c>
      <c r="BT93" s="88" t="s">
        <v>4558</v>
      </c>
      <c r="BU93" s="98"/>
      <c r="BV93" s="88" t="s">
        <v>737</v>
      </c>
      <c r="BW93" s="98"/>
      <c r="BX93" s="97" t="s">
        <v>4838</v>
      </c>
      <c r="BY93" s="88" t="s">
        <v>4839</v>
      </c>
      <c r="BZ93" s="98"/>
      <c r="CA93" s="88" t="s">
        <v>1467</v>
      </c>
      <c r="CB93" s="97" t="s">
        <v>229</v>
      </c>
      <c r="CC93" s="97" t="s">
        <v>1434</v>
      </c>
      <c r="CD93" s="98"/>
      <c r="CE93" s="261"/>
      <c r="CF93" s="88" t="s">
        <v>3409</v>
      </c>
      <c r="CG93" s="88" t="s">
        <v>2318</v>
      </c>
      <c r="CH93" s="297" t="s">
        <v>4840</v>
      </c>
      <c r="CI93" s="98"/>
      <c r="CJ93" s="98"/>
      <c r="CK93" s="88" t="s">
        <v>3795</v>
      </c>
      <c r="CL93" s="88" t="s">
        <v>404</v>
      </c>
      <c r="CM93" s="98"/>
      <c r="CN93" s="93"/>
      <c r="CO93" s="98"/>
      <c r="CP93" s="94"/>
      <c r="CQ93" s="97" t="s">
        <v>4841</v>
      </c>
      <c r="CR93" s="98"/>
      <c r="CS93" s="92"/>
      <c r="CT93" s="88" t="s">
        <v>4842</v>
      </c>
      <c r="CU93" s="93"/>
      <c r="CV93" s="88" t="s">
        <v>4843</v>
      </c>
      <c r="CW93" s="98"/>
      <c r="CX93" s="88" t="s">
        <v>3409</v>
      </c>
      <c r="CY93" s="88" t="s">
        <v>2631</v>
      </c>
      <c r="CZ93" s="97" t="s">
        <v>1998</v>
      </c>
      <c r="DA93" s="98"/>
      <c r="DB93" s="98"/>
      <c r="DC93" s="97" t="s">
        <v>4185</v>
      </c>
      <c r="DD93" s="98"/>
      <c r="DE93" s="98"/>
      <c r="DF93" s="261"/>
      <c r="DG93" s="209"/>
      <c r="DH93" s="97" t="s">
        <v>4119</v>
      </c>
      <c r="DI93" s="98"/>
      <c r="DJ93" s="98"/>
      <c r="DK93" s="98"/>
      <c r="DL93" s="98"/>
      <c r="DM93" s="97" t="s">
        <v>1466</v>
      </c>
      <c r="DN93" s="97" t="s">
        <v>4844</v>
      </c>
      <c r="DO93" s="88" t="s">
        <v>4696</v>
      </c>
      <c r="DP93" s="88" t="s">
        <v>4845</v>
      </c>
      <c r="DQ93" s="93"/>
      <c r="DR93" s="98"/>
      <c r="DS93" s="98"/>
      <c r="DT93" s="98"/>
      <c r="DU93" s="88" t="s">
        <v>1491</v>
      </c>
      <c r="DV93" s="98"/>
      <c r="DW93" s="93"/>
      <c r="DX93" s="93"/>
      <c r="DY93" s="88" t="s">
        <v>1800</v>
      </c>
      <c r="DZ93" s="98"/>
      <c r="EA93" s="88" t="s">
        <v>4679</v>
      </c>
      <c r="EB93" s="285"/>
    </row>
    <row r="94">
      <c r="A94" s="165" t="s">
        <v>4846</v>
      </c>
      <c r="B94" s="103" t="s">
        <v>4847</v>
      </c>
      <c r="C94" s="104" t="s">
        <v>1418</v>
      </c>
      <c r="D94" s="105" t="s">
        <v>1418</v>
      </c>
      <c r="E94" s="106" t="s">
        <v>1418</v>
      </c>
      <c r="F94" s="107" t="s">
        <v>438</v>
      </c>
      <c r="G94" s="103" t="s">
        <v>4251</v>
      </c>
      <c r="H94" s="222"/>
      <c r="I94" s="222"/>
      <c r="J94" s="222"/>
      <c r="K94" s="166" t="s">
        <v>2580</v>
      </c>
      <c r="L94" s="166" t="s">
        <v>4586</v>
      </c>
      <c r="M94" s="112" t="s">
        <v>4848</v>
      </c>
      <c r="N94" s="222"/>
      <c r="O94" s="166" t="s">
        <v>854</v>
      </c>
      <c r="P94" s="166" t="s">
        <v>2828</v>
      </c>
      <c r="Q94" s="222"/>
      <c r="R94" s="222"/>
      <c r="S94" s="222"/>
      <c r="T94" s="222"/>
      <c r="U94" s="222"/>
      <c r="V94" s="222"/>
      <c r="W94" s="92"/>
      <c r="X94" s="197" t="s">
        <v>4849</v>
      </c>
      <c r="Y94" s="197" t="s">
        <v>2681</v>
      </c>
      <c r="Z94" s="270"/>
      <c r="AA94" s="197" t="s">
        <v>3001</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993</v>
      </c>
      <c r="BC94" s="173" t="s">
        <v>1308</v>
      </c>
      <c r="BD94" s="173" t="s">
        <v>4157</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3251</v>
      </c>
      <c r="BY94" s="174" t="s">
        <v>4854</v>
      </c>
      <c r="BZ94" s="174" t="s">
        <v>4855</v>
      </c>
      <c r="CA94" s="276"/>
      <c r="CB94" s="276"/>
      <c r="CC94" s="276"/>
      <c r="CD94" s="276"/>
      <c r="CE94" s="277"/>
      <c r="CF94" s="135" t="s">
        <v>170</v>
      </c>
      <c r="CG94" s="176" t="s">
        <v>977</v>
      </c>
      <c r="CH94" s="279"/>
      <c r="CI94" s="135" t="s">
        <v>4856</v>
      </c>
      <c r="CJ94" s="310"/>
      <c r="CK94" s="176" t="s">
        <v>3606</v>
      </c>
      <c r="CL94" s="176" t="s">
        <v>1058</v>
      </c>
      <c r="CM94" s="279"/>
      <c r="CN94" s="135" t="s">
        <v>4857</v>
      </c>
      <c r="CO94" s="279"/>
      <c r="CP94" s="279"/>
      <c r="CQ94" s="279"/>
      <c r="CR94" s="279"/>
      <c r="CS94" s="92"/>
      <c r="CT94" s="205" t="s">
        <v>1700</v>
      </c>
      <c r="CU94" s="280"/>
      <c r="CV94" s="205" t="s">
        <v>2237</v>
      </c>
      <c r="CW94" s="280"/>
      <c r="CX94" s="280"/>
      <c r="CY94" s="205" t="s">
        <v>2932</v>
      </c>
      <c r="CZ94" s="205" t="s">
        <v>4443</v>
      </c>
      <c r="DA94" s="205" t="s">
        <v>1512</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545</v>
      </c>
      <c r="E95" s="85" t="s">
        <v>1418</v>
      </c>
      <c r="F95" s="86" t="s">
        <v>2034</v>
      </c>
      <c r="G95" s="82" t="s">
        <v>829</v>
      </c>
      <c r="H95" s="88" t="s">
        <v>3612</v>
      </c>
      <c r="I95" s="297" t="s">
        <v>4861</v>
      </c>
      <c r="J95" s="297" t="s">
        <v>2107</v>
      </c>
      <c r="K95" s="88" t="s">
        <v>1810</v>
      </c>
      <c r="L95" s="88" t="s">
        <v>3898</v>
      </c>
      <c r="M95" s="88" t="s">
        <v>4862</v>
      </c>
      <c r="N95" s="297" t="s">
        <v>4863</v>
      </c>
      <c r="O95" s="297" t="s">
        <v>4784</v>
      </c>
      <c r="P95" s="297" t="s">
        <v>2943</v>
      </c>
      <c r="Q95" s="297" t="s">
        <v>4864</v>
      </c>
      <c r="R95" s="88" t="s">
        <v>3326</v>
      </c>
      <c r="S95" s="88" t="s">
        <v>2074</v>
      </c>
      <c r="T95" s="98"/>
      <c r="U95" s="88" t="s">
        <v>677</v>
      </c>
      <c r="V95" s="88" t="s">
        <v>4865</v>
      </c>
      <c r="W95" s="92"/>
      <c r="X95" s="297" t="s">
        <v>2900</v>
      </c>
      <c r="Y95" s="297" t="s">
        <v>4866</v>
      </c>
      <c r="Z95" s="297" t="s">
        <v>405</v>
      </c>
      <c r="AA95" s="297" t="s">
        <v>4867</v>
      </c>
      <c r="AB95" s="297" t="s">
        <v>4868</v>
      </c>
      <c r="AC95" s="297" t="s">
        <v>4869</v>
      </c>
      <c r="AD95" s="93"/>
      <c r="AE95" s="88" t="s">
        <v>886</v>
      </c>
      <c r="AF95" s="88" t="s">
        <v>4870</v>
      </c>
      <c r="AG95" s="88" t="s">
        <v>4871</v>
      </c>
      <c r="AH95" s="93"/>
      <c r="AI95" s="88" t="s">
        <v>4639</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3229</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4383</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4097</v>
      </c>
      <c r="CN95" s="98"/>
      <c r="CO95" s="98"/>
      <c r="CP95" s="98"/>
      <c r="CQ95" s="98"/>
      <c r="CR95" s="88" t="s">
        <v>4897</v>
      </c>
      <c r="CS95" s="92"/>
      <c r="CT95" s="88" t="s">
        <v>4898</v>
      </c>
      <c r="CU95" s="297" t="s">
        <v>3896</v>
      </c>
      <c r="CV95" s="297" t="s">
        <v>4273</v>
      </c>
      <c r="CW95" s="297" t="s">
        <v>2769</v>
      </c>
      <c r="CX95" s="88" t="s">
        <v>4899</v>
      </c>
      <c r="CY95" s="297" t="s">
        <v>2461</v>
      </c>
      <c r="CZ95" s="297" t="s">
        <v>4900</v>
      </c>
      <c r="DA95" s="297" t="s">
        <v>2713</v>
      </c>
      <c r="DB95" s="98"/>
      <c r="DC95" s="98"/>
      <c r="DD95" s="98"/>
      <c r="DE95" s="88" t="s">
        <v>478</v>
      </c>
      <c r="DF95" s="88"/>
      <c r="DG95" s="93" t="s">
        <v>2046</v>
      </c>
      <c r="DH95" s="98"/>
      <c r="DI95" s="98"/>
      <c r="DJ95" s="98"/>
      <c r="DK95" s="90" t="s">
        <v>199</v>
      </c>
      <c r="DL95" s="88" t="s">
        <v>4200</v>
      </c>
      <c r="DM95" s="98"/>
      <c r="DN95" s="98"/>
      <c r="DO95" s="98"/>
      <c r="DP95" s="93" t="s">
        <v>2855</v>
      </c>
      <c r="DQ95" s="93" t="s">
        <v>2756</v>
      </c>
      <c r="DR95" s="98"/>
      <c r="DS95" s="88" t="s">
        <v>2210</v>
      </c>
      <c r="DT95" s="98"/>
      <c r="DU95" s="93" t="s">
        <v>983</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3332</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2094</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3549</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439</v>
      </c>
      <c r="G97" s="82" t="s">
        <v>4910</v>
      </c>
      <c r="H97" s="98"/>
      <c r="I97" s="93" t="s">
        <v>2762</v>
      </c>
      <c r="J97" s="93" t="s">
        <v>3357</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171</v>
      </c>
      <c r="BI97" s="98"/>
      <c r="BJ97" s="98"/>
      <c r="BK97" s="98"/>
      <c r="BL97" s="98"/>
      <c r="BM97" s="98"/>
      <c r="BN97" s="98"/>
      <c r="BO97" s="98"/>
      <c r="BP97" s="261"/>
      <c r="BQ97" s="98"/>
      <c r="BR97" s="93" t="s">
        <v>2736</v>
      </c>
      <c r="BS97" s="93" t="s">
        <v>4916</v>
      </c>
      <c r="BT97" s="93" t="s">
        <v>3423</v>
      </c>
      <c r="BU97" s="93" t="s">
        <v>4917</v>
      </c>
      <c r="BV97" s="93" t="s">
        <v>3378</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3267</v>
      </c>
      <c r="H98" s="222"/>
      <c r="I98" s="112" t="s">
        <v>4926</v>
      </c>
      <c r="J98" s="112" t="s">
        <v>2174</v>
      </c>
      <c r="K98" s="112" t="s">
        <v>3443</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4120</v>
      </c>
      <c r="AA98" s="116" t="s">
        <v>1072</v>
      </c>
      <c r="AB98" s="116" t="s">
        <v>2242</v>
      </c>
      <c r="AC98" s="116" t="s">
        <v>2886</v>
      </c>
      <c r="AD98" s="270"/>
      <c r="AE98" s="270"/>
      <c r="AF98" s="116" t="s">
        <v>1776</v>
      </c>
      <c r="AG98" s="270"/>
      <c r="AH98" s="270"/>
      <c r="AI98" s="270"/>
      <c r="AJ98" s="270"/>
      <c r="AK98" s="96"/>
      <c r="AL98" s="271"/>
      <c r="AM98" s="271"/>
      <c r="AN98" s="271"/>
      <c r="AO98" s="271"/>
      <c r="AP98" s="271"/>
      <c r="AQ98" s="271"/>
      <c r="AR98" s="271"/>
      <c r="AS98" s="271"/>
      <c r="AT98" s="121" t="s">
        <v>3352</v>
      </c>
      <c r="AU98" s="121" t="s">
        <v>3770</v>
      </c>
      <c r="AV98" s="271"/>
      <c r="AW98" s="271"/>
      <c r="AX98" s="271"/>
      <c r="AY98" s="271"/>
      <c r="AZ98" s="271"/>
      <c r="BA98" s="172"/>
      <c r="BB98" s="127" t="s">
        <v>4930</v>
      </c>
      <c r="BC98" s="127" t="s">
        <v>2173</v>
      </c>
      <c r="BD98" s="173" t="s">
        <v>4931</v>
      </c>
      <c r="BE98" s="172"/>
      <c r="BF98" s="172"/>
      <c r="BG98" s="172"/>
      <c r="BH98" s="127" t="s">
        <v>609</v>
      </c>
      <c r="BI98" s="172"/>
      <c r="BJ98" s="127" t="s">
        <v>4932</v>
      </c>
      <c r="BK98" s="127" t="s">
        <v>2564</v>
      </c>
      <c r="BL98" s="172"/>
      <c r="BM98" s="172"/>
      <c r="BN98" s="172"/>
      <c r="BO98" s="172"/>
      <c r="BP98" s="273"/>
      <c r="BQ98" s="130" t="s">
        <v>4933</v>
      </c>
      <c r="BR98" s="276"/>
      <c r="BS98" s="130" t="s">
        <v>2891</v>
      </c>
      <c r="BT98" s="130" t="s">
        <v>4934</v>
      </c>
      <c r="BU98" s="276"/>
      <c r="BV98" s="130" t="s">
        <v>909</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622</v>
      </c>
      <c r="CY98" s="280"/>
      <c r="CZ98" s="140" t="s">
        <v>4941</v>
      </c>
      <c r="DA98" s="140" t="s">
        <v>3965</v>
      </c>
      <c r="DB98" s="280"/>
      <c r="DC98" s="280"/>
      <c r="DD98" s="280"/>
      <c r="DE98" s="280"/>
      <c r="DF98" s="281"/>
      <c r="DG98" s="145" t="s">
        <v>2406</v>
      </c>
      <c r="DH98" s="282"/>
      <c r="DI98" s="282"/>
      <c r="DJ98" s="282"/>
      <c r="DK98" s="145" t="s">
        <v>528</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545</v>
      </c>
      <c r="G99" s="82" t="s">
        <v>2337</v>
      </c>
      <c r="H99" s="93" t="s">
        <v>682</v>
      </c>
      <c r="I99" s="93" t="s">
        <v>4946</v>
      </c>
      <c r="J99" s="93" t="s">
        <v>4947</v>
      </c>
      <c r="K99" s="93" t="s">
        <v>3270</v>
      </c>
      <c r="L99" s="93" t="s">
        <v>2775</v>
      </c>
      <c r="M99" s="93" t="s">
        <v>4948</v>
      </c>
      <c r="N99" s="93" t="s">
        <v>4949</v>
      </c>
      <c r="O99" s="93" t="s">
        <v>1825</v>
      </c>
      <c r="P99" s="93" t="s">
        <v>4950</v>
      </c>
      <c r="Q99" s="98"/>
      <c r="R99" s="98"/>
      <c r="S99" s="93" t="s">
        <v>4037</v>
      </c>
      <c r="T99" s="98"/>
      <c r="U99" s="93" t="s">
        <v>636</v>
      </c>
      <c r="V99" s="98"/>
      <c r="W99" s="92"/>
      <c r="X99" s="93" t="s">
        <v>1997</v>
      </c>
      <c r="Y99" s="93" t="s">
        <v>1826</v>
      </c>
      <c r="Z99" s="93" t="s">
        <v>4951</v>
      </c>
      <c r="AA99" s="93" t="s">
        <v>3588</v>
      </c>
      <c r="AB99" s="369" t="s">
        <v>4222</v>
      </c>
      <c r="AC99" s="93" t="s">
        <v>4466</v>
      </c>
      <c r="AD99" s="98"/>
      <c r="AE99" s="98"/>
      <c r="AF99" s="93" t="s">
        <v>4952</v>
      </c>
      <c r="AG99" s="98"/>
      <c r="AH99" s="98"/>
      <c r="AI99" s="98"/>
      <c r="AJ99" s="98"/>
      <c r="AK99" s="96"/>
      <c r="AL99" s="93" t="s">
        <v>2424</v>
      </c>
      <c r="AM99" s="93" t="s">
        <v>4953</v>
      </c>
      <c r="AN99" s="98"/>
      <c r="AO99" s="98"/>
      <c r="AP99" s="98"/>
      <c r="AQ99" s="98"/>
      <c r="AR99" s="93" t="s">
        <v>1143</v>
      </c>
      <c r="AS99" s="98"/>
      <c r="AT99" s="93" t="s">
        <v>2555</v>
      </c>
      <c r="AU99" s="93" t="s">
        <v>1667</v>
      </c>
      <c r="AV99" s="93" t="s">
        <v>4190</v>
      </c>
      <c r="AW99" s="98"/>
      <c r="AX99" s="93" t="s">
        <v>4931</v>
      </c>
      <c r="AY99" s="93" t="s">
        <v>4954</v>
      </c>
      <c r="AZ99" s="93"/>
      <c r="BA99" s="93" t="s">
        <v>4955</v>
      </c>
      <c r="BB99" s="93" t="s">
        <v>4956</v>
      </c>
      <c r="BC99" s="93" t="s">
        <v>1047</v>
      </c>
      <c r="BD99" s="93" t="s">
        <v>1025</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2194</v>
      </c>
      <c r="BU99" s="98"/>
      <c r="BV99" s="93" t="s">
        <v>3510</v>
      </c>
      <c r="BW99" s="98"/>
      <c r="BX99" s="98"/>
      <c r="BY99" s="98"/>
      <c r="BZ99" s="93" t="s">
        <v>2600</v>
      </c>
      <c r="CA99" s="98"/>
      <c r="CB99" s="93" t="s">
        <v>4961</v>
      </c>
      <c r="CC99" s="98"/>
      <c r="CD99" s="98"/>
      <c r="CE99" s="261"/>
      <c r="CF99" s="93" t="s">
        <v>4962</v>
      </c>
      <c r="CG99" s="93" t="s">
        <v>4963</v>
      </c>
      <c r="CH99" s="93" t="s">
        <v>110</v>
      </c>
      <c r="CI99" s="93"/>
      <c r="CJ99" s="93" t="s">
        <v>4964</v>
      </c>
      <c r="CK99" s="93" t="s">
        <v>4618</v>
      </c>
      <c r="CL99" s="377" t="s">
        <v>1317</v>
      </c>
      <c r="CM99" s="93" t="s">
        <v>3027</v>
      </c>
      <c r="CN99" s="98"/>
      <c r="CO99" s="98"/>
      <c r="CP99" s="93"/>
      <c r="CQ99" s="93" t="s">
        <v>4965</v>
      </c>
      <c r="CR99" s="98"/>
      <c r="CS99" s="92"/>
      <c r="CT99" s="93" t="s">
        <v>4966</v>
      </c>
      <c r="CU99" s="93" t="s">
        <v>2586</v>
      </c>
      <c r="CV99" s="93" t="s">
        <v>4967</v>
      </c>
      <c r="CW99" s="93" t="s">
        <v>4390</v>
      </c>
      <c r="CX99" s="98"/>
      <c r="CY99" s="93" t="s">
        <v>389</v>
      </c>
      <c r="CZ99" s="93" t="s">
        <v>4968</v>
      </c>
      <c r="DA99" s="93" t="s">
        <v>4215</v>
      </c>
      <c r="DB99" s="98"/>
      <c r="DC99" s="98"/>
      <c r="DD99" s="93" t="s">
        <v>3480</v>
      </c>
      <c r="DE99" s="93" t="s">
        <v>1540</v>
      </c>
      <c r="DF99" s="99"/>
      <c r="DG99" s="98"/>
      <c r="DH99" s="98"/>
      <c r="DI99" s="98"/>
      <c r="DJ99" s="93"/>
      <c r="DK99" s="93" t="s">
        <v>4969</v>
      </c>
      <c r="DL99" s="93" t="s">
        <v>4970</v>
      </c>
      <c r="DM99" s="98"/>
      <c r="DN99" s="98"/>
      <c r="DO99" s="98"/>
      <c r="DP99" s="98"/>
      <c r="DQ99" s="98"/>
      <c r="DR99" s="93" t="s">
        <v>4474</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3887</v>
      </c>
      <c r="K100" s="166" t="s">
        <v>1341</v>
      </c>
      <c r="L100" s="166" t="s">
        <v>4976</v>
      </c>
      <c r="M100" s="166" t="s">
        <v>4977</v>
      </c>
      <c r="N100" s="166" t="s">
        <v>4978</v>
      </c>
      <c r="O100" s="166" t="s">
        <v>4979</v>
      </c>
      <c r="P100" s="112" t="s">
        <v>3993</v>
      </c>
      <c r="Q100" s="166" t="s">
        <v>4980</v>
      </c>
      <c r="R100" s="222"/>
      <c r="S100" s="166" t="s">
        <v>1295</v>
      </c>
      <c r="T100" s="222"/>
      <c r="U100" s="166" t="s">
        <v>233</v>
      </c>
      <c r="V100" s="383" t="s">
        <v>4981</v>
      </c>
      <c r="W100" s="210"/>
      <c r="X100" s="197" t="s">
        <v>1600</v>
      </c>
      <c r="Y100" s="303" t="s">
        <v>3620</v>
      </c>
      <c r="Z100" s="197" t="s">
        <v>4982</v>
      </c>
      <c r="AA100" s="197" t="s">
        <v>4983</v>
      </c>
      <c r="AB100" s="197" t="s">
        <v>2215</v>
      </c>
      <c r="AC100" s="197" t="s">
        <v>4984</v>
      </c>
      <c r="AD100" s="270"/>
      <c r="AE100" s="197" t="s">
        <v>4985</v>
      </c>
      <c r="AF100" s="197" t="s">
        <v>1118</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4138</v>
      </c>
      <c r="AW100" s="271"/>
      <c r="AX100" s="120" t="str">
        <f>HYPERLINK("https://clips.twitch.tv/PeppyAbstruseSmoothieCurseLit","39.09")</f>
        <v>39.09</v>
      </c>
      <c r="AY100" s="167" t="s">
        <v>4994</v>
      </c>
      <c r="AZ100" s="167"/>
      <c r="BA100" s="173" t="s">
        <v>4995</v>
      </c>
      <c r="BB100" s="173" t="s">
        <v>4996</v>
      </c>
      <c r="BC100" s="173" t="s">
        <v>475</v>
      </c>
      <c r="BD100" s="173" t="s">
        <v>2598</v>
      </c>
      <c r="BE100" s="173" t="s">
        <v>4984</v>
      </c>
      <c r="BF100" s="173" t="s">
        <v>3607</v>
      </c>
      <c r="BG100" s="172"/>
      <c r="BH100" s="125" t="str">
        <f>HYPERLINK("https://clips.twitch.tv/SavagePeacefulEagleWOOP","29.65")</f>
        <v>29.65</v>
      </c>
      <c r="BI100" s="172"/>
      <c r="BJ100" s="172"/>
      <c r="BK100" s="127" t="s">
        <v>2103</v>
      </c>
      <c r="BL100" s="173" t="s">
        <v>4997</v>
      </c>
      <c r="BM100" s="125" t="str">
        <f>HYPERLINK("https://clips.twitch.tv/PeacefulSavoryAlfalfa4Head","35.58")</f>
        <v>35.58</v>
      </c>
      <c r="BN100" s="172"/>
      <c r="BO100" s="173" t="s">
        <v>4998</v>
      </c>
      <c r="BP100" s="273"/>
      <c r="BQ100" s="174" t="s">
        <v>4999</v>
      </c>
      <c r="BR100" s="174"/>
      <c r="BS100" s="174" t="s">
        <v>4460</v>
      </c>
      <c r="BT100" s="174" t="s">
        <v>4296</v>
      </c>
      <c r="BU100" s="276"/>
      <c r="BV100" s="175" t="s">
        <v>430</v>
      </c>
      <c r="BW100" s="276"/>
      <c r="BX100" s="276"/>
      <c r="BY100" s="174" t="s">
        <v>3685</v>
      </c>
      <c r="BZ100" s="174" t="s">
        <v>639</v>
      </c>
      <c r="CA100" s="130" t="s">
        <v>5000</v>
      </c>
      <c r="CB100" s="174" t="s">
        <v>5001</v>
      </c>
      <c r="CC100" s="174" t="s">
        <v>3563</v>
      </c>
      <c r="CD100" s="174" t="s">
        <v>5002</v>
      </c>
      <c r="CE100" s="322"/>
      <c r="CF100" s="176" t="s">
        <v>1398</v>
      </c>
      <c r="CG100" s="176" t="s">
        <v>5003</v>
      </c>
      <c r="CH100" s="176" t="s">
        <v>3034</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3924</v>
      </c>
      <c r="CV100" s="140" t="s">
        <v>5011</v>
      </c>
      <c r="CW100" s="205" t="s">
        <v>5012</v>
      </c>
      <c r="CX100" s="280"/>
      <c r="CY100" s="205" t="s">
        <v>4359</v>
      </c>
      <c r="CZ100" s="205" t="s">
        <v>5013</v>
      </c>
      <c r="DA100" s="205" t="s">
        <v>4097</v>
      </c>
      <c r="DB100" s="205" t="s">
        <v>5014</v>
      </c>
      <c r="DC100" s="205" t="s">
        <v>3384</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4649</v>
      </c>
      <c r="DS100" s="206" t="s">
        <v>5019</v>
      </c>
      <c r="DT100" s="206" t="s">
        <v>5020</v>
      </c>
      <c r="DU100" s="206" t="s">
        <v>5021</v>
      </c>
      <c r="DV100" s="206" t="s">
        <v>5022</v>
      </c>
      <c r="DW100" s="206" t="s">
        <v>1387</v>
      </c>
      <c r="DX100" s="206" t="s">
        <v>5023</v>
      </c>
      <c r="DY100" s="206" t="s">
        <v>4907</v>
      </c>
      <c r="DZ100" s="206" t="s">
        <v>639</v>
      </c>
      <c r="EA100" s="206" t="s">
        <v>2743</v>
      </c>
      <c r="EB100" s="316" t="s">
        <v>5024</v>
      </c>
    </row>
    <row r="101">
      <c r="A101" s="81" t="s">
        <v>5025</v>
      </c>
      <c r="B101" s="82" t="s">
        <v>5026</v>
      </c>
      <c r="C101" s="83" t="s">
        <v>1418</v>
      </c>
      <c r="D101" s="84" t="s">
        <v>1418</v>
      </c>
      <c r="E101" s="85" t="s">
        <v>1418</v>
      </c>
      <c r="F101" s="86" t="s">
        <v>437</v>
      </c>
      <c r="G101" s="82" t="s">
        <v>2937</v>
      </c>
      <c r="H101" s="93" t="s">
        <v>997</v>
      </c>
      <c r="I101" s="98"/>
      <c r="J101" s="93" t="s">
        <v>5027</v>
      </c>
      <c r="K101" s="93" t="s">
        <v>3270</v>
      </c>
      <c r="L101" s="93" t="s">
        <v>1613</v>
      </c>
      <c r="M101" s="93" t="s">
        <v>5028</v>
      </c>
      <c r="N101" s="93" t="s">
        <v>1579</v>
      </c>
      <c r="O101" s="93" t="s">
        <v>5029</v>
      </c>
      <c r="P101" s="93" t="s">
        <v>1081</v>
      </c>
      <c r="Q101" s="98"/>
      <c r="R101" s="98"/>
      <c r="S101" s="98"/>
      <c r="T101" s="98"/>
      <c r="U101" s="98"/>
      <c r="V101" s="98"/>
      <c r="W101" s="92"/>
      <c r="X101" s="98"/>
      <c r="Y101" s="93" t="s">
        <v>2945</v>
      </c>
      <c r="Z101" s="93" t="s">
        <v>1776</v>
      </c>
      <c r="AA101" s="209" t="s">
        <v>1996</v>
      </c>
      <c r="AB101" s="93" t="s">
        <v>3385</v>
      </c>
      <c r="AC101" s="93" t="s">
        <v>5030</v>
      </c>
      <c r="AD101" s="98"/>
      <c r="AE101" s="98"/>
      <c r="AF101" s="93" t="s">
        <v>3324</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2152</v>
      </c>
      <c r="AV101" s="98"/>
      <c r="AW101" s="98"/>
      <c r="AX101" s="98"/>
      <c r="AY101" s="98"/>
      <c r="AZ101" s="98"/>
      <c r="BA101" s="98"/>
      <c r="BB101" s="93" t="s">
        <v>3781</v>
      </c>
      <c r="BC101" s="93" t="s">
        <v>1047</v>
      </c>
      <c r="BD101" s="93" t="s">
        <v>1516</v>
      </c>
      <c r="BE101" s="93"/>
      <c r="BF101" s="93" t="s">
        <v>5031</v>
      </c>
      <c r="BG101" s="98"/>
      <c r="BH101" s="97" t="str">
        <f>HYPERLINK("https://www.youtube.com/watch?v=D3qit_yrtB8&amp;feature=youtu.be","27.76")</f>
        <v>27.76</v>
      </c>
      <c r="BI101" s="93" t="s">
        <v>4433</v>
      </c>
      <c r="BJ101" s="93"/>
      <c r="BK101" s="93" t="s">
        <v>5032</v>
      </c>
      <c r="BL101" s="98"/>
      <c r="BM101" s="93" t="s">
        <v>1593</v>
      </c>
      <c r="BN101" s="98"/>
      <c r="BO101" s="98"/>
      <c r="BP101" s="261"/>
      <c r="BQ101" s="98"/>
      <c r="BR101" s="93" t="s">
        <v>5033</v>
      </c>
      <c r="BS101" s="93" t="s">
        <v>5034</v>
      </c>
      <c r="BT101" s="93" t="s">
        <v>4305</v>
      </c>
      <c r="BU101" s="98"/>
      <c r="BV101" s="93" t="s">
        <v>2991</v>
      </c>
      <c r="BW101" s="98"/>
      <c r="BX101" s="93" t="s">
        <v>5035</v>
      </c>
      <c r="BY101" s="98"/>
      <c r="BZ101" s="93" t="s">
        <v>3189</v>
      </c>
      <c r="CA101" s="93" t="s">
        <v>5036</v>
      </c>
      <c r="CB101" s="98"/>
      <c r="CC101" s="98"/>
      <c r="CD101" s="98"/>
      <c r="CE101" s="261"/>
      <c r="CF101" s="93" t="s">
        <v>5037</v>
      </c>
      <c r="CG101" s="209" t="s">
        <v>5038</v>
      </c>
      <c r="CH101" s="93"/>
      <c r="CI101" s="98"/>
      <c r="CJ101" s="98" t="s">
        <v>550</v>
      </c>
      <c r="CK101" s="98"/>
      <c r="CL101" s="209" t="s">
        <v>4021</v>
      </c>
      <c r="CM101" s="93" t="s">
        <v>5039</v>
      </c>
      <c r="CN101" s="98"/>
      <c r="CO101" s="98"/>
      <c r="CP101" s="98"/>
      <c r="CQ101" s="98"/>
      <c r="CR101" s="98"/>
      <c r="CS101" s="92"/>
      <c r="CT101" s="93" t="s">
        <v>5040</v>
      </c>
      <c r="CU101" s="93"/>
      <c r="CV101" s="93" t="s">
        <v>3484</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3190</v>
      </c>
      <c r="I102" s="166" t="s">
        <v>3904</v>
      </c>
      <c r="J102" s="166" t="s">
        <v>5045</v>
      </c>
      <c r="K102" s="166" t="s">
        <v>3492</v>
      </c>
      <c r="L102" s="166" t="s">
        <v>5046</v>
      </c>
      <c r="M102" s="166" t="s">
        <v>5047</v>
      </c>
      <c r="N102" s="166" t="s">
        <v>5048</v>
      </c>
      <c r="O102" s="166" t="s">
        <v>5049</v>
      </c>
      <c r="P102" s="166" t="s">
        <v>2648</v>
      </c>
      <c r="Q102" s="222"/>
      <c r="R102" s="222"/>
      <c r="S102" s="222"/>
      <c r="T102" s="222"/>
      <c r="U102" s="222"/>
      <c r="V102" s="222"/>
      <c r="W102" s="92"/>
      <c r="X102" s="197" t="s">
        <v>3496</v>
      </c>
      <c r="Y102" s="197" t="s">
        <v>3453</v>
      </c>
      <c r="Z102" s="197" t="s">
        <v>4779</v>
      </c>
      <c r="AA102" s="115" t="str">
        <f>HYPERLINK("https://youtu.be/qJ6N4MrS6B4","48.05")</f>
        <v>48.05</v>
      </c>
      <c r="AB102" s="197" t="s">
        <v>2468</v>
      </c>
      <c r="AC102" s="115" t="str">
        <f>HYPERLINK("https://www.twitch.tv/videos/230818041","57.20")</f>
        <v>57.20</v>
      </c>
      <c r="AD102" s="270"/>
      <c r="AE102" s="197" t="s">
        <v>2123</v>
      </c>
      <c r="AF102" s="197" t="s">
        <v>4659</v>
      </c>
      <c r="AG102" s="270"/>
      <c r="AH102" s="270"/>
      <c r="AI102" s="270"/>
      <c r="AJ102" s="270"/>
      <c r="AK102" s="96"/>
      <c r="AL102" s="271"/>
      <c r="AM102" s="271"/>
      <c r="AN102" s="271"/>
      <c r="AO102" s="271"/>
      <c r="AP102" s="271"/>
      <c r="AQ102" s="271"/>
      <c r="AR102" s="271"/>
      <c r="AS102" s="271"/>
      <c r="AT102" s="167" t="s">
        <v>4552</v>
      </c>
      <c r="AU102" s="167" t="s">
        <v>2752</v>
      </c>
      <c r="AV102" s="271"/>
      <c r="AW102" s="271"/>
      <c r="AX102" s="271"/>
      <c r="AY102" s="271"/>
      <c r="AZ102" s="271"/>
      <c r="BA102" s="173"/>
      <c r="BB102" s="173" t="s">
        <v>1431</v>
      </c>
      <c r="BC102" s="125" t="str">
        <f>HYPERLINK("https://youtu.be/jzNyA3Lqtt4","28.84")</f>
        <v>28.84</v>
      </c>
      <c r="BD102" s="173" t="s">
        <v>4094</v>
      </c>
      <c r="BE102" s="173" t="s">
        <v>5050</v>
      </c>
      <c r="BF102" s="172"/>
      <c r="BG102" s="172"/>
      <c r="BH102" s="173" t="s">
        <v>1925</v>
      </c>
      <c r="BI102" s="172"/>
      <c r="BJ102" s="173" t="s">
        <v>5051</v>
      </c>
      <c r="BK102" s="173" t="s">
        <v>2091</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845</v>
      </c>
      <c r="CI102" s="279"/>
      <c r="CJ102" s="279"/>
      <c r="CK102" s="176" t="s">
        <v>3829</v>
      </c>
      <c r="CL102" s="176" t="s">
        <v>3523</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545</v>
      </c>
      <c r="G103" s="82" t="s">
        <v>5062</v>
      </c>
      <c r="H103" s="93" t="s">
        <v>4849</v>
      </c>
      <c r="I103" s="93" t="s">
        <v>4189</v>
      </c>
      <c r="J103" s="93" t="s">
        <v>2463</v>
      </c>
      <c r="K103" s="209" t="s">
        <v>4310</v>
      </c>
      <c r="L103" s="93" t="s">
        <v>5063</v>
      </c>
      <c r="M103" s="98"/>
      <c r="N103" s="93" t="s">
        <v>672</v>
      </c>
      <c r="O103" s="93" t="s">
        <v>3779</v>
      </c>
      <c r="P103" s="93" t="s">
        <v>4266</v>
      </c>
      <c r="Q103" s="93" t="s">
        <v>5064</v>
      </c>
      <c r="R103" s="93"/>
      <c r="S103" s="93" t="s">
        <v>230</v>
      </c>
      <c r="T103" s="98"/>
      <c r="U103" s="93" t="s">
        <v>2433</v>
      </c>
      <c r="V103" s="93" t="s">
        <v>5065</v>
      </c>
      <c r="W103" s="92"/>
      <c r="X103" s="93" t="s">
        <v>5066</v>
      </c>
      <c r="Y103" s="209" t="s">
        <v>2650</v>
      </c>
      <c r="Z103" s="93" t="s">
        <v>2774</v>
      </c>
      <c r="AA103" s="93" t="s">
        <v>5067</v>
      </c>
      <c r="AB103" s="93" t="s">
        <v>977</v>
      </c>
      <c r="AC103" s="93" t="s">
        <v>4272</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2131</v>
      </c>
      <c r="BB103" s="93" t="s">
        <v>2178</v>
      </c>
      <c r="BC103" s="93" t="s">
        <v>933</v>
      </c>
      <c r="BD103" s="93" t="s">
        <v>5070</v>
      </c>
      <c r="BE103" s="98"/>
      <c r="BF103" s="98"/>
      <c r="BG103" s="98"/>
      <c r="BH103" s="93" t="s">
        <v>5071</v>
      </c>
      <c r="BI103" s="98"/>
      <c r="BJ103" s="98"/>
      <c r="BK103" s="98"/>
      <c r="BL103" s="98"/>
      <c r="BM103" s="93" t="s">
        <v>5072</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3972</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646</v>
      </c>
      <c r="G104" s="103" t="s">
        <v>5077</v>
      </c>
      <c r="H104" s="166" t="s">
        <v>2736</v>
      </c>
      <c r="I104" s="166" t="s">
        <v>5078</v>
      </c>
      <c r="J104" s="166" t="s">
        <v>5079</v>
      </c>
      <c r="K104" s="166" t="s">
        <v>4323</v>
      </c>
      <c r="L104" s="166" t="s">
        <v>2316</v>
      </c>
      <c r="M104" s="222"/>
      <c r="N104" s="166" t="s">
        <v>4263</v>
      </c>
      <c r="O104" s="166" t="s">
        <v>5080</v>
      </c>
      <c r="P104" s="166" t="s">
        <v>3993</v>
      </c>
      <c r="Q104" s="222"/>
      <c r="R104" s="222"/>
      <c r="S104" s="222"/>
      <c r="T104" s="222"/>
      <c r="U104" s="222"/>
      <c r="V104" s="222"/>
      <c r="W104" s="92"/>
      <c r="X104" s="197" t="s">
        <v>4710</v>
      </c>
      <c r="Y104" s="197" t="s">
        <v>3137</v>
      </c>
      <c r="Z104" s="197" t="s">
        <v>5081</v>
      </c>
      <c r="AA104" s="197" t="s">
        <v>4778</v>
      </c>
      <c r="AB104" s="270"/>
      <c r="AC104" s="197" t="s">
        <v>4165</v>
      </c>
      <c r="AD104" s="270"/>
      <c r="AE104" s="197" t="s">
        <v>3227</v>
      </c>
      <c r="AF104" s="197" t="s">
        <v>5082</v>
      </c>
      <c r="AG104" s="270"/>
      <c r="AH104" s="270"/>
      <c r="AI104" s="270"/>
      <c r="AJ104" s="270"/>
      <c r="AK104" s="96"/>
      <c r="AL104" s="167" t="s">
        <v>4034</v>
      </c>
      <c r="AM104" s="271"/>
      <c r="AN104" s="271"/>
      <c r="AO104" s="271"/>
      <c r="AP104" s="271"/>
      <c r="AQ104" s="271"/>
      <c r="AR104" s="271"/>
      <c r="AS104" s="271"/>
      <c r="AT104" s="271"/>
      <c r="AU104" s="167" t="s">
        <v>5083</v>
      </c>
      <c r="AV104" s="167" t="s">
        <v>2074</v>
      </c>
      <c r="AW104" s="271"/>
      <c r="AX104" s="271"/>
      <c r="AY104" s="271"/>
      <c r="AZ104" s="271"/>
      <c r="BA104" s="173" t="s">
        <v>1992</v>
      </c>
      <c r="BB104" s="172"/>
      <c r="BC104" s="173" t="s">
        <v>5084</v>
      </c>
      <c r="BD104" s="173" t="s">
        <v>4916</v>
      </c>
      <c r="BE104" s="127" t="s">
        <v>4124</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4390</v>
      </c>
      <c r="CG104" s="176" t="s">
        <v>1308</v>
      </c>
      <c r="CH104" s="279"/>
      <c r="CI104" s="176" t="s">
        <v>5088</v>
      </c>
      <c r="CJ104" s="176"/>
      <c r="CK104" s="176" t="s">
        <v>5089</v>
      </c>
      <c r="CL104" s="135" t="s">
        <v>978</v>
      </c>
      <c r="CM104" s="279"/>
      <c r="CN104" s="279"/>
      <c r="CO104" s="279"/>
      <c r="CP104" s="279"/>
      <c r="CQ104" s="279"/>
      <c r="CR104" s="279"/>
      <c r="CS104" s="92"/>
      <c r="CT104" s="205" t="s">
        <v>5090</v>
      </c>
      <c r="CU104" s="205" t="s">
        <v>5091</v>
      </c>
      <c r="CV104" s="205" t="s">
        <v>3523</v>
      </c>
      <c r="CW104" s="205" t="s">
        <v>2775</v>
      </c>
      <c r="CX104" s="280"/>
      <c r="CY104" s="140" t="s">
        <v>3255</v>
      </c>
      <c r="CZ104" s="205" t="s">
        <v>3203</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1001</v>
      </c>
      <c r="L105" s="93" t="s">
        <v>5096</v>
      </c>
      <c r="M105" s="98"/>
      <c r="N105" s="93" t="s">
        <v>4896</v>
      </c>
      <c r="O105" s="93" t="s">
        <v>4784</v>
      </c>
      <c r="P105" s="93" t="s">
        <v>456</v>
      </c>
      <c r="Q105" s="98"/>
      <c r="R105" s="98"/>
      <c r="S105" s="98"/>
      <c r="T105" s="98"/>
      <c r="U105" s="98"/>
      <c r="V105" s="98"/>
      <c r="W105" s="92"/>
      <c r="X105" s="93" t="s">
        <v>3239</v>
      </c>
      <c r="Y105" s="93" t="s">
        <v>4388</v>
      </c>
      <c r="Z105" s="93" t="s">
        <v>4025</v>
      </c>
      <c r="AA105" s="93" t="s">
        <v>4809</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4269</v>
      </c>
      <c r="AU105" s="93" t="s">
        <v>2237</v>
      </c>
      <c r="AV105" s="98"/>
      <c r="AW105" s="98"/>
      <c r="AX105" s="98"/>
      <c r="AY105" s="98"/>
      <c r="AZ105" s="98"/>
      <c r="BA105" s="93" t="s">
        <v>4450</v>
      </c>
      <c r="BB105" s="93" t="s">
        <v>3802</v>
      </c>
      <c r="BC105" s="98"/>
      <c r="BD105" s="93" t="s">
        <v>4393</v>
      </c>
      <c r="BE105" s="93" t="s">
        <v>5100</v>
      </c>
      <c r="BF105" s="98"/>
      <c r="BG105" s="98"/>
      <c r="BH105" s="93" t="s">
        <v>3106</v>
      </c>
      <c r="BI105" s="93" t="s">
        <v>5101</v>
      </c>
      <c r="BJ105" s="98"/>
      <c r="BK105" s="93" t="s">
        <v>1491</v>
      </c>
      <c r="BL105" s="98"/>
      <c r="BM105" s="98"/>
      <c r="BN105" s="98"/>
      <c r="BO105" s="98"/>
      <c r="BP105" s="261"/>
      <c r="BQ105" s="93" t="s">
        <v>5102</v>
      </c>
      <c r="BR105" s="93" t="s">
        <v>4331</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3498</v>
      </c>
      <c r="CL105" s="93" t="s">
        <v>3810</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437</v>
      </c>
      <c r="G106" s="103" t="s">
        <v>2337</v>
      </c>
      <c r="H106" s="166" t="s">
        <v>5118</v>
      </c>
      <c r="I106" s="166" t="s">
        <v>4111</v>
      </c>
      <c r="J106" s="166" t="s">
        <v>5119</v>
      </c>
      <c r="K106" s="166" t="s">
        <v>3986</v>
      </c>
      <c r="L106" s="166" t="s">
        <v>1086</v>
      </c>
      <c r="M106" s="166" t="s">
        <v>5120</v>
      </c>
      <c r="N106" s="166" t="s">
        <v>5121</v>
      </c>
      <c r="O106" s="166" t="s">
        <v>851</v>
      </c>
      <c r="P106" s="166" t="s">
        <v>5122</v>
      </c>
      <c r="Q106" s="222"/>
      <c r="R106" s="222"/>
      <c r="S106" s="222"/>
      <c r="T106" s="222"/>
      <c r="U106" s="222"/>
      <c r="V106" s="222"/>
      <c r="W106" s="92"/>
      <c r="X106" s="197" t="s">
        <v>5123</v>
      </c>
      <c r="Y106" s="197" t="s">
        <v>3923</v>
      </c>
      <c r="Z106" s="197" t="s">
        <v>5124</v>
      </c>
      <c r="AA106" s="197" t="s">
        <v>5125</v>
      </c>
      <c r="AB106" s="197" t="s">
        <v>4138</v>
      </c>
      <c r="AC106" s="197" t="s">
        <v>2473</v>
      </c>
      <c r="AD106" s="197"/>
      <c r="AE106" s="197" t="s">
        <v>289</v>
      </c>
      <c r="AF106" s="197" t="s">
        <v>4293</v>
      </c>
      <c r="AG106" s="270"/>
      <c r="AH106" s="270"/>
      <c r="AI106" s="270"/>
      <c r="AJ106" s="270"/>
      <c r="AK106" s="96"/>
      <c r="AL106" s="271"/>
      <c r="AM106" s="167" t="s">
        <v>1765</v>
      </c>
      <c r="AN106" s="271"/>
      <c r="AO106" s="271"/>
      <c r="AP106" s="271"/>
      <c r="AQ106" s="271"/>
      <c r="AR106" s="271"/>
      <c r="AS106" s="271"/>
      <c r="AT106" s="167" t="s">
        <v>3620</v>
      </c>
      <c r="AU106" s="167" t="s">
        <v>4085</v>
      </c>
      <c r="AV106" s="271"/>
      <c r="AW106" s="271"/>
      <c r="AX106" s="271"/>
      <c r="AY106" s="271"/>
      <c r="AZ106" s="271"/>
      <c r="BA106" s="173" t="s">
        <v>5126</v>
      </c>
      <c r="BB106" s="173" t="s">
        <v>4451</v>
      </c>
      <c r="BC106" s="173" t="s">
        <v>2631</v>
      </c>
      <c r="BD106" s="173" t="s">
        <v>5127</v>
      </c>
      <c r="BE106" s="173" t="s">
        <v>5128</v>
      </c>
      <c r="BF106" s="173"/>
      <c r="BG106" s="172"/>
      <c r="BH106" s="173" t="s">
        <v>2056</v>
      </c>
      <c r="BI106" s="173" t="s">
        <v>5129</v>
      </c>
      <c r="BJ106" s="173"/>
      <c r="BK106" s="173" t="s">
        <v>2528</v>
      </c>
      <c r="BL106" s="172"/>
      <c r="BM106" s="173" t="s">
        <v>3142</v>
      </c>
      <c r="BN106" s="172"/>
      <c r="BO106" s="172"/>
      <c r="BP106" s="273"/>
      <c r="BQ106" s="174"/>
      <c r="BR106" s="174" t="s">
        <v>2170</v>
      </c>
      <c r="BS106" s="174" t="s">
        <v>5130</v>
      </c>
      <c r="BT106" s="130" t="s">
        <v>975</v>
      </c>
      <c r="BU106" s="174" t="s">
        <v>5131</v>
      </c>
      <c r="BV106" s="130" t="s">
        <v>1120</v>
      </c>
      <c r="BW106" s="174" t="s">
        <v>3359</v>
      </c>
      <c r="BX106" s="174" t="s">
        <v>5132</v>
      </c>
      <c r="BY106" s="276"/>
      <c r="BZ106" s="174" t="s">
        <v>2333</v>
      </c>
      <c r="CA106" s="174" t="s">
        <v>4892</v>
      </c>
      <c r="CB106" s="174" t="s">
        <v>3299</v>
      </c>
      <c r="CC106" s="174" t="s">
        <v>1663</v>
      </c>
      <c r="CD106" s="276"/>
      <c r="CE106" s="277"/>
      <c r="CF106" s="176" t="s">
        <v>5133</v>
      </c>
      <c r="CG106" s="176" t="s">
        <v>3258</v>
      </c>
      <c r="CH106" s="176" t="s">
        <v>3444</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509</v>
      </c>
      <c r="CX106" s="205" t="s">
        <v>5138</v>
      </c>
      <c r="CY106" s="205" t="s">
        <v>2841</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5141</v>
      </c>
      <c r="DT106" s="206" t="s">
        <v>5142</v>
      </c>
      <c r="DU106" s="206" t="s">
        <v>3378</v>
      </c>
      <c r="DV106" s="282"/>
      <c r="DW106" s="282"/>
      <c r="DX106" s="206" t="s">
        <v>809</v>
      </c>
      <c r="DY106" s="206" t="s">
        <v>1387</v>
      </c>
      <c r="DZ106" s="282"/>
      <c r="EA106" s="282"/>
      <c r="EB106" s="316"/>
    </row>
    <row r="107">
      <c r="A107" s="81" t="s">
        <v>5143</v>
      </c>
      <c r="B107" s="82" t="s">
        <v>5144</v>
      </c>
      <c r="C107" s="83" t="s">
        <v>1418</v>
      </c>
      <c r="D107" s="84" t="s">
        <v>1418</v>
      </c>
      <c r="E107" s="85" t="s">
        <v>1418</v>
      </c>
      <c r="F107" s="86" t="s">
        <v>545</v>
      </c>
      <c r="G107" s="82" t="s">
        <v>3124</v>
      </c>
      <c r="H107" s="98"/>
      <c r="I107" s="93" t="s">
        <v>5145</v>
      </c>
      <c r="J107" s="88" t="s">
        <v>5146</v>
      </c>
      <c r="K107" s="93" t="s">
        <v>4418</v>
      </c>
      <c r="L107" s="297" t="s">
        <v>564</v>
      </c>
      <c r="M107" s="98"/>
      <c r="N107" s="93" t="s">
        <v>5147</v>
      </c>
      <c r="O107" s="93" t="s">
        <v>1025</v>
      </c>
      <c r="P107" s="93" t="s">
        <v>3533</v>
      </c>
      <c r="Q107" s="98"/>
      <c r="R107" s="98"/>
      <c r="S107" s="98"/>
      <c r="T107" s="98"/>
      <c r="U107" s="98"/>
      <c r="V107" s="98"/>
      <c r="W107" s="92"/>
      <c r="X107" s="93" t="s">
        <v>2593</v>
      </c>
      <c r="Y107" s="93" t="s">
        <v>1010</v>
      </c>
      <c r="Z107" s="93" t="s">
        <v>3652</v>
      </c>
      <c r="AA107" s="93" t="s">
        <v>5148</v>
      </c>
      <c r="AB107" s="93" t="s">
        <v>426</v>
      </c>
      <c r="AC107" s="93" t="s">
        <v>4479</v>
      </c>
      <c r="AD107" s="98"/>
      <c r="AE107" s="98"/>
      <c r="AF107" s="93" t="s">
        <v>4774</v>
      </c>
      <c r="AG107" s="98"/>
      <c r="AH107" s="98"/>
      <c r="AI107" s="98"/>
      <c r="AJ107" s="98"/>
      <c r="AK107" s="96"/>
      <c r="AL107" s="98"/>
      <c r="AM107" s="98"/>
      <c r="AN107" s="98"/>
      <c r="AO107" s="98"/>
      <c r="AP107" s="98"/>
      <c r="AQ107" s="98"/>
      <c r="AR107" s="98"/>
      <c r="AS107" s="98"/>
      <c r="AT107" s="93" t="s">
        <v>3367</v>
      </c>
      <c r="AU107" s="93" t="s">
        <v>5149</v>
      </c>
      <c r="AV107" s="98"/>
      <c r="AW107" s="98"/>
      <c r="AX107" s="98"/>
      <c r="AY107" s="98"/>
      <c r="AZ107" s="98"/>
      <c r="BA107" s="93" t="s">
        <v>1108</v>
      </c>
      <c r="BB107" s="93" t="s">
        <v>372</v>
      </c>
      <c r="BC107" s="93" t="s">
        <v>4651</v>
      </c>
      <c r="BD107" s="93" t="s">
        <v>4784</v>
      </c>
      <c r="BE107" s="93" t="s">
        <v>1740</v>
      </c>
      <c r="BF107" s="98"/>
      <c r="BG107" s="98"/>
      <c r="BH107" s="93" t="s">
        <v>1974</v>
      </c>
      <c r="BI107" s="93" t="s">
        <v>5150</v>
      </c>
      <c r="BJ107" s="93" t="s">
        <v>690</v>
      </c>
      <c r="BK107" s="93" t="s">
        <v>4516</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4251</v>
      </c>
      <c r="H108" s="166" t="s">
        <v>778</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2995</v>
      </c>
      <c r="Y108" s="303" t="s">
        <v>3286</v>
      </c>
      <c r="Z108" s="303" t="s">
        <v>4025</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759</v>
      </c>
      <c r="BE108" s="173" t="s">
        <v>5155</v>
      </c>
      <c r="BF108" s="172"/>
      <c r="BG108" s="172"/>
      <c r="BH108" s="650" t="s">
        <v>2743</v>
      </c>
      <c r="BI108" s="172"/>
      <c r="BJ108" s="172"/>
      <c r="BK108" s="172"/>
      <c r="BL108" s="172"/>
      <c r="BM108" s="172"/>
      <c r="BN108" s="172"/>
      <c r="BO108" s="172"/>
      <c r="BP108" s="273"/>
      <c r="BQ108" s="174"/>
      <c r="BR108" s="276"/>
      <c r="BS108" s="174" t="s">
        <v>2599</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4310</v>
      </c>
      <c r="CV108" s="401" t="s">
        <v>3440</v>
      </c>
      <c r="CW108" s="205" t="s">
        <v>1086</v>
      </c>
      <c r="CX108" s="205" t="s">
        <v>2694</v>
      </c>
      <c r="CY108" s="280"/>
      <c r="CZ108" s="205" t="s">
        <v>3948</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545</v>
      </c>
      <c r="G110" s="103" t="s">
        <v>1725</v>
      </c>
      <c r="H110" s="166"/>
      <c r="I110" s="166" t="s">
        <v>5173</v>
      </c>
      <c r="J110" s="166" t="s">
        <v>5174</v>
      </c>
      <c r="K110" s="166" t="s">
        <v>3515</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4779</v>
      </c>
      <c r="AG110" s="197"/>
      <c r="AH110" s="197"/>
      <c r="AI110" s="197"/>
      <c r="AJ110" s="270"/>
      <c r="AK110" s="96"/>
      <c r="AL110" s="271"/>
      <c r="AM110" s="167"/>
      <c r="AN110" s="271"/>
      <c r="AO110" s="167"/>
      <c r="AP110" s="271"/>
      <c r="AQ110" s="271"/>
      <c r="AR110" s="271"/>
      <c r="AS110" s="167"/>
      <c r="AT110" s="167" t="s">
        <v>3031</v>
      </c>
      <c r="AU110" s="167" t="s">
        <v>3495</v>
      </c>
      <c r="AV110" s="271"/>
      <c r="AW110" s="167"/>
      <c r="AX110" s="167"/>
      <c r="AY110" s="167"/>
      <c r="AZ110" s="167"/>
      <c r="BA110" s="173" t="s">
        <v>4776</v>
      </c>
      <c r="BB110" s="173" t="s">
        <v>3242</v>
      </c>
      <c r="BC110" s="173" t="s">
        <v>3202</v>
      </c>
      <c r="BD110" s="173" t="s">
        <v>4420</v>
      </c>
      <c r="BE110" s="173" t="s">
        <v>4394</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1585</v>
      </c>
      <c r="CA110" s="174"/>
      <c r="CB110" s="174"/>
      <c r="CC110" s="174"/>
      <c r="CD110" s="174"/>
      <c r="CE110" s="322"/>
      <c r="CF110" s="176" t="s">
        <v>1869</v>
      </c>
      <c r="CG110" s="176" t="s">
        <v>1796</v>
      </c>
      <c r="CH110" s="176"/>
      <c r="CI110" s="176"/>
      <c r="CJ110" s="176"/>
      <c r="CK110" s="176" t="s">
        <v>1704</v>
      </c>
      <c r="CL110" s="176" t="s">
        <v>206</v>
      </c>
      <c r="CM110" s="176" t="s">
        <v>3603</v>
      </c>
      <c r="CN110" s="176"/>
      <c r="CO110" s="176"/>
      <c r="CP110" s="176"/>
      <c r="CQ110" s="176"/>
      <c r="CR110" s="176"/>
      <c r="CS110" s="92"/>
      <c r="CT110" s="205" t="s">
        <v>5185</v>
      </c>
      <c r="CU110" s="205" t="s">
        <v>2877</v>
      </c>
      <c r="CV110" s="205" t="s">
        <v>5186</v>
      </c>
      <c r="CW110" s="205" t="s">
        <v>1148</v>
      </c>
      <c r="CX110" s="205" t="s">
        <v>5187</v>
      </c>
      <c r="CY110" s="205"/>
      <c r="CZ110" s="205" t="s">
        <v>5188</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988</v>
      </c>
      <c r="G111" s="82" t="s">
        <v>4974</v>
      </c>
      <c r="H111" s="93" t="s">
        <v>3135</v>
      </c>
      <c r="I111" s="93" t="s">
        <v>5191</v>
      </c>
      <c r="J111" s="93" t="s">
        <v>5192</v>
      </c>
      <c r="K111" s="93" t="s">
        <v>753</v>
      </c>
      <c r="L111" s="93" t="s">
        <v>916</v>
      </c>
      <c r="M111" s="98"/>
      <c r="N111" s="93" t="s">
        <v>5193</v>
      </c>
      <c r="O111" s="93" t="s">
        <v>809</v>
      </c>
      <c r="P111" s="88" t="s">
        <v>555</v>
      </c>
      <c r="Q111" s="93" t="s">
        <v>1077</v>
      </c>
      <c r="R111" s="98"/>
      <c r="S111" s="88" t="s">
        <v>2626</v>
      </c>
      <c r="T111" s="98"/>
      <c r="U111" s="93" t="s">
        <v>5194</v>
      </c>
      <c r="V111" s="88" t="s">
        <v>5195</v>
      </c>
      <c r="W111" s="92"/>
      <c r="X111" s="93" t="s">
        <v>5196</v>
      </c>
      <c r="Y111" s="93" t="s">
        <v>1577</v>
      </c>
      <c r="Z111" s="93" t="s">
        <v>1512</v>
      </c>
      <c r="AA111" s="93" t="s">
        <v>608</v>
      </c>
      <c r="AB111" s="93" t="s">
        <v>3692</v>
      </c>
      <c r="AC111" s="93" t="s">
        <v>5197</v>
      </c>
      <c r="AD111" s="93"/>
      <c r="AE111" s="93" t="s">
        <v>3878</v>
      </c>
      <c r="AF111" s="88" t="s">
        <v>1993</v>
      </c>
      <c r="AG111" s="93" t="s">
        <v>167</v>
      </c>
      <c r="AH111" s="101"/>
      <c r="AI111" s="88" t="s">
        <v>2979</v>
      </c>
      <c r="AJ111" s="93" t="s">
        <v>5198</v>
      </c>
      <c r="AK111" s="96"/>
      <c r="AL111" s="93" t="s">
        <v>3596</v>
      </c>
      <c r="AM111" s="93" t="s">
        <v>1374</v>
      </c>
      <c r="AN111" s="98"/>
      <c r="AO111" s="88" t="s">
        <v>5199</v>
      </c>
      <c r="AP111" s="93" t="s">
        <v>898</v>
      </c>
      <c r="AQ111" s="93"/>
      <c r="AR111" s="93" t="s">
        <v>5200</v>
      </c>
      <c r="AS111" s="93" t="s">
        <v>5201</v>
      </c>
      <c r="AT111" s="88" t="s">
        <v>3264</v>
      </c>
      <c r="AU111" s="93" t="s">
        <v>5202</v>
      </c>
      <c r="AV111" s="93" t="s">
        <v>5203</v>
      </c>
      <c r="AW111" s="98"/>
      <c r="AX111" s="88" t="s">
        <v>1662</v>
      </c>
      <c r="AY111" s="93" t="s">
        <v>5204</v>
      </c>
      <c r="AZ111" s="93"/>
      <c r="BA111" s="98"/>
      <c r="BB111" s="93" t="s">
        <v>5205</v>
      </c>
      <c r="BC111" s="93" t="s">
        <v>3495</v>
      </c>
      <c r="BD111" s="93" t="s">
        <v>5206</v>
      </c>
      <c r="BE111" s="93" t="s">
        <v>2562</v>
      </c>
      <c r="BF111" s="93" t="s">
        <v>3409</v>
      </c>
      <c r="BG111" s="98"/>
      <c r="BH111" s="93" t="s">
        <v>4938</v>
      </c>
      <c r="BI111" s="93" t="s">
        <v>1147</v>
      </c>
      <c r="BJ111" s="98"/>
      <c r="BK111" s="161" t="s">
        <v>5207</v>
      </c>
      <c r="BL111" s="93" t="s">
        <v>5208</v>
      </c>
      <c r="BM111" s="93" t="s">
        <v>4008</v>
      </c>
      <c r="BN111" s="98"/>
      <c r="BO111" s="93" t="s">
        <v>5209</v>
      </c>
      <c r="BP111" s="93"/>
      <c r="BQ111" s="98"/>
      <c r="BR111" s="93" t="s">
        <v>5210</v>
      </c>
      <c r="BS111" s="93" t="s">
        <v>230</v>
      </c>
      <c r="BT111" s="93" t="s">
        <v>578</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3405</v>
      </c>
      <c r="CH111" s="93" t="s">
        <v>482</v>
      </c>
      <c r="CI111" s="93" t="s">
        <v>5217</v>
      </c>
      <c r="CJ111" s="93"/>
      <c r="CK111" s="93" t="s">
        <v>5218</v>
      </c>
      <c r="CL111" s="297" t="s">
        <v>5219</v>
      </c>
      <c r="CM111" s="88" t="s">
        <v>3533</v>
      </c>
      <c r="CN111" s="98"/>
      <c r="CO111" s="93" t="s">
        <v>5220</v>
      </c>
      <c r="CP111" s="98"/>
      <c r="CQ111" s="98"/>
      <c r="CR111" s="93" t="s">
        <v>3465</v>
      </c>
      <c r="CS111" s="92"/>
      <c r="CT111" s="93" t="s">
        <v>2572</v>
      </c>
      <c r="CU111" s="93" t="s">
        <v>5137</v>
      </c>
      <c r="CV111" s="93" t="s">
        <v>3247</v>
      </c>
      <c r="CW111" s="93" t="s">
        <v>657</v>
      </c>
      <c r="CX111" s="98"/>
      <c r="CY111" s="98"/>
      <c r="CZ111" s="88" t="s">
        <v>5221</v>
      </c>
      <c r="DA111" s="88" t="s">
        <v>2444</v>
      </c>
      <c r="DB111" s="93" t="s">
        <v>5222</v>
      </c>
      <c r="DC111" s="93" t="s">
        <v>5175</v>
      </c>
      <c r="DD111" s="93" t="s">
        <v>5223</v>
      </c>
      <c r="DE111" s="93" t="s">
        <v>5224</v>
      </c>
      <c r="DF111" s="93"/>
      <c r="DG111" s="93" t="s">
        <v>4116</v>
      </c>
      <c r="DH111" s="93"/>
      <c r="DI111" s="93" t="s">
        <v>5225</v>
      </c>
      <c r="DJ111" s="93"/>
      <c r="DK111" s="93" t="s">
        <v>5226</v>
      </c>
      <c r="DL111" s="93" t="s">
        <v>2743</v>
      </c>
      <c r="DM111" s="161" t="s">
        <v>3207</v>
      </c>
      <c r="DN111" s="93" t="s">
        <v>3654</v>
      </c>
      <c r="DO111" s="98"/>
      <c r="DP111" s="93" t="s">
        <v>3197</v>
      </c>
      <c r="DQ111" s="93" t="s">
        <v>5227</v>
      </c>
      <c r="DR111" s="93" t="s">
        <v>3728</v>
      </c>
      <c r="DS111" s="93" t="s">
        <v>3494</v>
      </c>
      <c r="DT111" s="93" t="s">
        <v>1082</v>
      </c>
      <c r="DU111" s="93" t="s">
        <v>1412</v>
      </c>
      <c r="DV111" s="93" t="s">
        <v>4148</v>
      </c>
      <c r="DW111" s="93" t="s">
        <v>1019</v>
      </c>
      <c r="DX111" s="93" t="s">
        <v>2860</v>
      </c>
      <c r="DY111" s="93" t="s">
        <v>3860</v>
      </c>
      <c r="DZ111" s="93" t="s">
        <v>1752</v>
      </c>
      <c r="EA111" s="93" t="s">
        <v>1088</v>
      </c>
      <c r="EB111" s="285" t="s">
        <v>5228</v>
      </c>
    </row>
    <row r="112">
      <c r="A112" s="165" t="s">
        <v>5229</v>
      </c>
      <c r="B112" s="103" t="s">
        <v>5230</v>
      </c>
      <c r="C112" s="104" t="s">
        <v>1418</v>
      </c>
      <c r="D112" s="105" t="s">
        <v>1418</v>
      </c>
      <c r="E112" s="106" t="s">
        <v>1418</v>
      </c>
      <c r="F112" s="107" t="s">
        <v>1418</v>
      </c>
      <c r="G112" s="103" t="s">
        <v>2146</v>
      </c>
      <c r="H112" s="166" t="s">
        <v>4677</v>
      </c>
      <c r="I112" s="166" t="s">
        <v>2311</v>
      </c>
      <c r="J112" s="166" t="s">
        <v>1812</v>
      </c>
      <c r="K112" s="166" t="s">
        <v>1143</v>
      </c>
      <c r="L112" s="166" t="s">
        <v>2572</v>
      </c>
      <c r="M112" s="166" t="s">
        <v>1101</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4293</v>
      </c>
      <c r="AG112" s="197" t="s">
        <v>1904</v>
      </c>
      <c r="AH112" s="197"/>
      <c r="AI112" s="197" t="s">
        <v>1271</v>
      </c>
      <c r="AJ112" s="197" t="s">
        <v>5239</v>
      </c>
      <c r="AK112" s="96"/>
      <c r="AL112" s="167" t="s">
        <v>2042</v>
      </c>
      <c r="AM112" s="167" t="s">
        <v>4225</v>
      </c>
      <c r="AN112" s="271"/>
      <c r="AO112" s="271"/>
      <c r="AP112" s="271"/>
      <c r="AQ112" s="271"/>
      <c r="AR112" s="167" t="s">
        <v>3838</v>
      </c>
      <c r="AS112" s="271"/>
      <c r="AT112" s="167" t="s">
        <v>5240</v>
      </c>
      <c r="AU112" s="167" t="s">
        <v>5241</v>
      </c>
      <c r="AV112" s="271"/>
      <c r="AW112" s="271"/>
      <c r="AX112" s="271"/>
      <c r="AY112" s="271"/>
      <c r="AZ112" s="271"/>
      <c r="BA112" s="173" t="s">
        <v>5242</v>
      </c>
      <c r="BB112" s="173" t="s">
        <v>5243</v>
      </c>
      <c r="BC112" s="173" t="s">
        <v>1047</v>
      </c>
      <c r="BD112" s="173" t="s">
        <v>2472</v>
      </c>
      <c r="BE112" s="173" t="s">
        <v>5244</v>
      </c>
      <c r="BF112" s="173" t="s">
        <v>4241</v>
      </c>
      <c r="BG112" s="173" t="s">
        <v>4512</v>
      </c>
      <c r="BH112" s="173" t="s">
        <v>3201</v>
      </c>
      <c r="BI112" s="173" t="s">
        <v>895</v>
      </c>
      <c r="BJ112" s="173"/>
      <c r="BK112" s="173" t="s">
        <v>5245</v>
      </c>
      <c r="BL112" s="172"/>
      <c r="BM112" s="173" t="s">
        <v>1918</v>
      </c>
      <c r="BN112" s="173" t="s">
        <v>2812</v>
      </c>
      <c r="BO112" s="172"/>
      <c r="BP112" s="273"/>
      <c r="BQ112" s="174"/>
      <c r="BR112" s="174" t="s">
        <v>3171</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4756</v>
      </c>
      <c r="CG112" s="176" t="s">
        <v>1822</v>
      </c>
      <c r="CH112" s="176" t="s">
        <v>4836</v>
      </c>
      <c r="CI112" s="176" t="s">
        <v>5251</v>
      </c>
      <c r="CJ112" s="176" t="s">
        <v>5252</v>
      </c>
      <c r="CK112" s="176" t="s">
        <v>5253</v>
      </c>
      <c r="CL112" s="176" t="s">
        <v>1445</v>
      </c>
      <c r="CM112" s="176" t="s">
        <v>2949</v>
      </c>
      <c r="CN112" s="176" t="s">
        <v>5254</v>
      </c>
      <c r="CO112" s="176" t="s">
        <v>549</v>
      </c>
      <c r="CP112" s="176"/>
      <c r="CQ112" s="176" t="s">
        <v>5255</v>
      </c>
      <c r="CR112" s="279"/>
      <c r="CS112" s="92"/>
      <c r="CT112" s="205" t="s">
        <v>5256</v>
      </c>
      <c r="CU112" s="205" t="s">
        <v>5257</v>
      </c>
      <c r="CV112" s="205" t="s">
        <v>3349</v>
      </c>
      <c r="CW112" s="205" t="s">
        <v>3204</v>
      </c>
      <c r="CX112" s="205" t="s">
        <v>5258</v>
      </c>
      <c r="CY112" s="205" t="s">
        <v>3908</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646</v>
      </c>
      <c r="G113" s="82" t="s">
        <v>4829</v>
      </c>
      <c r="H113" s="93" t="s">
        <v>662</v>
      </c>
      <c r="I113" s="93" t="s">
        <v>2495</v>
      </c>
      <c r="J113" s="93" t="s">
        <v>1663</v>
      </c>
      <c r="K113" s="93" t="s">
        <v>3986</v>
      </c>
      <c r="L113" s="93" t="s">
        <v>4616</v>
      </c>
      <c r="M113" s="93" t="s">
        <v>5263</v>
      </c>
      <c r="N113" s="93" t="s">
        <v>5264</v>
      </c>
      <c r="O113" s="93" t="s">
        <v>153</v>
      </c>
      <c r="P113" s="93" t="s">
        <v>249</v>
      </c>
      <c r="Q113" s="98"/>
      <c r="R113" s="98"/>
      <c r="S113" s="98"/>
      <c r="T113" s="98"/>
      <c r="U113" s="98"/>
      <c r="V113" s="98"/>
      <c r="W113" s="92"/>
      <c r="X113" s="93" t="s">
        <v>3116</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3242</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4526</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2159</v>
      </c>
      <c r="CK113" s="93" t="s">
        <v>5284</v>
      </c>
      <c r="CL113" s="93" t="s">
        <v>2381</v>
      </c>
      <c r="CM113" s="93" t="s">
        <v>5165</v>
      </c>
      <c r="CN113" s="98"/>
      <c r="CO113" s="98"/>
      <c r="CP113" s="98"/>
      <c r="CQ113" s="98"/>
      <c r="CR113" s="98"/>
      <c r="CS113" s="92"/>
      <c r="CT113" s="93" t="s">
        <v>5010</v>
      </c>
      <c r="CU113" s="93" t="s">
        <v>2910</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1200</v>
      </c>
      <c r="G114" s="103" t="s">
        <v>4381</v>
      </c>
      <c r="H114" s="112" t="s">
        <v>5290</v>
      </c>
      <c r="I114" s="290" t="s">
        <v>5291</v>
      </c>
      <c r="J114" s="290" t="s">
        <v>467</v>
      </c>
      <c r="K114" s="290" t="s">
        <v>2269</v>
      </c>
      <c r="L114" s="112" t="s">
        <v>4044</v>
      </c>
      <c r="M114" s="166" t="s">
        <v>952</v>
      </c>
      <c r="N114" s="166" t="s">
        <v>5292</v>
      </c>
      <c r="O114" s="290" t="s">
        <v>153</v>
      </c>
      <c r="P114" s="112" t="s">
        <v>2805</v>
      </c>
      <c r="Q114" s="222"/>
      <c r="R114" s="222"/>
      <c r="S114" s="166" t="s">
        <v>3659</v>
      </c>
      <c r="T114" s="222"/>
      <c r="U114" s="166" t="s">
        <v>1456</v>
      </c>
      <c r="V114" s="222"/>
      <c r="W114" s="92"/>
      <c r="X114" s="370" t="s">
        <v>4710</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4451</v>
      </c>
      <c r="AM114" s="167" t="s">
        <v>1054</v>
      </c>
      <c r="AN114" s="271"/>
      <c r="AO114" s="167" t="s">
        <v>5298</v>
      </c>
      <c r="AP114" s="167" t="s">
        <v>5299</v>
      </c>
      <c r="AQ114" s="167" t="s">
        <v>5300</v>
      </c>
      <c r="AR114" s="121" t="s">
        <v>1659</v>
      </c>
      <c r="AS114" s="271"/>
      <c r="AT114" s="509" t="s">
        <v>3603</v>
      </c>
      <c r="AU114" s="306" t="s">
        <v>2307</v>
      </c>
      <c r="AV114" s="121" t="s">
        <v>3294</v>
      </c>
      <c r="AW114" s="271"/>
      <c r="AX114" s="167" t="s">
        <v>5301</v>
      </c>
      <c r="AY114" s="271"/>
      <c r="AZ114" s="271"/>
      <c r="BA114" s="173" t="s">
        <v>4282</v>
      </c>
      <c r="BB114" s="173" t="s">
        <v>1189</v>
      </c>
      <c r="BC114" s="127" t="s">
        <v>4651</v>
      </c>
      <c r="BD114" s="173" t="s">
        <v>2951</v>
      </c>
      <c r="BE114" s="173" t="s">
        <v>4212</v>
      </c>
      <c r="BF114" s="173" t="s">
        <v>2530</v>
      </c>
      <c r="BG114" s="173" t="s">
        <v>5302</v>
      </c>
      <c r="BH114" s="173" t="s">
        <v>3471</v>
      </c>
      <c r="BI114" s="173" t="s">
        <v>5303</v>
      </c>
      <c r="BJ114" s="172"/>
      <c r="BK114" s="173" t="s">
        <v>3128</v>
      </c>
      <c r="BL114" s="172"/>
      <c r="BM114" s="173" t="s">
        <v>4424</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3367</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3955</v>
      </c>
      <c r="DL114" s="282"/>
      <c r="DM114" s="282"/>
      <c r="DN114" s="145" t="s">
        <v>5318</v>
      </c>
      <c r="DO114" s="282"/>
      <c r="DP114" s="282"/>
      <c r="DQ114" s="206" t="s">
        <v>5310</v>
      </c>
      <c r="DR114" s="206" t="s">
        <v>5319</v>
      </c>
      <c r="DS114" s="282"/>
      <c r="DT114" s="206" t="s">
        <v>3657</v>
      </c>
      <c r="DU114" s="145" t="s">
        <v>3113</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784</v>
      </c>
      <c r="M115" s="98"/>
      <c r="N115" s="93" t="s">
        <v>5326</v>
      </c>
      <c r="O115" s="93" t="s">
        <v>480</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4435</v>
      </c>
      <c r="AM115" s="93" t="s">
        <v>3641</v>
      </c>
      <c r="AN115" s="98"/>
      <c r="AO115" s="98"/>
      <c r="AP115" s="98"/>
      <c r="AQ115" s="98"/>
      <c r="AR115" s="93" t="s">
        <v>5334</v>
      </c>
      <c r="AS115" s="98"/>
      <c r="AT115" s="93" t="s">
        <v>1792</v>
      </c>
      <c r="AU115" s="93" t="s">
        <v>2107</v>
      </c>
      <c r="AV115" s="93" t="s">
        <v>2036</v>
      </c>
      <c r="AW115" s="98"/>
      <c r="AX115" s="93" t="s">
        <v>5330</v>
      </c>
      <c r="AY115" s="98"/>
      <c r="AZ115" s="98"/>
      <c r="BA115" s="93" t="s">
        <v>5335</v>
      </c>
      <c r="BB115" s="93" t="s">
        <v>2634</v>
      </c>
      <c r="BC115" s="93" t="s">
        <v>5336</v>
      </c>
      <c r="BD115" s="93" t="s">
        <v>4567</v>
      </c>
      <c r="BE115" s="93" t="s">
        <v>5337</v>
      </c>
      <c r="BF115" s="93" t="s">
        <v>5338</v>
      </c>
      <c r="BG115" s="93" t="s">
        <v>5339</v>
      </c>
      <c r="BH115" s="93" t="s">
        <v>2318</v>
      </c>
      <c r="BI115" s="93" t="s">
        <v>5340</v>
      </c>
      <c r="BJ115" s="93" t="s">
        <v>5341</v>
      </c>
      <c r="BK115" s="93" t="s">
        <v>5342</v>
      </c>
      <c r="BL115" s="98"/>
      <c r="BM115" s="93" t="s">
        <v>2318</v>
      </c>
      <c r="BN115" s="93" t="s">
        <v>5343</v>
      </c>
      <c r="BO115" s="98"/>
      <c r="BP115" s="261"/>
      <c r="BQ115" s="93" t="s">
        <v>5344</v>
      </c>
      <c r="BR115" s="98"/>
      <c r="BS115" s="93" t="s">
        <v>4460</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4158</v>
      </c>
      <c r="CK115" s="93" t="s">
        <v>5352</v>
      </c>
      <c r="CL115" s="93" t="s">
        <v>5353</v>
      </c>
      <c r="CM115" s="93" t="s">
        <v>4137</v>
      </c>
      <c r="CN115" s="98"/>
      <c r="CO115" s="93" t="s">
        <v>5354</v>
      </c>
      <c r="CP115" s="98"/>
      <c r="CQ115" s="98"/>
      <c r="CR115" s="98"/>
      <c r="CS115" s="92"/>
      <c r="CT115" s="93" t="s">
        <v>5355</v>
      </c>
      <c r="CU115" s="93" t="s">
        <v>5356</v>
      </c>
      <c r="CV115" s="93" t="s">
        <v>5357</v>
      </c>
      <c r="CW115" s="93" t="s">
        <v>3496</v>
      </c>
      <c r="CX115" s="93" t="s">
        <v>5358</v>
      </c>
      <c r="CY115" s="93" t="s">
        <v>1837</v>
      </c>
      <c r="CZ115" s="93" t="s">
        <v>5359</v>
      </c>
      <c r="DA115" s="93" t="s">
        <v>5360</v>
      </c>
      <c r="DB115" s="98"/>
      <c r="DC115" s="98"/>
      <c r="DD115" s="93" t="s">
        <v>355</v>
      </c>
      <c r="DE115" s="98"/>
      <c r="DF115" s="261"/>
      <c r="DG115" s="93" t="s">
        <v>2489</v>
      </c>
      <c r="DH115" s="98"/>
      <c r="DI115" s="93" t="s">
        <v>4766</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4802</v>
      </c>
      <c r="Q116" s="222"/>
      <c r="R116" s="222"/>
      <c r="S116" s="660" t="s">
        <v>5378</v>
      </c>
      <c r="T116" s="222"/>
      <c r="U116" s="222"/>
      <c r="V116" s="222"/>
      <c r="W116" s="92"/>
      <c r="X116" s="661" t="s">
        <v>1836</v>
      </c>
      <c r="Y116" s="662" t="s">
        <v>3189</v>
      </c>
      <c r="Z116" s="197" t="s">
        <v>456</v>
      </c>
      <c r="AA116" s="663" t="s">
        <v>3235</v>
      </c>
      <c r="AB116" s="661" t="s">
        <v>5379</v>
      </c>
      <c r="AC116" s="270"/>
      <c r="AD116" s="270"/>
      <c r="AE116" s="270"/>
      <c r="AF116" s="663" t="s">
        <v>5327</v>
      </c>
      <c r="AG116" s="270"/>
      <c r="AH116" s="270"/>
      <c r="AI116" s="270"/>
      <c r="AJ116" s="663" t="s">
        <v>5380</v>
      </c>
      <c r="AK116" s="96"/>
      <c r="AL116" s="271"/>
      <c r="AM116" s="664" t="s">
        <v>529</v>
      </c>
      <c r="AN116" s="664" t="s">
        <v>5381</v>
      </c>
      <c r="AO116" s="271"/>
      <c r="AP116" s="664" t="s">
        <v>2209</v>
      </c>
      <c r="AQ116" s="167"/>
      <c r="AR116" s="271"/>
      <c r="AS116" s="271"/>
      <c r="AT116" s="664" t="s">
        <v>5109</v>
      </c>
      <c r="AU116" s="664" t="s">
        <v>5382</v>
      </c>
      <c r="AV116" s="271"/>
      <c r="AW116" s="271"/>
      <c r="AX116" s="664" t="s">
        <v>5383</v>
      </c>
      <c r="AY116" s="271"/>
      <c r="AZ116" s="271"/>
      <c r="BA116" s="321" t="s">
        <v>5384</v>
      </c>
      <c r="BB116" s="321" t="s">
        <v>2119</v>
      </c>
      <c r="BC116" s="321" t="s">
        <v>4651</v>
      </c>
      <c r="BD116" s="665" t="s">
        <v>2137</v>
      </c>
      <c r="BE116" s="173" t="s">
        <v>4329</v>
      </c>
      <c r="BF116" s="172"/>
      <c r="BG116" s="172"/>
      <c r="BH116" s="321" t="s">
        <v>1822</v>
      </c>
      <c r="BI116" s="666"/>
      <c r="BJ116" s="321" t="s">
        <v>5385</v>
      </c>
      <c r="BK116" s="321" t="s">
        <v>5207</v>
      </c>
      <c r="BL116" s="173"/>
      <c r="BM116" s="172"/>
      <c r="BN116" s="172"/>
      <c r="BO116" s="172"/>
      <c r="BP116" s="273"/>
      <c r="BQ116" s="322" t="s">
        <v>5386</v>
      </c>
      <c r="BR116" s="276"/>
      <c r="BS116" s="322" t="s">
        <v>996</v>
      </c>
      <c r="BT116" s="276"/>
      <c r="BU116" s="174" t="s">
        <v>4512</v>
      </c>
      <c r="BV116" s="667" t="s">
        <v>5387</v>
      </c>
      <c r="BW116" s="322" t="s">
        <v>5388</v>
      </c>
      <c r="BX116" s="668" t="s">
        <v>446</v>
      </c>
      <c r="BY116" s="668" t="s">
        <v>5389</v>
      </c>
      <c r="BZ116" s="276"/>
      <c r="CA116" s="276"/>
      <c r="CB116" s="276"/>
      <c r="CC116" s="322" t="s">
        <v>2610</v>
      </c>
      <c r="CD116" s="276"/>
      <c r="CE116" s="277"/>
      <c r="CF116" s="669" t="s">
        <v>5390</v>
      </c>
      <c r="CG116" s="669" t="s">
        <v>5391</v>
      </c>
      <c r="CH116" s="279"/>
      <c r="CI116" s="279"/>
      <c r="CJ116" s="279"/>
      <c r="CK116" s="279"/>
      <c r="CL116" s="669" t="s">
        <v>417</v>
      </c>
      <c r="CM116" s="669" t="s">
        <v>4375</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3110</v>
      </c>
      <c r="DM116" s="672" t="s">
        <v>1192</v>
      </c>
      <c r="DN116" s="672" t="s">
        <v>5396</v>
      </c>
      <c r="DO116" s="282"/>
      <c r="DP116" s="282"/>
      <c r="DQ116" s="282"/>
      <c r="DR116" s="282"/>
      <c r="DS116" s="282"/>
      <c r="DT116" s="282"/>
      <c r="DU116" s="282"/>
      <c r="DV116" s="282"/>
      <c r="DW116" s="282"/>
      <c r="DX116" s="673" t="s">
        <v>3461</v>
      </c>
      <c r="DY116" s="672" t="s">
        <v>2953</v>
      </c>
      <c r="DZ116" s="282"/>
      <c r="EA116" s="282"/>
      <c r="EB116" s="316"/>
    </row>
    <row r="117">
      <c r="A117" s="81" t="s">
        <v>5397</v>
      </c>
      <c r="B117" s="82" t="s">
        <v>5398</v>
      </c>
      <c r="C117" s="83" t="s">
        <v>1418</v>
      </c>
      <c r="D117" s="84" t="s">
        <v>1418</v>
      </c>
      <c r="E117" s="85" t="s">
        <v>1418</v>
      </c>
      <c r="F117" s="86" t="s">
        <v>987</v>
      </c>
      <c r="G117" s="82" t="s">
        <v>988</v>
      </c>
      <c r="H117" s="98"/>
      <c r="I117" s="93" t="s">
        <v>3777</v>
      </c>
      <c r="J117" s="98"/>
      <c r="K117" s="97" t="str">
        <f>HYPERLINK("https://www.youtube.com/watch?v=fhmkEG98u50","13.86")</f>
        <v>13.86</v>
      </c>
      <c r="L117" s="98" t="s">
        <v>5399</v>
      </c>
      <c r="M117" s="98"/>
      <c r="N117" s="98"/>
      <c r="O117" s="97" t="s">
        <v>3529</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646</v>
      </c>
      <c r="G118" s="103" t="s">
        <v>2820</v>
      </c>
      <c r="H118" s="290" t="s">
        <v>1384</v>
      </c>
      <c r="I118" s="290" t="s">
        <v>5403</v>
      </c>
      <c r="J118" s="290" t="s">
        <v>5404</v>
      </c>
      <c r="K118" s="290" t="s">
        <v>4434</v>
      </c>
      <c r="L118" s="290" t="s">
        <v>4453</v>
      </c>
      <c r="M118" s="290" t="s">
        <v>5405</v>
      </c>
      <c r="N118" s="290" t="s">
        <v>1828</v>
      </c>
      <c r="O118" s="290" t="s">
        <v>1456</v>
      </c>
      <c r="P118" s="112" t="s">
        <v>1010</v>
      </c>
      <c r="Q118" s="112" t="s">
        <v>5406</v>
      </c>
      <c r="R118" s="222"/>
      <c r="S118" s="222"/>
      <c r="T118" s="222"/>
      <c r="U118" s="222"/>
      <c r="V118" s="222"/>
      <c r="W118" s="92"/>
      <c r="X118" s="370" t="s">
        <v>5407</v>
      </c>
      <c r="Y118" s="370" t="s">
        <v>3973</v>
      </c>
      <c r="Z118" s="370" t="s">
        <v>5408</v>
      </c>
      <c r="AA118" s="370" t="s">
        <v>3455</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2885</v>
      </c>
      <c r="BF118" s="173" t="s">
        <v>5418</v>
      </c>
      <c r="BG118" s="173" t="s">
        <v>5419</v>
      </c>
      <c r="BH118" s="173" t="s">
        <v>5420</v>
      </c>
      <c r="BI118" s="172"/>
      <c r="BJ118" s="173" t="s">
        <v>5421</v>
      </c>
      <c r="BK118" s="173" t="s">
        <v>3955</v>
      </c>
      <c r="BL118" s="172"/>
      <c r="BM118" s="173" t="s">
        <v>5357</v>
      </c>
      <c r="BN118" s="173" t="s">
        <v>4437</v>
      </c>
      <c r="BO118" s="173" t="s">
        <v>5422</v>
      </c>
      <c r="BP118" s="173"/>
      <c r="BQ118" s="174"/>
      <c r="BR118" s="174" t="s">
        <v>3829</v>
      </c>
      <c r="BS118" s="174" t="s">
        <v>3771</v>
      </c>
      <c r="BT118" s="174" t="s">
        <v>5423</v>
      </c>
      <c r="BU118" s="174" t="s">
        <v>4761</v>
      </c>
      <c r="BV118" s="174" t="s">
        <v>4399</v>
      </c>
      <c r="BW118" s="276"/>
      <c r="BX118" s="174" t="s">
        <v>5424</v>
      </c>
      <c r="BY118" s="174" t="s">
        <v>5425</v>
      </c>
      <c r="BZ118" s="174" t="s">
        <v>5426</v>
      </c>
      <c r="CA118" s="276"/>
      <c r="CB118" s="276"/>
      <c r="CC118" s="276"/>
      <c r="CD118" s="276"/>
      <c r="CE118" s="277"/>
      <c r="CF118" s="176" t="s">
        <v>5427</v>
      </c>
      <c r="CG118" s="176" t="s">
        <v>5428</v>
      </c>
      <c r="CH118" s="176" t="s">
        <v>4075</v>
      </c>
      <c r="CI118" s="176" t="s">
        <v>5429</v>
      </c>
      <c r="CJ118" s="176" t="s">
        <v>4158</v>
      </c>
      <c r="CK118" s="176" t="s">
        <v>5430</v>
      </c>
      <c r="CL118" s="176" t="s">
        <v>5431</v>
      </c>
      <c r="CM118" s="176" t="s">
        <v>5432</v>
      </c>
      <c r="CN118" s="279"/>
      <c r="CO118" s="279"/>
      <c r="CP118" s="279"/>
      <c r="CQ118" s="279"/>
      <c r="CR118" s="279"/>
      <c r="CS118" s="92"/>
      <c r="CT118" s="205" t="s">
        <v>5433</v>
      </c>
      <c r="CU118" s="205" t="s">
        <v>3056</v>
      </c>
      <c r="CV118" s="205" t="s">
        <v>5434</v>
      </c>
      <c r="CW118" s="205" t="s">
        <v>5435</v>
      </c>
      <c r="CX118" s="205" t="s">
        <v>5436</v>
      </c>
      <c r="CY118" s="205" t="s">
        <v>1822</v>
      </c>
      <c r="CZ118" s="205" t="s">
        <v>5437</v>
      </c>
      <c r="DA118" s="205" t="s">
        <v>4053</v>
      </c>
      <c r="DB118" s="280"/>
      <c r="DC118" s="280"/>
      <c r="DD118" s="280"/>
      <c r="DE118" s="205" t="s">
        <v>5438</v>
      </c>
      <c r="DF118" s="324"/>
      <c r="DG118" s="206" t="s">
        <v>2441</v>
      </c>
      <c r="DH118" s="282"/>
      <c r="DI118" s="282"/>
      <c r="DJ118" s="206"/>
      <c r="DK118" s="282"/>
      <c r="DL118" s="206" t="s">
        <v>5439</v>
      </c>
      <c r="DM118" s="206" t="s">
        <v>3764</v>
      </c>
      <c r="DN118" s="206" t="s">
        <v>1186</v>
      </c>
      <c r="DO118" s="282"/>
      <c r="DP118" s="206" t="s">
        <v>5440</v>
      </c>
      <c r="DQ118" s="206"/>
      <c r="DR118" s="282"/>
      <c r="DS118" s="282"/>
      <c r="DT118" s="206" t="s">
        <v>3000</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646</v>
      </c>
      <c r="G119" s="82" t="s">
        <v>2099</v>
      </c>
      <c r="H119" s="93"/>
      <c r="I119" s="93" t="s">
        <v>5444</v>
      </c>
      <c r="J119" s="88" t="s">
        <v>651</v>
      </c>
      <c r="K119" s="88" t="s">
        <v>5252</v>
      </c>
      <c r="L119" s="93" t="s">
        <v>5445</v>
      </c>
      <c r="M119" s="98"/>
      <c r="N119" s="93" t="s">
        <v>5446</v>
      </c>
      <c r="O119" s="93" t="s">
        <v>146</v>
      </c>
      <c r="P119" s="88" t="s">
        <v>4158</v>
      </c>
      <c r="Q119" s="98"/>
      <c r="R119" s="98"/>
      <c r="S119" s="98"/>
      <c r="T119" s="98"/>
      <c r="U119" s="98"/>
      <c r="V119" s="98"/>
      <c r="W119" s="92"/>
      <c r="X119" s="93" t="s">
        <v>2882</v>
      </c>
      <c r="Y119" s="93" t="s">
        <v>5447</v>
      </c>
      <c r="Z119" s="93" t="s">
        <v>4663</v>
      </c>
      <c r="AA119" s="93" t="s">
        <v>999</v>
      </c>
      <c r="AB119" s="93" t="s">
        <v>4117</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2056</v>
      </c>
      <c r="BD119" s="93" t="s">
        <v>5454</v>
      </c>
      <c r="BE119" s="93" t="s">
        <v>4102</v>
      </c>
      <c r="BF119" s="93" t="s">
        <v>4125</v>
      </c>
      <c r="BG119" s="98"/>
      <c r="BH119" s="297" t="s">
        <v>609</v>
      </c>
      <c r="BI119" s="93" t="s">
        <v>5455</v>
      </c>
      <c r="BJ119" s="93" t="s">
        <v>5456</v>
      </c>
      <c r="BK119" s="93" t="s">
        <v>5457</v>
      </c>
      <c r="BL119" s="98"/>
      <c r="BM119" s="98"/>
      <c r="BN119" s="98"/>
      <c r="BO119" s="98"/>
      <c r="BP119" s="261"/>
      <c r="BQ119" s="93" t="s">
        <v>5458</v>
      </c>
      <c r="BR119" s="93" t="s">
        <v>2947</v>
      </c>
      <c r="BS119" s="93" t="s">
        <v>4787</v>
      </c>
      <c r="BT119" s="93" t="s">
        <v>5305</v>
      </c>
      <c r="BU119" s="93" t="s">
        <v>5459</v>
      </c>
      <c r="BV119" s="93" t="s">
        <v>4642</v>
      </c>
      <c r="BW119" s="98"/>
      <c r="BX119" s="93" t="s">
        <v>720</v>
      </c>
      <c r="BY119" s="93" t="s">
        <v>5460</v>
      </c>
      <c r="BZ119" s="98"/>
      <c r="CA119" s="98"/>
      <c r="CB119" s="98"/>
      <c r="CC119" s="98"/>
      <c r="CD119" s="98"/>
      <c r="CE119" s="261"/>
      <c r="CF119" s="93" t="s">
        <v>5461</v>
      </c>
      <c r="CG119" s="93" t="s">
        <v>5462</v>
      </c>
      <c r="CH119" s="93" t="s">
        <v>4051</v>
      </c>
      <c r="CI119" s="93" t="s">
        <v>5463</v>
      </c>
      <c r="CJ119" s="93"/>
      <c r="CK119" s="93" t="s">
        <v>5464</v>
      </c>
      <c r="CL119" s="93" t="s">
        <v>1626</v>
      </c>
      <c r="CM119" s="93" t="s">
        <v>5465</v>
      </c>
      <c r="CN119" s="98"/>
      <c r="CO119" s="98"/>
      <c r="CP119" s="98"/>
      <c r="CQ119" s="98"/>
      <c r="CR119" s="98"/>
      <c r="CS119" s="92"/>
      <c r="CT119" s="93" t="s">
        <v>5466</v>
      </c>
      <c r="CU119" s="93" t="s">
        <v>4025</v>
      </c>
      <c r="CV119" s="93" t="s">
        <v>3666</v>
      </c>
      <c r="CW119" s="93" t="s">
        <v>5467</v>
      </c>
      <c r="CX119" s="93" t="s">
        <v>5468</v>
      </c>
      <c r="CY119" s="93" t="s">
        <v>5469</v>
      </c>
      <c r="CZ119" s="93" t="s">
        <v>4691</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4592</v>
      </c>
      <c r="H120" s="166" t="s">
        <v>4654</v>
      </c>
      <c r="I120" s="166" t="s">
        <v>5473</v>
      </c>
      <c r="J120" s="166" t="s">
        <v>5159</v>
      </c>
      <c r="K120" s="166" t="s">
        <v>352</v>
      </c>
      <c r="L120" s="166" t="s">
        <v>4867</v>
      </c>
      <c r="M120" s="166" t="s">
        <v>5474</v>
      </c>
      <c r="N120" s="166" t="s">
        <v>5475</v>
      </c>
      <c r="O120" s="166" t="s">
        <v>2988</v>
      </c>
      <c r="P120" s="166" t="s">
        <v>5476</v>
      </c>
      <c r="Q120" s="222"/>
      <c r="R120" s="222"/>
      <c r="S120" s="222"/>
      <c r="T120" s="222"/>
      <c r="U120" s="222"/>
      <c r="V120" s="222"/>
      <c r="W120" s="92"/>
      <c r="X120" s="197" t="s">
        <v>3372</v>
      </c>
      <c r="Y120" s="197" t="s">
        <v>572</v>
      </c>
      <c r="Z120" s="197" t="s">
        <v>4666</v>
      </c>
      <c r="AA120" s="197" t="s">
        <v>617</v>
      </c>
      <c r="AB120" s="197" t="s">
        <v>4698</v>
      </c>
      <c r="AC120" s="197" t="s">
        <v>2153</v>
      </c>
      <c r="AD120" s="197"/>
      <c r="AE120" s="197" t="s">
        <v>5477</v>
      </c>
      <c r="AF120" s="197" t="s">
        <v>5478</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5479</v>
      </c>
      <c r="BB120" s="173" t="s">
        <v>5453</v>
      </c>
      <c r="BC120" s="173" t="s">
        <v>1047</v>
      </c>
      <c r="BD120" s="173" t="s">
        <v>5480</v>
      </c>
      <c r="BE120" s="173" t="s">
        <v>5481</v>
      </c>
      <c r="BF120" s="173" t="s">
        <v>5482</v>
      </c>
      <c r="BG120" s="173" t="s">
        <v>5483</v>
      </c>
      <c r="BH120" s="173" t="s">
        <v>3012</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2252</v>
      </c>
      <c r="CI120" s="176" t="s">
        <v>5493</v>
      </c>
      <c r="CJ120" s="176" t="s">
        <v>5494</v>
      </c>
      <c r="CK120" s="176" t="s">
        <v>5495</v>
      </c>
      <c r="CL120" s="176" t="s">
        <v>4787</v>
      </c>
      <c r="CM120" s="176" t="s">
        <v>5478</v>
      </c>
      <c r="CN120" s="279"/>
      <c r="CO120" s="279"/>
      <c r="CP120" s="279"/>
      <c r="CQ120" s="279"/>
      <c r="CR120" s="279"/>
      <c r="CS120" s="92"/>
      <c r="CT120" s="205" t="s">
        <v>1013</v>
      </c>
      <c r="CU120" s="205" t="s">
        <v>4951</v>
      </c>
      <c r="CV120" s="205" t="s">
        <v>3327</v>
      </c>
      <c r="CW120" s="205" t="s">
        <v>4498</v>
      </c>
      <c r="CX120" s="205" t="s">
        <v>5150</v>
      </c>
      <c r="CY120" s="205" t="s">
        <v>4929</v>
      </c>
      <c r="CZ120" s="205" t="s">
        <v>5496</v>
      </c>
      <c r="DA120" s="205" t="s">
        <v>3809</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3834</v>
      </c>
      <c r="H121" s="93"/>
      <c r="I121" s="93" t="s">
        <v>5500</v>
      </c>
      <c r="J121" s="93" t="s">
        <v>5151</v>
      </c>
      <c r="K121" s="93" t="s">
        <v>5501</v>
      </c>
      <c r="L121" s="88" t="s">
        <v>5502</v>
      </c>
      <c r="M121" s="98"/>
      <c r="N121" s="98"/>
      <c r="O121" s="98"/>
      <c r="P121" s="93" t="s">
        <v>5503</v>
      </c>
      <c r="Q121" s="98"/>
      <c r="R121" s="98"/>
      <c r="S121" s="93" t="s">
        <v>4163</v>
      </c>
      <c r="T121" s="98"/>
      <c r="U121" s="93" t="s">
        <v>3289</v>
      </c>
      <c r="V121" s="98"/>
      <c r="W121" s="92"/>
      <c r="X121" s="93" t="s">
        <v>4995</v>
      </c>
      <c r="Y121" s="98"/>
      <c r="Z121" s="93" t="s">
        <v>5504</v>
      </c>
      <c r="AA121" s="98"/>
      <c r="AB121" s="93" t="s">
        <v>123</v>
      </c>
      <c r="AC121" s="98"/>
      <c r="AD121" s="98"/>
      <c r="AE121" s="98"/>
      <c r="AF121" s="93" t="s">
        <v>5505</v>
      </c>
      <c r="AG121" s="93" t="s">
        <v>5506</v>
      </c>
      <c r="AH121" s="98"/>
      <c r="AI121" s="93" t="s">
        <v>4314</v>
      </c>
      <c r="AJ121" s="93" t="s">
        <v>5507</v>
      </c>
      <c r="AK121" s="96"/>
      <c r="AL121" s="93" t="s">
        <v>3514</v>
      </c>
      <c r="AM121" s="93" t="s">
        <v>5508</v>
      </c>
      <c r="AN121" s="98"/>
      <c r="AO121" s="98"/>
      <c r="AP121" s="98"/>
      <c r="AQ121" s="98"/>
      <c r="AR121" s="98"/>
      <c r="AS121" s="98"/>
      <c r="AT121" s="93" t="s">
        <v>5240</v>
      </c>
      <c r="AU121" s="93" t="s">
        <v>978</v>
      </c>
      <c r="AV121" s="98"/>
      <c r="AW121" s="98"/>
      <c r="AX121" s="93" t="s">
        <v>1133</v>
      </c>
      <c r="AY121" s="98"/>
      <c r="AZ121" s="98"/>
      <c r="BA121" s="98"/>
      <c r="BB121" s="285" t="s">
        <v>2406</v>
      </c>
      <c r="BC121" s="93" t="s">
        <v>276</v>
      </c>
      <c r="BD121" s="93" t="s">
        <v>4567</v>
      </c>
      <c r="BE121" s="98"/>
      <c r="BF121" s="93" t="s">
        <v>4248</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2265</v>
      </c>
      <c r="CG121" s="88" t="s">
        <v>3341</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4144</v>
      </c>
      <c r="DB121" s="98"/>
      <c r="DC121" s="98"/>
      <c r="DD121" s="98"/>
      <c r="DE121" s="98"/>
      <c r="DF121" s="261"/>
      <c r="DG121" s="93" t="s">
        <v>2046</v>
      </c>
      <c r="DH121" s="98"/>
      <c r="DI121" s="98"/>
      <c r="DJ121" s="98"/>
      <c r="DK121" s="98"/>
      <c r="DL121" s="98"/>
      <c r="DM121" s="98"/>
      <c r="DN121" s="98"/>
      <c r="DO121" s="98"/>
      <c r="DP121" s="98"/>
      <c r="DQ121" s="98"/>
      <c r="DR121" s="98"/>
      <c r="DS121" s="88" t="s">
        <v>3117</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545</v>
      </c>
      <c r="E122" s="106" t="s">
        <v>1418</v>
      </c>
      <c r="F122" s="107" t="s">
        <v>5525</v>
      </c>
      <c r="G122" s="103" t="s">
        <v>2223</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3066</v>
      </c>
      <c r="Y122" s="116" t="s">
        <v>2477</v>
      </c>
      <c r="Z122" s="370" t="s">
        <v>5530</v>
      </c>
      <c r="AA122" s="197" t="s">
        <v>5531</v>
      </c>
      <c r="AB122" s="116" t="s">
        <v>3814</v>
      </c>
      <c r="AC122" s="370" t="s">
        <v>3433</v>
      </c>
      <c r="AD122" s="270"/>
      <c r="AE122" s="370" t="s">
        <v>5532</v>
      </c>
      <c r="AF122" s="116" t="s">
        <v>4666</v>
      </c>
      <c r="AG122" s="270"/>
      <c r="AH122" s="270"/>
      <c r="AI122" s="270"/>
      <c r="AJ122" s="270"/>
      <c r="AK122" s="96"/>
      <c r="AL122" s="271"/>
      <c r="AM122" s="271"/>
      <c r="AN122" s="271"/>
      <c r="AO122" s="271"/>
      <c r="AP122" s="271"/>
      <c r="AQ122" s="271"/>
      <c r="AR122" s="271"/>
      <c r="AS122" s="271"/>
      <c r="AT122" s="121" t="s">
        <v>3027</v>
      </c>
      <c r="AU122" s="121" t="s">
        <v>3977</v>
      </c>
      <c r="AV122" s="271"/>
      <c r="AW122" s="271"/>
      <c r="AX122" s="271"/>
      <c r="AY122" s="271"/>
      <c r="AZ122" s="271"/>
      <c r="BA122" s="127" t="s">
        <v>5533</v>
      </c>
      <c r="BB122" s="329" t="s">
        <v>4253</v>
      </c>
      <c r="BC122" s="329" t="s">
        <v>5462</v>
      </c>
      <c r="BD122" s="127" t="s">
        <v>3133</v>
      </c>
      <c r="BE122" s="127" t="s">
        <v>5534</v>
      </c>
      <c r="BF122" s="172"/>
      <c r="BG122" s="172"/>
      <c r="BH122" s="127" t="s">
        <v>3895</v>
      </c>
      <c r="BI122" s="172"/>
      <c r="BJ122" s="173" t="s">
        <v>5535</v>
      </c>
      <c r="BK122" s="329" t="s">
        <v>5536</v>
      </c>
      <c r="BL122" s="172"/>
      <c r="BM122" s="172"/>
      <c r="BN122" s="172"/>
      <c r="BO122" s="172"/>
      <c r="BP122" s="273"/>
      <c r="BQ122" s="130" t="s">
        <v>5537</v>
      </c>
      <c r="BR122" s="174" t="s">
        <v>5538</v>
      </c>
      <c r="BS122" s="174" t="s">
        <v>5539</v>
      </c>
      <c r="BT122" s="174" t="s">
        <v>1798</v>
      </c>
      <c r="BU122" s="174" t="s">
        <v>4726</v>
      </c>
      <c r="BV122" s="174" t="s">
        <v>719</v>
      </c>
      <c r="BW122" s="174" t="s">
        <v>5540</v>
      </c>
      <c r="BX122" s="276"/>
      <c r="BY122" s="130" t="s">
        <v>5541</v>
      </c>
      <c r="BZ122" s="174" t="s">
        <v>5542</v>
      </c>
      <c r="CA122" s="276"/>
      <c r="CB122" s="276"/>
      <c r="CC122" s="276"/>
      <c r="CD122" s="276"/>
      <c r="CE122" s="277"/>
      <c r="CF122" s="176" t="s">
        <v>5543</v>
      </c>
      <c r="CG122" s="135" t="s">
        <v>3897</v>
      </c>
      <c r="CH122" s="135" t="s">
        <v>4103</v>
      </c>
      <c r="CI122" s="135" t="s">
        <v>5544</v>
      </c>
      <c r="CJ122" s="135" t="s">
        <v>4067</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3161</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4829</v>
      </c>
      <c r="H123" s="93" t="s">
        <v>5557</v>
      </c>
      <c r="I123" s="93" t="s">
        <v>5558</v>
      </c>
      <c r="J123" s="93" t="s">
        <v>5559</v>
      </c>
      <c r="K123" s="93" t="s">
        <v>5325</v>
      </c>
      <c r="L123" s="93" t="s">
        <v>2611</v>
      </c>
      <c r="M123" s="98"/>
      <c r="N123" s="93" t="s">
        <v>2253</v>
      </c>
      <c r="O123" s="93" t="s">
        <v>689</v>
      </c>
      <c r="P123" s="93" t="s">
        <v>1340</v>
      </c>
      <c r="Q123" s="98"/>
      <c r="R123" s="98"/>
      <c r="S123" s="98"/>
      <c r="T123" s="98"/>
      <c r="U123" s="98"/>
      <c r="V123" s="98"/>
      <c r="W123" s="92"/>
      <c r="X123" s="93" t="s">
        <v>2479</v>
      </c>
      <c r="Y123" s="93" t="s">
        <v>3700</v>
      </c>
      <c r="Z123" s="93" t="s">
        <v>5505</v>
      </c>
      <c r="AA123" s="93" t="s">
        <v>5560</v>
      </c>
      <c r="AB123" s="93" t="s">
        <v>4204</v>
      </c>
      <c r="AC123" s="93" t="s">
        <v>1398</v>
      </c>
      <c r="AD123" s="98"/>
      <c r="AE123" s="93" t="s">
        <v>5561</v>
      </c>
      <c r="AF123" s="93" t="s">
        <v>5562</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4351</v>
      </c>
      <c r="BB123" s="93" t="s">
        <v>579</v>
      </c>
      <c r="BC123" s="93" t="s">
        <v>3577</v>
      </c>
      <c r="BD123" s="93" t="s">
        <v>5563</v>
      </c>
      <c r="BE123" s="93" t="s">
        <v>5564</v>
      </c>
      <c r="BF123" s="98"/>
      <c r="BG123" s="677"/>
      <c r="BH123" s="93" t="s">
        <v>755</v>
      </c>
      <c r="BI123" s="93" t="s">
        <v>5565</v>
      </c>
      <c r="BJ123" s="98"/>
      <c r="BK123" s="93" t="s">
        <v>4564</v>
      </c>
      <c r="BL123" s="98"/>
      <c r="BM123" s="98"/>
      <c r="BN123" s="98"/>
      <c r="BO123" s="98"/>
      <c r="BP123" s="261"/>
      <c r="BQ123" s="93" t="s">
        <v>5340</v>
      </c>
      <c r="BR123" s="93" t="s">
        <v>4438</v>
      </c>
      <c r="BS123" s="93" t="s">
        <v>4772</v>
      </c>
      <c r="BT123" s="93" t="s">
        <v>1925</v>
      </c>
      <c r="BU123" s="93" t="s">
        <v>1007</v>
      </c>
      <c r="BV123" s="93" t="s">
        <v>5566</v>
      </c>
      <c r="BW123" s="93"/>
      <c r="BX123" s="93" t="s">
        <v>5567</v>
      </c>
      <c r="BY123" s="98"/>
      <c r="BZ123" s="93" t="s">
        <v>2219</v>
      </c>
      <c r="CA123" s="98"/>
      <c r="CB123" s="98"/>
      <c r="CC123" s="98"/>
      <c r="CD123" s="98"/>
      <c r="CE123" s="261"/>
      <c r="CF123" s="93" t="s">
        <v>5568</v>
      </c>
      <c r="CG123" s="93" t="s">
        <v>2331</v>
      </c>
      <c r="CH123" s="98"/>
      <c r="CI123" s="98"/>
      <c r="CJ123" s="98"/>
      <c r="CK123" s="93" t="s">
        <v>5569</v>
      </c>
      <c r="CL123" s="93" t="s">
        <v>930</v>
      </c>
      <c r="CM123" s="93" t="s">
        <v>2949</v>
      </c>
      <c r="CN123" s="98"/>
      <c r="CO123" s="98"/>
      <c r="CP123" s="98"/>
      <c r="CQ123" s="98"/>
      <c r="CR123" s="98"/>
      <c r="CS123" s="92"/>
      <c r="CT123" s="93" t="s">
        <v>3552</v>
      </c>
      <c r="CU123" s="93" t="s">
        <v>2833</v>
      </c>
      <c r="CV123" s="93" t="s">
        <v>5022</v>
      </c>
      <c r="CW123" s="93" t="s">
        <v>837</v>
      </c>
      <c r="CX123" s="93" t="s">
        <v>1760</v>
      </c>
      <c r="CY123" s="98"/>
      <c r="CZ123" s="93" t="s">
        <v>5570</v>
      </c>
      <c r="DA123" s="93" t="s">
        <v>4215</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545</v>
      </c>
      <c r="G124" s="103" t="s">
        <v>1806</v>
      </c>
      <c r="H124" s="222"/>
      <c r="I124" s="222"/>
      <c r="J124" s="166" t="s">
        <v>5574</v>
      </c>
      <c r="K124" s="166" t="s">
        <v>4595</v>
      </c>
      <c r="L124" s="166" t="s">
        <v>5206</v>
      </c>
      <c r="M124" s="222"/>
      <c r="N124" s="166" t="s">
        <v>4863</v>
      </c>
      <c r="O124" s="166" t="s">
        <v>5575</v>
      </c>
      <c r="P124" s="166" t="s">
        <v>3754</v>
      </c>
      <c r="Q124" s="222"/>
      <c r="R124" s="222"/>
      <c r="S124" s="222"/>
      <c r="T124" s="222"/>
      <c r="U124" s="222"/>
      <c r="V124" s="222"/>
      <c r="W124" s="92"/>
      <c r="X124" s="197" t="s">
        <v>4531</v>
      </c>
      <c r="Y124" s="270"/>
      <c r="Z124" s="197" t="s">
        <v>652</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5576</v>
      </c>
      <c r="BF124" s="172"/>
      <c r="BG124" s="172"/>
      <c r="BH124" s="173" t="s">
        <v>3338</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913</v>
      </c>
      <c r="G125" s="82" t="s">
        <v>220</v>
      </c>
      <c r="H125" s="101"/>
      <c r="I125" s="94"/>
      <c r="J125" s="101"/>
      <c r="K125" s="88" t="s">
        <v>2764</v>
      </c>
      <c r="L125" s="101" t="s">
        <v>560</v>
      </c>
      <c r="M125" s="101"/>
      <c r="N125" s="101"/>
      <c r="O125" s="88" t="s">
        <v>5583</v>
      </c>
      <c r="P125" s="88" t="s">
        <v>107</v>
      </c>
      <c r="Q125" s="98"/>
      <c r="R125" s="98"/>
      <c r="S125" s="98"/>
      <c r="T125" s="98"/>
      <c r="U125" s="98"/>
      <c r="V125" s="98"/>
      <c r="W125" s="92"/>
      <c r="X125" s="101" t="s">
        <v>5584</v>
      </c>
      <c r="Y125" s="88" t="s">
        <v>1568</v>
      </c>
      <c r="Z125" s="88" t="s">
        <v>1533</v>
      </c>
      <c r="AA125" s="297" t="s">
        <v>3018</v>
      </c>
      <c r="AB125" s="88" t="s">
        <v>3149</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3153</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3854</v>
      </c>
      <c r="G126" s="103" t="s">
        <v>3854</v>
      </c>
      <c r="H126" s="112" t="s">
        <v>5590</v>
      </c>
      <c r="I126" s="112" t="s">
        <v>5591</v>
      </c>
      <c r="J126" s="112" t="s">
        <v>4638</v>
      </c>
      <c r="K126" s="222"/>
      <c r="L126" s="112" t="s">
        <v>5592</v>
      </c>
      <c r="M126" s="112" t="s">
        <v>5593</v>
      </c>
      <c r="N126" s="222"/>
      <c r="O126" s="222"/>
      <c r="P126" s="112" t="s">
        <v>3533</v>
      </c>
      <c r="Q126" s="222"/>
      <c r="R126" s="222"/>
      <c r="S126" s="222"/>
      <c r="T126" s="222"/>
      <c r="U126" s="222"/>
      <c r="V126" s="222"/>
      <c r="W126" s="92"/>
      <c r="X126" s="116" t="s">
        <v>2292</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3294</v>
      </c>
      <c r="BT126" s="276"/>
      <c r="BU126" s="276"/>
      <c r="BV126" s="276"/>
      <c r="BW126" s="276"/>
      <c r="BX126" s="276"/>
      <c r="BY126" s="276"/>
      <c r="BZ126" s="130" t="s">
        <v>2238</v>
      </c>
      <c r="CA126" s="276"/>
      <c r="CB126" s="276"/>
      <c r="CC126" s="276"/>
      <c r="CD126" s="276"/>
      <c r="CE126" s="277"/>
      <c r="CF126" s="135" t="s">
        <v>5597</v>
      </c>
      <c r="CG126" s="135" t="s">
        <v>2364</v>
      </c>
      <c r="CH126" s="279"/>
      <c r="CI126" s="135" t="s">
        <v>4644</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1418</v>
      </c>
      <c r="D127" s="84" t="s">
        <v>1418</v>
      </c>
      <c r="E127" s="85" t="s">
        <v>1418</v>
      </c>
      <c r="F127" s="86" t="s">
        <v>1418</v>
      </c>
      <c r="G127" s="82" t="s">
        <v>3983</v>
      </c>
      <c r="H127" s="98"/>
      <c r="I127" s="93" t="s">
        <v>5601</v>
      </c>
      <c r="J127" s="98"/>
      <c r="K127" s="98"/>
      <c r="L127" s="93" t="s">
        <v>3475</v>
      </c>
      <c r="M127" s="98"/>
      <c r="N127" s="93" t="s">
        <v>5264</v>
      </c>
      <c r="O127" s="93" t="s">
        <v>939</v>
      </c>
      <c r="P127" s="93" t="s">
        <v>3652</v>
      </c>
      <c r="Q127" s="98"/>
      <c r="R127" s="98"/>
      <c r="S127" s="98"/>
      <c r="T127" s="98"/>
      <c r="U127" s="93" t="s">
        <v>3289</v>
      </c>
      <c r="V127" s="98"/>
      <c r="W127" s="92"/>
      <c r="X127" s="98"/>
      <c r="Y127" s="93" t="s">
        <v>577</v>
      </c>
      <c r="Z127" s="93" t="s">
        <v>1533</v>
      </c>
      <c r="AA127" s="98"/>
      <c r="AB127" s="93" t="s">
        <v>4783</v>
      </c>
      <c r="AC127" s="98"/>
      <c r="AD127" s="98"/>
      <c r="AE127" s="93" t="s">
        <v>2123</v>
      </c>
      <c r="AF127" s="98"/>
      <c r="AG127" s="98"/>
      <c r="AH127" s="98"/>
      <c r="AI127" s="98"/>
      <c r="AJ127" s="98"/>
      <c r="AK127" s="96"/>
      <c r="AL127" s="93"/>
      <c r="AM127" s="93" t="s">
        <v>5602</v>
      </c>
      <c r="AN127" s="98"/>
      <c r="AO127" s="98"/>
      <c r="AP127" s="98"/>
      <c r="AQ127" s="98"/>
      <c r="AR127" s="98"/>
      <c r="AS127" s="98"/>
      <c r="AT127" s="93" t="s">
        <v>3064</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1637</v>
      </c>
      <c r="BT127" s="98"/>
      <c r="BU127" s="98"/>
      <c r="BV127" s="93" t="s">
        <v>1722</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3484</v>
      </c>
      <c r="CW127" s="98"/>
      <c r="CX127" s="98"/>
      <c r="CY127" s="98"/>
      <c r="CZ127" s="93" t="s">
        <v>5607</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5608</v>
      </c>
      <c r="B128" s="103" t="s">
        <v>5609</v>
      </c>
      <c r="C128" s="104" t="s">
        <v>1418</v>
      </c>
      <c r="D128" s="105" t="s">
        <v>1418</v>
      </c>
      <c r="E128" s="106" t="s">
        <v>1418</v>
      </c>
      <c r="F128" s="107" t="s">
        <v>1418</v>
      </c>
      <c r="G128" s="103" t="s">
        <v>4416</v>
      </c>
      <c r="H128" s="301" t="s">
        <v>5610</v>
      </c>
      <c r="I128" s="397" t="s">
        <v>5611</v>
      </c>
      <c r="J128" s="301" t="s">
        <v>2823</v>
      </c>
      <c r="K128" s="301" t="s">
        <v>4418</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456"/>
      <c r="BB128" s="680" t="s">
        <v>2522</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1418</v>
      </c>
      <c r="D129" s="84" t="s">
        <v>1418</v>
      </c>
      <c r="E129" s="85" t="s">
        <v>1418</v>
      </c>
      <c r="F129" s="86" t="s">
        <v>545</v>
      </c>
      <c r="G129" s="82" t="s">
        <v>2937</v>
      </c>
      <c r="H129" s="93" t="s">
        <v>4185</v>
      </c>
      <c r="I129" s="93" t="s">
        <v>5616</v>
      </c>
      <c r="J129" s="93" t="s">
        <v>3138</v>
      </c>
      <c r="K129" s="93" t="s">
        <v>2269</v>
      </c>
      <c r="L129" s="93" t="s">
        <v>5617</v>
      </c>
      <c r="M129" s="93" t="s">
        <v>5618</v>
      </c>
      <c r="N129" s="93" t="s">
        <v>5619</v>
      </c>
      <c r="O129" s="93" t="s">
        <v>924</v>
      </c>
      <c r="P129" s="93" t="s">
        <v>1209</v>
      </c>
      <c r="Q129" s="93"/>
      <c r="R129" s="98"/>
      <c r="S129" s="98"/>
      <c r="T129" s="98"/>
      <c r="U129" s="98"/>
      <c r="V129" s="98"/>
      <c r="W129" s="92"/>
      <c r="X129" s="93" t="s">
        <v>5620</v>
      </c>
      <c r="Y129" s="93" t="s">
        <v>5621</v>
      </c>
      <c r="Z129" s="93" t="s">
        <v>1993</v>
      </c>
      <c r="AA129" s="93" t="s">
        <v>5622</v>
      </c>
      <c r="AB129" s="93" t="s">
        <v>3814</v>
      </c>
      <c r="AC129" s="93" t="s">
        <v>5623</v>
      </c>
      <c r="AD129" s="98"/>
      <c r="AE129" s="93" t="s">
        <v>5624</v>
      </c>
      <c r="AF129" s="93" t="s">
        <v>4120</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1016</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5625</v>
      </c>
      <c r="BW129" s="98"/>
      <c r="BX129" s="98"/>
      <c r="BY129" s="98"/>
      <c r="BZ129" s="93" t="s">
        <v>824</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4613</v>
      </c>
      <c r="EA129" s="93" t="s">
        <v>2626</v>
      </c>
      <c r="EB129" s="285" t="s">
        <v>5631</v>
      </c>
    </row>
    <row r="130">
      <c r="A130" s="102" t="s">
        <v>5632</v>
      </c>
      <c r="B130" s="103" t="s">
        <v>5633</v>
      </c>
      <c r="C130" s="104" t="s">
        <v>1418</v>
      </c>
      <c r="D130" s="105" t="s">
        <v>1418</v>
      </c>
      <c r="E130" s="106" t="s">
        <v>1418</v>
      </c>
      <c r="F130" s="107" t="s">
        <v>1418</v>
      </c>
      <c r="G130" s="103" t="s">
        <v>2869</v>
      </c>
      <c r="H130" s="166" t="s">
        <v>5634</v>
      </c>
      <c r="I130" s="166" t="s">
        <v>5635</v>
      </c>
      <c r="J130" s="166" t="s">
        <v>845</v>
      </c>
      <c r="K130" s="166" t="s">
        <v>3915</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3038</v>
      </c>
      <c r="BB130" s="173" t="s">
        <v>5642</v>
      </c>
      <c r="BC130" s="173" t="s">
        <v>4135</v>
      </c>
      <c r="BD130" s="172"/>
      <c r="BE130" s="172"/>
      <c r="BF130" s="172"/>
      <c r="BG130" s="172"/>
      <c r="BH130" s="173" t="s">
        <v>840</v>
      </c>
      <c r="BI130" s="172"/>
      <c r="BJ130" s="172"/>
      <c r="BK130" s="172"/>
      <c r="BL130" s="172"/>
      <c r="BM130" s="172"/>
      <c r="BN130" s="172"/>
      <c r="BO130" s="172"/>
      <c r="BP130" s="273"/>
      <c r="BQ130" s="174"/>
      <c r="BR130" s="174" t="s">
        <v>3080</v>
      </c>
      <c r="BS130" s="174" t="s">
        <v>4721</v>
      </c>
      <c r="BT130" s="174" t="s">
        <v>2241</v>
      </c>
      <c r="BU130" s="174" t="s">
        <v>5519</v>
      </c>
      <c r="BV130" s="174" t="s">
        <v>5512</v>
      </c>
      <c r="BW130" s="276"/>
      <c r="BX130" s="276"/>
      <c r="BY130" s="276"/>
      <c r="BZ130" s="276"/>
      <c r="CA130" s="276"/>
      <c r="CB130" s="276"/>
      <c r="CC130" s="276"/>
      <c r="CD130" s="276"/>
      <c r="CE130" s="277"/>
      <c r="CF130" s="176" t="s">
        <v>5643</v>
      </c>
      <c r="CG130" s="176" t="s">
        <v>3926</v>
      </c>
      <c r="CH130" s="279"/>
      <c r="CI130" s="279"/>
      <c r="CJ130" s="279"/>
      <c r="CK130" s="279"/>
      <c r="CL130" s="279"/>
      <c r="CM130" s="279"/>
      <c r="CN130" s="279"/>
      <c r="CO130" s="279"/>
      <c r="CP130" s="279"/>
      <c r="CQ130" s="279"/>
      <c r="CR130" s="279"/>
      <c r="CS130" s="92"/>
      <c r="CT130" s="205" t="s">
        <v>4645</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1418</v>
      </c>
      <c r="D131" s="84" t="s">
        <v>1418</v>
      </c>
      <c r="E131" s="85" t="s">
        <v>1418</v>
      </c>
      <c r="F131" s="86" t="s">
        <v>437</v>
      </c>
      <c r="G131" s="82" t="s">
        <v>3332</v>
      </c>
      <c r="H131" s="93" t="s">
        <v>3699</v>
      </c>
      <c r="I131" s="93" t="s">
        <v>2121</v>
      </c>
      <c r="J131" s="93" t="s">
        <v>5649</v>
      </c>
      <c r="K131" s="93" t="s">
        <v>3492</v>
      </c>
      <c r="L131" s="209" t="s">
        <v>5650</v>
      </c>
      <c r="M131" s="98"/>
      <c r="N131" s="98"/>
      <c r="O131" s="209" t="s">
        <v>1283</v>
      </c>
      <c r="P131" s="98"/>
      <c r="Q131" s="98"/>
      <c r="R131" s="93"/>
      <c r="S131" s="93"/>
      <c r="T131" s="98"/>
      <c r="U131" s="98"/>
      <c r="V131" s="98"/>
      <c r="W131" s="92"/>
      <c r="X131" s="93" t="s">
        <v>3038</v>
      </c>
      <c r="Y131" s="98"/>
      <c r="Z131" s="93" t="s">
        <v>5651</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5652</v>
      </c>
      <c r="BJ131" s="93"/>
      <c r="BK131" s="98"/>
      <c r="BL131" s="98"/>
      <c r="BM131" s="98"/>
      <c r="BN131" s="98"/>
      <c r="BO131" s="98"/>
      <c r="BP131" s="261"/>
      <c r="BQ131" s="98"/>
      <c r="BR131" s="209" t="s">
        <v>3927</v>
      </c>
      <c r="BS131" s="93" t="s">
        <v>5653</v>
      </c>
      <c r="BT131" s="98"/>
      <c r="BU131" s="98"/>
      <c r="BV131" s="93" t="s">
        <v>5654</v>
      </c>
      <c r="BW131" s="98"/>
      <c r="BX131" s="98"/>
      <c r="BY131" s="98"/>
      <c r="BZ131" s="98"/>
      <c r="CA131" s="98"/>
      <c r="CB131" s="98"/>
      <c r="CC131" s="98"/>
      <c r="CD131" s="98"/>
      <c r="CE131" s="261"/>
      <c r="CF131" s="93" t="s">
        <v>2161</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1418</v>
      </c>
      <c r="D132" s="215" t="s">
        <v>1418</v>
      </c>
      <c r="E132" s="216" t="s">
        <v>1418</v>
      </c>
      <c r="F132" s="217" t="s">
        <v>913</v>
      </c>
      <c r="G132" s="213" t="s">
        <v>1885</v>
      </c>
      <c r="H132" s="685"/>
      <c r="I132" s="685" t="s">
        <v>5657</v>
      </c>
      <c r="J132" s="685"/>
      <c r="K132" s="685" t="s">
        <v>2228</v>
      </c>
      <c r="L132" s="218" t="s">
        <v>5110</v>
      </c>
      <c r="M132" s="685"/>
      <c r="N132" s="686" t="s">
        <v>5658</v>
      </c>
      <c r="O132" s="686" t="s">
        <v>5583</v>
      </c>
      <c r="P132" s="218" t="s">
        <v>3652</v>
      </c>
      <c r="Q132" s="685"/>
      <c r="R132" s="685"/>
      <c r="S132" s="685" t="s">
        <v>4028</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3385</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2553</v>
      </c>
      <c r="BV132" s="130" t="s">
        <v>5347</v>
      </c>
      <c r="BW132" s="693"/>
      <c r="BX132" s="693"/>
      <c r="BY132" s="693"/>
      <c r="BZ132" s="130" t="s">
        <v>3634</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3369</v>
      </c>
      <c r="CW132" s="697" t="s">
        <v>5671</v>
      </c>
      <c r="CX132" s="247" t="s">
        <v>5672</v>
      </c>
      <c r="CY132" s="245" t="s">
        <v>2999</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1418</v>
      </c>
      <c r="D133" s="84" t="s">
        <v>1418</v>
      </c>
      <c r="E133" s="85" t="s">
        <v>1418</v>
      </c>
      <c r="F133" s="86" t="s">
        <v>646</v>
      </c>
      <c r="G133" s="82" t="s">
        <v>5677</v>
      </c>
      <c r="H133" s="285" t="s">
        <v>3742</v>
      </c>
      <c r="I133" s="297" t="s">
        <v>5678</v>
      </c>
      <c r="J133" s="297" t="s">
        <v>1641</v>
      </c>
      <c r="K133" s="285" t="s">
        <v>352</v>
      </c>
      <c r="L133" s="285" t="s">
        <v>608</v>
      </c>
      <c r="M133" s="285" t="s">
        <v>5679</v>
      </c>
      <c r="N133" s="285" t="s">
        <v>5680</v>
      </c>
      <c r="O133" s="209" t="s">
        <v>240</v>
      </c>
      <c r="P133" s="285" t="s">
        <v>4802</v>
      </c>
      <c r="Q133" s="93" t="s">
        <v>5681</v>
      </c>
      <c r="R133" s="98"/>
      <c r="S133" s="93" t="s">
        <v>4028</v>
      </c>
      <c r="T133" s="98"/>
      <c r="U133" s="93" t="s">
        <v>2024</v>
      </c>
      <c r="V133" s="93" t="s">
        <v>5682</v>
      </c>
      <c r="W133" s="92"/>
      <c r="X133" s="700" t="s">
        <v>4919</v>
      </c>
      <c r="Y133" s="161" t="s">
        <v>5360</v>
      </c>
      <c r="Z133" s="88" t="s">
        <v>415</v>
      </c>
      <c r="AA133" s="297" t="s">
        <v>4140</v>
      </c>
      <c r="AB133" s="297" t="s">
        <v>3810</v>
      </c>
      <c r="AC133" s="285" t="s">
        <v>1574</v>
      </c>
      <c r="AD133" s="98"/>
      <c r="AE133" s="209" t="s">
        <v>5683</v>
      </c>
      <c r="AF133" s="285" t="s">
        <v>5684</v>
      </c>
      <c r="AG133" s="98"/>
      <c r="AH133" s="98"/>
      <c r="AI133" s="101"/>
      <c r="AJ133" s="98"/>
      <c r="AK133" s="96"/>
      <c r="AL133" s="285" t="s">
        <v>3476</v>
      </c>
      <c r="AM133" s="285" t="s">
        <v>5685</v>
      </c>
      <c r="AN133" s="93" t="s">
        <v>5686</v>
      </c>
      <c r="AO133" s="93" t="s">
        <v>100</v>
      </c>
      <c r="AP133" s="93" t="s">
        <v>5687</v>
      </c>
      <c r="AQ133" s="93" t="s">
        <v>5027</v>
      </c>
      <c r="AR133" s="93" t="s">
        <v>5688</v>
      </c>
      <c r="AS133" s="93" t="s">
        <v>5689</v>
      </c>
      <c r="AT133" s="285" t="s">
        <v>4337</v>
      </c>
      <c r="AU133" s="285" t="s">
        <v>3494</v>
      </c>
      <c r="AV133" s="285" t="s">
        <v>4169</v>
      </c>
      <c r="AW133" s="98"/>
      <c r="AX133" s="98"/>
      <c r="AY133" s="98"/>
      <c r="AZ133" s="98"/>
      <c r="BA133" s="285" t="s">
        <v>5690</v>
      </c>
      <c r="BB133" s="285" t="s">
        <v>1987</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4539</v>
      </c>
      <c r="BW133" s="98"/>
      <c r="BX133" s="285" t="s">
        <v>5698</v>
      </c>
      <c r="BY133" s="101"/>
      <c r="BZ133" s="285" t="s">
        <v>906</v>
      </c>
      <c r="CA133" s="98"/>
      <c r="CB133" s="98"/>
      <c r="CC133" s="98"/>
      <c r="CD133" s="98"/>
      <c r="CE133" s="261"/>
      <c r="CF133" s="285" t="s">
        <v>3274</v>
      </c>
      <c r="CG133" s="285" t="s">
        <v>5699</v>
      </c>
      <c r="CH133" s="285" t="s">
        <v>4393</v>
      </c>
      <c r="CI133" s="101"/>
      <c r="CJ133" s="285" t="s">
        <v>2135</v>
      </c>
      <c r="CK133" s="101"/>
      <c r="CL133" s="101"/>
      <c r="CM133" s="101"/>
      <c r="CN133" s="260"/>
      <c r="CO133" s="98"/>
      <c r="CP133" s="98"/>
      <c r="CQ133" s="98"/>
      <c r="CR133" s="98"/>
      <c r="CS133" s="92"/>
      <c r="CT133" s="285" t="s">
        <v>5700</v>
      </c>
      <c r="CU133" s="285" t="s">
        <v>5701</v>
      </c>
      <c r="CV133" s="700" t="s">
        <v>4072</v>
      </c>
      <c r="CW133" s="88" t="s">
        <v>4425</v>
      </c>
      <c r="CX133" s="285" t="s">
        <v>3353</v>
      </c>
      <c r="CY133" s="285" t="s">
        <v>3910</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1418</v>
      </c>
      <c r="D134" s="105" t="s">
        <v>1418</v>
      </c>
      <c r="E134" s="106" t="s">
        <v>1418</v>
      </c>
      <c r="F134" s="107" t="s">
        <v>545</v>
      </c>
      <c r="G134" s="103" t="s">
        <v>5707</v>
      </c>
      <c r="H134" s="166"/>
      <c r="I134" s="166" t="s">
        <v>5708</v>
      </c>
      <c r="J134" s="166"/>
      <c r="K134" s="166"/>
      <c r="L134" s="166" t="s">
        <v>1904</v>
      </c>
      <c r="M134" s="166"/>
      <c r="N134" s="166" t="s">
        <v>5709</v>
      </c>
      <c r="O134" s="166" t="s">
        <v>5710</v>
      </c>
      <c r="P134" s="222"/>
      <c r="Q134" s="222"/>
      <c r="R134" s="222"/>
      <c r="S134" s="222"/>
      <c r="T134" s="222"/>
      <c r="U134" s="222"/>
      <c r="V134" s="222"/>
      <c r="W134" s="92"/>
      <c r="X134" s="303"/>
      <c r="Y134" s="197"/>
      <c r="Z134" s="197" t="s">
        <v>2750</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3149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2114</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1418</v>
      </c>
      <c r="D135" s="84" t="s">
        <v>1418</v>
      </c>
      <c r="E135" s="85" t="s">
        <v>1418</v>
      </c>
      <c r="F135" s="86" t="s">
        <v>437</v>
      </c>
      <c r="G135" s="82" t="s">
        <v>2604</v>
      </c>
      <c r="H135" s="93" t="s">
        <v>5719</v>
      </c>
      <c r="I135" s="297" t="s">
        <v>1591</v>
      </c>
      <c r="J135" s="93" t="s">
        <v>5720</v>
      </c>
      <c r="K135" s="93" t="s">
        <v>5721</v>
      </c>
      <c r="L135" s="93" t="s">
        <v>5722</v>
      </c>
      <c r="M135" s="98"/>
      <c r="N135" s="93" t="s">
        <v>5723</v>
      </c>
      <c r="O135" s="93" t="s">
        <v>4075</v>
      </c>
      <c r="P135" s="93" t="s">
        <v>1081</v>
      </c>
      <c r="Q135" s="98"/>
      <c r="R135" s="93" t="s">
        <v>324</v>
      </c>
      <c r="S135" s="93" t="s">
        <v>2173</v>
      </c>
      <c r="T135" s="98"/>
      <c r="U135" s="93" t="s">
        <v>3300</v>
      </c>
      <c r="V135" s="98"/>
      <c r="W135" s="92"/>
      <c r="X135" s="93" t="s">
        <v>5724</v>
      </c>
      <c r="Y135" s="88" t="s">
        <v>2419</v>
      </c>
      <c r="Z135" s="93" t="s">
        <v>4552</v>
      </c>
      <c r="AA135" s="93" t="s">
        <v>1763</v>
      </c>
      <c r="AB135" s="93" t="s">
        <v>3811</v>
      </c>
      <c r="AC135" s="93" t="s">
        <v>2417</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1818</v>
      </c>
      <c r="BC135" s="93" t="s">
        <v>5727</v>
      </c>
      <c r="BD135" s="93" t="s">
        <v>3596</v>
      </c>
      <c r="BE135" s="93" t="s">
        <v>5604</v>
      </c>
      <c r="BF135" s="98"/>
      <c r="BG135" s="98"/>
      <c r="BH135" s="93" t="s">
        <v>3900</v>
      </c>
      <c r="BI135" s="93" t="s">
        <v>5728</v>
      </c>
      <c r="BJ135" s="93"/>
      <c r="BK135" s="93" t="s">
        <v>2580</v>
      </c>
      <c r="BL135" s="98"/>
      <c r="BM135" s="93" t="s">
        <v>4205</v>
      </c>
      <c r="BN135" s="98"/>
      <c r="BO135" s="98"/>
      <c r="BP135" s="261"/>
      <c r="BQ135" s="93" t="s">
        <v>5729</v>
      </c>
      <c r="BR135" s="93" t="s">
        <v>4233</v>
      </c>
      <c r="BS135" s="93" t="s">
        <v>3357</v>
      </c>
      <c r="BT135" s="93" t="s">
        <v>5730</v>
      </c>
      <c r="BU135" s="93" t="s">
        <v>5731</v>
      </c>
      <c r="BV135" s="93" t="s">
        <v>5103</v>
      </c>
      <c r="BW135" s="98"/>
      <c r="BX135" s="93" t="s">
        <v>2698</v>
      </c>
      <c r="BY135" s="98"/>
      <c r="BZ135" s="93" t="s">
        <v>5732</v>
      </c>
      <c r="CA135" s="98"/>
      <c r="CB135" s="98"/>
      <c r="CC135" s="98"/>
      <c r="CD135" s="98"/>
      <c r="CE135" s="261"/>
      <c r="CF135" s="93" t="s">
        <v>5733</v>
      </c>
      <c r="CG135" s="93" t="s">
        <v>4424</v>
      </c>
      <c r="CH135" s="93" t="s">
        <v>2175</v>
      </c>
      <c r="CI135" s="93" t="s">
        <v>5734</v>
      </c>
      <c r="CJ135" s="93" t="s">
        <v>5735</v>
      </c>
      <c r="CK135" s="93" t="s">
        <v>5736</v>
      </c>
      <c r="CL135" s="93" t="s">
        <v>1641</v>
      </c>
      <c r="CM135" s="93" t="s">
        <v>4337</v>
      </c>
      <c r="CN135" s="98"/>
      <c r="CO135" s="98"/>
      <c r="CP135" s="98"/>
      <c r="CQ135" s="98"/>
      <c r="CR135" s="98"/>
      <c r="CS135" s="92"/>
      <c r="CT135" s="93" t="s">
        <v>5737</v>
      </c>
      <c r="CU135" s="93" t="s">
        <v>2833</v>
      </c>
      <c r="CV135" s="93" t="s">
        <v>3713</v>
      </c>
      <c r="CW135" s="93" t="s">
        <v>5738</v>
      </c>
      <c r="CX135" s="98"/>
      <c r="CY135" s="93" t="s">
        <v>5739</v>
      </c>
      <c r="CZ135" s="88" t="s">
        <v>5740</v>
      </c>
      <c r="DA135" s="93" t="s">
        <v>4470</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4028</v>
      </c>
      <c r="DV135" s="93" t="s">
        <v>5743</v>
      </c>
      <c r="DW135" s="93" t="s">
        <v>3149</v>
      </c>
      <c r="DX135" s="93" t="s">
        <v>5744</v>
      </c>
      <c r="DY135" s="93" t="s">
        <v>3392</v>
      </c>
      <c r="DZ135" s="98"/>
      <c r="EA135" s="98"/>
      <c r="EB135" s="285" t="s">
        <v>5745</v>
      </c>
    </row>
    <row r="136">
      <c r="A136" s="702" t="s">
        <v>5746</v>
      </c>
      <c r="B136" s="103" t="s">
        <v>5747</v>
      </c>
      <c r="C136" s="104" t="s">
        <v>1418</v>
      </c>
      <c r="D136" s="105" t="s">
        <v>1418</v>
      </c>
      <c r="E136" s="106" t="s">
        <v>1418</v>
      </c>
      <c r="F136" s="107" t="s">
        <v>1418</v>
      </c>
      <c r="G136" s="103" t="s">
        <v>5748</v>
      </c>
      <c r="H136" s="383" t="s">
        <v>5749</v>
      </c>
      <c r="I136" s="383" t="s">
        <v>5750</v>
      </c>
      <c r="J136" s="383" t="s">
        <v>5751</v>
      </c>
      <c r="K136" s="383" t="s">
        <v>1810</v>
      </c>
      <c r="L136" s="587" t="s">
        <v>3582</v>
      </c>
      <c r="M136" s="383" t="s">
        <v>5752</v>
      </c>
      <c r="N136" s="383" t="s">
        <v>5753</v>
      </c>
      <c r="O136" s="383" t="s">
        <v>1743</v>
      </c>
      <c r="P136" s="383" t="s">
        <v>249</v>
      </c>
      <c r="Q136" s="703"/>
      <c r="R136" s="703"/>
      <c r="S136" s="704">
        <v>37.85</v>
      </c>
      <c r="T136" s="703"/>
      <c r="U136" s="166" t="s">
        <v>1910</v>
      </c>
      <c r="V136" s="704" t="s">
        <v>5754</v>
      </c>
      <c r="W136" s="705"/>
      <c r="X136" s="706"/>
      <c r="Y136" s="706"/>
      <c r="Z136" s="117" t="s">
        <v>2912</v>
      </c>
      <c r="AA136" s="707"/>
      <c r="AB136" s="392" t="s">
        <v>3471</v>
      </c>
      <c r="AC136" s="706"/>
      <c r="AD136" s="708"/>
      <c r="AE136" s="706"/>
      <c r="AF136" s="706"/>
      <c r="AG136" s="708"/>
      <c r="AH136" s="708"/>
      <c r="AI136" s="117" t="s">
        <v>2290</v>
      </c>
      <c r="AJ136" s="708"/>
      <c r="AK136" s="709"/>
      <c r="AL136" s="710"/>
      <c r="AM136" s="124" t="s">
        <v>2499</v>
      </c>
      <c r="AN136" s="711"/>
      <c r="AO136" s="711"/>
      <c r="AP136" s="712"/>
      <c r="AQ136" s="712"/>
      <c r="AR136" s="711"/>
      <c r="AS136" s="711"/>
      <c r="AT136" s="509" t="s">
        <v>5641</v>
      </c>
      <c r="AU136" s="509" t="s">
        <v>5755</v>
      </c>
      <c r="AV136" s="509" t="s">
        <v>482</v>
      </c>
      <c r="AW136" s="711"/>
      <c r="AX136" s="711"/>
      <c r="AY136" s="711"/>
      <c r="AZ136" s="711"/>
      <c r="BA136" s="713"/>
      <c r="BB136" s="713"/>
      <c r="BC136" s="501" t="s">
        <v>1736</v>
      </c>
      <c r="BD136" s="201" t="s">
        <v>372</v>
      </c>
      <c r="BE136" s="713"/>
      <c r="BF136" s="713"/>
      <c r="BG136" s="714"/>
      <c r="BH136" s="201" t="s">
        <v>2978</v>
      </c>
      <c r="BI136" s="714"/>
      <c r="BJ136" s="501" t="s">
        <v>5756</v>
      </c>
      <c r="BK136" s="201" t="s">
        <v>3738</v>
      </c>
      <c r="BL136" s="714"/>
      <c r="BM136" s="715">
        <v>35.32</v>
      </c>
      <c r="BN136" s="713"/>
      <c r="BO136" s="714"/>
      <c r="BP136" s="716"/>
      <c r="BQ136" s="717"/>
      <c r="BR136" s="717"/>
      <c r="BS136" s="400" t="s">
        <v>2643</v>
      </c>
      <c r="BT136" s="400" t="s">
        <v>5757</v>
      </c>
      <c r="BU136" s="717"/>
      <c r="BV136" s="400" t="s">
        <v>2954</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3228</v>
      </c>
      <c r="CV136" s="314" t="s">
        <v>2815</v>
      </c>
      <c r="CW136" s="725"/>
      <c r="CX136" s="725"/>
      <c r="CY136" s="313" t="s">
        <v>2360</v>
      </c>
      <c r="CZ136" s="726" t="s">
        <v>5761</v>
      </c>
      <c r="DA136" s="725"/>
      <c r="DB136" s="727"/>
      <c r="DC136" s="727"/>
      <c r="DD136" s="727"/>
      <c r="DE136" s="727"/>
      <c r="DF136" s="728"/>
      <c r="DG136" s="729"/>
      <c r="DH136" s="730"/>
      <c r="DI136" s="730"/>
      <c r="DJ136" s="729"/>
      <c r="DK136" s="729"/>
      <c r="DL136" s="316" t="s">
        <v>3926</v>
      </c>
      <c r="DM136" s="730"/>
      <c r="DN136" s="730"/>
      <c r="DO136" s="730"/>
      <c r="DP136" s="316" t="s">
        <v>5762</v>
      </c>
      <c r="DQ136" s="316" t="s">
        <v>4570</v>
      </c>
      <c r="DR136" s="730"/>
      <c r="DS136" s="729"/>
      <c r="DT136" s="730"/>
      <c r="DU136" s="730"/>
      <c r="DV136" s="730"/>
      <c r="DW136" s="730"/>
      <c r="DX136" s="730"/>
      <c r="DY136" s="729"/>
      <c r="DZ136" s="730"/>
      <c r="EA136" s="730"/>
      <c r="EB136" s="731"/>
    </row>
    <row r="137">
      <c r="A137" s="511" t="s">
        <v>5763</v>
      </c>
      <c r="B137" s="82" t="s">
        <v>5764</v>
      </c>
      <c r="C137" s="83" t="s">
        <v>1418</v>
      </c>
      <c r="D137" s="84" t="s">
        <v>1418</v>
      </c>
      <c r="E137" s="85" t="s">
        <v>1418</v>
      </c>
      <c r="F137" s="86" t="s">
        <v>1418</v>
      </c>
      <c r="G137" s="82" t="s">
        <v>1885</v>
      </c>
      <c r="H137" s="93" t="s">
        <v>2071</v>
      </c>
      <c r="I137" s="93" t="s">
        <v>3611</v>
      </c>
      <c r="J137" s="93" t="s">
        <v>571</v>
      </c>
      <c r="K137" s="93" t="s">
        <v>3104</v>
      </c>
      <c r="L137" s="93" t="s">
        <v>4044</v>
      </c>
      <c r="M137" s="93" t="s">
        <v>5765</v>
      </c>
      <c r="N137" s="93" t="s">
        <v>5766</v>
      </c>
      <c r="O137" s="93" t="s">
        <v>445</v>
      </c>
      <c r="P137" s="93" t="s">
        <v>3965</v>
      </c>
      <c r="Q137" s="98"/>
      <c r="R137" s="98"/>
      <c r="S137" s="98"/>
      <c r="T137" s="98"/>
      <c r="U137" s="98"/>
      <c r="V137" s="98"/>
      <c r="W137" s="92"/>
      <c r="X137" s="93" t="s">
        <v>4922</v>
      </c>
      <c r="Y137" s="93" t="s">
        <v>4237</v>
      </c>
      <c r="Z137" s="93" t="s">
        <v>5767</v>
      </c>
      <c r="AA137" s="93" t="s">
        <v>786</v>
      </c>
      <c r="AB137" s="93" t="s">
        <v>4365</v>
      </c>
      <c r="AC137" s="93" t="s">
        <v>1732</v>
      </c>
      <c r="AD137" s="98"/>
      <c r="AE137" s="98"/>
      <c r="AF137" s="93" t="s">
        <v>5768</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5769</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5771</v>
      </c>
      <c r="DA137" s="98"/>
      <c r="DB137" s="98"/>
      <c r="DC137" s="98"/>
      <c r="DD137" s="93" t="s">
        <v>2137</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3810</v>
      </c>
      <c r="DZ137" s="98"/>
      <c r="EA137" s="98"/>
      <c r="EB137" s="285"/>
    </row>
    <row r="138">
      <c r="A138" s="165" t="s">
        <v>5773</v>
      </c>
      <c r="B138" s="103" t="s">
        <v>5774</v>
      </c>
      <c r="C138" s="104" t="s">
        <v>1418</v>
      </c>
      <c r="D138" s="105" t="s">
        <v>1418</v>
      </c>
      <c r="E138" s="106" t="s">
        <v>1418</v>
      </c>
      <c r="F138" s="107" t="s">
        <v>333</v>
      </c>
      <c r="G138" s="103" t="s">
        <v>4416</v>
      </c>
      <c r="H138" s="222"/>
      <c r="I138" s="222"/>
      <c r="J138" s="222"/>
      <c r="K138" s="222"/>
      <c r="L138" s="112" t="s">
        <v>5775</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1418</v>
      </c>
      <c r="D139" s="84" t="s">
        <v>1418</v>
      </c>
      <c r="E139" s="85" t="s">
        <v>1418</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5787</v>
      </c>
      <c r="BD139" s="98"/>
      <c r="BE139" s="98"/>
      <c r="BF139" s="98"/>
      <c r="BG139" s="98"/>
      <c r="BH139" s="88" t="s">
        <v>3843</v>
      </c>
      <c r="BI139" s="98"/>
      <c r="BJ139" s="98"/>
      <c r="BK139" s="88" t="s">
        <v>2103</v>
      </c>
      <c r="BL139" s="98"/>
      <c r="BM139" s="98"/>
      <c r="BN139" s="98"/>
      <c r="BO139" s="98"/>
      <c r="BP139" s="261"/>
      <c r="BQ139" s="98"/>
      <c r="BR139" s="98"/>
      <c r="BS139" s="98"/>
      <c r="BT139" s="88" t="s">
        <v>1011</v>
      </c>
      <c r="BU139" s="98"/>
      <c r="BV139" s="88" t="s">
        <v>3044</v>
      </c>
      <c r="BW139" s="98"/>
      <c r="BX139" s="98"/>
      <c r="BY139" s="98"/>
      <c r="BZ139" s="88" t="s">
        <v>5788</v>
      </c>
      <c r="CA139" s="98"/>
      <c r="CB139" s="98"/>
      <c r="CC139" s="98"/>
      <c r="CD139" s="98"/>
      <c r="CE139" s="261"/>
      <c r="CF139" s="98"/>
      <c r="CG139" s="98"/>
      <c r="CH139" s="98"/>
      <c r="CI139" s="88" t="s">
        <v>5789</v>
      </c>
      <c r="CJ139" s="88" t="s">
        <v>5790</v>
      </c>
      <c r="CK139" s="98"/>
      <c r="CL139" s="98"/>
      <c r="CM139" s="88" t="s">
        <v>4144</v>
      </c>
      <c r="CN139" s="98"/>
      <c r="CO139" s="98"/>
      <c r="CP139" s="98"/>
      <c r="CQ139" s="98"/>
      <c r="CR139" s="98"/>
      <c r="CS139" s="92"/>
      <c r="CT139" s="88" t="s">
        <v>3310</v>
      </c>
      <c r="CU139" s="88" t="s">
        <v>5547</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1418</v>
      </c>
      <c r="D140" s="105" t="s">
        <v>1418</v>
      </c>
      <c r="E140" s="106" t="s">
        <v>1418</v>
      </c>
      <c r="F140" s="107" t="s">
        <v>1418</v>
      </c>
      <c r="G140" s="103" t="s">
        <v>5793</v>
      </c>
      <c r="H140" s="166" t="s">
        <v>3941</v>
      </c>
      <c r="I140" s="166" t="s">
        <v>4010</v>
      </c>
      <c r="J140" s="166" t="s">
        <v>676</v>
      </c>
      <c r="K140" s="166" t="s">
        <v>5794</v>
      </c>
      <c r="L140" s="166" t="s">
        <v>5795</v>
      </c>
      <c r="M140" s="166" t="s">
        <v>5796</v>
      </c>
      <c r="N140" s="166" t="s">
        <v>5797</v>
      </c>
      <c r="O140" s="166" t="s">
        <v>3011</v>
      </c>
      <c r="P140" s="166" t="s">
        <v>4137</v>
      </c>
      <c r="Q140" s="166" t="s">
        <v>5798</v>
      </c>
      <c r="R140" s="222"/>
      <c r="S140" s="166" t="s">
        <v>903</v>
      </c>
      <c r="T140" s="222"/>
      <c r="U140" s="166" t="s">
        <v>5799</v>
      </c>
      <c r="V140" s="166" t="s">
        <v>5800</v>
      </c>
      <c r="W140" s="92"/>
      <c r="X140" s="197" t="s">
        <v>5801</v>
      </c>
      <c r="Y140" s="197" t="s">
        <v>2011</v>
      </c>
      <c r="Z140" s="197" t="s">
        <v>3537</v>
      </c>
      <c r="AA140" s="197" t="s">
        <v>3582</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599</v>
      </c>
      <c r="AU140" s="167" t="s">
        <v>1584</v>
      </c>
      <c r="AV140" s="167" t="s">
        <v>5814</v>
      </c>
      <c r="AW140" s="271"/>
      <c r="AX140" s="167" t="s">
        <v>5815</v>
      </c>
      <c r="AY140" s="167" t="s">
        <v>5816</v>
      </c>
      <c r="AZ140" s="271"/>
      <c r="BA140" s="173" t="s">
        <v>5817</v>
      </c>
      <c r="BB140" s="173" t="s">
        <v>5818</v>
      </c>
      <c r="BC140" s="173" t="s">
        <v>3057</v>
      </c>
      <c r="BD140" s="173" t="s">
        <v>3722</v>
      </c>
      <c r="BE140" s="173" t="s">
        <v>5819</v>
      </c>
      <c r="BF140" s="173" t="s">
        <v>5820</v>
      </c>
      <c r="BG140" s="173" t="s">
        <v>5821</v>
      </c>
      <c r="BH140" s="173" t="s">
        <v>5822</v>
      </c>
      <c r="BI140" s="172"/>
      <c r="BJ140" s="172"/>
      <c r="BK140" s="173" t="s">
        <v>457</v>
      </c>
      <c r="BL140" s="173" t="s">
        <v>5823</v>
      </c>
      <c r="BM140" s="173" t="s">
        <v>4226</v>
      </c>
      <c r="BN140" s="173" t="s">
        <v>559</v>
      </c>
      <c r="BO140" s="173" t="s">
        <v>5824</v>
      </c>
      <c r="BP140" s="273"/>
      <c r="BQ140" s="174" t="s">
        <v>5825</v>
      </c>
      <c r="BR140" s="174" t="s">
        <v>1160</v>
      </c>
      <c r="BS140" s="174" t="s">
        <v>879</v>
      </c>
      <c r="BT140" s="174" t="s">
        <v>2348</v>
      </c>
      <c r="BU140" s="174" t="s">
        <v>5826</v>
      </c>
      <c r="BV140" s="174" t="s">
        <v>5827</v>
      </c>
      <c r="BW140" s="174" t="s">
        <v>140</v>
      </c>
      <c r="BX140" s="174" t="s">
        <v>1250</v>
      </c>
      <c r="BY140" s="276"/>
      <c r="BZ140" s="174" t="s">
        <v>5828</v>
      </c>
      <c r="CA140" s="174" t="s">
        <v>5829</v>
      </c>
      <c r="CB140" s="174" t="s">
        <v>453</v>
      </c>
      <c r="CC140" s="174" t="s">
        <v>179</v>
      </c>
      <c r="CD140" s="174" t="s">
        <v>5830</v>
      </c>
      <c r="CE140" s="277"/>
      <c r="CF140" s="176" t="s">
        <v>5831</v>
      </c>
      <c r="CG140" s="176" t="s">
        <v>1449</v>
      </c>
      <c r="CH140" s="176" t="s">
        <v>489</v>
      </c>
      <c r="CI140" s="176" t="s">
        <v>5832</v>
      </c>
      <c r="CJ140" s="176" t="s">
        <v>4951</v>
      </c>
      <c r="CK140" s="176" t="s">
        <v>5833</v>
      </c>
      <c r="CL140" s="176" t="s">
        <v>3771</v>
      </c>
      <c r="CM140" s="176" t="s">
        <v>2114</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4194</v>
      </c>
      <c r="CZ140" s="205" t="s">
        <v>5840</v>
      </c>
      <c r="DA140" s="205" t="s">
        <v>5841</v>
      </c>
      <c r="DB140" s="205" t="s">
        <v>5842</v>
      </c>
      <c r="DC140" s="205" t="s">
        <v>4157</v>
      </c>
      <c r="DD140" s="205" t="s">
        <v>2177</v>
      </c>
      <c r="DE140" s="205" t="s">
        <v>5843</v>
      </c>
      <c r="DF140" s="281"/>
      <c r="DG140" s="206" t="s">
        <v>3844</v>
      </c>
      <c r="DH140" s="282"/>
      <c r="DI140" s="206" t="s">
        <v>2664</v>
      </c>
      <c r="DJ140" s="206" t="s">
        <v>2105</v>
      </c>
      <c r="DK140" s="206" t="s">
        <v>3324</v>
      </c>
      <c r="DL140" s="206" t="s">
        <v>2442</v>
      </c>
      <c r="DM140" s="206" t="s">
        <v>4058</v>
      </c>
      <c r="DN140" s="206" t="s">
        <v>5844</v>
      </c>
      <c r="DO140" s="206" t="s">
        <v>199</v>
      </c>
      <c r="DP140" s="206" t="s">
        <v>5845</v>
      </c>
      <c r="DQ140" s="206" t="s">
        <v>3012</v>
      </c>
      <c r="DR140" s="206" t="s">
        <v>4730</v>
      </c>
      <c r="DS140" s="206" t="s">
        <v>5846</v>
      </c>
      <c r="DT140" s="206" t="s">
        <v>5847</v>
      </c>
      <c r="DU140" s="206" t="s">
        <v>1124</v>
      </c>
      <c r="DV140" s="206" t="s">
        <v>3811</v>
      </c>
      <c r="DW140" s="206" t="s">
        <v>5848</v>
      </c>
      <c r="DX140" s="206" t="s">
        <v>4451</v>
      </c>
      <c r="DY140" s="206" t="s">
        <v>2538</v>
      </c>
      <c r="DZ140" s="206" t="s">
        <v>5186</v>
      </c>
      <c r="EA140" s="206" t="s">
        <v>2310</v>
      </c>
      <c r="EB140" s="733" t="s">
        <v>4413</v>
      </c>
    </row>
    <row r="141">
      <c r="A141" s="734" t="s">
        <v>5849</v>
      </c>
      <c r="B141" s="82" t="s">
        <v>5850</v>
      </c>
      <c r="C141" s="83" t="s">
        <v>1418</v>
      </c>
      <c r="D141" s="84" t="s">
        <v>545</v>
      </c>
      <c r="E141" s="85" t="s">
        <v>1418</v>
      </c>
      <c r="F141" s="86" t="s">
        <v>3679</v>
      </c>
      <c r="G141" s="82" t="s">
        <v>4910</v>
      </c>
      <c r="H141" s="98"/>
      <c r="I141" s="93" t="s">
        <v>5851</v>
      </c>
      <c r="J141" s="93" t="s">
        <v>4267</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4237</v>
      </c>
      <c r="AN141" s="98"/>
      <c r="AO141" s="98"/>
      <c r="AP141" s="98"/>
      <c r="AQ141" s="98"/>
      <c r="AR141" s="98"/>
      <c r="AS141" s="98"/>
      <c r="AT141" s="88" t="s">
        <v>2589</v>
      </c>
      <c r="AU141" s="93" t="s">
        <v>3342</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5853</v>
      </c>
      <c r="CH141" s="98"/>
      <c r="CI141" s="209" t="s">
        <v>3821</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5707</v>
      </c>
      <c r="G142" s="103" t="s">
        <v>1885</v>
      </c>
      <c r="H142" s="301"/>
      <c r="I142" s="110" t="s">
        <v>5860</v>
      </c>
      <c r="J142" s="112" t="s">
        <v>4656</v>
      </c>
      <c r="K142" s="112" t="s">
        <v>5861</v>
      </c>
      <c r="L142" s="112" t="s">
        <v>2026</v>
      </c>
      <c r="M142" s="500"/>
      <c r="N142" s="112" t="s">
        <v>712</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1539</v>
      </c>
      <c r="BE142" s="127" t="s">
        <v>4512</v>
      </c>
      <c r="BF142" s="501"/>
      <c r="BG142" s="172"/>
      <c r="BH142" s="127" t="s">
        <v>2932</v>
      </c>
      <c r="BI142" s="329" t="s">
        <v>5870</v>
      </c>
      <c r="BJ142" s="501"/>
      <c r="BK142" s="501"/>
      <c r="BL142" s="172"/>
      <c r="BM142" s="172"/>
      <c r="BN142" s="501"/>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4077</v>
      </c>
      <c r="CH142" s="136" t="s">
        <v>3452</v>
      </c>
      <c r="CI142" s="136" t="s">
        <v>5874</v>
      </c>
      <c r="CJ142" s="136"/>
      <c r="CK142" s="136" t="s">
        <v>5875</v>
      </c>
      <c r="CL142" s="135" t="s">
        <v>3102</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545</v>
      </c>
      <c r="G143" s="82" t="s">
        <v>1200</v>
      </c>
      <c r="H143" s="98"/>
      <c r="I143" s="98"/>
      <c r="J143" s="93" t="s">
        <v>5882</v>
      </c>
      <c r="K143" s="93" t="s">
        <v>660</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438</v>
      </c>
      <c r="G144" s="103" t="s">
        <v>1885</v>
      </c>
      <c r="H144" s="166"/>
      <c r="I144" s="112" t="s">
        <v>5889</v>
      </c>
      <c r="J144" s="112" t="s">
        <v>1654</v>
      </c>
      <c r="K144" s="112" t="s">
        <v>1898</v>
      </c>
      <c r="L144" s="112" t="s">
        <v>5890</v>
      </c>
      <c r="M144" s="166" t="s">
        <v>5891</v>
      </c>
      <c r="N144" s="166" t="s">
        <v>3637</v>
      </c>
      <c r="O144" s="166" t="s">
        <v>5669</v>
      </c>
      <c r="P144" s="166" t="s">
        <v>3965</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4742</v>
      </c>
      <c r="K146" s="166" t="s">
        <v>550</v>
      </c>
      <c r="L146" s="166" t="s">
        <v>5910</v>
      </c>
      <c r="M146" s="222"/>
      <c r="N146" s="222"/>
      <c r="O146" s="166" t="s">
        <v>1908</v>
      </c>
      <c r="P146" s="166" t="s">
        <v>351</v>
      </c>
      <c r="Q146" s="166"/>
      <c r="R146" s="222"/>
      <c r="S146" s="166" t="s">
        <v>5911</v>
      </c>
      <c r="T146" s="222"/>
      <c r="U146" s="166" t="s">
        <v>2782</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1691</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3529</v>
      </c>
      <c r="EB146" s="316" t="s">
        <v>368</v>
      </c>
    </row>
    <row r="147">
      <c r="A147" s="737" t="s">
        <v>5919</v>
      </c>
      <c r="B147" s="82" t="s">
        <v>5920</v>
      </c>
      <c r="C147" s="83" t="s">
        <v>1418</v>
      </c>
      <c r="D147" s="84" t="s">
        <v>1418</v>
      </c>
      <c r="E147" s="85" t="s">
        <v>1418</v>
      </c>
      <c r="F147" s="86" t="s">
        <v>545</v>
      </c>
      <c r="G147" s="82" t="s">
        <v>5921</v>
      </c>
      <c r="H147" s="285"/>
      <c r="I147" s="285" t="s">
        <v>2683</v>
      </c>
      <c r="J147" s="285" t="s">
        <v>3094</v>
      </c>
      <c r="K147" s="285" t="s">
        <v>5252</v>
      </c>
      <c r="L147" s="101" t="s">
        <v>4124</v>
      </c>
      <c r="M147" s="101" t="s">
        <v>5922</v>
      </c>
      <c r="N147" s="101" t="s">
        <v>5595</v>
      </c>
      <c r="O147" s="101"/>
      <c r="P147" s="101" t="s">
        <v>2943</v>
      </c>
      <c r="Q147" s="98"/>
      <c r="R147" s="98"/>
      <c r="S147" s="98"/>
      <c r="T147" s="98"/>
      <c r="U147" s="98"/>
      <c r="V147" s="98"/>
      <c r="W147" s="92"/>
      <c r="X147" s="101"/>
      <c r="Y147" s="101"/>
      <c r="Z147" s="101" t="s">
        <v>5039</v>
      </c>
      <c r="AA147" s="297"/>
      <c r="AB147" s="101" t="s">
        <v>4273</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3399</v>
      </c>
      <c r="BB147" s="101"/>
      <c r="BC147" s="101"/>
      <c r="BD147" s="101" t="s">
        <v>4498</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3235</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4228</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437</v>
      </c>
      <c r="G149" s="82" t="s">
        <v>5525</v>
      </c>
      <c r="H149" s="98"/>
      <c r="I149" s="93" t="s">
        <v>1839</v>
      </c>
      <c r="J149" s="93" t="s">
        <v>2550</v>
      </c>
      <c r="K149" s="93" t="s">
        <v>2228</v>
      </c>
      <c r="L149" s="93" t="s">
        <v>2621</v>
      </c>
      <c r="M149" s="93" t="s">
        <v>5939</v>
      </c>
      <c r="N149" s="93" t="s">
        <v>5940</v>
      </c>
      <c r="O149" s="93" t="s">
        <v>5941</v>
      </c>
      <c r="P149" s="93" t="s">
        <v>4137</v>
      </c>
      <c r="Q149" s="98"/>
      <c r="R149" s="98"/>
      <c r="S149" s="98"/>
      <c r="T149" s="98"/>
      <c r="U149" s="98"/>
      <c r="V149" s="98"/>
      <c r="W149" s="92"/>
      <c r="X149" s="93" t="s">
        <v>5233</v>
      </c>
      <c r="Y149" s="93" t="s">
        <v>2126</v>
      </c>
      <c r="Z149" s="93" t="s">
        <v>2207</v>
      </c>
      <c r="AA149" s="93" t="s">
        <v>3204</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3231</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4405</v>
      </c>
      <c r="CU149" s="93" t="s">
        <v>562</v>
      </c>
      <c r="CV149" s="93" t="s">
        <v>4065</v>
      </c>
      <c r="CW149" s="93" t="s">
        <v>3279</v>
      </c>
      <c r="CX149" s="98"/>
      <c r="CY149" s="98"/>
      <c r="CZ149" s="98"/>
      <c r="DA149" s="93" t="s">
        <v>1022</v>
      </c>
      <c r="DB149" s="98"/>
      <c r="DC149" s="98"/>
      <c r="DD149" s="98"/>
      <c r="DE149" s="98"/>
      <c r="DF149" s="261"/>
      <c r="DG149" s="93" t="s">
        <v>5946</v>
      </c>
      <c r="DH149" s="98"/>
      <c r="DI149" s="98"/>
      <c r="DJ149" s="93"/>
      <c r="DK149" s="98"/>
      <c r="DL149" s="93" t="s">
        <v>3434</v>
      </c>
      <c r="DM149" s="93" t="s">
        <v>5947</v>
      </c>
      <c r="DN149" s="98"/>
      <c r="DO149" s="98"/>
      <c r="DP149" s="98"/>
      <c r="DQ149" s="98"/>
      <c r="DR149" s="98"/>
      <c r="DS149" s="98"/>
      <c r="DT149" s="98"/>
      <c r="DU149" s="98"/>
      <c r="DV149" s="98"/>
      <c r="DW149" s="98"/>
      <c r="DX149" s="93" t="s">
        <v>5948</v>
      </c>
      <c r="DY149" s="98"/>
      <c r="DZ149" s="98"/>
      <c r="EA149" s="93" t="s">
        <v>4239</v>
      </c>
      <c r="EB149" s="285"/>
    </row>
    <row r="150">
      <c r="A150" s="165" t="s">
        <v>5949</v>
      </c>
      <c r="B150" s="103" t="s">
        <v>5950</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439</v>
      </c>
      <c r="G151" s="82" t="s">
        <v>3854</v>
      </c>
      <c r="H151" s="93" t="s">
        <v>5953</v>
      </c>
      <c r="I151" s="93" t="s">
        <v>4815</v>
      </c>
      <c r="J151" s="93" t="s">
        <v>2418</v>
      </c>
      <c r="K151" s="93" t="s">
        <v>1430</v>
      </c>
      <c r="L151" s="93" t="s">
        <v>3967</v>
      </c>
      <c r="M151" s="93" t="s">
        <v>3949</v>
      </c>
      <c r="N151" s="93" t="s">
        <v>5006</v>
      </c>
      <c r="O151" s="98"/>
      <c r="P151" s="98"/>
      <c r="Q151" s="98"/>
      <c r="R151" s="98"/>
      <c r="S151" s="98"/>
      <c r="T151" s="98"/>
      <c r="U151" s="98"/>
      <c r="V151" s="98"/>
      <c r="W151" s="92"/>
      <c r="X151" s="97" t="str">
        <f>HYPERLINK("https://www.youtube.com/watch?v=F9HuyJ73joE","56.96")</f>
        <v>56.96</v>
      </c>
      <c r="Y151" s="93" t="s">
        <v>4022</v>
      </c>
      <c r="Z151" s="93" t="s">
        <v>5954</v>
      </c>
      <c r="AA151" s="93" t="s">
        <v>4491</v>
      </c>
      <c r="AB151" s="93" t="s">
        <v>5955</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5959</v>
      </c>
      <c r="B152" s="103" t="s">
        <v>5960</v>
      </c>
      <c r="C152" s="104" t="s">
        <v>1418</v>
      </c>
      <c r="D152" s="105" t="s">
        <v>1418</v>
      </c>
      <c r="E152" s="106" t="s">
        <v>1418</v>
      </c>
      <c r="F152" s="107" t="s">
        <v>437</v>
      </c>
      <c r="G152" s="103" t="s">
        <v>5961</v>
      </c>
      <c r="H152" s="500"/>
      <c r="I152" s="383" t="s">
        <v>156</v>
      </c>
      <c r="J152" s="500"/>
      <c r="K152" s="383" t="s">
        <v>3986</v>
      </c>
      <c r="L152" s="500"/>
      <c r="M152" s="500"/>
      <c r="N152" s="500"/>
      <c r="O152" s="500"/>
      <c r="P152" s="383" t="s">
        <v>4774</v>
      </c>
      <c r="Q152" s="222"/>
      <c r="R152" s="222"/>
      <c r="S152" s="222"/>
      <c r="T152" s="222"/>
      <c r="U152" s="222"/>
      <c r="V152" s="222"/>
      <c r="W152" s="92"/>
      <c r="X152" s="392" t="s">
        <v>5962</v>
      </c>
      <c r="Y152" s="117"/>
      <c r="Z152" s="392" t="s">
        <v>1512</v>
      </c>
      <c r="AA152" s="370"/>
      <c r="AB152" s="115" t="s">
        <v>1778</v>
      </c>
      <c r="AC152" s="117"/>
      <c r="AD152" s="270"/>
      <c r="AE152" s="117"/>
      <c r="AF152" s="392" t="s">
        <v>5684</v>
      </c>
      <c r="AG152" s="270"/>
      <c r="AH152" s="270"/>
      <c r="AI152" s="117"/>
      <c r="AJ152" s="270"/>
      <c r="AK152" s="96"/>
      <c r="AL152" s="124"/>
      <c r="AM152" s="124"/>
      <c r="AN152" s="271"/>
      <c r="AO152" s="271"/>
      <c r="AP152" s="167"/>
      <c r="AQ152" s="167"/>
      <c r="AR152" s="271"/>
      <c r="AS152" s="271"/>
      <c r="AT152" s="509" t="s">
        <v>5963</v>
      </c>
      <c r="AU152" s="509" t="s">
        <v>5964</v>
      </c>
      <c r="AV152" s="124"/>
      <c r="AW152" s="271"/>
      <c r="AX152" s="271"/>
      <c r="AY152" s="271"/>
      <c r="AZ152" s="167"/>
      <c r="BA152" s="501"/>
      <c r="BB152" s="125" t="s">
        <v>1002</v>
      </c>
      <c r="BC152" s="201"/>
      <c r="BD152" s="201" t="s">
        <v>5965</v>
      </c>
      <c r="BE152" s="501"/>
      <c r="BF152" s="501"/>
      <c r="BG152" s="172"/>
      <c r="BH152" s="201" t="s">
        <v>1544</v>
      </c>
      <c r="BI152" s="172"/>
      <c r="BJ152" s="501"/>
      <c r="BK152" s="201" t="s">
        <v>5966</v>
      </c>
      <c r="BL152" s="172"/>
      <c r="BM152" s="172"/>
      <c r="BN152" s="501"/>
      <c r="BO152" s="172"/>
      <c r="BP152" s="273"/>
      <c r="BQ152" s="132"/>
      <c r="BR152" s="132"/>
      <c r="BS152" s="132"/>
      <c r="BT152" s="132"/>
      <c r="BU152" s="132"/>
      <c r="BV152" s="400" t="s">
        <v>5967</v>
      </c>
      <c r="BW152" s="276"/>
      <c r="BX152" s="132"/>
      <c r="BY152" s="132"/>
      <c r="BZ152" s="400" t="s">
        <v>2194</v>
      </c>
      <c r="CA152" s="276"/>
      <c r="CB152" s="276"/>
      <c r="CC152" s="276"/>
      <c r="CD152" s="276"/>
      <c r="CE152" s="277"/>
      <c r="CF152" s="136"/>
      <c r="CG152" s="136"/>
      <c r="CH152" s="136"/>
      <c r="CI152" s="136"/>
      <c r="CJ152" s="136"/>
      <c r="CK152" s="136"/>
      <c r="CL152" s="136"/>
      <c r="CM152" s="393" t="s">
        <v>3486</v>
      </c>
      <c r="CN152" s="735"/>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1418</v>
      </c>
      <c r="D153" s="84" t="s">
        <v>1418</v>
      </c>
      <c r="E153" s="85" t="s">
        <v>1418</v>
      </c>
      <c r="F153" s="86" t="s">
        <v>1418</v>
      </c>
      <c r="G153" s="82" t="s">
        <v>1201</v>
      </c>
      <c r="H153" s="209" t="s">
        <v>3455</v>
      </c>
      <c r="I153" s="209" t="s">
        <v>5974</v>
      </c>
      <c r="J153" s="209" t="s">
        <v>4527</v>
      </c>
      <c r="K153" s="93" t="s">
        <v>1810</v>
      </c>
      <c r="L153" s="93" t="s">
        <v>4372</v>
      </c>
      <c r="M153" s="93"/>
      <c r="N153" s="98"/>
      <c r="O153" s="98"/>
      <c r="P153" s="209" t="s">
        <v>1564</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1418</v>
      </c>
      <c r="D154" s="105" t="s">
        <v>1418</v>
      </c>
      <c r="E154" s="106" t="s">
        <v>1418</v>
      </c>
      <c r="F154" s="107" t="s">
        <v>545</v>
      </c>
      <c r="G154" s="103" t="s">
        <v>3332</v>
      </c>
      <c r="H154" s="166" t="s">
        <v>3619</v>
      </c>
      <c r="I154" s="222"/>
      <c r="J154" s="166" t="s">
        <v>5311</v>
      </c>
      <c r="K154" s="166" t="s">
        <v>3986</v>
      </c>
      <c r="L154" s="166" t="s">
        <v>4995</v>
      </c>
      <c r="M154" s="222"/>
      <c r="N154" s="222"/>
      <c r="O154" s="166" t="s">
        <v>1934</v>
      </c>
      <c r="P154" s="222"/>
      <c r="Q154" s="222"/>
      <c r="R154" s="222"/>
      <c r="S154" s="222"/>
      <c r="T154" s="222"/>
      <c r="U154" s="222"/>
      <c r="V154" s="222"/>
      <c r="W154" s="92"/>
      <c r="X154" s="197" t="s">
        <v>5977</v>
      </c>
      <c r="Y154" s="197" t="s">
        <v>3689</v>
      </c>
      <c r="Z154" s="197" t="s">
        <v>5978</v>
      </c>
      <c r="AA154" s="270"/>
      <c r="AB154" s="197" t="s">
        <v>1286</v>
      </c>
      <c r="AC154" s="197" t="s">
        <v>5979</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2224</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5519</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65"/>
    </row>
    <row r="155">
      <c r="A155" s="740" t="s">
        <v>5981</v>
      </c>
      <c r="B155" s="82" t="s">
        <v>5982</v>
      </c>
      <c r="C155" s="83" t="s">
        <v>1418</v>
      </c>
      <c r="D155" s="84" t="s">
        <v>1418</v>
      </c>
      <c r="E155" s="85" t="s">
        <v>1418</v>
      </c>
      <c r="F155" s="86" t="s">
        <v>1418</v>
      </c>
      <c r="G155" s="82" t="s">
        <v>3332</v>
      </c>
      <c r="H155" s="93" t="s">
        <v>1836</v>
      </c>
      <c r="I155" s="93" t="s">
        <v>2243</v>
      </c>
      <c r="J155" s="98"/>
      <c r="K155" s="93" t="s">
        <v>3104</v>
      </c>
      <c r="L155" s="98"/>
      <c r="M155" s="98"/>
      <c r="N155" s="98"/>
      <c r="O155" s="93" t="s">
        <v>5983</v>
      </c>
      <c r="P155" s="93" t="s">
        <v>2050</v>
      </c>
      <c r="Q155" s="98"/>
      <c r="R155" s="98"/>
      <c r="S155" s="98"/>
      <c r="T155" s="98"/>
      <c r="U155" s="98"/>
      <c r="V155" s="98"/>
      <c r="W155" s="92"/>
      <c r="X155" s="93" t="s">
        <v>3496</v>
      </c>
      <c r="Y155" s="98"/>
      <c r="Z155" s="93" t="s">
        <v>4649</v>
      </c>
      <c r="AA155" s="98"/>
      <c r="AB155" s="93" t="s">
        <v>2480</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5987</v>
      </c>
      <c r="BL155" s="98"/>
      <c r="BM155" s="98"/>
      <c r="BN155" s="98"/>
      <c r="BO155" s="98"/>
      <c r="BP155" s="261"/>
      <c r="BQ155" s="98"/>
      <c r="BR155" s="98"/>
      <c r="BS155" s="98"/>
      <c r="BT155" s="98"/>
      <c r="BU155" s="98"/>
      <c r="BV155" s="93" t="s">
        <v>3378</v>
      </c>
      <c r="BW155" s="98"/>
      <c r="BX155" s="98"/>
      <c r="BY155" s="98"/>
      <c r="BZ155" s="98"/>
      <c r="CA155" s="98"/>
      <c r="CB155" s="98"/>
      <c r="CC155" s="98"/>
      <c r="CD155" s="98"/>
      <c r="CE155" s="261"/>
      <c r="CF155" s="93" t="s">
        <v>5988</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41" t="s">
        <v>5990</v>
      </c>
      <c r="B156" s="103" t="s">
        <v>5991</v>
      </c>
      <c r="C156" s="104" t="s">
        <v>1418</v>
      </c>
      <c r="D156" s="105" t="s">
        <v>1418</v>
      </c>
      <c r="E156" s="106" t="s">
        <v>1418</v>
      </c>
      <c r="F156" s="107" t="s">
        <v>437</v>
      </c>
      <c r="G156" s="103" t="s">
        <v>219</v>
      </c>
      <c r="H156" s="222"/>
      <c r="I156" s="166" t="s">
        <v>5992</v>
      </c>
      <c r="J156" s="166" t="s">
        <v>5993</v>
      </c>
      <c r="K156" s="166" t="s">
        <v>5325</v>
      </c>
      <c r="L156" s="166" t="s">
        <v>2781</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5995</v>
      </c>
      <c r="AV156" s="271"/>
      <c r="AW156" s="271"/>
      <c r="AX156" s="271"/>
      <c r="AY156" s="271"/>
      <c r="AZ156" s="271"/>
      <c r="BA156" s="173" t="s">
        <v>5996</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5998</v>
      </c>
      <c r="B157" s="82" t="s">
        <v>5999</v>
      </c>
      <c r="C157" s="83" t="s">
        <v>1418</v>
      </c>
      <c r="D157" s="84" t="s">
        <v>1418</v>
      </c>
      <c r="E157" s="85" t="s">
        <v>1418</v>
      </c>
      <c r="F157" s="86" t="s">
        <v>1418</v>
      </c>
      <c r="G157" s="82" t="s">
        <v>6000</v>
      </c>
      <c r="H157" s="285"/>
      <c r="I157" s="285"/>
      <c r="J157" s="285" t="s">
        <v>1834</v>
      </c>
      <c r="K157" s="285" t="s">
        <v>1143</v>
      </c>
      <c r="L157" s="285" t="s">
        <v>2848</v>
      </c>
      <c r="M157" s="285"/>
      <c r="N157" s="285"/>
      <c r="O157" s="285" t="s">
        <v>6001</v>
      </c>
      <c r="P157" s="285" t="s">
        <v>4866</v>
      </c>
      <c r="Q157" s="743"/>
      <c r="R157" s="743"/>
      <c r="S157" s="743"/>
      <c r="T157" s="743"/>
      <c r="U157" s="743"/>
      <c r="V157" s="743"/>
      <c r="W157" s="744"/>
      <c r="X157" s="285"/>
      <c r="Y157" s="285" t="s">
        <v>2837</v>
      </c>
      <c r="Z157" s="285" t="s">
        <v>2589</v>
      </c>
      <c r="AA157" s="285" t="s">
        <v>6002</v>
      </c>
      <c r="AB157" s="285" t="s">
        <v>3810</v>
      </c>
      <c r="AC157" s="285"/>
      <c r="AD157" s="743"/>
      <c r="AE157" s="285"/>
      <c r="AF157" s="285" t="s">
        <v>4666</v>
      </c>
      <c r="AG157" s="743"/>
      <c r="AH157" s="743"/>
      <c r="AI157" s="285"/>
      <c r="AJ157" s="745" t="s">
        <v>6003</v>
      </c>
      <c r="AK157" s="746"/>
      <c r="AL157" s="285"/>
      <c r="AM157" s="285" t="s">
        <v>148</v>
      </c>
      <c r="AN157" s="743"/>
      <c r="AO157" s="743"/>
      <c r="AP157" s="745"/>
      <c r="AQ157" s="745"/>
      <c r="AR157" s="743"/>
      <c r="AS157" s="743"/>
      <c r="AT157" s="285" t="s">
        <v>4226</v>
      </c>
      <c r="AU157" s="285" t="s">
        <v>771</v>
      </c>
      <c r="AV157" s="285"/>
      <c r="AW157" s="743"/>
      <c r="AX157" s="743"/>
      <c r="AY157" s="743"/>
      <c r="AZ157" s="743"/>
      <c r="BA157" s="285"/>
      <c r="BB157" s="285" t="s">
        <v>6004</v>
      </c>
      <c r="BC157" s="285" t="s">
        <v>3258</v>
      </c>
      <c r="BD157" s="285" t="s">
        <v>6005</v>
      </c>
      <c r="BE157" s="285"/>
      <c r="BF157" s="285"/>
      <c r="BG157" s="743"/>
      <c r="BH157" s="285" t="s">
        <v>3626</v>
      </c>
      <c r="BI157" s="743"/>
      <c r="BJ157" s="285" t="s">
        <v>6006</v>
      </c>
      <c r="BK157" s="285" t="s">
        <v>4192</v>
      </c>
      <c r="BL157" s="743"/>
      <c r="BM157" s="743"/>
      <c r="BN157" s="285"/>
      <c r="BO157" s="743"/>
      <c r="BP157" s="747"/>
      <c r="BQ157" s="285"/>
      <c r="BR157" s="285"/>
      <c r="BS157" s="285" t="s">
        <v>3181</v>
      </c>
      <c r="BT157" s="285" t="s">
        <v>6007</v>
      </c>
      <c r="BU157" s="285" t="s">
        <v>6008</v>
      </c>
      <c r="BV157" s="285" t="s">
        <v>1310</v>
      </c>
      <c r="BW157" s="743"/>
      <c r="BX157" s="285"/>
      <c r="BY157" s="285"/>
      <c r="BZ157" s="285" t="s">
        <v>6009</v>
      </c>
      <c r="CA157" s="743"/>
      <c r="CB157" s="743"/>
      <c r="CC157" s="743"/>
      <c r="CD157" s="743"/>
      <c r="CE157" s="747"/>
      <c r="CF157" s="285"/>
      <c r="CG157" s="285" t="s">
        <v>4467</v>
      </c>
      <c r="CH157" s="285"/>
      <c r="CI157" s="285"/>
      <c r="CJ157" s="285"/>
      <c r="CK157" s="285"/>
      <c r="CL157" s="285" t="s">
        <v>3438</v>
      </c>
      <c r="CM157" s="285" t="s">
        <v>5391</v>
      </c>
      <c r="CN157" s="748"/>
      <c r="CO157" s="743"/>
      <c r="CP157" s="743"/>
      <c r="CQ157" s="743"/>
      <c r="CR157" s="743"/>
      <c r="CS157" s="744"/>
      <c r="CT157" s="285" t="s">
        <v>2001</v>
      </c>
      <c r="CU157" s="285"/>
      <c r="CV157" s="285" t="s">
        <v>5354</v>
      </c>
      <c r="CW157" s="285"/>
      <c r="CX157" s="285"/>
      <c r="CY157" s="285"/>
      <c r="CZ157" s="285" t="s">
        <v>6010</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6011</v>
      </c>
      <c r="B158" s="103" t="s">
        <v>6012</v>
      </c>
      <c r="C158" s="104" t="s">
        <v>1418</v>
      </c>
      <c r="D158" s="105" t="s">
        <v>1418</v>
      </c>
      <c r="E158" s="106" t="s">
        <v>1418</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6017</v>
      </c>
      <c r="B159" s="82" t="s">
        <v>6018</v>
      </c>
      <c r="C159" s="83" t="s">
        <v>1418</v>
      </c>
      <c r="D159" s="84" t="s">
        <v>1418</v>
      </c>
      <c r="E159" s="85" t="s">
        <v>1418</v>
      </c>
      <c r="F159" s="86" t="s">
        <v>1418</v>
      </c>
      <c r="G159" s="82" t="s">
        <v>2014</v>
      </c>
      <c r="H159" s="101"/>
      <c r="I159" s="285" t="s">
        <v>6019</v>
      </c>
      <c r="J159" s="285" t="s">
        <v>1832</v>
      </c>
      <c r="K159" s="285" t="s">
        <v>3104</v>
      </c>
      <c r="L159" s="285" t="s">
        <v>6020</v>
      </c>
      <c r="M159" s="285" t="s">
        <v>4073</v>
      </c>
      <c r="N159" s="101"/>
      <c r="O159" s="101"/>
      <c r="P159" s="101"/>
      <c r="Q159" s="98"/>
      <c r="R159" s="98"/>
      <c r="S159" s="98"/>
      <c r="T159" s="98"/>
      <c r="U159" s="98"/>
      <c r="V159" s="98"/>
      <c r="W159" s="92"/>
      <c r="X159" s="285" t="s">
        <v>5854</v>
      </c>
      <c r="Y159" s="285" t="s">
        <v>6021</v>
      </c>
      <c r="Z159" s="285" t="s">
        <v>5058</v>
      </c>
      <c r="AA159" s="297" t="s">
        <v>4079</v>
      </c>
      <c r="AB159" s="285" t="s">
        <v>4314</v>
      </c>
      <c r="AC159" s="285" t="s">
        <v>6022</v>
      </c>
      <c r="AD159" s="98"/>
      <c r="AE159" s="285" t="s">
        <v>4537</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3471</v>
      </c>
      <c r="BD159" s="285" t="s">
        <v>6026</v>
      </c>
      <c r="BE159" s="285" t="s">
        <v>194</v>
      </c>
      <c r="BF159" s="285" t="s">
        <v>6027</v>
      </c>
      <c r="BG159" s="93" t="s">
        <v>6028</v>
      </c>
      <c r="BH159" s="285" t="s">
        <v>2110</v>
      </c>
      <c r="BI159" s="98"/>
      <c r="BJ159" s="285" t="s">
        <v>6029</v>
      </c>
      <c r="BK159" s="285" t="s">
        <v>6030</v>
      </c>
      <c r="BL159" s="98"/>
      <c r="BM159" s="98"/>
      <c r="BN159" s="101"/>
      <c r="BO159" s="98"/>
      <c r="BP159" s="261"/>
      <c r="BQ159" s="285" t="s">
        <v>6031</v>
      </c>
      <c r="BR159" s="285" t="s">
        <v>6032</v>
      </c>
      <c r="BS159" s="285" t="s">
        <v>3586</v>
      </c>
      <c r="BT159" s="285" t="s">
        <v>1727</v>
      </c>
      <c r="BU159" s="285" t="s">
        <v>5271</v>
      </c>
      <c r="BV159" s="285" t="s">
        <v>328</v>
      </c>
      <c r="BW159" s="93" t="s">
        <v>6033</v>
      </c>
      <c r="BX159" s="101"/>
      <c r="BY159" s="101"/>
      <c r="BZ159" s="285" t="s">
        <v>6034</v>
      </c>
      <c r="CA159" s="98"/>
      <c r="CB159" s="98"/>
      <c r="CC159" s="98"/>
      <c r="CD159" s="98"/>
      <c r="CE159" s="261"/>
      <c r="CF159" s="285" t="s">
        <v>6035</v>
      </c>
      <c r="CG159" s="285" t="s">
        <v>5639</v>
      </c>
      <c r="CH159" s="285" t="s">
        <v>3036</v>
      </c>
      <c r="CI159" s="101"/>
      <c r="CJ159" s="285" t="s">
        <v>6036</v>
      </c>
      <c r="CK159" s="285" t="s">
        <v>6037</v>
      </c>
      <c r="CL159" s="285" t="s">
        <v>1313</v>
      </c>
      <c r="CM159" s="285" t="s">
        <v>2949</v>
      </c>
      <c r="CN159" s="260"/>
      <c r="CO159" s="98"/>
      <c r="CP159" s="98"/>
      <c r="CQ159" s="98"/>
      <c r="CR159" s="98"/>
      <c r="CS159" s="92"/>
      <c r="CT159" s="285" t="s">
        <v>2078</v>
      </c>
      <c r="CU159" s="285" t="s">
        <v>3103</v>
      </c>
      <c r="CV159" s="285" t="s">
        <v>5354</v>
      </c>
      <c r="CW159" s="285" t="s">
        <v>2170</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439</v>
      </c>
      <c r="G160" s="103" t="s">
        <v>5961</v>
      </c>
      <c r="H160" s="222" t="s">
        <v>4068</v>
      </c>
      <c r="I160" s="222" t="s">
        <v>6045</v>
      </c>
      <c r="J160" s="222" t="s">
        <v>451</v>
      </c>
      <c r="K160" s="222" t="s">
        <v>4295</v>
      </c>
      <c r="L160" s="222" t="s">
        <v>6046</v>
      </c>
      <c r="M160" s="222" t="s">
        <v>6047</v>
      </c>
      <c r="N160" s="222"/>
      <c r="O160" s="222"/>
      <c r="P160" s="222" t="s">
        <v>2158</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5446</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4469</v>
      </c>
      <c r="CH160" s="279"/>
      <c r="CI160" s="279"/>
      <c r="CJ160" s="279"/>
      <c r="CK160" s="279"/>
      <c r="CL160" s="279" t="s">
        <v>3461</v>
      </c>
      <c r="CM160" s="753" t="s">
        <v>6048</v>
      </c>
      <c r="CN160" s="279"/>
      <c r="CO160" s="310"/>
      <c r="CP160" s="279"/>
      <c r="CQ160" s="279"/>
      <c r="CR160" s="279"/>
      <c r="CS160" s="92"/>
      <c r="CT160" s="280"/>
      <c r="CU160" s="280"/>
      <c r="CV160" s="280" t="s">
        <v>5095</v>
      </c>
      <c r="CW160" s="280" t="s">
        <v>3451</v>
      </c>
      <c r="CX160" s="280"/>
      <c r="CY160" s="280"/>
      <c r="CZ160" s="754"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6057</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545</v>
      </c>
      <c r="G164" s="103" t="s">
        <v>3645</v>
      </c>
      <c r="H164" s="222"/>
      <c r="I164" s="195" t="s">
        <v>6063</v>
      </c>
      <c r="J164" s="166" t="s">
        <v>5933</v>
      </c>
      <c r="K164" s="166" t="s">
        <v>2228</v>
      </c>
      <c r="L164" s="166" t="s">
        <v>6064</v>
      </c>
      <c r="M164" s="222"/>
      <c r="N164" s="222"/>
      <c r="O164" s="222"/>
      <c r="P164" s="166" t="s">
        <v>3134</v>
      </c>
      <c r="Q164" s="222"/>
      <c r="R164" s="222"/>
      <c r="S164" s="222"/>
      <c r="T164" s="222"/>
      <c r="U164" s="222"/>
      <c r="V164" s="222"/>
      <c r="W164" s="92"/>
      <c r="X164" s="760" t="s">
        <v>1830</v>
      </c>
      <c r="Y164" s="270"/>
      <c r="Z164" s="197" t="s">
        <v>3277</v>
      </c>
      <c r="AA164" s="115" t="str">
        <f>HYPERLINK("https://clips.twitch.tv/DeliciousHomelyChoughMingLee","53.66")</f>
        <v>53.66</v>
      </c>
      <c r="AB164" s="197" t="s">
        <v>4783</v>
      </c>
      <c r="AC164" s="197" t="s">
        <v>6065</v>
      </c>
      <c r="AD164" s="270"/>
      <c r="AE164" s="270"/>
      <c r="AF164" s="197" t="s">
        <v>3134</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2896</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5963</v>
      </c>
      <c r="AA165" s="98"/>
      <c r="AB165" s="93" t="s">
        <v>6078</v>
      </c>
      <c r="AC165" s="93" t="s">
        <v>3468</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3571</v>
      </c>
      <c r="BE165" s="93" t="s">
        <v>6080</v>
      </c>
      <c r="BF165" s="98"/>
      <c r="BG165" s="98"/>
      <c r="BH165" s="93" t="s">
        <v>3660</v>
      </c>
      <c r="BI165" s="98"/>
      <c r="BJ165" s="98"/>
      <c r="BK165" s="93" t="s">
        <v>528</v>
      </c>
      <c r="BL165" s="98"/>
      <c r="BM165" s="98"/>
      <c r="BN165" s="98"/>
      <c r="BO165" s="98"/>
      <c r="BP165" s="261"/>
      <c r="BQ165" s="93" t="s">
        <v>6081</v>
      </c>
      <c r="BR165" s="93" t="s">
        <v>6082</v>
      </c>
      <c r="BS165" s="93" t="s">
        <v>879</v>
      </c>
      <c r="BT165" s="93" t="s">
        <v>534</v>
      </c>
      <c r="BU165" s="93" t="s">
        <v>6083</v>
      </c>
      <c r="BV165" s="93" t="s">
        <v>1355</v>
      </c>
      <c r="BW165" s="98"/>
      <c r="BX165" s="98"/>
      <c r="BY165" s="98"/>
      <c r="BZ165" s="93" t="s">
        <v>977</v>
      </c>
      <c r="CA165" s="98"/>
      <c r="CB165" s="98"/>
      <c r="CC165" s="98"/>
      <c r="CD165" s="98"/>
      <c r="CE165" s="261"/>
      <c r="CF165" s="93" t="s">
        <v>6084</v>
      </c>
      <c r="CG165" s="93" t="s">
        <v>186</v>
      </c>
      <c r="CH165" s="98"/>
      <c r="CI165" s="98"/>
      <c r="CJ165" s="98"/>
      <c r="CK165" s="98"/>
      <c r="CL165" s="93" t="s">
        <v>4586</v>
      </c>
      <c r="CM165" s="93" t="s">
        <v>1496</v>
      </c>
      <c r="CN165" s="98"/>
      <c r="CO165" s="98"/>
      <c r="CP165" s="98"/>
      <c r="CQ165" s="98"/>
      <c r="CR165" s="98"/>
      <c r="CS165" s="92"/>
      <c r="CT165" s="93" t="s">
        <v>5100</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3376</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1418</v>
      </c>
      <c r="E168" s="106" t="s">
        <v>1418</v>
      </c>
      <c r="F168" s="107" t="s">
        <v>545</v>
      </c>
      <c r="G168" s="103" t="s">
        <v>3983</v>
      </c>
      <c r="H168" s="761" t="s">
        <v>2882</v>
      </c>
      <c r="I168" s="761" t="s">
        <v>6097</v>
      </c>
      <c r="J168" s="761" t="s">
        <v>6098</v>
      </c>
      <c r="K168" s="761" t="s">
        <v>753</v>
      </c>
      <c r="L168" s="761" t="s">
        <v>835</v>
      </c>
      <c r="M168" s="762"/>
      <c r="N168" s="761" t="s">
        <v>6099</v>
      </c>
      <c r="O168" s="761" t="s">
        <v>6100</v>
      </c>
      <c r="P168" s="761" t="s">
        <v>5332</v>
      </c>
      <c r="Q168" s="762"/>
      <c r="R168" s="762"/>
      <c r="S168" s="762"/>
      <c r="T168" s="762"/>
      <c r="U168" s="762"/>
      <c r="V168" s="762"/>
      <c r="W168" s="763"/>
      <c r="X168" s="764" t="s">
        <v>6101</v>
      </c>
      <c r="Y168" s="765" t="s">
        <v>380</v>
      </c>
      <c r="Z168" s="765" t="s">
        <v>954</v>
      </c>
      <c r="AA168" s="765" t="s">
        <v>3827</v>
      </c>
      <c r="AB168" s="764" t="s">
        <v>6102</v>
      </c>
      <c r="AC168" s="765" t="s">
        <v>6103</v>
      </c>
      <c r="AD168" s="766"/>
      <c r="AE168" s="766"/>
      <c r="AF168" s="765" t="s">
        <v>370</v>
      </c>
      <c r="AG168" s="766"/>
      <c r="AH168" s="766"/>
      <c r="AI168" s="766"/>
      <c r="AJ168" s="766"/>
      <c r="AK168" s="767"/>
      <c r="AL168" s="768"/>
      <c r="AM168" s="768"/>
      <c r="AN168" s="768"/>
      <c r="AO168" s="768"/>
      <c r="AP168" s="768"/>
      <c r="AQ168" s="768"/>
      <c r="AR168" s="768"/>
      <c r="AS168" s="768"/>
      <c r="AT168" s="768"/>
      <c r="AU168" s="769" t="s">
        <v>2049</v>
      </c>
      <c r="AV168" s="768"/>
      <c r="AW168" s="768"/>
      <c r="AX168" s="768"/>
      <c r="AY168" s="768"/>
      <c r="AZ168" s="768"/>
      <c r="BA168" s="770"/>
      <c r="BB168" s="770"/>
      <c r="BC168" s="770"/>
      <c r="BD168" s="770"/>
      <c r="BE168" s="770"/>
      <c r="BF168" s="770"/>
      <c r="BG168" s="770"/>
      <c r="BH168" s="771" t="s">
        <v>4169</v>
      </c>
      <c r="BI168" s="770"/>
      <c r="BJ168" s="770"/>
      <c r="BK168" s="770"/>
      <c r="BL168" s="770"/>
      <c r="BM168" s="770"/>
      <c r="BN168" s="770"/>
      <c r="BO168" s="770"/>
      <c r="BP168" s="772"/>
      <c r="BQ168" s="773"/>
      <c r="BR168" s="773"/>
      <c r="BS168" s="774" t="s">
        <v>3384</v>
      </c>
      <c r="BT168" s="775" t="s">
        <v>2793</v>
      </c>
      <c r="BU168" s="773"/>
      <c r="BV168" s="773"/>
      <c r="BW168" s="773"/>
      <c r="BX168" s="773"/>
      <c r="BY168" s="773"/>
      <c r="BZ168" s="773"/>
      <c r="CA168" s="773"/>
      <c r="CB168" s="773"/>
      <c r="CC168" s="773"/>
      <c r="CD168" s="773"/>
      <c r="CE168" s="776"/>
      <c r="CF168" s="777"/>
      <c r="CG168" s="778" t="s">
        <v>6104</v>
      </c>
      <c r="CH168" s="777"/>
      <c r="CI168" s="777"/>
      <c r="CJ168" s="777"/>
      <c r="CK168" s="777"/>
      <c r="CL168" s="777"/>
      <c r="CM168" s="777"/>
      <c r="CN168" s="777"/>
      <c r="CO168" s="777"/>
      <c r="CP168" s="777"/>
      <c r="CQ168" s="777"/>
      <c r="CR168" s="777"/>
      <c r="CS168" s="779"/>
      <c r="CT168" s="780" t="s">
        <v>5166</v>
      </c>
      <c r="CU168" s="780" t="s">
        <v>2467</v>
      </c>
      <c r="CV168" s="780" t="s">
        <v>5096</v>
      </c>
      <c r="CW168" s="781"/>
      <c r="CX168" s="781"/>
      <c r="CY168" s="781"/>
      <c r="CZ168" s="780" t="s">
        <v>6105</v>
      </c>
      <c r="DA168" s="782" t="s">
        <v>6041</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6106</v>
      </c>
      <c r="B169" s="82" t="s">
        <v>6107</v>
      </c>
      <c r="C169" s="83" t="s">
        <v>1418</v>
      </c>
      <c r="D169" s="84" t="s">
        <v>1418</v>
      </c>
      <c r="E169" s="85" t="s">
        <v>1418</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4767</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3450</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1418</v>
      </c>
      <c r="G171" s="82" t="s">
        <v>1725</v>
      </c>
      <c r="H171" s="98"/>
      <c r="I171" s="93" t="s">
        <v>6115</v>
      </c>
      <c r="J171" s="93" t="s">
        <v>5029</v>
      </c>
      <c r="K171" s="93" t="s">
        <v>2412</v>
      </c>
      <c r="L171" s="93" t="s">
        <v>4031</v>
      </c>
      <c r="M171" s="93" t="s">
        <v>6116</v>
      </c>
      <c r="N171" s="98"/>
      <c r="O171" s="93" t="s">
        <v>1933</v>
      </c>
      <c r="P171" s="93" t="s">
        <v>6117</v>
      </c>
      <c r="Q171" s="98"/>
      <c r="R171" s="98"/>
      <c r="S171" s="98"/>
      <c r="T171" s="98"/>
      <c r="U171" s="98"/>
      <c r="V171" s="98"/>
      <c r="W171" s="92"/>
      <c r="X171" s="93" t="s">
        <v>4438</v>
      </c>
      <c r="Y171" s="93" t="s">
        <v>6118</v>
      </c>
      <c r="Z171" s="93" t="s">
        <v>4470</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2525</v>
      </c>
      <c r="AU171" s="93" t="s">
        <v>1666</v>
      </c>
      <c r="AV171" s="98"/>
      <c r="AW171" s="98"/>
      <c r="AX171" s="98"/>
      <c r="AY171" s="98"/>
      <c r="AZ171" s="98"/>
      <c r="BA171" s="98"/>
      <c r="BB171" s="93" t="s">
        <v>773</v>
      </c>
      <c r="BC171" s="93" t="s">
        <v>4169</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2836</v>
      </c>
      <c r="BY171" s="98"/>
      <c r="BZ171" s="93" t="s">
        <v>2008</v>
      </c>
      <c r="CA171" s="98"/>
      <c r="CB171" s="98"/>
      <c r="CC171" s="98"/>
      <c r="CD171" s="98"/>
      <c r="CE171" s="261"/>
      <c r="CF171" s="93" t="s">
        <v>4864</v>
      </c>
      <c r="CG171" s="93" t="s">
        <v>2517</v>
      </c>
      <c r="CH171" s="93" t="s">
        <v>2578</v>
      </c>
      <c r="CI171" s="93" t="s">
        <v>6129</v>
      </c>
      <c r="CJ171" s="93" t="s">
        <v>6130</v>
      </c>
      <c r="CK171" s="98"/>
      <c r="CL171" s="93" t="s">
        <v>3667</v>
      </c>
      <c r="CM171" s="93" t="s">
        <v>3248</v>
      </c>
      <c r="CN171" s="98"/>
      <c r="CO171" s="98"/>
      <c r="CP171" s="98"/>
      <c r="CQ171" s="98"/>
      <c r="CR171" s="98"/>
      <c r="CS171" s="92"/>
      <c r="CT171" s="93" t="s">
        <v>5724</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1418</v>
      </c>
      <c r="D172" s="105" t="s">
        <v>1418</v>
      </c>
      <c r="E172" s="106" t="s">
        <v>1418</v>
      </c>
      <c r="F172" s="107" t="s">
        <v>913</v>
      </c>
      <c r="G172" s="103" t="s">
        <v>4910</v>
      </c>
      <c r="H172" s="166" t="s">
        <v>2587</v>
      </c>
      <c r="I172" s="222"/>
      <c r="J172" s="166" t="s">
        <v>6135</v>
      </c>
      <c r="K172" s="112" t="s">
        <v>4904</v>
      </c>
      <c r="L172" s="299" t="s">
        <v>3401</v>
      </c>
      <c r="M172" s="222"/>
      <c r="N172" s="222"/>
      <c r="O172" s="222"/>
      <c r="P172" s="166" t="s">
        <v>6136</v>
      </c>
      <c r="Q172" s="222"/>
      <c r="R172" s="222"/>
      <c r="S172" s="222"/>
      <c r="T172" s="222"/>
      <c r="U172" s="222"/>
      <c r="V172" s="222"/>
      <c r="W172" s="92"/>
      <c r="X172" s="116" t="s">
        <v>6137</v>
      </c>
      <c r="Y172" s="197" t="s">
        <v>1765</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6138</v>
      </c>
      <c r="AV172" s="271"/>
      <c r="AW172" s="271"/>
      <c r="AX172" s="271"/>
      <c r="AY172" s="271"/>
      <c r="AZ172" s="271"/>
      <c r="BA172" s="172"/>
      <c r="BB172" s="173" t="s">
        <v>940</v>
      </c>
      <c r="BC172" s="173" t="s">
        <v>532</v>
      </c>
      <c r="BD172" s="173" t="s">
        <v>6139</v>
      </c>
      <c r="BE172" s="172"/>
      <c r="BF172" s="173" t="s">
        <v>4791</v>
      </c>
      <c r="BG172" s="173" t="s">
        <v>6140</v>
      </c>
      <c r="BH172" s="173" t="s">
        <v>5130</v>
      </c>
      <c r="BI172" s="172"/>
      <c r="BJ172" s="172"/>
      <c r="BK172" s="172"/>
      <c r="BL172" s="172"/>
      <c r="BM172" s="172"/>
      <c r="BN172" s="172"/>
      <c r="BO172" s="172"/>
      <c r="BP172" s="273"/>
      <c r="BQ172" s="276"/>
      <c r="BR172" s="276"/>
      <c r="BS172" s="276"/>
      <c r="BT172" s="174" t="s">
        <v>3405</v>
      </c>
      <c r="BU172" s="276"/>
      <c r="BV172" s="130" t="s">
        <v>4907</v>
      </c>
      <c r="BW172" s="276"/>
      <c r="BX172" s="276"/>
      <c r="BY172" s="276"/>
      <c r="BZ172" s="130" t="s">
        <v>4733</v>
      </c>
      <c r="CA172" s="276"/>
      <c r="CB172" s="276"/>
      <c r="CC172" s="276"/>
      <c r="CD172" s="276"/>
      <c r="CE172" s="277"/>
      <c r="CF172" s="135" t="s">
        <v>6141</v>
      </c>
      <c r="CG172" s="176" t="s">
        <v>6142</v>
      </c>
      <c r="CH172" s="279"/>
      <c r="CI172" s="279"/>
      <c r="CJ172" s="279"/>
      <c r="CK172" s="279"/>
      <c r="CL172" s="135" t="s">
        <v>5045</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5062</v>
      </c>
      <c r="H173" s="93" t="s">
        <v>6148</v>
      </c>
      <c r="I173" s="93" t="s">
        <v>6149</v>
      </c>
      <c r="J173" s="93" t="s">
        <v>616</v>
      </c>
      <c r="K173" s="93" t="s">
        <v>3104</v>
      </c>
      <c r="L173" s="93" t="s">
        <v>2773</v>
      </c>
      <c r="M173" s="93" t="s">
        <v>6150</v>
      </c>
      <c r="N173" s="93" t="s">
        <v>6151</v>
      </c>
      <c r="O173" s="93" t="s">
        <v>935</v>
      </c>
      <c r="P173" s="93" t="s">
        <v>495</v>
      </c>
      <c r="Q173" s="93"/>
      <c r="R173" s="93"/>
      <c r="S173" s="93"/>
      <c r="T173" s="93"/>
      <c r="U173" s="93"/>
      <c r="V173" s="93"/>
      <c r="W173" s="92"/>
      <c r="X173" s="93" t="s">
        <v>6152</v>
      </c>
      <c r="Y173" s="93" t="s">
        <v>5153</v>
      </c>
      <c r="Z173" s="93" t="s">
        <v>6153</v>
      </c>
      <c r="AA173" s="93" t="s">
        <v>2615</v>
      </c>
      <c r="AB173" s="93" t="s">
        <v>5751</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4247</v>
      </c>
      <c r="BC173" s="93" t="s">
        <v>3729</v>
      </c>
      <c r="BD173" s="93" t="s">
        <v>6158</v>
      </c>
      <c r="BE173" s="93" t="s">
        <v>6159</v>
      </c>
      <c r="BF173" s="93" t="s">
        <v>6160</v>
      </c>
      <c r="BG173" s="93" t="s">
        <v>5068</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6164</v>
      </c>
      <c r="CY173" s="98"/>
      <c r="CZ173" s="98"/>
      <c r="DA173" s="98"/>
      <c r="DB173" s="98"/>
      <c r="DC173" s="98"/>
      <c r="DD173" s="98"/>
      <c r="DE173" s="98"/>
      <c r="DF173" s="261"/>
      <c r="DG173" s="93" t="s">
        <v>3432</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2219</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5748</v>
      </c>
      <c r="H176" s="222"/>
      <c r="I176" s="166" t="s">
        <v>6177</v>
      </c>
      <c r="J176" s="166" t="s">
        <v>301</v>
      </c>
      <c r="K176" s="166" t="s">
        <v>122</v>
      </c>
      <c r="L176" s="166" t="s">
        <v>3905</v>
      </c>
      <c r="M176" s="166" t="s">
        <v>6178</v>
      </c>
      <c r="N176" s="222"/>
      <c r="O176" s="166" t="s">
        <v>3109</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3096</v>
      </c>
      <c r="AG176" s="270"/>
      <c r="AH176" s="270"/>
      <c r="AI176" s="270"/>
      <c r="AJ176" s="270"/>
      <c r="AK176" s="96"/>
      <c r="AL176" s="271"/>
      <c r="AM176" s="271"/>
      <c r="AN176" s="271"/>
      <c r="AO176" s="271"/>
      <c r="AP176" s="271"/>
      <c r="AQ176" s="271"/>
      <c r="AR176" s="271"/>
      <c r="AS176" s="271"/>
      <c r="AT176" s="167" t="s">
        <v>4337</v>
      </c>
      <c r="AU176" s="167" t="s">
        <v>2763</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3450</v>
      </c>
      <c r="CH176" s="176" t="s">
        <v>754</v>
      </c>
      <c r="CI176" s="176" t="s">
        <v>6186</v>
      </c>
      <c r="CJ176" s="176"/>
      <c r="CK176" s="279"/>
      <c r="CL176" s="176" t="s">
        <v>3684</v>
      </c>
      <c r="CM176" s="176" t="s">
        <v>6066</v>
      </c>
      <c r="CN176" s="279"/>
      <c r="CO176" s="279"/>
      <c r="CP176" s="279"/>
      <c r="CQ176" s="279"/>
      <c r="CR176" s="279"/>
      <c r="CS176" s="92"/>
      <c r="CT176" s="205" t="s">
        <v>5031</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439</v>
      </c>
      <c r="H177" s="98"/>
      <c r="I177" s="98"/>
      <c r="J177" s="98"/>
      <c r="K177" s="93" t="s">
        <v>6194</v>
      </c>
      <c r="L177" s="98"/>
      <c r="M177" s="98"/>
      <c r="N177" s="98"/>
      <c r="O177" s="93" t="s">
        <v>5282</v>
      </c>
      <c r="P177" s="98"/>
      <c r="Q177" s="98"/>
      <c r="R177" s="98"/>
      <c r="S177" s="98"/>
      <c r="T177" s="98"/>
      <c r="U177" s="98"/>
      <c r="V177" s="98"/>
      <c r="W177" s="92"/>
      <c r="X177" s="93" t="s">
        <v>1354</v>
      </c>
      <c r="Y177" s="98"/>
      <c r="Z177" s="93" t="s">
        <v>4870</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6198</v>
      </c>
      <c r="B179" s="82" t="s">
        <v>6199</v>
      </c>
      <c r="C179" s="83" t="s">
        <v>1418</v>
      </c>
      <c r="D179" s="84" t="s">
        <v>1418</v>
      </c>
      <c r="E179" s="85" t="s">
        <v>1418</v>
      </c>
      <c r="F179" s="86" t="s">
        <v>437</v>
      </c>
      <c r="G179" s="82" t="s">
        <v>437</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6207</v>
      </c>
      <c r="B182" s="103" t="s">
        <v>6208</v>
      </c>
      <c r="C182" s="104" t="s">
        <v>1418</v>
      </c>
      <c r="D182" s="105" t="s">
        <v>545</v>
      </c>
      <c r="E182" s="106" t="s">
        <v>1418</v>
      </c>
      <c r="F182" s="107" t="s">
        <v>646</v>
      </c>
      <c r="G182" s="103" t="s">
        <v>4416</v>
      </c>
      <c r="H182" s="500"/>
      <c r="I182" s="789"/>
      <c r="J182" s="500"/>
      <c r="K182" s="500" t="s">
        <v>1817</v>
      </c>
      <c r="L182" s="500" t="s">
        <v>5579</v>
      </c>
      <c r="M182" s="500"/>
      <c r="N182" s="500"/>
      <c r="O182" s="500" t="s">
        <v>2773</v>
      </c>
      <c r="P182" s="500"/>
      <c r="Q182" s="222"/>
      <c r="R182" s="222"/>
      <c r="S182" s="222"/>
      <c r="T182" s="222"/>
      <c r="U182" s="222"/>
      <c r="V182" s="222"/>
      <c r="W182" s="92"/>
      <c r="X182" s="116" t="s">
        <v>3540</v>
      </c>
      <c r="Y182" s="117" t="s">
        <v>6209</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6213</v>
      </c>
      <c r="B183" s="82" t="s">
        <v>6208</v>
      </c>
      <c r="C183" s="83" t="s">
        <v>1418</v>
      </c>
      <c r="D183" s="84" t="s">
        <v>1418</v>
      </c>
      <c r="E183" s="85" t="s">
        <v>1418</v>
      </c>
      <c r="F183" s="86" t="s">
        <v>1418</v>
      </c>
      <c r="G183" s="82" t="s">
        <v>5961</v>
      </c>
      <c r="H183" s="98"/>
      <c r="I183" s="93" t="s">
        <v>6214</v>
      </c>
      <c r="J183" s="93" t="s">
        <v>4236</v>
      </c>
      <c r="K183" s="93" t="s">
        <v>4295</v>
      </c>
      <c r="L183" s="93" t="s">
        <v>6215</v>
      </c>
      <c r="M183" s="98"/>
      <c r="N183" s="98"/>
      <c r="O183" s="93" t="s">
        <v>1223</v>
      </c>
      <c r="P183" s="98"/>
      <c r="Q183" s="98"/>
      <c r="R183" s="98"/>
      <c r="S183" s="93" t="s">
        <v>2139</v>
      </c>
      <c r="T183" s="98"/>
      <c r="U183" s="98"/>
      <c r="V183" s="98"/>
      <c r="W183" s="92"/>
      <c r="X183" s="98"/>
      <c r="Y183" s="98"/>
      <c r="Z183" s="93" t="s">
        <v>2141</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4650</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2228</v>
      </c>
      <c r="L184" s="222"/>
      <c r="M184" s="222"/>
      <c r="N184" s="222"/>
      <c r="O184" s="222"/>
      <c r="P184" s="222"/>
      <c r="Q184" s="222"/>
      <c r="R184" s="222"/>
      <c r="S184" s="222"/>
      <c r="T184" s="222"/>
      <c r="U184" s="222"/>
      <c r="V184" s="222"/>
      <c r="W184" s="92"/>
      <c r="X184" s="197" t="s">
        <v>3827</v>
      </c>
      <c r="Y184" s="270"/>
      <c r="Z184" s="197" t="s">
        <v>1784</v>
      </c>
      <c r="AA184" s="270"/>
      <c r="AB184" s="116" t="s">
        <v>3092</v>
      </c>
      <c r="AC184" s="197" t="s">
        <v>3000</v>
      </c>
      <c r="AD184" s="270"/>
      <c r="AE184" s="270"/>
      <c r="AF184" s="197" t="s">
        <v>1118</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3398</v>
      </c>
      <c r="CK184" s="279"/>
      <c r="CL184" s="176" t="s">
        <v>4716</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6227</v>
      </c>
      <c r="B185" s="82" t="s">
        <v>6228</v>
      </c>
      <c r="C185" s="83" t="s">
        <v>1418</v>
      </c>
      <c r="D185" s="84" t="s">
        <v>1418</v>
      </c>
      <c r="E185" s="85" t="s">
        <v>1418</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6229</v>
      </c>
      <c r="B186" s="103" t="s">
        <v>6230</v>
      </c>
      <c r="C186" s="104" t="s">
        <v>1418</v>
      </c>
      <c r="D186" s="105" t="s">
        <v>1418</v>
      </c>
      <c r="E186" s="106" t="s">
        <v>1418</v>
      </c>
      <c r="F186" s="107" t="s">
        <v>646</v>
      </c>
      <c r="G186" s="103" t="s">
        <v>913</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3902</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4235</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4592</v>
      </c>
      <c r="H187" s="93" t="s">
        <v>6237</v>
      </c>
      <c r="I187" s="93" t="s">
        <v>2475</v>
      </c>
      <c r="J187" s="93" t="s">
        <v>1208</v>
      </c>
      <c r="K187" s="93" t="s">
        <v>6238</v>
      </c>
      <c r="L187" s="93" t="s">
        <v>6239</v>
      </c>
      <c r="M187" s="93" t="s">
        <v>6240</v>
      </c>
      <c r="N187" s="93" t="s">
        <v>6241</v>
      </c>
      <c r="O187" s="93" t="s">
        <v>6242</v>
      </c>
      <c r="P187" s="93" t="s">
        <v>4122</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4450</v>
      </c>
      <c r="AV187" s="93" t="s">
        <v>6249</v>
      </c>
      <c r="AW187" s="98"/>
      <c r="AX187" s="98"/>
      <c r="AY187" s="98"/>
      <c r="AZ187" s="98"/>
      <c r="BA187" s="93"/>
      <c r="BB187" s="98" t="s">
        <v>2133</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1562</v>
      </c>
      <c r="CH187" s="93" t="s">
        <v>2474</v>
      </c>
      <c r="CI187" s="93" t="s">
        <v>3536</v>
      </c>
      <c r="CJ187" s="93" t="s">
        <v>371</v>
      </c>
      <c r="CK187" s="93" t="s">
        <v>6262</v>
      </c>
      <c r="CL187" s="93" t="s">
        <v>6263</v>
      </c>
      <c r="CM187" s="93" t="s">
        <v>3816</v>
      </c>
      <c r="CN187" s="98"/>
      <c r="CO187" s="98"/>
      <c r="CP187" s="98"/>
      <c r="CQ187" s="98"/>
      <c r="CR187" s="98"/>
      <c r="CS187" s="92"/>
      <c r="CT187" s="98" t="s">
        <v>6264</v>
      </c>
      <c r="CU187" s="98" t="s">
        <v>2251</v>
      </c>
      <c r="CV187" s="98" t="s">
        <v>1103</v>
      </c>
      <c r="CW187" s="98" t="s">
        <v>6265</v>
      </c>
      <c r="CX187" s="98" t="s">
        <v>6266</v>
      </c>
      <c r="CY187" s="98" t="s">
        <v>4551</v>
      </c>
      <c r="CZ187" s="98" t="s">
        <v>6267</v>
      </c>
      <c r="DA187" s="93" t="s">
        <v>3258</v>
      </c>
      <c r="DB187" s="98"/>
      <c r="DC187" s="98"/>
      <c r="DD187" s="98"/>
      <c r="DE187" s="98"/>
      <c r="DF187" s="261"/>
      <c r="DG187" s="98"/>
      <c r="DH187" s="98"/>
      <c r="DI187" s="98"/>
      <c r="DJ187" s="98"/>
      <c r="DK187" s="98" t="s">
        <v>5447</v>
      </c>
      <c r="DL187" s="93"/>
      <c r="DM187" s="93" t="s">
        <v>6268</v>
      </c>
      <c r="DN187" s="93" t="s">
        <v>3807</v>
      </c>
      <c r="DO187" s="93" t="s">
        <v>2887</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4919</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3490</v>
      </c>
      <c r="H189" s="98"/>
      <c r="I189" s="93" t="s">
        <v>6275</v>
      </c>
      <c r="J189" s="93" t="s">
        <v>1364</v>
      </c>
      <c r="K189" s="93" t="s">
        <v>1060</v>
      </c>
      <c r="L189" s="93" t="s">
        <v>6276</v>
      </c>
      <c r="M189" s="93" t="s">
        <v>6277</v>
      </c>
      <c r="N189" s="93" t="s">
        <v>6278</v>
      </c>
      <c r="O189" s="93" t="s">
        <v>6279</v>
      </c>
      <c r="P189" s="93" t="s">
        <v>4606</v>
      </c>
      <c r="Q189" s="98"/>
      <c r="R189" s="98"/>
      <c r="S189" s="98"/>
      <c r="T189" s="98"/>
      <c r="U189" s="98"/>
      <c r="V189" s="98"/>
      <c r="W189" s="92"/>
      <c r="X189" s="93" t="s">
        <v>336</v>
      </c>
      <c r="Y189" s="93" t="s">
        <v>2167</v>
      </c>
      <c r="Z189" s="93" t="s">
        <v>3320</v>
      </c>
      <c r="AA189" s="93" t="s">
        <v>6280</v>
      </c>
      <c r="AB189" s="93" t="s">
        <v>6281</v>
      </c>
      <c r="AC189" s="93" t="s">
        <v>3283</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4686</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5979</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4235</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987</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6316</v>
      </c>
      <c r="B191" s="82" t="s">
        <v>6317</v>
      </c>
      <c r="C191" s="83" t="s">
        <v>1418</v>
      </c>
      <c r="D191" s="84" t="s">
        <v>1418</v>
      </c>
      <c r="E191" s="85" t="s">
        <v>1418</v>
      </c>
      <c r="F191" s="86" t="s">
        <v>1418</v>
      </c>
      <c r="G191" s="82" t="s">
        <v>3983</v>
      </c>
      <c r="H191" s="93" t="s">
        <v>6318</v>
      </c>
      <c r="I191" s="93" t="s">
        <v>6319</v>
      </c>
      <c r="J191" s="93" t="s">
        <v>6320</v>
      </c>
      <c r="K191" s="93" t="s">
        <v>1615</v>
      </c>
      <c r="L191" s="93" t="s">
        <v>4001</v>
      </c>
      <c r="M191" s="93" t="s">
        <v>6321</v>
      </c>
      <c r="N191" s="93" t="s">
        <v>6322</v>
      </c>
      <c r="O191" s="93" t="s">
        <v>4407</v>
      </c>
      <c r="P191" s="93" t="s">
        <v>4649</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3400</v>
      </c>
      <c r="BB191" s="98"/>
      <c r="BC191" s="93" t="s">
        <v>2527</v>
      </c>
      <c r="BD191" s="98"/>
      <c r="BE191" s="98"/>
      <c r="BF191" s="98"/>
      <c r="BG191" s="98"/>
      <c r="BH191" s="93" t="s">
        <v>3864</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3432</v>
      </c>
      <c r="K193" s="93" t="s">
        <v>1817</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4435</v>
      </c>
      <c r="BI193" s="98"/>
      <c r="BJ193" s="98"/>
      <c r="BK193" s="98"/>
      <c r="BL193" s="98"/>
      <c r="BM193" s="98"/>
      <c r="BN193" s="98"/>
      <c r="BO193" s="98"/>
      <c r="BP193" s="261"/>
      <c r="BQ193" s="98"/>
      <c r="BR193" s="93" t="s">
        <v>4794</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4" t="s">
        <v>6339</v>
      </c>
      <c r="B194" s="103" t="s">
        <v>1258</v>
      </c>
      <c r="C194" s="104" t="s">
        <v>1418</v>
      </c>
      <c r="D194" s="105" t="s">
        <v>1418</v>
      </c>
      <c r="E194" s="106" t="s">
        <v>1418</v>
      </c>
      <c r="F194" s="107" t="s">
        <v>1418</v>
      </c>
      <c r="G194" s="103" t="s">
        <v>439</v>
      </c>
      <c r="H194" s="222"/>
      <c r="I194" s="222"/>
      <c r="J194" s="222"/>
      <c r="K194" s="166" t="s">
        <v>3324</v>
      </c>
      <c r="L194" s="222"/>
      <c r="M194" s="222"/>
      <c r="N194" s="222"/>
      <c r="O194" s="222"/>
      <c r="P194" s="166" t="s">
        <v>6340</v>
      </c>
      <c r="Q194" s="222"/>
      <c r="R194" s="222"/>
      <c r="S194" s="222"/>
      <c r="T194" s="222"/>
      <c r="U194" s="222"/>
      <c r="V194" s="222"/>
      <c r="W194" s="92"/>
      <c r="X194" s="270"/>
      <c r="Y194" s="270"/>
      <c r="Z194" s="197" t="s">
        <v>4730</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2821</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6344</v>
      </c>
      <c r="B197" s="82" t="s">
        <v>2146</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6345</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6346</v>
      </c>
      <c r="B199" s="82" t="s">
        <v>4592</v>
      </c>
      <c r="C199" s="83" t="s">
        <v>1418</v>
      </c>
      <c r="D199" s="84" t="s">
        <v>1418</v>
      </c>
      <c r="E199" s="85" t="s">
        <v>1418</v>
      </c>
      <c r="F199" s="86" t="s">
        <v>219</v>
      </c>
      <c r="G199" s="82" t="s">
        <v>219</v>
      </c>
      <c r="H199" s="369" t="s">
        <v>6347</v>
      </c>
      <c r="I199" s="93"/>
      <c r="J199" s="98"/>
      <c r="K199" s="403" t="s">
        <v>4330</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3032</v>
      </c>
      <c r="AN199" s="98"/>
      <c r="AO199" s="369" t="s">
        <v>6348</v>
      </c>
      <c r="AP199" s="98"/>
      <c r="AQ199" s="98"/>
      <c r="AR199" s="98"/>
      <c r="AS199" s="98"/>
      <c r="AT199" s="98"/>
      <c r="AU199" s="98"/>
      <c r="AV199" s="98"/>
      <c r="AW199" s="98"/>
      <c r="AX199" s="369" t="s">
        <v>520</v>
      </c>
      <c r="AY199" s="98"/>
      <c r="AZ199" s="98"/>
      <c r="BA199" s="369" t="s">
        <v>6349</v>
      </c>
      <c r="BB199" s="98"/>
      <c r="BC199" s="369" t="s">
        <v>4698</v>
      </c>
      <c r="BD199" s="98"/>
      <c r="BE199" s="98"/>
      <c r="BF199" s="98"/>
      <c r="BG199" s="98"/>
      <c r="BH199" s="98"/>
      <c r="BI199" s="98"/>
      <c r="BJ199" s="98"/>
      <c r="BK199" s="98"/>
      <c r="BL199" s="98"/>
      <c r="BM199" s="369" t="s">
        <v>6350</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6351</v>
      </c>
      <c r="DP199" s="98"/>
      <c r="DQ199" s="98"/>
      <c r="DR199" s="98"/>
      <c r="DS199" s="98"/>
      <c r="DT199" s="98"/>
      <c r="DU199" s="98"/>
      <c r="DV199" s="98"/>
      <c r="DW199" s="98"/>
      <c r="DX199" s="98"/>
      <c r="DY199" s="98"/>
      <c r="DZ199" s="98"/>
      <c r="EA199" s="98"/>
      <c r="EB199" s="758" t="s">
        <v>1913</v>
      </c>
    </row>
    <row r="200">
      <c r="A200" s="102" t="s">
        <v>6352</v>
      </c>
      <c r="B200" s="103" t="s">
        <v>3267</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6353</v>
      </c>
      <c r="B201" s="82" t="s">
        <v>5077</v>
      </c>
      <c r="C201" s="83" t="s">
        <v>1418</v>
      </c>
      <c r="D201" s="84" t="s">
        <v>1418</v>
      </c>
      <c r="E201" s="85" t="s">
        <v>1418</v>
      </c>
      <c r="F201" s="86" t="s">
        <v>1418</v>
      </c>
      <c r="G201" s="82" t="s">
        <v>646</v>
      </c>
      <c r="H201" s="98"/>
      <c r="I201" s="93" t="s">
        <v>6354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6356</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6357</v>
      </c>
      <c r="B203" s="82" t="s">
        <v>4251</v>
      </c>
      <c r="C203" s="83" t="s">
        <v>1418</v>
      </c>
      <c r="D203" s="84" t="s">
        <v>1418</v>
      </c>
      <c r="E203" s="85" t="s">
        <v>1418</v>
      </c>
      <c r="F203" s="86" t="s">
        <v>1418</v>
      </c>
      <c r="G203" s="82" t="s">
        <v>646</v>
      </c>
      <c r="H203" s="98"/>
      <c r="I203" s="93"/>
      <c r="J203" s="98"/>
      <c r="K203" s="93" t="s">
        <v>4904</v>
      </c>
      <c r="L203" s="93" t="s">
        <v>6358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6359</v>
      </c>
      <c r="B204" s="103" t="s">
        <v>4910</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3663</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6360</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6361</v>
      </c>
      <c r="CG205" s="93" t="s">
        <v>4102</v>
      </c>
      <c r="CH205" s="93" t="s">
        <v>6362</v>
      </c>
      <c r="CI205" s="98"/>
      <c r="CJ205" s="98" t="s">
        <v>6363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6364</v>
      </c>
      <c r="DL205" s="93"/>
      <c r="DM205" s="98"/>
      <c r="DN205" s="98"/>
      <c r="DO205" s="98"/>
      <c r="DP205" s="98"/>
      <c r="DQ205" s="98"/>
      <c r="DR205" s="98"/>
      <c r="DS205" s="98"/>
      <c r="DT205" s="98"/>
      <c r="DU205" s="98"/>
      <c r="DV205" s="98"/>
      <c r="DW205" s="98"/>
      <c r="DX205" s="98"/>
      <c r="DY205" s="98"/>
      <c r="DZ205" s="98"/>
      <c r="EA205" s="98"/>
      <c r="EB205" s="395"/>
    </row>
    <row r="206">
      <c r="A206" s="165" t="s">
        <v>6365</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6366</v>
      </c>
      <c r="B207" s="82" t="s">
        <v>5707</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6367</v>
      </c>
      <c r="B208" s="103" t="s">
        <v>5707</v>
      </c>
      <c r="C208" s="104" t="s">
        <v>1418</v>
      </c>
      <c r="D208" s="105" t="s">
        <v>1418</v>
      </c>
      <c r="E208" s="106" t="s">
        <v>1418</v>
      </c>
      <c r="F208" s="107" t="s">
        <v>437</v>
      </c>
      <c r="G208" s="103" t="s">
        <v>437</v>
      </c>
      <c r="H208" s="112" t="s">
        <v>6368</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6369</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6370</v>
      </c>
      <c r="B209" s="82" t="s">
        <v>987</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6371</v>
      </c>
      <c r="B210" s="103" t="s">
        <v>913</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6372</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6373</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6374</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Q42"/>
    <hyperlink r:id="rId2452" ref="DV42"/>
    <hyperlink r:id="rId2453" ref="DX42"/>
    <hyperlink r:id="rId2454" ref="EA42"/>
    <hyperlink r:id="rId2455" ref="K43"/>
    <hyperlink r:id="rId2456" ref="M43"/>
    <hyperlink r:id="rId2457" ref="N43"/>
    <hyperlink r:id="rId2458" ref="O43"/>
    <hyperlink r:id="rId2459" ref="P43"/>
    <hyperlink r:id="rId2460" ref="S43"/>
    <hyperlink r:id="rId2461" ref="X43"/>
    <hyperlink r:id="rId2462" ref="AC43"/>
    <hyperlink r:id="rId2463" ref="AF43"/>
    <hyperlink r:id="rId2464" ref="AM43"/>
    <hyperlink r:id="rId2465" ref="AS43"/>
    <hyperlink r:id="rId2466" ref="BA43"/>
    <hyperlink r:id="rId2467" ref="BC43"/>
    <hyperlink r:id="rId2468" ref="BD43"/>
    <hyperlink r:id="rId2469" ref="BH43"/>
    <hyperlink r:id="rId2470" ref="BK43"/>
    <hyperlink r:id="rId2471" ref="BQ43"/>
    <hyperlink r:id="rId2472" ref="BR43"/>
    <hyperlink r:id="rId2473" ref="BS43"/>
    <hyperlink r:id="rId2474" ref="BT43"/>
    <hyperlink r:id="rId2475" ref="BU43"/>
    <hyperlink r:id="rId2476" ref="BV43"/>
    <hyperlink r:id="rId2477" ref="CA43"/>
    <hyperlink r:id="rId2478" ref="CC43"/>
    <hyperlink r:id="rId2479" ref="CD43"/>
    <hyperlink r:id="rId2480" ref="CL43"/>
    <hyperlink r:id="rId2481" ref="CO43"/>
    <hyperlink r:id="rId2482" ref="CW43"/>
    <hyperlink r:id="rId2483" ref="CZ43"/>
    <hyperlink r:id="rId2484" ref="DK43"/>
    <hyperlink r:id="rId2485" ref="DQ43"/>
    <hyperlink r:id="rId2486" ref="DX43"/>
    <hyperlink r:id="rId2487" ref="I44"/>
    <hyperlink r:id="rId2488" ref="J44"/>
    <hyperlink r:id="rId2489" ref="K44"/>
    <hyperlink r:id="rId2490" ref="L44"/>
    <hyperlink r:id="rId2491" ref="M44"/>
    <hyperlink r:id="rId2492" ref="N44"/>
    <hyperlink r:id="rId2493" ref="O44"/>
    <hyperlink r:id="rId2494" ref="X44"/>
    <hyperlink r:id="rId2495" ref="Z44"/>
    <hyperlink r:id="rId2496" ref="AA44"/>
    <hyperlink r:id="rId2497" ref="AB44"/>
    <hyperlink r:id="rId2498" ref="AF44"/>
    <hyperlink r:id="rId2499" ref="AM44"/>
    <hyperlink r:id="rId2500" ref="AU44"/>
    <hyperlink r:id="rId2501" ref="BA44"/>
    <hyperlink r:id="rId2502" ref="BB44"/>
    <hyperlink r:id="rId2503" ref="BD44"/>
    <hyperlink r:id="rId2504" ref="BH44"/>
    <hyperlink r:id="rId2505" ref="BI44"/>
    <hyperlink r:id="rId2506" ref="BJ44"/>
    <hyperlink r:id="rId2507" ref="BQ44"/>
    <hyperlink r:id="rId2508" ref="BS44"/>
    <hyperlink r:id="rId2509" ref="BV44"/>
    <hyperlink r:id="rId2510" ref="BX44"/>
    <hyperlink r:id="rId2511" ref="BY44"/>
    <hyperlink r:id="rId2512" ref="BZ44"/>
    <hyperlink r:id="rId2513" ref="CG44"/>
    <hyperlink r:id="rId2514" ref="CH44"/>
    <hyperlink r:id="rId2515" ref="CI44"/>
    <hyperlink r:id="rId2516" ref="CK44"/>
    <hyperlink r:id="rId2517" ref="CL44"/>
    <hyperlink r:id="rId2518" ref="CM44"/>
    <hyperlink r:id="rId2519" ref="CT44"/>
    <hyperlink r:id="rId2520" ref="CV44"/>
    <hyperlink r:id="rId2521" ref="CW44"/>
    <hyperlink r:id="rId2522" ref="CZ44"/>
    <hyperlink r:id="rId2523" ref="DA44"/>
    <hyperlink r:id="rId2524" ref="DP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H50"/>
    <hyperlink r:id="rId2641" ref="I50"/>
    <hyperlink r:id="rId2642" ref="J50"/>
    <hyperlink r:id="rId2643" ref="K50"/>
    <hyperlink r:id="rId2644" ref="L50"/>
    <hyperlink r:id="rId2645" ref="M50"/>
    <hyperlink r:id="rId2646" ref="N50"/>
    <hyperlink r:id="rId2647" ref="O50"/>
    <hyperlink r:id="rId2648" ref="P50"/>
    <hyperlink r:id="rId2649" ref="Q50"/>
    <hyperlink r:id="rId2650" ref="S50"/>
    <hyperlink r:id="rId2651" ref="X50"/>
    <hyperlink r:id="rId2652" ref="Y50"/>
    <hyperlink r:id="rId2653" ref="Z50"/>
    <hyperlink r:id="rId2654" ref="AA50"/>
    <hyperlink r:id="rId2655" ref="AB50"/>
    <hyperlink r:id="rId2656" ref="AC50"/>
    <hyperlink r:id="rId2657" ref="AD50"/>
    <hyperlink r:id="rId2658" ref="AE50"/>
    <hyperlink r:id="rId2659" ref="AF50"/>
    <hyperlink r:id="rId2660" ref="AI50"/>
    <hyperlink r:id="rId2661" ref="AJ50"/>
    <hyperlink r:id="rId2662" ref="AL50"/>
    <hyperlink r:id="rId2663" ref="AM50"/>
    <hyperlink r:id="rId2664" ref="AN50"/>
    <hyperlink r:id="rId2665" ref="AO50"/>
    <hyperlink r:id="rId2666" ref="AP50"/>
    <hyperlink r:id="rId2667" ref="AQ50"/>
    <hyperlink r:id="rId2668" ref="AR50"/>
    <hyperlink r:id="rId2669" ref="AS50"/>
    <hyperlink r:id="rId2670" ref="AT50"/>
    <hyperlink r:id="rId2671" ref="AU50"/>
    <hyperlink r:id="rId2672" ref="AV50"/>
    <hyperlink r:id="rId2673" ref="AY50"/>
    <hyperlink r:id="rId2674" ref="BA50"/>
    <hyperlink r:id="rId2675" ref="BB50"/>
    <hyperlink r:id="rId2676" ref="BC50"/>
    <hyperlink r:id="rId2677" ref="BD50"/>
    <hyperlink r:id="rId2678" ref="BE50"/>
    <hyperlink r:id="rId2679" ref="BH50"/>
    <hyperlink r:id="rId2680" ref="BJ50"/>
    <hyperlink r:id="rId2681" ref="BK50"/>
    <hyperlink r:id="rId2682" ref="BL50"/>
    <hyperlink r:id="rId2683" ref="BM50"/>
    <hyperlink r:id="rId2684" ref="BN50"/>
    <hyperlink r:id="rId2685" ref="BO50"/>
    <hyperlink r:id="rId2686" ref="BQ50"/>
    <hyperlink r:id="rId2687" ref="BR50"/>
    <hyperlink r:id="rId2688" ref="BS50"/>
    <hyperlink r:id="rId2689" ref="BT50"/>
    <hyperlink r:id="rId2690" ref="BU50"/>
    <hyperlink r:id="rId2691" ref="BV50"/>
    <hyperlink r:id="rId2692" ref="BW50"/>
    <hyperlink r:id="rId2693" ref="BY50"/>
    <hyperlink r:id="rId2694" ref="BZ50"/>
    <hyperlink r:id="rId2695" ref="CA50"/>
    <hyperlink r:id="rId2696" ref="CD50"/>
    <hyperlink r:id="rId2697" ref="CF50"/>
    <hyperlink r:id="rId2698" ref="CG50"/>
    <hyperlink r:id="rId2699" ref="CH50"/>
    <hyperlink r:id="rId2700" ref="CI50"/>
    <hyperlink r:id="rId2701" ref="CJ50"/>
    <hyperlink r:id="rId2702" ref="CK50"/>
    <hyperlink r:id="rId2703" ref="CL50"/>
    <hyperlink r:id="rId2704" ref="CM50"/>
    <hyperlink r:id="rId2705" ref="CR50"/>
    <hyperlink r:id="rId2706" ref="CT50"/>
    <hyperlink r:id="rId2707" ref="CU50"/>
    <hyperlink r:id="rId2708" ref="CV50"/>
    <hyperlink r:id="rId2709" ref="CW50"/>
    <hyperlink r:id="rId2710" ref="CX50"/>
    <hyperlink r:id="rId2711" ref="CY50"/>
    <hyperlink r:id="rId2712" ref="CZ50"/>
    <hyperlink r:id="rId2713" ref="DA50"/>
    <hyperlink r:id="rId2714" ref="DB50"/>
    <hyperlink r:id="rId2715" ref="DC50"/>
    <hyperlink r:id="rId2716" ref="DE50"/>
    <hyperlink r:id="rId2717" ref="DG50"/>
    <hyperlink r:id="rId2718" ref="DK50"/>
    <hyperlink r:id="rId2719" ref="DL50"/>
    <hyperlink r:id="rId2720" ref="DM50"/>
    <hyperlink r:id="rId2721" ref="DP50"/>
    <hyperlink r:id="rId2722" ref="DQ50"/>
    <hyperlink r:id="rId2723" ref="DR50"/>
    <hyperlink r:id="rId2724" ref="DS50"/>
    <hyperlink r:id="rId2725" ref="DU50"/>
    <hyperlink r:id="rId2726" ref="DY50"/>
    <hyperlink r:id="rId2727" ref="DZ50"/>
    <hyperlink r:id="rId2728" ref="EA50"/>
    <hyperlink r:id="rId2729" ref="EB50"/>
    <hyperlink r:id="rId2730" ref="R51"/>
    <hyperlink r:id="rId2731" ref="AD51"/>
    <hyperlink r:id="rId2732" ref="AG51"/>
    <hyperlink r:id="rId2733" ref="AH51"/>
    <hyperlink r:id="rId2734" ref="AM51"/>
    <hyperlink r:id="rId2735" ref="AO51"/>
    <hyperlink r:id="rId2736" ref="H52"/>
    <hyperlink r:id="rId2737" ref="J52"/>
    <hyperlink r:id="rId2738" ref="M52"/>
    <hyperlink r:id="rId2739" ref="P52"/>
    <hyperlink r:id="rId2740" ref="Q52"/>
    <hyperlink r:id="rId2741" ref="X52"/>
    <hyperlink r:id="rId2742" ref="Y52"/>
    <hyperlink r:id="rId2743" ref="AA52"/>
    <hyperlink r:id="rId2744" ref="AB52"/>
    <hyperlink r:id="rId2745" ref="AC52"/>
    <hyperlink r:id="rId2746" ref="AE52"/>
    <hyperlink r:id="rId2747" ref="AF52"/>
    <hyperlink r:id="rId2748" ref="AI52"/>
    <hyperlink r:id="rId2749" ref="AM52"/>
    <hyperlink r:id="rId2750" ref="AN52"/>
    <hyperlink r:id="rId2751" ref="AO52"/>
    <hyperlink r:id="rId2752" ref="AT52"/>
    <hyperlink r:id="rId2753" ref="AX52"/>
    <hyperlink r:id="rId2754" ref="AY52"/>
    <hyperlink r:id="rId2755" ref="BB52"/>
    <hyperlink r:id="rId2756" ref="BE52"/>
    <hyperlink r:id="rId2757" ref="BI52"/>
    <hyperlink r:id="rId2758" ref="BK52"/>
    <hyperlink r:id="rId2759" ref="BO52"/>
    <hyperlink r:id="rId2760" ref="BT52"/>
    <hyperlink r:id="rId2761" ref="BV52"/>
    <hyperlink r:id="rId2762" ref="BW52"/>
    <hyperlink r:id="rId2763" ref="BX52"/>
    <hyperlink r:id="rId2764" ref="BZ52"/>
    <hyperlink r:id="rId2765" ref="CA52"/>
    <hyperlink r:id="rId2766" ref="CB52"/>
    <hyperlink r:id="rId2767" ref="CC52"/>
    <hyperlink r:id="rId2768" ref="CF52"/>
    <hyperlink r:id="rId2769" ref="CH52"/>
    <hyperlink r:id="rId2770" ref="CI52"/>
    <hyperlink r:id="rId2771" ref="CL52"/>
    <hyperlink r:id="rId2772" ref="CM52"/>
    <hyperlink r:id="rId2773" ref="CQ52"/>
    <hyperlink r:id="rId2774" ref="CR52"/>
    <hyperlink r:id="rId2775" ref="CW52"/>
    <hyperlink r:id="rId2776" ref="CZ52"/>
    <hyperlink r:id="rId2777" ref="DA52"/>
    <hyperlink r:id="rId2778" ref="DP52"/>
    <hyperlink r:id="rId2779" ref="DT52"/>
    <hyperlink r:id="rId2780" ref="DY52"/>
    <hyperlink r:id="rId2781" ref="EA52"/>
    <hyperlink r:id="rId2782" ref="H53"/>
    <hyperlink r:id="rId2783" ref="I53"/>
    <hyperlink r:id="rId2784" ref="J53"/>
    <hyperlink r:id="rId2785" ref="K53"/>
    <hyperlink r:id="rId2786" ref="P53"/>
    <hyperlink r:id="rId2787" ref="AM53"/>
    <hyperlink r:id="rId2788" ref="BE53"/>
    <hyperlink r:id="rId2789" ref="CF53"/>
    <hyperlink r:id="rId2790" ref="H54"/>
    <hyperlink r:id="rId2791" ref="I54"/>
    <hyperlink r:id="rId2792" ref="M54"/>
    <hyperlink r:id="rId2793" ref="O54"/>
    <hyperlink r:id="rId2794" ref="AA54"/>
    <hyperlink r:id="rId2795" ref="AD54"/>
    <hyperlink r:id="rId2796" ref="AE54"/>
    <hyperlink r:id="rId2797" ref="AL54"/>
    <hyperlink r:id="rId2798" ref="AM54"/>
    <hyperlink r:id="rId2799" ref="AP54"/>
    <hyperlink r:id="rId2800" ref="AQ54"/>
    <hyperlink r:id="rId2801" ref="AU54"/>
    <hyperlink r:id="rId2802" ref="BD54"/>
    <hyperlink r:id="rId2803" ref="BV54"/>
    <hyperlink r:id="rId2804" ref="CC54"/>
    <hyperlink r:id="rId2805" ref="CT54"/>
    <hyperlink r:id="rId2806" ref="CV54"/>
    <hyperlink r:id="rId2807" ref="CW54"/>
    <hyperlink r:id="rId2808" ref="CZ54"/>
    <hyperlink r:id="rId2809" ref="DL54"/>
    <hyperlink r:id="rId2810" ref="L55"/>
    <hyperlink r:id="rId2811" ref="AA55"/>
    <hyperlink r:id="rId2812" ref="BR55"/>
    <hyperlink r:id="rId2813" ref="BU55"/>
    <hyperlink r:id="rId2814" ref="CI55"/>
    <hyperlink r:id="rId2815" ref="CV55"/>
    <hyperlink r:id="rId2816" ref="DB55"/>
    <hyperlink r:id="rId2817" ref="DE55"/>
    <hyperlink r:id="rId2818" ref="K56"/>
    <hyperlink r:id="rId2819" ref="O56"/>
    <hyperlink r:id="rId2820" ref="P56"/>
    <hyperlink r:id="rId2821" ref="Q56"/>
    <hyperlink r:id="rId2822" ref="U56"/>
    <hyperlink r:id="rId2823" ref="X56"/>
    <hyperlink r:id="rId2824" ref="AB56"/>
    <hyperlink r:id="rId2825" ref="BE56"/>
    <hyperlink r:id="rId2826" ref="BF56"/>
    <hyperlink r:id="rId2827" ref="BV56"/>
    <hyperlink r:id="rId2828" ref="CB56"/>
    <hyperlink r:id="rId2829" ref="CC56"/>
    <hyperlink r:id="rId2830" ref="CY56"/>
    <hyperlink r:id="rId2831" ref="DK56"/>
    <hyperlink r:id="rId2832" ref="DX56"/>
    <hyperlink r:id="rId2833" ref="O57"/>
    <hyperlink r:id="rId2834" ref="X57"/>
    <hyperlink r:id="rId2835" ref="BF57"/>
    <hyperlink r:id="rId2836" ref="BT57"/>
    <hyperlink r:id="rId2837" ref="DK57"/>
    <hyperlink r:id="rId2838" ref="H58"/>
    <hyperlink r:id="rId2839" ref="I58"/>
    <hyperlink r:id="rId2840" ref="J58"/>
    <hyperlink r:id="rId2841" ref="K58"/>
    <hyperlink r:id="rId2842" ref="L58"/>
    <hyperlink r:id="rId2843" ref="M58"/>
    <hyperlink r:id="rId2844" ref="N58"/>
    <hyperlink r:id="rId2845" ref="O58"/>
    <hyperlink r:id="rId2846" ref="P58"/>
    <hyperlink r:id="rId2847" ref="S58"/>
    <hyperlink r:id="rId2848" ref="U58"/>
    <hyperlink r:id="rId2849" ref="X58"/>
    <hyperlink r:id="rId2850" ref="Y58"/>
    <hyperlink r:id="rId2851" ref="Z58"/>
    <hyperlink r:id="rId2852" ref="AA58"/>
    <hyperlink r:id="rId2853" ref="AB58"/>
    <hyperlink r:id="rId2854" ref="AC58"/>
    <hyperlink r:id="rId2855" ref="AE58"/>
    <hyperlink r:id="rId2856" ref="AF58"/>
    <hyperlink r:id="rId2857" ref="AI58"/>
    <hyperlink r:id="rId2858" ref="AM58"/>
    <hyperlink r:id="rId2859" ref="AO58"/>
    <hyperlink r:id="rId2860" ref="AT58"/>
    <hyperlink r:id="rId2861" ref="AU58"/>
    <hyperlink r:id="rId2862" ref="AX58"/>
    <hyperlink r:id="rId2863" ref="BA58"/>
    <hyperlink r:id="rId2864" ref="BB58"/>
    <hyperlink r:id="rId2865" ref="BC58"/>
    <hyperlink r:id="rId2866" ref="BE58"/>
    <hyperlink r:id="rId2867" ref="BF58"/>
    <hyperlink r:id="rId2868" ref="BH58"/>
    <hyperlink r:id="rId2869" ref="BI58"/>
    <hyperlink r:id="rId2870" ref="BJ58"/>
    <hyperlink r:id="rId2871" ref="BK58"/>
    <hyperlink r:id="rId2872" ref="BM58"/>
    <hyperlink r:id="rId2873" ref="BN58"/>
    <hyperlink r:id="rId2874" ref="BQ58"/>
    <hyperlink r:id="rId2875" ref="BR58"/>
    <hyperlink r:id="rId2876" ref="BS58"/>
    <hyperlink r:id="rId2877" ref="BT58"/>
    <hyperlink r:id="rId2878" ref="BU58"/>
    <hyperlink r:id="rId2879" ref="BV58"/>
    <hyperlink r:id="rId2880" ref="BX58"/>
    <hyperlink r:id="rId2881" ref="BY58"/>
    <hyperlink r:id="rId2882" ref="BZ58"/>
    <hyperlink r:id="rId2883" ref="CB58"/>
    <hyperlink r:id="rId2884" ref="CC58"/>
    <hyperlink r:id="rId2885" ref="CF58"/>
    <hyperlink r:id="rId2886" ref="CG58"/>
    <hyperlink r:id="rId2887" ref="CH58"/>
    <hyperlink r:id="rId2888" ref="CI58"/>
    <hyperlink r:id="rId2889" ref="CJ58"/>
    <hyperlink r:id="rId2890" ref="CK58"/>
    <hyperlink r:id="rId2891" ref="CL58"/>
    <hyperlink r:id="rId2892" ref="CM58"/>
    <hyperlink r:id="rId2893" ref="CQ58"/>
    <hyperlink r:id="rId2894" ref="CT58"/>
    <hyperlink r:id="rId2895" ref="CU58"/>
    <hyperlink r:id="rId2896" ref="CV58"/>
    <hyperlink r:id="rId2897" ref="CW58"/>
    <hyperlink r:id="rId2898" ref="CX58"/>
    <hyperlink r:id="rId2899" ref="CZ58"/>
    <hyperlink r:id="rId2900" ref="DA58"/>
    <hyperlink r:id="rId2901" ref="DG58"/>
    <hyperlink r:id="rId2902" ref="DK58"/>
    <hyperlink r:id="rId2903" ref="DN58"/>
    <hyperlink r:id="rId2904" ref="DP58"/>
    <hyperlink r:id="rId2905" ref="DU58"/>
    <hyperlink r:id="rId2906" ref="DY58"/>
    <hyperlink r:id="rId2907" ref="EA58"/>
    <hyperlink r:id="rId2908" ref="EB58"/>
    <hyperlink r:id="rId2909" ref="K59"/>
    <hyperlink r:id="rId2910" ref="L59"/>
    <hyperlink r:id="rId2911" ref="N59"/>
    <hyperlink r:id="rId2912" ref="R59"/>
    <hyperlink r:id="rId2913" ref="U59"/>
    <hyperlink r:id="rId2914" ref="AU59"/>
    <hyperlink r:id="rId2915" ref="BB59"/>
    <hyperlink r:id="rId2916" ref="BC59"/>
    <hyperlink r:id="rId2917" ref="BH59"/>
    <hyperlink r:id="rId2918" ref="BM59"/>
    <hyperlink r:id="rId2919" ref="BQ59"/>
    <hyperlink r:id="rId2920" ref="CO59"/>
    <hyperlink r:id="rId2921" ref="CV59"/>
    <hyperlink r:id="rId2922" ref="DA59"/>
    <hyperlink r:id="rId2923" ref="K60"/>
    <hyperlink r:id="rId2924" ref="N60"/>
    <hyperlink r:id="rId2925" ref="O60"/>
    <hyperlink r:id="rId2926" ref="P60"/>
    <hyperlink r:id="rId2927" ref="AC60"/>
    <hyperlink r:id="rId2928" ref="BH60"/>
    <hyperlink r:id="rId2929" ref="BS60"/>
    <hyperlink r:id="rId2930" ref="BT60"/>
    <hyperlink r:id="rId2931" ref="BV60"/>
    <hyperlink r:id="rId2932" ref="CG60"/>
    <hyperlink r:id="rId2933" ref="CJ60"/>
    <hyperlink r:id="rId2934" ref="CK60"/>
    <hyperlink r:id="rId2935" ref="CL60"/>
    <hyperlink r:id="rId2936" ref="DA60"/>
    <hyperlink r:id="rId2937" ref="DK60"/>
    <hyperlink r:id="rId2938" ref="DN60"/>
    <hyperlink r:id="rId2939" ref="DP60"/>
    <hyperlink r:id="rId2940" ref="EB60"/>
    <hyperlink r:id="rId2941" ref="H61"/>
    <hyperlink r:id="rId2942" ref="I61"/>
    <hyperlink r:id="rId2943" ref="J61"/>
    <hyperlink r:id="rId2944" ref="K61"/>
    <hyperlink r:id="rId2945" ref="L61"/>
    <hyperlink r:id="rId2946" ref="X61"/>
    <hyperlink r:id="rId2947" ref="Y61"/>
    <hyperlink r:id="rId2948" ref="Z61"/>
    <hyperlink r:id="rId2949" ref="AT61"/>
    <hyperlink r:id="rId2950" ref="AU61"/>
    <hyperlink r:id="rId2951" ref="BC61"/>
    <hyperlink r:id="rId2952" ref="BD61"/>
    <hyperlink r:id="rId2953" ref="CG61"/>
    <hyperlink r:id="rId2954" ref="CK61"/>
    <hyperlink r:id="rId2955" ref="CV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F75"/>
    <hyperlink r:id="rId3250" ref="BH75"/>
    <hyperlink r:id="rId3251" ref="BS75"/>
    <hyperlink r:id="rId3252" ref="CF75"/>
    <hyperlink r:id="rId3253" ref="CG75"/>
    <hyperlink r:id="rId3254" ref="CH75"/>
    <hyperlink r:id="rId3255" ref="CV75"/>
    <hyperlink r:id="rId3256" ref="CY75"/>
    <hyperlink r:id="rId3257" ref="CZ75"/>
    <hyperlink r:id="rId3258" ref="BW76"/>
    <hyperlink r:id="rId3259" ref="CI76"/>
    <hyperlink r:id="rId3260" ref="BW79"/>
    <hyperlink r:id="rId3261" ref="I80"/>
    <hyperlink r:id="rId3262" ref="L80"/>
    <hyperlink r:id="rId3263" ref="P80"/>
    <hyperlink r:id="rId3264" ref="X80"/>
    <hyperlink r:id="rId3265" ref="Z80"/>
    <hyperlink r:id="rId3266" ref="AB80"/>
    <hyperlink r:id="rId3267" ref="BD80"/>
    <hyperlink r:id="rId3268" ref="BT80"/>
    <hyperlink r:id="rId3269" ref="BV80"/>
    <hyperlink r:id="rId3270" ref="CL80"/>
    <hyperlink r:id="rId3271" ref="CM80"/>
    <hyperlink r:id="rId3272" ref="CZ80"/>
    <hyperlink r:id="rId3273" ref="H81"/>
    <hyperlink r:id="rId3274" ref="Q81"/>
    <hyperlink r:id="rId3275" ref="AC81"/>
    <hyperlink r:id="rId3276" ref="AE81"/>
    <hyperlink r:id="rId3277" ref="BC81"/>
    <hyperlink r:id="rId3278" ref="BQ81"/>
    <hyperlink r:id="rId3279" ref="BT81"/>
    <hyperlink r:id="rId3280" ref="CL81"/>
    <hyperlink r:id="rId3281" ref="CR81"/>
    <hyperlink r:id="rId3282" ref="DE81"/>
    <hyperlink r:id="rId3283" ref="DK81"/>
    <hyperlink r:id="rId3284" ref="DZ81"/>
    <hyperlink r:id="rId3285" ref="EA81"/>
    <hyperlink r:id="rId3286" ref="EB81"/>
    <hyperlink r:id="rId3287" ref="H82"/>
    <hyperlink r:id="rId3288" ref="I82"/>
    <hyperlink r:id="rId3289" ref="K82"/>
    <hyperlink r:id="rId3290" ref="L82"/>
    <hyperlink r:id="rId3291" ref="M82"/>
    <hyperlink r:id="rId3292" ref="N82"/>
    <hyperlink r:id="rId3293" ref="O82"/>
    <hyperlink r:id="rId3294" ref="P82"/>
    <hyperlink r:id="rId3295" ref="Q82"/>
    <hyperlink r:id="rId3296" ref="X82"/>
    <hyperlink r:id="rId3297" ref="Y82"/>
    <hyperlink r:id="rId3298" ref="Z82"/>
    <hyperlink r:id="rId3299" ref="AC82"/>
    <hyperlink r:id="rId3300" ref="AD82"/>
    <hyperlink r:id="rId3301" ref="AE82"/>
    <hyperlink r:id="rId3302" ref="AF82"/>
    <hyperlink r:id="rId3303" ref="AT82"/>
    <hyperlink r:id="rId3304" ref="AU82"/>
    <hyperlink r:id="rId3305" ref="AV82"/>
    <hyperlink r:id="rId3306" ref="BA82"/>
    <hyperlink r:id="rId3307" ref="BB82"/>
    <hyperlink r:id="rId3308" ref="BC82"/>
    <hyperlink r:id="rId3309" ref="BD82"/>
    <hyperlink r:id="rId3310" ref="BH82"/>
    <hyperlink r:id="rId3311" ref="BK82"/>
    <hyperlink r:id="rId3312" ref="BN82"/>
    <hyperlink r:id="rId3313" ref="BS82"/>
    <hyperlink r:id="rId3314" ref="BT82"/>
    <hyperlink r:id="rId3315" ref="BU82"/>
    <hyperlink r:id="rId3316" ref="BV82"/>
    <hyperlink r:id="rId3317" ref="BZ82"/>
    <hyperlink r:id="rId3318" ref="CA82"/>
    <hyperlink r:id="rId3319" ref="CB82"/>
    <hyperlink r:id="rId3320" ref="CG82"/>
    <hyperlink r:id="rId3321" ref="CH82"/>
    <hyperlink r:id="rId3322" ref="CJ82"/>
    <hyperlink r:id="rId3323" ref="CK82"/>
    <hyperlink r:id="rId3324" ref="CL82"/>
    <hyperlink r:id="rId3325" ref="CM82"/>
    <hyperlink r:id="rId3326" ref="CU82"/>
    <hyperlink r:id="rId3327" ref="CZ82"/>
    <hyperlink r:id="rId3328" ref="DJ82"/>
    <hyperlink r:id="rId3329" ref="DK82"/>
    <hyperlink r:id="rId3330" ref="DP82"/>
    <hyperlink r:id="rId3331" ref="DQ82"/>
    <hyperlink r:id="rId3332" ref="DR82"/>
    <hyperlink r:id="rId3333" ref="DU82"/>
    <hyperlink r:id="rId3334" ref="EB82"/>
    <hyperlink r:id="rId3335" ref="M83"/>
    <hyperlink r:id="rId3336" ref="BW83"/>
    <hyperlink r:id="rId3337" ref="CH84"/>
    <hyperlink r:id="rId3338" ref="CW84"/>
    <hyperlink r:id="rId3339" ref="P88"/>
    <hyperlink r:id="rId3340" ref="Q88"/>
    <hyperlink r:id="rId3341" ref="R88"/>
    <hyperlink r:id="rId3342" ref="S88"/>
    <hyperlink r:id="rId3343" ref="T88"/>
    <hyperlink r:id="rId3344" ref="U88"/>
    <hyperlink r:id="rId3345" ref="AF88"/>
    <hyperlink r:id="rId3346" ref="AH88"/>
    <hyperlink r:id="rId3347" ref="AI88"/>
    <hyperlink r:id="rId3348" ref="AJ88"/>
    <hyperlink r:id="rId3349" ref="AO88"/>
    <hyperlink r:id="rId3350" ref="AP88"/>
    <hyperlink r:id="rId3351" ref="AQ88"/>
    <hyperlink r:id="rId3352" ref="AS88"/>
    <hyperlink r:id="rId3353" ref="AT88"/>
    <hyperlink r:id="rId3354" ref="AU88"/>
    <hyperlink r:id="rId3355" ref="AW88"/>
    <hyperlink r:id="rId3356" ref="AX88"/>
    <hyperlink r:id="rId3357" ref="AY88"/>
    <hyperlink r:id="rId3358" ref="BB88"/>
    <hyperlink r:id="rId3359" ref="BR88"/>
    <hyperlink r:id="rId3360" ref="BT88"/>
    <hyperlink r:id="rId3361" ref="BZ88"/>
    <hyperlink r:id="rId3362" ref="CH88"/>
    <hyperlink r:id="rId3363" ref="CM88"/>
    <hyperlink r:id="rId3364" ref="CO88"/>
    <hyperlink r:id="rId3365" ref="CP88"/>
    <hyperlink r:id="rId3366" ref="CV88"/>
    <hyperlink r:id="rId3367" ref="CX88"/>
    <hyperlink r:id="rId3368" ref="DA88"/>
    <hyperlink r:id="rId3369" ref="DQ88"/>
    <hyperlink r:id="rId3370" ref="EB88"/>
    <hyperlink r:id="rId3371" ref="AI89"/>
    <hyperlink r:id="rId3372" ref="AU89"/>
    <hyperlink r:id="rId3373" ref="CD89"/>
    <hyperlink r:id="rId3374" ref="CR89"/>
    <hyperlink r:id="rId3375" ref="CU89"/>
    <hyperlink r:id="rId3376" ref="DB89"/>
    <hyperlink r:id="rId3377" ref="DM89"/>
    <hyperlink r:id="rId3378" ref="P90"/>
    <hyperlink r:id="rId3379" ref="Z90"/>
    <hyperlink r:id="rId3380" ref="AA90"/>
    <hyperlink r:id="rId3381" ref="AB90"/>
    <hyperlink r:id="rId3382" ref="AF90"/>
    <hyperlink r:id="rId3383" ref="AX90"/>
    <hyperlink r:id="rId3384" ref="BD90"/>
    <hyperlink r:id="rId3385" ref="BS90"/>
    <hyperlink r:id="rId3386" ref="BZ90"/>
    <hyperlink r:id="rId3387" ref="CA90"/>
    <hyperlink r:id="rId3388" ref="CC90"/>
    <hyperlink r:id="rId3389" ref="CG90"/>
    <hyperlink r:id="rId3390" ref="CM90"/>
    <hyperlink r:id="rId3391" ref="DE90"/>
    <hyperlink r:id="rId3392" ref="I91"/>
    <hyperlink r:id="rId3393" ref="J91"/>
    <hyperlink r:id="rId3394" ref="K91"/>
    <hyperlink r:id="rId3395" ref="L91"/>
    <hyperlink r:id="rId3396" ref="M91"/>
    <hyperlink r:id="rId3397" ref="N91"/>
    <hyperlink r:id="rId3398" ref="O91"/>
    <hyperlink r:id="rId3399" ref="P91"/>
    <hyperlink r:id="rId3400" ref="Q91"/>
    <hyperlink r:id="rId3401" ref="S91"/>
    <hyperlink r:id="rId3402" ref="T91"/>
    <hyperlink r:id="rId3403" ref="X91"/>
    <hyperlink r:id="rId3404" ref="Z91"/>
    <hyperlink r:id="rId3405" ref="AB91"/>
    <hyperlink r:id="rId3406" ref="AE91"/>
    <hyperlink r:id="rId3407" ref="AF91"/>
    <hyperlink r:id="rId3408" ref="AT91"/>
    <hyperlink r:id="rId3409" ref="AU91"/>
    <hyperlink r:id="rId3410" ref="AV91"/>
    <hyperlink r:id="rId3411" ref="AX91"/>
    <hyperlink r:id="rId3412" ref="BD91"/>
    <hyperlink r:id="rId3413" ref="BE91"/>
    <hyperlink r:id="rId3414" ref="BH91"/>
    <hyperlink r:id="rId3415" ref="BJ91"/>
    <hyperlink r:id="rId3416" ref="BK91"/>
    <hyperlink r:id="rId3417" ref="BM91"/>
    <hyperlink r:id="rId3418" ref="BQ91"/>
    <hyperlink r:id="rId3419" ref="BT91"/>
    <hyperlink r:id="rId3420" ref="BZ91"/>
    <hyperlink r:id="rId3421" ref="CA91"/>
    <hyperlink r:id="rId3422" ref="CC91"/>
    <hyperlink r:id="rId3423" ref="CF91"/>
    <hyperlink r:id="rId3424" ref="CG91"/>
    <hyperlink r:id="rId3425" ref="CI91"/>
    <hyperlink r:id="rId3426" ref="CJ91"/>
    <hyperlink r:id="rId3427" ref="CK91"/>
    <hyperlink r:id="rId3428" ref="CM91"/>
    <hyperlink r:id="rId3429" ref="CQ91"/>
    <hyperlink r:id="rId3430" ref="CW91"/>
    <hyperlink r:id="rId3431" ref="DA91"/>
    <hyperlink r:id="rId3432" ref="DD91"/>
    <hyperlink r:id="rId3433" ref="DM91"/>
    <hyperlink r:id="rId3434" ref="DY91"/>
    <hyperlink r:id="rId3435" ref="L92"/>
    <hyperlink r:id="rId3436" ref="P92"/>
    <hyperlink r:id="rId3437" ref="S92"/>
    <hyperlink r:id="rId3438" ref="V92"/>
    <hyperlink r:id="rId3439" ref="X92"/>
    <hyperlink r:id="rId3440" ref="Y92"/>
    <hyperlink r:id="rId3441" ref="Z92"/>
    <hyperlink r:id="rId3442" ref="AA92"/>
    <hyperlink r:id="rId3443" ref="AB92"/>
    <hyperlink r:id="rId3444" ref="AF92"/>
    <hyperlink r:id="rId3445" ref="AO92"/>
    <hyperlink r:id="rId3446" ref="AQ92"/>
    <hyperlink r:id="rId3447" ref="AV92"/>
    <hyperlink r:id="rId3448" ref="BC92"/>
    <hyperlink r:id="rId3449" ref="BD92"/>
    <hyperlink r:id="rId3450" ref="BH92"/>
    <hyperlink r:id="rId3451" ref="BM92"/>
    <hyperlink r:id="rId3452" ref="BO92"/>
    <hyperlink r:id="rId3453" ref="BQ92"/>
    <hyperlink r:id="rId3454" ref="BT92"/>
    <hyperlink r:id="rId3455" ref="BX92"/>
    <hyperlink r:id="rId3456" ref="CA92"/>
    <hyperlink r:id="rId3457" ref="CD92"/>
    <hyperlink r:id="rId3458" ref="CG92"/>
    <hyperlink r:id="rId3459" ref="CM92"/>
    <hyperlink r:id="rId3460" ref="CR92"/>
    <hyperlink r:id="rId3461" ref="CZ92"/>
    <hyperlink r:id="rId3462" ref="DJ92"/>
    <hyperlink r:id="rId3463" ref="DK92"/>
    <hyperlink r:id="rId3464" ref="DM92"/>
    <hyperlink r:id="rId3465" ref="DN92"/>
    <hyperlink r:id="rId3466" ref="DO92"/>
    <hyperlink r:id="rId3467" ref="I93"/>
    <hyperlink r:id="rId3468" ref="J93"/>
    <hyperlink r:id="rId3469" ref="L93"/>
    <hyperlink r:id="rId3470" ref="O93"/>
    <hyperlink r:id="rId3471" ref="S93"/>
    <hyperlink r:id="rId3472" ref="T93"/>
    <hyperlink r:id="rId3473" ref="X93"/>
    <hyperlink r:id="rId3474" ref="Y93"/>
    <hyperlink r:id="rId3475" ref="Z93"/>
    <hyperlink r:id="rId3476" ref="AA93"/>
    <hyperlink r:id="rId3477" ref="AC93"/>
    <hyperlink r:id="rId3478" ref="AD93"/>
    <hyperlink r:id="rId3479" ref="AI93"/>
    <hyperlink r:id="rId3480" ref="AR93"/>
    <hyperlink r:id="rId3481" ref="AU93"/>
    <hyperlink r:id="rId3482" ref="AW93"/>
    <hyperlink r:id="rId3483" ref="BD93"/>
    <hyperlink r:id="rId3484" ref="BI93"/>
    <hyperlink r:id="rId3485" ref="BM93"/>
    <hyperlink r:id="rId3486" ref="BN93"/>
    <hyperlink r:id="rId3487" ref="BR93"/>
    <hyperlink r:id="rId3488" ref="BS93"/>
    <hyperlink r:id="rId3489" ref="BT93"/>
    <hyperlink r:id="rId3490" ref="BV93"/>
    <hyperlink r:id="rId3491" ref="BX93"/>
    <hyperlink r:id="rId3492" ref="BY93"/>
    <hyperlink r:id="rId3493" ref="CA93"/>
    <hyperlink r:id="rId3494" ref="CB93"/>
    <hyperlink r:id="rId3495" ref="CC93"/>
    <hyperlink r:id="rId3496" ref="CF93"/>
    <hyperlink r:id="rId3497" ref="CG93"/>
    <hyperlink r:id="rId3498" ref="CK93"/>
    <hyperlink r:id="rId3499" ref="CL93"/>
    <hyperlink r:id="rId3500" ref="CQ93"/>
    <hyperlink r:id="rId3501" ref="CT93"/>
    <hyperlink r:id="rId3502" ref="CV93"/>
    <hyperlink r:id="rId3503" ref="CX93"/>
    <hyperlink r:id="rId3504" ref="CY93"/>
    <hyperlink r:id="rId3505" ref="CZ93"/>
    <hyperlink r:id="rId3506" ref="DC93"/>
    <hyperlink r:id="rId3507" ref="DH93"/>
    <hyperlink r:id="rId3508" ref="DM93"/>
    <hyperlink r:id="rId3509" ref="DN93"/>
    <hyperlink r:id="rId3510" ref="DO93"/>
    <hyperlink r:id="rId3511" ref="DP93"/>
    <hyperlink r:id="rId3512" ref="DU93"/>
    <hyperlink r:id="rId3513" ref="DY93"/>
    <hyperlink r:id="rId3514" ref="EA93"/>
    <hyperlink r:id="rId3515" ref="M94"/>
    <hyperlink r:id="rId3516" ref="AF94"/>
    <hyperlink r:id="rId3517" ref="BQ94"/>
    <hyperlink r:id="rId3518" ref="CF94"/>
    <hyperlink r:id="rId3519" ref="CI94"/>
    <hyperlink r:id="rId3520" ref="CN94"/>
    <hyperlink r:id="rId3521" ref="H95"/>
    <hyperlink r:id="rId3522" ref="K95"/>
    <hyperlink r:id="rId3523" ref="L95"/>
    <hyperlink r:id="rId3524" ref="M95"/>
    <hyperlink r:id="rId3525" ref="R95"/>
    <hyperlink r:id="rId3526" ref="S95"/>
    <hyperlink r:id="rId3527" ref="U95"/>
    <hyperlink r:id="rId3528" ref="V95"/>
    <hyperlink r:id="rId3529" ref="AE95"/>
    <hyperlink r:id="rId3530" ref="AF95"/>
    <hyperlink r:id="rId3531" ref="AG95"/>
    <hyperlink r:id="rId3532" ref="AI95"/>
    <hyperlink r:id="rId3533" ref="AJ95"/>
    <hyperlink r:id="rId3534" ref="AL95"/>
    <hyperlink r:id="rId3535" ref="AM95"/>
    <hyperlink r:id="rId3536" ref="AU95"/>
    <hyperlink r:id="rId3537" ref="AV95"/>
    <hyperlink r:id="rId3538" ref="AW95"/>
    <hyperlink r:id="rId3539" ref="AX95"/>
    <hyperlink r:id="rId3540" ref="BB95"/>
    <hyperlink r:id="rId3541" ref="BE95"/>
    <hyperlink r:id="rId3542" ref="BF95"/>
    <hyperlink r:id="rId3543" ref="BG95"/>
    <hyperlink r:id="rId3544" ref="BM95"/>
    <hyperlink r:id="rId3545" ref="BQ95"/>
    <hyperlink r:id="rId3546" ref="BT95"/>
    <hyperlink r:id="rId3547" ref="BW95"/>
    <hyperlink r:id="rId3548" ref="CA95"/>
    <hyperlink r:id="rId3549" ref="CF95"/>
    <hyperlink r:id="rId3550" ref="CG95"/>
    <hyperlink r:id="rId3551" ref="CH95"/>
    <hyperlink r:id="rId3552" ref="CJ95"/>
    <hyperlink r:id="rId3553" ref="CL95"/>
    <hyperlink r:id="rId3554" ref="CM95"/>
    <hyperlink r:id="rId3555" ref="CR95"/>
    <hyperlink r:id="rId3556" ref="CT95"/>
    <hyperlink r:id="rId3557" ref="CX95"/>
    <hyperlink r:id="rId3558" ref="DE95"/>
    <hyperlink r:id="rId3559" ref="DK95"/>
    <hyperlink r:id="rId3560" ref="DL95"/>
    <hyperlink r:id="rId3561" ref="DS95"/>
    <hyperlink r:id="rId3562" ref="DW95"/>
    <hyperlink r:id="rId3563" ref="EB95"/>
    <hyperlink r:id="rId3564" ref="AB97"/>
    <hyperlink r:id="rId3565" ref="BF97"/>
    <hyperlink r:id="rId3566" ref="BH97"/>
    <hyperlink r:id="rId3567" ref="CG97"/>
    <hyperlink r:id="rId3568" ref="CZ97"/>
    <hyperlink r:id="rId3569" ref="I98"/>
    <hyperlink r:id="rId3570" ref="J98"/>
    <hyperlink r:id="rId3571" ref="K98"/>
    <hyperlink r:id="rId3572" ref="L98"/>
    <hyperlink r:id="rId3573" ref="N98"/>
    <hyperlink r:id="rId3574" ref="O98"/>
    <hyperlink r:id="rId3575" ref="P98"/>
    <hyperlink r:id="rId3576" ref="X98"/>
    <hyperlink r:id="rId3577" ref="Z98"/>
    <hyperlink r:id="rId3578" ref="AA98"/>
    <hyperlink r:id="rId3579" ref="AB98"/>
    <hyperlink r:id="rId3580" ref="AC98"/>
    <hyperlink r:id="rId3581" ref="AF98"/>
    <hyperlink r:id="rId3582" ref="AT98"/>
    <hyperlink r:id="rId3583" ref="AU98"/>
    <hyperlink r:id="rId3584" ref="BB98"/>
    <hyperlink r:id="rId3585" ref="BC98"/>
    <hyperlink r:id="rId3586" ref="BH98"/>
    <hyperlink r:id="rId3587" ref="BJ98"/>
    <hyperlink r:id="rId3588" ref="BK98"/>
    <hyperlink r:id="rId3589" ref="BQ98"/>
    <hyperlink r:id="rId3590" ref="BS98"/>
    <hyperlink r:id="rId3591" ref="BT98"/>
    <hyperlink r:id="rId3592" ref="BV98"/>
    <hyperlink r:id="rId3593" ref="BY98"/>
    <hyperlink r:id="rId3594" ref="BZ98"/>
    <hyperlink r:id="rId3595" ref="CL98"/>
    <hyperlink r:id="rId3596" ref="CM98"/>
    <hyperlink r:id="rId3597" ref="CT98"/>
    <hyperlink r:id="rId3598" ref="CV98"/>
    <hyperlink r:id="rId3599" ref="CW98"/>
    <hyperlink r:id="rId3600" ref="CX98"/>
    <hyperlink r:id="rId3601" ref="CZ98"/>
    <hyperlink r:id="rId3602" ref="DA98"/>
    <hyperlink r:id="rId3603" ref="DG98"/>
    <hyperlink r:id="rId3604" ref="DK98"/>
    <hyperlink r:id="rId3605" ref="DP98"/>
    <hyperlink r:id="rId3606" ref="DQ98"/>
    <hyperlink r:id="rId3607" ref="DZ98"/>
    <hyperlink r:id="rId3608" ref="EB98"/>
    <hyperlink r:id="rId3609" ref="AB99"/>
    <hyperlink r:id="rId3610" ref="H100"/>
    <hyperlink r:id="rId3611" ref="I100"/>
    <hyperlink r:id="rId3612" ref="J100"/>
    <hyperlink r:id="rId3613" ref="P100"/>
    <hyperlink r:id="rId3614" ref="AT100"/>
    <hyperlink r:id="rId3615" ref="BK100"/>
    <hyperlink r:id="rId3616" ref="CA100"/>
    <hyperlink r:id="rId3617" ref="CV100"/>
    <hyperlink r:id="rId3618" ref="BE104"/>
    <hyperlink r:id="rId3619" ref="CL104"/>
    <hyperlink r:id="rId3620" ref="CY104"/>
    <hyperlink r:id="rId3621" ref="BT106"/>
    <hyperlink r:id="rId3622" ref="BV106"/>
    <hyperlink r:id="rId3623" ref="J107"/>
    <hyperlink r:id="rId3624" ref="K108"/>
    <hyperlink r:id="rId3625" ref="X108"/>
    <hyperlink r:id="rId3626" ref="BV108"/>
    <hyperlink r:id="rId3627" ref="P111"/>
    <hyperlink r:id="rId3628" ref="S111"/>
    <hyperlink r:id="rId3629" ref="V111"/>
    <hyperlink r:id="rId3630" ref="AF111"/>
    <hyperlink r:id="rId3631" ref="AI111"/>
    <hyperlink r:id="rId3632" ref="AO111"/>
    <hyperlink r:id="rId3633" ref="AT111"/>
    <hyperlink r:id="rId3634" ref="AX111"/>
    <hyperlink r:id="rId3635" ref="BX111"/>
    <hyperlink r:id="rId3636" ref="BZ111"/>
    <hyperlink r:id="rId3637" ref="CA111"/>
    <hyperlink r:id="rId3638" ref="CB111"/>
    <hyperlink r:id="rId3639" ref="CM111"/>
    <hyperlink r:id="rId3640" ref="CZ111"/>
    <hyperlink r:id="rId3641" ref="DA111"/>
    <hyperlink r:id="rId3642" ref="H114"/>
    <hyperlink r:id="rId3643" ref="L114"/>
    <hyperlink r:id="rId3644" ref="P114"/>
    <hyperlink r:id="rId3645" ref="Z114"/>
    <hyperlink r:id="rId3646" ref="AB114"/>
    <hyperlink r:id="rId3647" ref="AR114"/>
    <hyperlink r:id="rId3648" ref="AV114"/>
    <hyperlink r:id="rId3649" ref="BC114"/>
    <hyperlink r:id="rId3650" ref="CU114"/>
    <hyperlink r:id="rId3651" ref="DN114"/>
    <hyperlink r:id="rId3652" ref="DU114"/>
    <hyperlink r:id="rId3653" ref="I116"/>
    <hyperlink r:id="rId3654" ref="L116"/>
    <hyperlink r:id="rId3655" ref="Y116"/>
    <hyperlink r:id="rId3656" ref="BV116"/>
    <hyperlink r:id="rId3657" ref="CV116"/>
    <hyperlink r:id="rId3658" ref="DK116"/>
    <hyperlink r:id="rId3659" ref="DX116"/>
    <hyperlink r:id="rId3660" ref="O117"/>
    <hyperlink r:id="rId3661" ref="AB117"/>
    <hyperlink r:id="rId3662" ref="BD117"/>
    <hyperlink r:id="rId3663" ref="P118"/>
    <hyperlink r:id="rId3664" ref="Q118"/>
    <hyperlink r:id="rId3665" ref="AF118"/>
    <hyperlink r:id="rId3666" ref="J119"/>
    <hyperlink r:id="rId3667" ref="K119"/>
    <hyperlink r:id="rId3668" ref="P119"/>
    <hyperlink r:id="rId3669" ref="L121"/>
    <hyperlink r:id="rId3670" ref="CG121"/>
    <hyperlink r:id="rId3671" ref="DS121"/>
    <hyperlink r:id="rId3672" ref="DY121"/>
    <hyperlink r:id="rId3673" ref="I122"/>
    <hyperlink r:id="rId3674" ref="J122"/>
    <hyperlink r:id="rId3675" ref="K122"/>
    <hyperlink r:id="rId3676" ref="L122"/>
    <hyperlink r:id="rId3677" ref="M122"/>
    <hyperlink r:id="rId3678" ref="N122"/>
    <hyperlink r:id="rId3679" ref="O122"/>
    <hyperlink r:id="rId3680" ref="X122"/>
    <hyperlink r:id="rId3681" ref="Y122"/>
    <hyperlink r:id="rId3682" ref="AB122"/>
    <hyperlink r:id="rId3683" ref="AF122"/>
    <hyperlink r:id="rId3684" ref="AT122"/>
    <hyperlink r:id="rId3685" ref="AU122"/>
    <hyperlink r:id="rId3686" ref="BA122"/>
    <hyperlink r:id="rId3687" ref="BD122"/>
    <hyperlink r:id="rId3688" ref="BE122"/>
    <hyperlink r:id="rId3689" ref="BH122"/>
    <hyperlink r:id="rId3690" ref="BQ122"/>
    <hyperlink r:id="rId3691" ref="BY122"/>
    <hyperlink r:id="rId3692" ref="CG122"/>
    <hyperlink r:id="rId3693" ref="CH122"/>
    <hyperlink r:id="rId3694" ref="CI122"/>
    <hyperlink r:id="rId3695" ref="CJ122"/>
    <hyperlink r:id="rId3696" ref="CL122"/>
    <hyperlink r:id="rId3697" ref="CT122"/>
    <hyperlink r:id="rId3698" ref="CU122"/>
    <hyperlink r:id="rId3699" ref="CV122"/>
    <hyperlink r:id="rId3700" ref="CW122"/>
    <hyperlink r:id="rId3701" ref="CX122"/>
    <hyperlink r:id="rId3702" ref="CY122"/>
    <hyperlink r:id="rId3703" ref="CZ122"/>
    <hyperlink r:id="rId3704" ref="DA122"/>
    <hyperlink r:id="rId3705" ref="DG122"/>
    <hyperlink r:id="rId3706" ref="DK122"/>
    <hyperlink r:id="rId3707" ref="CM124"/>
    <hyperlink r:id="rId3708" ref="K125"/>
    <hyperlink r:id="rId3709" ref="O125"/>
    <hyperlink r:id="rId3710" ref="P125"/>
    <hyperlink r:id="rId3711" ref="Y125"/>
    <hyperlink r:id="rId3712" ref="Z125"/>
    <hyperlink r:id="rId3713" ref="AB125"/>
    <hyperlink r:id="rId3714" ref="BV125"/>
    <hyperlink r:id="rId3715" ref="CM125"/>
    <hyperlink r:id="rId3716" ref="CZ125"/>
    <hyperlink r:id="rId3717" ref="H126"/>
    <hyperlink r:id="rId3718" ref="I126"/>
    <hyperlink r:id="rId3719" ref="J126"/>
    <hyperlink r:id="rId3720" ref="L126"/>
    <hyperlink r:id="rId3721" ref="M126"/>
    <hyperlink r:id="rId3722" ref="P126"/>
    <hyperlink r:id="rId3723" ref="X126"/>
    <hyperlink r:id="rId3724" ref="Y126"/>
    <hyperlink r:id="rId3725" ref="Z126"/>
    <hyperlink r:id="rId3726" ref="AE126"/>
    <hyperlink r:id="rId3727" ref="BE126"/>
    <hyperlink r:id="rId3728" ref="BQ126"/>
    <hyperlink r:id="rId3729" ref="BS126"/>
    <hyperlink r:id="rId3730" ref="BZ126"/>
    <hyperlink r:id="rId3731" ref="CF126"/>
    <hyperlink r:id="rId3732" ref="CG126"/>
    <hyperlink r:id="rId3733" ref="CI126"/>
    <hyperlink r:id="rId3734" ref="CK126"/>
    <hyperlink r:id="rId3735" ref="CL126"/>
    <hyperlink r:id="rId3736" ref="CZ126"/>
    <hyperlink r:id="rId3737" ref="DG126"/>
    <hyperlink r:id="rId3738" ref="DK126"/>
    <hyperlink r:id="rId3739" ref="L132"/>
    <hyperlink r:id="rId3740" ref="P132"/>
    <hyperlink r:id="rId3741" ref="BH132"/>
    <hyperlink r:id="rId3742" ref="BJ132"/>
    <hyperlink r:id="rId3743" ref="BU132"/>
    <hyperlink r:id="rId3744" ref="BV132"/>
    <hyperlink r:id="rId3745" ref="BZ132"/>
    <hyperlink r:id="rId3746" ref="CY132"/>
    <hyperlink r:id="rId3747" ref="CZ132"/>
    <hyperlink r:id="rId3748" ref="Z133"/>
    <hyperlink r:id="rId3749" ref="CW133"/>
    <hyperlink r:id="rId3750" ref="DA133"/>
    <hyperlink r:id="rId3751" ref="Y135"/>
    <hyperlink r:id="rId3752" ref="CZ135"/>
    <hyperlink r:id="rId3753" ref="L138"/>
    <hyperlink r:id="rId3754" ref="Q138"/>
    <hyperlink r:id="rId3755" ref="S138"/>
    <hyperlink r:id="rId3756" ref="AI138"/>
    <hyperlink r:id="rId3757" ref="AJ138"/>
    <hyperlink r:id="rId3758" ref="BM138"/>
    <hyperlink r:id="rId3759" ref="CB138"/>
    <hyperlink r:id="rId3760" ref="CC138"/>
    <hyperlink r:id="rId3761" ref="CG138"/>
    <hyperlink r:id="rId3762" ref="CR138"/>
    <hyperlink r:id="rId3763" ref="CZ138"/>
    <hyperlink r:id="rId3764" ref="DE138"/>
    <hyperlink r:id="rId3765" ref="O139"/>
    <hyperlink r:id="rId3766" ref="P139"/>
    <hyperlink r:id="rId3767" ref="Z139"/>
    <hyperlink r:id="rId3768" ref="AB139"/>
    <hyperlink r:id="rId3769" ref="AF139"/>
    <hyperlink r:id="rId3770" ref="AT139"/>
    <hyperlink r:id="rId3771" ref="BC139"/>
    <hyperlink r:id="rId3772" ref="BH139"/>
    <hyperlink r:id="rId3773" ref="BK139"/>
    <hyperlink r:id="rId3774" ref="BT139"/>
    <hyperlink r:id="rId3775" ref="BV139"/>
    <hyperlink r:id="rId3776" ref="BZ139"/>
    <hyperlink r:id="rId3777" ref="CI139"/>
    <hyperlink r:id="rId3778" ref="CJ139"/>
    <hyperlink r:id="rId3779" ref="CM139"/>
    <hyperlink r:id="rId3780" ref="CT139"/>
    <hyperlink r:id="rId3781" ref="CU139"/>
    <hyperlink r:id="rId3782" ref="DA139"/>
    <hyperlink r:id="rId3783" ref="DK139"/>
    <hyperlink r:id="rId3784" ref="K141"/>
    <hyperlink r:id="rId3785" ref="L141"/>
    <hyperlink r:id="rId3786" ref="O141"/>
    <hyperlink r:id="rId3787" ref="P141"/>
    <hyperlink r:id="rId3788" ref="Z141"/>
    <hyperlink r:id="rId3789" ref="AB141"/>
    <hyperlink r:id="rId3790" ref="AF141"/>
    <hyperlink r:id="rId3791" ref="AM141"/>
    <hyperlink r:id="rId3792" ref="AT141"/>
    <hyperlink r:id="rId3793" ref="AV141"/>
    <hyperlink r:id="rId3794" ref="BC141"/>
    <hyperlink r:id="rId3795" ref="BH141"/>
    <hyperlink r:id="rId3796" ref="BV141"/>
    <hyperlink r:id="rId3797" ref="CG141"/>
    <hyperlink r:id="rId3798" ref="CV141"/>
    <hyperlink r:id="rId3799" ref="DK141"/>
    <hyperlink r:id="rId3800" ref="I142"/>
    <hyperlink r:id="rId3801" ref="J142"/>
    <hyperlink r:id="rId3802" ref="K142"/>
    <hyperlink r:id="rId3803" ref="L142"/>
    <hyperlink r:id="rId3804" ref="N142"/>
    <hyperlink r:id="rId3805" ref="P142"/>
    <hyperlink r:id="rId3806" ref="X142"/>
    <hyperlink r:id="rId3807" ref="AT142"/>
    <hyperlink r:id="rId3808" ref="AU142"/>
    <hyperlink r:id="rId3809" ref="BA142"/>
    <hyperlink r:id="rId3810" ref="BD142"/>
    <hyperlink r:id="rId3811" ref="BE142"/>
    <hyperlink r:id="rId3812" ref="BH142"/>
    <hyperlink r:id="rId3813" ref="CL142"/>
    <hyperlink r:id="rId3814" ref="CT142"/>
    <hyperlink r:id="rId3815" ref="CX142"/>
    <hyperlink r:id="rId3816" ref="CZ142"/>
    <hyperlink r:id="rId3817" ref="I144"/>
    <hyperlink r:id="rId3818" ref="J144"/>
    <hyperlink r:id="rId3819" ref="K144"/>
    <hyperlink r:id="rId3820" ref="L144"/>
    <hyperlink r:id="rId3821" ref="AB144"/>
    <hyperlink r:id="rId3822" ref="BH144"/>
    <hyperlink r:id="rId3823" ref="BT147"/>
    <hyperlink r:id="rId3824" ref="K148"/>
    <hyperlink r:id="rId3825" ref="L148"/>
    <hyperlink r:id="rId3826" ref="Z148"/>
    <hyperlink r:id="rId3827" ref="BS148"/>
    <hyperlink r:id="rId3828" ref="BT148"/>
    <hyperlink r:id="rId3829" ref="CG148"/>
    <hyperlink r:id="rId3830" ref="DA148"/>
    <hyperlink r:id="rId3831" ref="AC149"/>
    <hyperlink r:id="rId3832" ref="BH149"/>
    <hyperlink r:id="rId3833" ref="Z150"/>
    <hyperlink r:id="rId3834" ref="AU150"/>
    <hyperlink r:id="rId3835" ref="CM150"/>
    <hyperlink r:id="rId3836" ref="CY150"/>
    <hyperlink r:id="rId3837" ref="CZ150"/>
    <hyperlink r:id="rId3838" ref="AB152"/>
    <hyperlink r:id="rId3839" ref="BB152"/>
    <hyperlink r:id="rId3840" ref="BC154"/>
    <hyperlink r:id="rId3841" ref="P156"/>
    <hyperlink r:id="rId3842" ref="AU156"/>
    <hyperlink r:id="rId3843" ref="CF158"/>
    <hyperlink r:id="rId3844" ref="AB160"/>
    <hyperlink r:id="rId3845" ref="BH160"/>
    <hyperlink r:id="rId3846" ref="CF160"/>
    <hyperlink r:id="rId3847" ref="CM160"/>
    <hyperlink r:id="rId3848" ref="CZ160"/>
    <hyperlink r:id="rId3849" ref="K161"/>
    <hyperlink r:id="rId3850" ref="BK161"/>
    <hyperlink r:id="rId3851" ref="CV161"/>
    <hyperlink r:id="rId3852" ref="DA161"/>
    <hyperlink r:id="rId3853" ref="AG162"/>
    <hyperlink r:id="rId3854" ref="DC162"/>
    <hyperlink r:id="rId3855" ref="T166"/>
    <hyperlink r:id="rId3856" ref="BE166"/>
    <hyperlink r:id="rId3857" ref="BS166"/>
    <hyperlink r:id="rId3858" ref="CR166"/>
    <hyperlink r:id="rId3859" ref="DK168"/>
    <hyperlink r:id="rId3860" ref="P169"/>
    <hyperlink r:id="rId3861" ref="X169"/>
    <hyperlink r:id="rId3862" ref="Z169"/>
    <hyperlink r:id="rId3863" ref="AF169"/>
    <hyperlink r:id="rId3864" ref="AT169"/>
    <hyperlink r:id="rId3865" ref="BT169"/>
    <hyperlink r:id="rId3866" ref="K172"/>
    <hyperlink r:id="rId3867" ref="X172"/>
    <hyperlink r:id="rId3868" ref="Z172"/>
    <hyperlink r:id="rId3869" ref="BV172"/>
    <hyperlink r:id="rId3870" ref="BZ172"/>
    <hyperlink r:id="rId3871" ref="CF172"/>
    <hyperlink r:id="rId3872" ref="CL172"/>
    <hyperlink r:id="rId3873" ref="CM172"/>
    <hyperlink r:id="rId3874" ref="CZ172"/>
    <hyperlink r:id="rId3875" ref="Y175"/>
    <hyperlink r:id="rId3876" ref="BW175"/>
    <hyperlink r:id="rId3877" ref="CI175"/>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K186"/>
    <hyperlink r:id="rId3891" ref="AF186"/>
    <hyperlink r:id="rId3892" ref="CJ186"/>
    <hyperlink r:id="rId3893" ref="H188"/>
    <hyperlink r:id="rId3894" ref="K188"/>
    <hyperlink r:id="rId3895" ref="BC188"/>
    <hyperlink r:id="rId3896" ref="AA192"/>
    <hyperlink r:id="rId3897" ref="AH196"/>
    <hyperlink r:id="rId3898" ref="DY197"/>
    <hyperlink r:id="rId3899" ref="BC198"/>
    <hyperlink r:id="rId3900" ref="DK198"/>
    <hyperlink r:id="rId3901" ref="H199"/>
    <hyperlink r:id="rId3902" ref="K199"/>
    <hyperlink r:id="rId3903" ref="Y199"/>
    <hyperlink r:id="rId3904" ref="AM199"/>
    <hyperlink r:id="rId3905" ref="AO199"/>
    <hyperlink r:id="rId3906" ref="AX199"/>
    <hyperlink r:id="rId3907" ref="BA199"/>
    <hyperlink r:id="rId3908" ref="BC199"/>
    <hyperlink r:id="rId3909" ref="BM199"/>
    <hyperlink r:id="rId3910" ref="CF199"/>
    <hyperlink r:id="rId3911" ref="DM199"/>
    <hyperlink r:id="rId3912" ref="DN199"/>
    <hyperlink r:id="rId3913" ref="DO199"/>
    <hyperlink r:id="rId3914" ref="EB199"/>
    <hyperlink r:id="rId3915" ref="H208"/>
    <hyperlink r:id="rId3916" ref="AV208"/>
  </hyperlinks>
  <drawing r:id="rId3917"/>
  <legacyDrawing r:id="rId3918"/>
  <tableParts count="3">
    <tablePart r:id="rId3922"/>
    <tablePart r:id="rId3923"/>
    <tablePart r:id="rId392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6375</v>
      </c>
      <c r="D1" s="807" t="s">
        <v>1552</v>
      </c>
      <c r="E1" s="808" t="s">
        <v>6376</v>
      </c>
      <c r="F1" s="809" t="s">
        <v>3071</v>
      </c>
      <c r="G1" s="807" t="s">
        <v>6377</v>
      </c>
      <c r="H1" s="807" t="s">
        <v>1061</v>
      </c>
      <c r="I1" s="807" t="s">
        <v>6378</v>
      </c>
      <c r="J1" s="807" t="s">
        <v>6379</v>
      </c>
      <c r="K1" s="807" t="s">
        <v>6380</v>
      </c>
      <c r="L1" s="808" t="s">
        <v>6381</v>
      </c>
      <c r="M1" s="807" t="s">
        <v>738</v>
      </c>
      <c r="N1" s="807" t="s">
        <v>6382</v>
      </c>
      <c r="O1" s="807" t="s">
        <v>985</v>
      </c>
      <c r="P1" s="810" t="s">
        <v>6383</v>
      </c>
      <c r="Q1" s="807" t="s">
        <v>1883</v>
      </c>
      <c r="R1" s="807" t="s">
        <v>6384</v>
      </c>
      <c r="S1" s="807" t="s">
        <v>6385</v>
      </c>
      <c r="T1" s="808" t="s">
        <v>6386</v>
      </c>
      <c r="U1" s="807" t="s">
        <v>6387</v>
      </c>
      <c r="V1" s="807" t="s">
        <v>6388</v>
      </c>
      <c r="W1" s="807" t="s">
        <v>3981</v>
      </c>
      <c r="X1" s="807" t="s">
        <v>6389</v>
      </c>
      <c r="Y1" s="807" t="s">
        <v>6390</v>
      </c>
      <c r="Z1" s="807" t="s">
        <v>6391</v>
      </c>
      <c r="AA1" s="807" t="s">
        <v>4060</v>
      </c>
      <c r="AB1" s="807" t="s">
        <v>6392</v>
      </c>
      <c r="AC1" s="807" t="s">
        <v>6393</v>
      </c>
      <c r="AD1" s="807" t="s">
        <v>6394</v>
      </c>
      <c r="AE1" s="807" t="s">
        <v>1198</v>
      </c>
      <c r="AF1" s="807" t="s">
        <v>216</v>
      </c>
      <c r="AG1" s="807" t="s">
        <v>1723</v>
      </c>
      <c r="AH1" s="807" t="s">
        <v>2012</v>
      </c>
      <c r="AI1" s="807" t="s">
        <v>6395</v>
      </c>
      <c r="AJ1" s="807" t="s">
        <v>6396</v>
      </c>
      <c r="AK1" s="807" t="s">
        <v>1949</v>
      </c>
      <c r="AL1" s="807" t="s">
        <v>6397</v>
      </c>
      <c r="AM1" s="807" t="s">
        <v>6398</v>
      </c>
      <c r="AN1" s="807" t="s">
        <v>5990</v>
      </c>
      <c r="AO1" s="807" t="s">
        <v>6399</v>
      </c>
      <c r="AP1" s="807" t="s">
        <v>6400</v>
      </c>
      <c r="AQ1" s="807" t="s">
        <v>5675</v>
      </c>
      <c r="AR1" s="807" t="s">
        <v>3265</v>
      </c>
      <c r="AS1" s="807" t="s">
        <v>6401</v>
      </c>
      <c r="AT1" s="807" t="s">
        <v>3912</v>
      </c>
      <c r="AU1" s="807" t="s">
        <v>5370</v>
      </c>
      <c r="AV1" s="807" t="s">
        <v>6402</v>
      </c>
      <c r="AW1" s="811" t="s">
        <v>6403</v>
      </c>
      <c r="AX1" s="807" t="s">
        <v>6404</v>
      </c>
      <c r="AY1" s="807" t="s">
        <v>6405</v>
      </c>
      <c r="AZ1" s="808" t="s">
        <v>6406</v>
      </c>
      <c r="BA1" s="807" t="s">
        <v>6407</v>
      </c>
      <c r="BB1" s="807" t="s">
        <v>6408</v>
      </c>
      <c r="BC1" s="807" t="s">
        <v>1631</v>
      </c>
      <c r="BD1" s="811" t="s">
        <v>6372</v>
      </c>
      <c r="BE1" s="807" t="s">
        <v>911</v>
      </c>
      <c r="BF1" s="807"/>
      <c r="BG1" s="807"/>
      <c r="BH1" s="812"/>
      <c r="BI1" s="812"/>
      <c r="BJ1" s="812"/>
    </row>
    <row r="2" ht="15.75" customHeight="1">
      <c r="A2" s="813" t="s">
        <v>6409</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6410</v>
      </c>
      <c r="B4" s="823" t="s">
        <v>6411</v>
      </c>
      <c r="C4" s="824" t="s">
        <v>335</v>
      </c>
      <c r="D4" s="825" t="s">
        <v>837</v>
      </c>
      <c r="E4" s="826" t="s">
        <v>335</v>
      </c>
      <c r="F4" s="827"/>
      <c r="G4" s="828" t="s">
        <v>1327</v>
      </c>
      <c r="H4" s="829" t="s">
        <v>6412</v>
      </c>
      <c r="I4" s="829" t="str">
        <f>HYPERLINK("https://youtu.be/BAG8a3WI9KM","52.27")</f>
        <v>52.27</v>
      </c>
      <c r="J4" s="829" t="s">
        <v>2572</v>
      </c>
      <c r="K4" s="830" t="s">
        <v>1989</v>
      </c>
      <c r="L4" s="829" t="s">
        <v>442</v>
      </c>
      <c r="M4" s="830" t="s">
        <v>742</v>
      </c>
      <c r="N4" s="829" t="str">
        <f>HYPERLINK("https://youtu.be/qv_H1NgDIQ8","53.73")</f>
        <v>53.73</v>
      </c>
      <c r="O4" s="829" t="s">
        <v>2813</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6413</v>
      </c>
      <c r="B5" s="823" t="s">
        <v>6414</v>
      </c>
      <c r="C5" s="824" t="s">
        <v>6415</v>
      </c>
      <c r="D5" s="833" t="s">
        <v>6416</v>
      </c>
      <c r="E5" s="833" t="s">
        <v>6417</v>
      </c>
      <c r="F5" s="834"/>
      <c r="G5" s="828" t="s">
        <v>6418</v>
      </c>
      <c r="H5" s="833"/>
      <c r="I5" s="833" t="s">
        <v>6419</v>
      </c>
      <c r="J5" s="833"/>
      <c r="K5" s="833" t="s">
        <v>4861</v>
      </c>
      <c r="L5" s="833"/>
      <c r="M5" s="833"/>
      <c r="N5" s="833" t="s">
        <v>6420</v>
      </c>
      <c r="O5" s="833" t="str">
        <f>HYPERLINK("https://youtu.be/y9FQ4EcrohI", "1:21.52")</f>
        <v>1:21.52</v>
      </c>
      <c r="P5" s="831" t="s">
        <v>6421</v>
      </c>
      <c r="Q5" s="833"/>
      <c r="R5" s="833" t="s">
        <v>6415</v>
      </c>
      <c r="S5" s="833" t="s">
        <v>2538</v>
      </c>
      <c r="T5" s="833"/>
      <c r="U5" s="833"/>
      <c r="V5" s="833"/>
      <c r="W5" s="833"/>
      <c r="X5" s="833"/>
      <c r="Y5" s="833"/>
      <c r="Z5" s="833"/>
      <c r="AA5" s="833" t="s">
        <v>6422</v>
      </c>
      <c r="AB5" s="833"/>
      <c r="AC5" s="833"/>
      <c r="AD5" s="833" t="s">
        <v>6423</v>
      </c>
      <c r="AE5" s="833"/>
      <c r="AF5" s="833"/>
      <c r="AG5" s="833"/>
      <c r="AH5" s="833"/>
      <c r="AI5" s="833"/>
      <c r="AJ5" s="833"/>
      <c r="AK5" s="833"/>
      <c r="AL5" s="833"/>
      <c r="AM5" s="833"/>
      <c r="AN5" s="833" t="s">
        <v>5992</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6424</v>
      </c>
      <c r="C6" s="824" t="s">
        <v>336</v>
      </c>
      <c r="D6" s="838" t="s">
        <v>1557</v>
      </c>
      <c r="E6" s="829" t="s">
        <v>336</v>
      </c>
      <c r="F6" s="839" t="s">
        <v>3073</v>
      </c>
      <c r="G6" s="828" t="s">
        <v>1328</v>
      </c>
      <c r="H6" s="829" t="s">
        <v>3083</v>
      </c>
      <c r="I6" s="829" t="str">
        <f>HYPERLINK("https://youtu.be/ZP_d48CVxG0","1:19.30")</f>
        <v>1:19.30</v>
      </c>
      <c r="J6" s="830"/>
      <c r="K6" s="830"/>
      <c r="L6" s="830" t="s">
        <v>100</v>
      </c>
      <c r="M6" s="830" t="s">
        <v>743</v>
      </c>
      <c r="N6" s="830" t="s">
        <v>4593</v>
      </c>
      <c r="O6" s="829" t="s">
        <v>990</v>
      </c>
      <c r="P6" s="831" t="s">
        <v>6425</v>
      </c>
      <c r="Q6" s="830" t="s">
        <v>100</v>
      </c>
      <c r="R6" s="830"/>
      <c r="S6" s="830"/>
      <c r="T6" s="830"/>
      <c r="U6" s="830"/>
      <c r="V6" s="830"/>
      <c r="W6" s="830"/>
      <c r="X6" s="830"/>
      <c r="Y6" s="829" t="s">
        <v>6426</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6427</v>
      </c>
      <c r="B7" s="841" t="s">
        <v>6411</v>
      </c>
      <c r="C7" s="824" t="s">
        <v>6428</v>
      </c>
      <c r="D7" s="833" t="s">
        <v>3107</v>
      </c>
      <c r="E7" s="833" t="s">
        <v>6428</v>
      </c>
      <c r="F7" s="842" t="s">
        <v>1155</v>
      </c>
      <c r="G7" s="843"/>
      <c r="H7" s="833"/>
      <c r="I7" s="833" t="s">
        <v>1284</v>
      </c>
      <c r="J7" s="833"/>
      <c r="K7" s="833"/>
      <c r="L7" s="833" t="s">
        <v>1141</v>
      </c>
      <c r="M7" s="833" t="s">
        <v>1141</v>
      </c>
      <c r="N7" s="833" t="s">
        <v>6429</v>
      </c>
      <c r="O7" s="833"/>
      <c r="P7" s="831"/>
      <c r="Q7" s="833" t="s">
        <v>924</v>
      </c>
      <c r="R7" s="833" t="s">
        <v>3784</v>
      </c>
      <c r="S7" s="833" t="s">
        <v>6430</v>
      </c>
      <c r="T7" s="833" t="s">
        <v>6431</v>
      </c>
      <c r="U7" s="833"/>
      <c r="V7" s="833" t="s">
        <v>924</v>
      </c>
      <c r="W7" s="833"/>
      <c r="X7" s="833" t="s">
        <v>3552</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6432</v>
      </c>
      <c r="B8" s="841" t="s">
        <v>6414</v>
      </c>
      <c r="C8" s="824" t="s">
        <v>2317</v>
      </c>
      <c r="D8" s="844"/>
      <c r="E8" s="844"/>
      <c r="F8" s="827"/>
      <c r="G8" s="828" t="s">
        <v>1319</v>
      </c>
      <c r="H8" s="844"/>
      <c r="I8" s="844"/>
      <c r="J8" s="844"/>
      <c r="K8" s="844"/>
      <c r="L8" s="844"/>
      <c r="M8" s="844"/>
      <c r="N8" s="844"/>
      <c r="O8" s="844" t="s">
        <v>633</v>
      </c>
      <c r="P8" s="844"/>
      <c r="Q8" s="844"/>
      <c r="R8" s="844" t="s">
        <v>2317</v>
      </c>
      <c r="S8" s="844"/>
      <c r="T8" s="844"/>
      <c r="U8" s="844"/>
      <c r="V8" s="844"/>
      <c r="W8" s="844"/>
      <c r="X8" s="844"/>
      <c r="Y8" s="844"/>
      <c r="Z8" s="844"/>
      <c r="AA8" s="844"/>
      <c r="AB8" s="844"/>
      <c r="AC8" s="844" t="s">
        <v>2581</v>
      </c>
      <c r="AD8" s="844"/>
      <c r="AE8" s="844"/>
      <c r="AF8" s="844"/>
      <c r="AG8" s="844"/>
      <c r="AH8" s="844"/>
      <c r="AI8" s="844"/>
      <c r="AJ8" s="844"/>
      <c r="AK8" s="844"/>
      <c r="AL8" s="844"/>
      <c r="AM8" s="844"/>
      <c r="AN8" s="844" t="s">
        <v>6433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6424</v>
      </c>
      <c r="C9" s="824" t="s">
        <v>6434</v>
      </c>
      <c r="D9" s="830"/>
      <c r="E9" s="829" t="s">
        <v>1242</v>
      </c>
      <c r="F9" s="845" t="s">
        <v>964</v>
      </c>
      <c r="G9" s="828" t="s">
        <v>2077</v>
      </c>
      <c r="H9" s="830"/>
      <c r="I9" s="830"/>
      <c r="J9" s="830"/>
      <c r="K9" s="830"/>
      <c r="L9" s="830"/>
      <c r="M9" s="830"/>
      <c r="N9" s="830"/>
      <c r="O9" s="829" t="s">
        <v>6434</v>
      </c>
      <c r="P9" s="831"/>
      <c r="Q9" s="830"/>
      <c r="R9" s="830"/>
      <c r="S9" s="830"/>
      <c r="T9" s="830"/>
      <c r="U9" s="830"/>
      <c r="V9" s="830"/>
      <c r="W9" s="830"/>
      <c r="X9" s="829" t="s">
        <v>6435</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6436</v>
      </c>
      <c r="B10" s="823" t="s">
        <v>6437</v>
      </c>
      <c r="C10" s="824" t="s">
        <v>2823</v>
      </c>
      <c r="D10" s="833" t="s">
        <v>1705</v>
      </c>
      <c r="E10" s="833" t="s">
        <v>2823</v>
      </c>
      <c r="F10" s="839" t="s">
        <v>6438</v>
      </c>
      <c r="G10" s="828" t="s">
        <v>6439</v>
      </c>
      <c r="H10" s="833"/>
      <c r="I10" s="833" t="s">
        <v>6440</v>
      </c>
      <c r="J10" s="833"/>
      <c r="K10" s="833" t="s">
        <v>4077</v>
      </c>
      <c r="L10" s="833"/>
      <c r="M10" s="833" t="s">
        <v>3074</v>
      </c>
      <c r="N10" s="833" t="s">
        <v>6441</v>
      </c>
      <c r="O10" s="833"/>
      <c r="P10" s="831" t="s">
        <v>3357</v>
      </c>
      <c r="Q10" s="833" t="s">
        <v>3074</v>
      </c>
      <c r="R10" s="833"/>
      <c r="S10" s="833" t="s">
        <v>4290</v>
      </c>
      <c r="T10" s="833"/>
      <c r="U10" s="833" t="s">
        <v>2716</v>
      </c>
      <c r="V10" s="833"/>
      <c r="W10" s="833"/>
      <c r="X10" s="833"/>
      <c r="Y10" s="833" t="s">
        <v>651</v>
      </c>
      <c r="Z10" s="833"/>
      <c r="AA10" s="833" t="s">
        <v>6442</v>
      </c>
      <c r="AB10" s="833"/>
      <c r="AC10" s="833"/>
      <c r="AD10" s="833"/>
      <c r="AE10" s="833"/>
      <c r="AF10" s="833"/>
      <c r="AG10" s="833"/>
      <c r="AH10" s="833"/>
      <c r="AI10" s="833"/>
      <c r="AJ10" s="833"/>
      <c r="AK10" s="833"/>
      <c r="AL10" s="833" t="s">
        <v>1958</v>
      </c>
      <c r="AM10" s="833"/>
      <c r="AN10" s="833" t="s">
        <v>5933</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6443</v>
      </c>
      <c r="C11" s="824" t="s">
        <v>4218</v>
      </c>
      <c r="D11" s="838" t="s">
        <v>1558</v>
      </c>
      <c r="E11" s="829" t="s">
        <v>337</v>
      </c>
      <c r="F11" s="842" t="s">
        <v>3074</v>
      </c>
      <c r="G11" s="828" t="s">
        <v>1329</v>
      </c>
      <c r="H11" s="829" t="s">
        <v>4218</v>
      </c>
      <c r="I11" s="830" t="s">
        <v>6444</v>
      </c>
      <c r="J11" s="829" t="s">
        <v>724</v>
      </c>
      <c r="K11" s="830"/>
      <c r="L11" s="830" t="s">
        <v>2339</v>
      </c>
      <c r="M11" s="829" t="s">
        <v>2102</v>
      </c>
      <c r="N11" s="830" t="s">
        <v>6445</v>
      </c>
      <c r="O11" s="829" t="s">
        <v>6446</v>
      </c>
      <c r="P11" s="831" t="s">
        <v>2823</v>
      </c>
      <c r="Q11" s="830" t="s">
        <v>101</v>
      </c>
      <c r="R11" s="830"/>
      <c r="S11" s="829" t="s">
        <v>2539</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6427</v>
      </c>
      <c r="B12" s="847" t="s">
        <v>6437</v>
      </c>
      <c r="C12" s="824" t="s">
        <v>6013</v>
      </c>
      <c r="D12" s="833" t="s">
        <v>1269</v>
      </c>
      <c r="E12" s="833" t="s">
        <v>6013</v>
      </c>
      <c r="F12" s="827"/>
      <c r="G12" s="828" t="str">
        <f>HYPERLINK("https://www.twitch.tv/videos/569558488","14.31")</f>
        <v>14.31</v>
      </c>
      <c r="H12" s="833" t="s">
        <v>4434</v>
      </c>
      <c r="I12" s="833" t="str">
        <f>HYPERLINK("https://youtu.be/F4XtupQ5d4o","14.33")</f>
        <v>14.33</v>
      </c>
      <c r="J12" s="833" t="s">
        <v>4434</v>
      </c>
      <c r="K12" s="833" t="s">
        <v>3104</v>
      </c>
      <c r="L12" s="833"/>
      <c r="M12" s="833" t="str">
        <f>HYPERLINK("https://www.youtube.com/watch?v=h3GaauXfeR4","14.16")</f>
        <v>14.16</v>
      </c>
      <c r="N12" s="833" t="str">
        <f>HYPERLINK("https://youtu.be/rZW3Nzg9CsM","14.20")</f>
        <v>14.20</v>
      </c>
      <c r="O12" s="833"/>
      <c r="P12" s="831" t="s">
        <v>4312</v>
      </c>
      <c r="Q12" s="833" t="s">
        <v>2269</v>
      </c>
      <c r="R12" s="833" t="s">
        <v>3915</v>
      </c>
      <c r="S12" s="833"/>
      <c r="T12" s="833"/>
      <c r="U12" s="833" t="s">
        <v>5501</v>
      </c>
      <c r="V12" s="833"/>
      <c r="W12" s="833" t="s">
        <v>4549</v>
      </c>
      <c r="X12" s="833"/>
      <c r="Y12" s="833"/>
      <c r="Z12" s="833"/>
      <c r="AA12" s="833" t="s">
        <v>6194</v>
      </c>
      <c r="AB12" s="833"/>
      <c r="AC12" s="833"/>
      <c r="AD12" s="833" t="s">
        <v>660</v>
      </c>
      <c r="AE12" s="833" t="s">
        <v>6447</v>
      </c>
      <c r="AF12" s="833"/>
      <c r="AG12" s="833" t="s">
        <v>5252</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6443</v>
      </c>
      <c r="C13" s="824" t="s">
        <v>992</v>
      </c>
      <c r="D13" s="838" t="s">
        <v>1559</v>
      </c>
      <c r="E13" s="833" t="s">
        <v>444</v>
      </c>
      <c r="F13" s="842" t="s">
        <v>1559</v>
      </c>
      <c r="G13" s="828" t="s">
        <v>1330</v>
      </c>
      <c r="H13" s="830" t="s">
        <v>992</v>
      </c>
      <c r="I13" s="833" t="str">
        <f>HYPERLINK("https://clips.twitch.tv/BusyTriangularAlmondRuleFive","13.97")</f>
        <v>13.97</v>
      </c>
      <c r="J13" s="833" t="s">
        <v>1330</v>
      </c>
      <c r="K13" s="833" t="s">
        <v>1810</v>
      </c>
      <c r="L13" s="833" t="s">
        <v>444</v>
      </c>
      <c r="M13" s="833" t="str">
        <f>HYPERLINK("https://youtu.be/v-0tSrJ8Kf0","13.80")</f>
        <v>13.80</v>
      </c>
      <c r="N13" s="833" t="str">
        <f>HYPERLINK("https://youtu.be/Kv9otnDdZKc","13.93")</f>
        <v>13.93</v>
      </c>
      <c r="O13" s="833" t="s">
        <v>992</v>
      </c>
      <c r="P13" s="831" t="s">
        <v>2405</v>
      </c>
      <c r="Q13" s="833" t="s">
        <v>1810</v>
      </c>
      <c r="R13" s="833"/>
      <c r="S13" s="833" t="s">
        <v>1559</v>
      </c>
      <c r="T13" s="833"/>
      <c r="U13" s="833" t="s">
        <v>2580</v>
      </c>
      <c r="V13" s="833"/>
      <c r="W13" s="833"/>
      <c r="X13" s="833"/>
      <c r="Y13" s="833"/>
      <c r="Z13" s="833"/>
      <c r="AA13" s="833" t="s">
        <v>1423</v>
      </c>
      <c r="AB13" s="833"/>
      <c r="AC13" s="833"/>
      <c r="AD13" s="833" t="s">
        <v>102</v>
      </c>
      <c r="AE13" s="833"/>
      <c r="AF13" s="833"/>
      <c r="AG13" s="833" t="s">
        <v>102</v>
      </c>
      <c r="AH13" s="833" t="s">
        <v>992</v>
      </c>
      <c r="AI13" s="833"/>
      <c r="AJ13" s="833" t="s">
        <v>2644</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6432</v>
      </c>
      <c r="B14" s="849" t="s">
        <v>6448</v>
      </c>
      <c r="C14" s="824" t="s">
        <v>6449</v>
      </c>
      <c r="D14" s="833" t="s">
        <v>5414</v>
      </c>
      <c r="E14" s="833"/>
      <c r="F14" s="839" t="s">
        <v>2140</v>
      </c>
      <c r="G14" s="843"/>
      <c r="H14" s="833"/>
      <c r="I14" s="833"/>
      <c r="J14" s="833"/>
      <c r="K14" s="833"/>
      <c r="L14" s="833"/>
      <c r="M14" s="833" t="s">
        <v>6449</v>
      </c>
      <c r="N14" s="833"/>
      <c r="O14" s="833"/>
      <c r="P14" s="831"/>
      <c r="Q14" s="833"/>
      <c r="R14" s="833"/>
      <c r="S14" s="833" t="s">
        <v>6450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6451</v>
      </c>
      <c r="C15" s="824" t="s">
        <v>6452</v>
      </c>
      <c r="D15" s="830" t="s">
        <v>6453</v>
      </c>
      <c r="E15" s="829" t="s">
        <v>1097</v>
      </c>
      <c r="F15" s="845" t="s">
        <v>6454</v>
      </c>
      <c r="G15" s="828" t="s">
        <v>2214</v>
      </c>
      <c r="H15" s="830" t="s">
        <v>6455</v>
      </c>
      <c r="I15" s="830"/>
      <c r="J15" s="829" t="s">
        <v>6456</v>
      </c>
      <c r="K15" s="830"/>
      <c r="L15" s="830" t="s">
        <v>6456</v>
      </c>
      <c r="M15" s="830"/>
      <c r="N15" s="830"/>
      <c r="O15" s="829" t="s">
        <v>1847</v>
      </c>
      <c r="P15" s="831" t="s">
        <v>6457</v>
      </c>
      <c r="Q15" s="830" t="s">
        <v>6458</v>
      </c>
      <c r="R15" s="830"/>
      <c r="S15" s="830"/>
      <c r="T15" s="830" t="s">
        <v>6449</v>
      </c>
      <c r="U15" s="830"/>
      <c r="V15" s="830" t="s">
        <v>6456</v>
      </c>
      <c r="W15" s="830"/>
      <c r="X15" s="829" t="s">
        <v>1847</v>
      </c>
      <c r="Y15" s="830"/>
      <c r="Z15" s="830"/>
      <c r="AA15" s="830"/>
      <c r="AB15" s="830"/>
      <c r="AC15" s="830"/>
      <c r="AD15" s="830"/>
      <c r="AE15" s="830"/>
      <c r="AF15" s="829" t="s">
        <v>6452</v>
      </c>
      <c r="AG15" s="830" t="s">
        <v>3816</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6459</v>
      </c>
      <c r="B16" s="823" t="s">
        <v>6460</v>
      </c>
      <c r="C16" s="824" t="s">
        <v>1782</v>
      </c>
      <c r="D16" s="833" t="s">
        <v>4636</v>
      </c>
      <c r="E16" s="833" t="s">
        <v>1174</v>
      </c>
      <c r="F16" s="834"/>
      <c r="G16" s="828" t="s">
        <v>4435</v>
      </c>
      <c r="H16" s="833"/>
      <c r="I16" s="833" t="s">
        <v>4191</v>
      </c>
      <c r="J16" s="833"/>
      <c r="K16" s="833" t="s">
        <v>6461</v>
      </c>
      <c r="L16" s="833"/>
      <c r="M16" s="833" t="s">
        <v>6462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4070</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6463</v>
      </c>
      <c r="C17" s="824" t="s">
        <v>2860</v>
      </c>
      <c r="D17" s="833"/>
      <c r="E17" s="833" t="s">
        <v>968</v>
      </c>
      <c r="F17" s="827"/>
      <c r="G17" s="843"/>
      <c r="H17" s="833"/>
      <c r="I17" s="833"/>
      <c r="J17" s="833"/>
      <c r="K17" s="833" t="s">
        <v>6464</v>
      </c>
      <c r="L17" s="833"/>
      <c r="M17" s="833"/>
      <c r="N17" s="833"/>
      <c r="O17" s="833"/>
      <c r="P17" s="831"/>
      <c r="Q17" s="833" t="s">
        <v>6465</v>
      </c>
      <c r="R17" s="833" t="s">
        <v>6466</v>
      </c>
      <c r="S17" s="833"/>
      <c r="T17" s="833"/>
      <c r="U17" s="833"/>
      <c r="V17" s="833"/>
      <c r="W17" s="833"/>
      <c r="X17" s="833"/>
      <c r="Y17" s="833"/>
      <c r="Z17" s="833"/>
      <c r="AA17" s="833"/>
      <c r="AB17" s="833"/>
      <c r="AC17" s="833"/>
      <c r="AD17" s="833"/>
      <c r="AE17" s="833"/>
      <c r="AF17" s="833"/>
      <c r="AG17" s="833"/>
      <c r="AH17" s="833"/>
      <c r="AI17" s="833" t="s">
        <v>3844</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6467</v>
      </c>
      <c r="C18" s="824" t="s">
        <v>6468</v>
      </c>
      <c r="D18" s="833" t="s">
        <v>1560</v>
      </c>
      <c r="E18" s="833" t="s">
        <v>6468</v>
      </c>
      <c r="F18" s="842" t="s">
        <v>661</v>
      </c>
      <c r="G18" s="828" t="s">
        <v>1331</v>
      </c>
      <c r="H18" s="833" t="s">
        <v>4297</v>
      </c>
      <c r="I18" s="833" t="str">
        <f>HYPERLINK("https://clips.twitch.tv/EnergeticBeautifulMallardRalpherZ","42.96")</f>
        <v>42.96</v>
      </c>
      <c r="J18" s="833" t="s">
        <v>138</v>
      </c>
      <c r="K18" s="833" t="s">
        <v>1431</v>
      </c>
      <c r="L18" s="833" t="s">
        <v>625</v>
      </c>
      <c r="M18" s="833" t="s">
        <v>589</v>
      </c>
      <c r="N18" s="833" t="s">
        <v>117</v>
      </c>
      <c r="O18" s="833" t="s">
        <v>993</v>
      </c>
      <c r="P18" s="831" t="s">
        <v>3217</v>
      </c>
      <c r="Q18" s="833" t="s">
        <v>1560</v>
      </c>
      <c r="R18" s="833"/>
      <c r="S18" s="833" t="s">
        <v>2540</v>
      </c>
      <c r="T18" s="833"/>
      <c r="U18" s="833" t="s">
        <v>2229</v>
      </c>
      <c r="V18" s="833" t="s">
        <v>551</v>
      </c>
      <c r="W18" s="833"/>
      <c r="X18" s="833"/>
      <c r="Y18" s="829" t="s">
        <v>3161</v>
      </c>
      <c r="Z18" s="833"/>
      <c r="AA18" s="833" t="s">
        <v>5096</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6469</v>
      </c>
      <c r="B19" s="823" t="s">
        <v>6470</v>
      </c>
      <c r="C19" s="824" t="s">
        <v>6449</v>
      </c>
      <c r="D19" s="850"/>
      <c r="E19" s="850" t="s">
        <v>159</v>
      </c>
      <c r="F19" s="827"/>
      <c r="G19" s="843" t="s">
        <v>4143</v>
      </c>
      <c r="H19" s="850"/>
      <c r="I19" s="850"/>
      <c r="J19" s="850"/>
      <c r="K19" s="850"/>
      <c r="L19" s="850"/>
      <c r="M19" s="850"/>
      <c r="N19" s="850"/>
      <c r="O19" s="850"/>
      <c r="P19" s="851"/>
      <c r="Q19" s="850" t="s">
        <v>6471</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6472</v>
      </c>
      <c r="C20" s="824" t="s">
        <v>6473</v>
      </c>
      <c r="D20" s="833"/>
      <c r="E20" s="833" t="s">
        <v>3816</v>
      </c>
      <c r="F20" s="845" t="s">
        <v>536</v>
      </c>
      <c r="G20" s="843"/>
      <c r="H20" s="833" t="s">
        <v>6474</v>
      </c>
      <c r="I20" s="833"/>
      <c r="J20" s="833"/>
      <c r="K20" s="833"/>
      <c r="L20" s="833" t="s">
        <v>785</v>
      </c>
      <c r="M20" s="833"/>
      <c r="N20" s="833"/>
      <c r="O20" s="833"/>
      <c r="P20" s="831"/>
      <c r="Q20" s="833" t="s">
        <v>3090</v>
      </c>
      <c r="R20" s="833"/>
      <c r="S20" s="833"/>
      <c r="T20" s="833"/>
      <c r="U20" s="833"/>
      <c r="V20" s="833"/>
      <c r="W20" s="833"/>
      <c r="X20" s="833" t="s">
        <v>6475</v>
      </c>
      <c r="Y20" s="833"/>
      <c r="Z20" s="833"/>
      <c r="AA20" s="833"/>
      <c r="AB20" s="833"/>
      <c r="AC20" s="833"/>
      <c r="AD20" s="833"/>
      <c r="AE20" s="833"/>
      <c r="AF20" s="833" t="s">
        <v>6473</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6476</v>
      </c>
      <c r="B21" s="823" t="s">
        <v>6477</v>
      </c>
      <c r="C21" s="824" t="s">
        <v>251</v>
      </c>
      <c r="D21" s="833"/>
      <c r="E21" s="833" t="s">
        <v>251</v>
      </c>
      <c r="F21" s="827"/>
      <c r="G21" s="843"/>
      <c r="H21" s="833"/>
      <c r="I21" s="833"/>
      <c r="J21" s="833"/>
      <c r="K21" s="833"/>
      <c r="L21" s="833"/>
      <c r="M21" s="833"/>
      <c r="N21" s="833" t="s">
        <v>6478</v>
      </c>
      <c r="O21" s="833"/>
      <c r="P21" s="831"/>
      <c r="Q21" s="833" t="s">
        <v>6479</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6480</v>
      </c>
      <c r="C22" s="824" t="s">
        <v>6481</v>
      </c>
      <c r="D22" s="833"/>
      <c r="E22" s="833" t="s">
        <v>1102</v>
      </c>
      <c r="F22" s="842" t="s">
        <v>3394</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6482</v>
      </c>
      <c r="C23" s="824" t="s">
        <v>2826</v>
      </c>
      <c r="D23" s="829" t="s">
        <v>1562</v>
      </c>
      <c r="E23" s="833" t="s">
        <v>6483</v>
      </c>
      <c r="F23" s="854" t="s">
        <v>3076</v>
      </c>
      <c r="G23" s="843"/>
      <c r="H23" s="833"/>
      <c r="I23" s="833"/>
      <c r="J23" s="833"/>
      <c r="K23" s="833"/>
      <c r="L23" s="833"/>
      <c r="M23" s="833"/>
      <c r="N23" s="833"/>
      <c r="O23" s="833"/>
      <c r="P23" s="831"/>
      <c r="Q23" s="833"/>
      <c r="R23" s="833"/>
      <c r="S23" s="833"/>
      <c r="T23" s="833"/>
      <c r="U23" s="833"/>
      <c r="V23" s="833"/>
      <c r="W23" s="833"/>
      <c r="X23" s="833"/>
      <c r="Y23" s="833" t="s">
        <v>4509</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6484</v>
      </c>
      <c r="C24" s="824" t="s">
        <v>6485</v>
      </c>
      <c r="D24" s="833"/>
      <c r="E24" s="833" t="s">
        <v>6485</v>
      </c>
      <c r="F24" s="834"/>
      <c r="G24" s="828" t="s">
        <v>1333</v>
      </c>
      <c r="H24" s="833"/>
      <c r="I24" s="833"/>
      <c r="J24" s="833" t="s">
        <v>6486</v>
      </c>
      <c r="K24" s="833" t="s">
        <v>6487</v>
      </c>
      <c r="L24" s="833"/>
      <c r="M24" s="833"/>
      <c r="N24" s="833"/>
      <c r="O24" s="833" t="s">
        <v>6488</v>
      </c>
      <c r="P24" s="831" t="s">
        <v>6489</v>
      </c>
      <c r="Q24" s="833" t="s">
        <v>6490</v>
      </c>
      <c r="R24" s="833"/>
      <c r="S24" s="833" t="s">
        <v>105</v>
      </c>
      <c r="T24" s="833" t="s">
        <v>3234</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6427</v>
      </c>
      <c r="B25" s="841" t="s">
        <v>6491</v>
      </c>
      <c r="C25" s="824" t="s">
        <v>5282</v>
      </c>
      <c r="D25" s="833" t="s">
        <v>480</v>
      </c>
      <c r="E25" s="833" t="s">
        <v>5282</v>
      </c>
      <c r="F25" s="827"/>
      <c r="G25" s="828" t="s">
        <v>5454</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6492</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6493</v>
      </c>
      <c r="C26" s="824" t="s">
        <v>2783</v>
      </c>
      <c r="D26" s="833"/>
      <c r="E26" s="833" t="s">
        <v>2783</v>
      </c>
      <c r="F26" s="834"/>
      <c r="G26" s="843"/>
      <c r="H26" s="833"/>
      <c r="I26" s="833"/>
      <c r="J26" s="833"/>
      <c r="K26" s="833" t="s">
        <v>6494</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6495</v>
      </c>
      <c r="C27" s="824" t="s">
        <v>4209</v>
      </c>
      <c r="D27" s="833"/>
      <c r="E27" s="833" t="s">
        <v>1825</v>
      </c>
      <c r="F27" s="854" t="s">
        <v>6494</v>
      </c>
      <c r="G27" s="843"/>
      <c r="H27" s="833"/>
      <c r="I27" s="833" t="s">
        <v>4803</v>
      </c>
      <c r="J27" s="833" t="s">
        <v>771</v>
      </c>
      <c r="K27" s="833" t="s">
        <v>3395</v>
      </c>
      <c r="L27" s="833"/>
      <c r="M27" s="833" t="s">
        <v>1447</v>
      </c>
      <c r="N27" s="833" t="s">
        <v>6494</v>
      </c>
      <c r="O27" s="833"/>
      <c r="P27" s="831"/>
      <c r="Q27" s="833"/>
      <c r="R27" s="833"/>
      <c r="S27" s="833"/>
      <c r="T27" s="833"/>
      <c r="U27" s="833"/>
      <c r="V27" s="833"/>
      <c r="W27" s="833" t="s">
        <v>451</v>
      </c>
      <c r="X27" s="833"/>
      <c r="Y27" s="833"/>
      <c r="Z27" s="833"/>
      <c r="AA27" s="833" t="s">
        <v>6496</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6497</v>
      </c>
      <c r="C28" s="824" t="s">
        <v>1968</v>
      </c>
      <c r="D28" s="833"/>
      <c r="E28" s="833" t="s">
        <v>1427</v>
      </c>
      <c r="F28" s="834"/>
      <c r="G28" s="828" t="s">
        <v>110</v>
      </c>
      <c r="H28" s="833"/>
      <c r="I28" s="833" t="s">
        <v>1825</v>
      </c>
      <c r="J28" s="833" t="s">
        <v>1968</v>
      </c>
      <c r="K28" s="833" t="s">
        <v>965</v>
      </c>
      <c r="L28" s="833"/>
      <c r="M28" s="833" t="s">
        <v>2700</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2418</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6498</v>
      </c>
      <c r="C29" s="824" t="s">
        <v>3804</v>
      </c>
      <c r="D29" s="833"/>
      <c r="E29" s="833" t="s">
        <v>3804</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6499</v>
      </c>
      <c r="C30" s="824" t="s">
        <v>2700</v>
      </c>
      <c r="D30" s="833"/>
      <c r="E30" s="833" t="s">
        <v>3049</v>
      </c>
      <c r="F30" s="834"/>
      <c r="G30" s="843"/>
      <c r="H30" s="833"/>
      <c r="I30" s="833"/>
      <c r="J30" s="833"/>
      <c r="K30" s="833" t="s">
        <v>4209</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6500</v>
      </c>
      <c r="C31" s="824" t="s">
        <v>2827</v>
      </c>
      <c r="D31" s="833"/>
      <c r="E31" s="833" t="s">
        <v>3395</v>
      </c>
      <c r="F31" s="827"/>
      <c r="G31" s="843"/>
      <c r="H31" s="833"/>
      <c r="I31" s="833"/>
      <c r="J31" s="833" t="s">
        <v>2827</v>
      </c>
      <c r="K31" s="833" t="s">
        <v>3804</v>
      </c>
      <c r="L31" s="833"/>
      <c r="M31" s="833" t="s">
        <v>4836</v>
      </c>
      <c r="N31" s="833"/>
      <c r="O31" s="833"/>
      <c r="P31" s="831"/>
      <c r="Q31" s="833" t="s">
        <v>6501</v>
      </c>
      <c r="R31" s="829" t="s">
        <v>2827</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6502</v>
      </c>
      <c r="C32" s="824" t="s">
        <v>4123</v>
      </c>
      <c r="D32" s="833"/>
      <c r="E32" s="833" t="s">
        <v>3779</v>
      </c>
      <c r="F32" s="834"/>
      <c r="G32" s="843"/>
      <c r="H32" s="833"/>
      <c r="I32" s="833"/>
      <c r="J32" s="833" t="s">
        <v>4123</v>
      </c>
      <c r="K32" s="833" t="s">
        <v>6503</v>
      </c>
      <c r="L32" s="833" t="s">
        <v>2262</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6504</v>
      </c>
      <c r="C33" s="824" t="s">
        <v>2307</v>
      </c>
      <c r="D33" s="833" t="s">
        <v>1563</v>
      </c>
      <c r="E33" s="833" t="s">
        <v>2827</v>
      </c>
      <c r="F33" s="854" t="s">
        <v>2765</v>
      </c>
      <c r="G33" s="843"/>
      <c r="H33" s="833"/>
      <c r="I33" s="833" t="s">
        <v>6505</v>
      </c>
      <c r="J33" s="833" t="s">
        <v>2307</v>
      </c>
      <c r="K33" s="833" t="s">
        <v>2262</v>
      </c>
      <c r="L33" s="833"/>
      <c r="M33" s="833" t="s">
        <v>6503</v>
      </c>
      <c r="N33" s="833"/>
      <c r="O33" s="833"/>
      <c r="P33" s="831"/>
      <c r="Q33" s="833" t="s">
        <v>1743</v>
      </c>
      <c r="R33" s="833"/>
      <c r="S33" s="833"/>
      <c r="T33" s="833"/>
      <c r="U33" s="833" t="s">
        <v>5744</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6506</v>
      </c>
      <c r="C34" s="824" t="s">
        <v>761</v>
      </c>
      <c r="D34" s="833"/>
      <c r="E34" s="833" t="s">
        <v>3887</v>
      </c>
      <c r="F34" s="842" t="s">
        <v>2700</v>
      </c>
      <c r="G34" s="828" t="s">
        <v>3688</v>
      </c>
      <c r="H34" s="833" t="s">
        <v>761</v>
      </c>
      <c r="I34" s="833" t="s">
        <v>1958</v>
      </c>
      <c r="J34" s="833" t="s">
        <v>1137</v>
      </c>
      <c r="K34" s="833" t="s">
        <v>4772</v>
      </c>
      <c r="L34" s="833"/>
      <c r="M34" s="833"/>
      <c r="N34" s="833"/>
      <c r="O34" s="833" t="s">
        <v>1958</v>
      </c>
      <c r="P34" s="831" t="s">
        <v>2485</v>
      </c>
      <c r="Q34" s="833" t="str">
        <f>HYPERLINK("https://clips.twitch.tv/AggressiveBigTeaNononoCat","40.26")</f>
        <v>40.26</v>
      </c>
      <c r="R34" s="833"/>
      <c r="S34" s="833"/>
      <c r="T34" s="833" t="s">
        <v>3887</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6432</v>
      </c>
      <c r="B35" s="841" t="s">
        <v>6507</v>
      </c>
      <c r="C35" s="824" t="s">
        <v>4283</v>
      </c>
      <c r="D35" s="833" t="s">
        <v>6508</v>
      </c>
      <c r="E35" s="833" t="s">
        <v>4283</v>
      </c>
      <c r="F35" s="854" t="s">
        <v>2516</v>
      </c>
      <c r="G35" s="828" t="s">
        <v>2964</v>
      </c>
      <c r="H35" s="833"/>
      <c r="I35" s="833"/>
      <c r="J35" s="833"/>
      <c r="K35" s="833" t="s">
        <v>354</v>
      </c>
      <c r="L35" s="833"/>
      <c r="M35" s="833"/>
      <c r="N35" s="833"/>
      <c r="O35" s="833"/>
      <c r="P35" s="831"/>
      <c r="Q35" s="833" t="s">
        <v>3057</v>
      </c>
      <c r="R35" s="833"/>
      <c r="S35" s="833"/>
      <c r="T35" s="833"/>
      <c r="U35" s="833"/>
      <c r="V35" s="833"/>
      <c r="W35" s="833" t="s">
        <v>6509</v>
      </c>
      <c r="X35" s="833" t="s">
        <v>1800</v>
      </c>
      <c r="Y35" s="833"/>
      <c r="Z35" s="833"/>
      <c r="AA35" s="833" t="s">
        <v>3513</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6510</v>
      </c>
      <c r="C36" s="824" t="s">
        <v>2532</v>
      </c>
      <c r="D36" s="833" t="s">
        <v>3288</v>
      </c>
      <c r="E36" s="833" t="s">
        <v>3565</v>
      </c>
      <c r="F36" s="842" t="s">
        <v>4511</v>
      </c>
      <c r="G36" s="828" t="s">
        <v>711</v>
      </c>
      <c r="H36" s="833" t="s">
        <v>6511</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6512</v>
      </c>
      <c r="B37" s="823" t="s">
        <v>6513</v>
      </c>
      <c r="C37" s="824" t="s">
        <v>1000</v>
      </c>
      <c r="D37" s="833" t="s">
        <v>5164</v>
      </c>
      <c r="E37" s="833" t="s">
        <v>6514</v>
      </c>
      <c r="F37" s="827"/>
      <c r="G37" s="843"/>
      <c r="H37" s="833" t="s">
        <v>5177</v>
      </c>
      <c r="I37" s="833" t="str">
        <f>HYPERLINK("https://youtu.be/WdBDZlWcLa8","16.95")</f>
        <v>16.95</v>
      </c>
      <c r="J37" s="833"/>
      <c r="K37" s="833"/>
      <c r="L37" s="833"/>
      <c r="M37" s="833"/>
      <c r="N37" s="833" t="str">
        <f>HYPERLINK("https://youtu.be/FwtG-kRM0SE","17.64")</f>
        <v>17.64</v>
      </c>
      <c r="O37" s="833"/>
      <c r="P37" s="831" t="s">
        <v>4774</v>
      </c>
      <c r="Q37" s="833" t="str">
        <f>HYPERLINK("https://clips.twitch.tv/VainSmokyPotSeemsGood","16.88")</f>
        <v>16.88</v>
      </c>
      <c r="R37" s="833"/>
      <c r="S37" s="833" t="s">
        <v>1000</v>
      </c>
      <c r="T37" s="833"/>
      <c r="U37" s="833" t="s">
        <v>5327</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6515</v>
      </c>
      <c r="C38" s="824">
        <v>15.96</v>
      </c>
      <c r="D38" s="830" t="s">
        <v>1564</v>
      </c>
      <c r="E38" s="829" t="s">
        <v>343</v>
      </c>
      <c r="F38" s="834"/>
      <c r="G38" s="828" t="s">
        <v>555</v>
      </c>
      <c r="H38" s="829" t="s">
        <v>231</v>
      </c>
      <c r="I38" s="829" t="s">
        <v>107</v>
      </c>
      <c r="J38" s="829" t="s">
        <v>555</v>
      </c>
      <c r="K38" s="829" t="s">
        <v>2648</v>
      </c>
      <c r="L38" s="830" t="s">
        <v>555</v>
      </c>
      <c r="M38" s="829" t="s">
        <v>107</v>
      </c>
      <c r="N38" s="830" t="s">
        <v>456</v>
      </c>
      <c r="O38" s="829" t="s">
        <v>555</v>
      </c>
      <c r="P38" s="831" t="s">
        <v>343</v>
      </c>
      <c r="Q38" s="830"/>
      <c r="R38" s="830"/>
      <c r="S38" s="830"/>
      <c r="T38" s="830"/>
      <c r="U38" s="830" t="s">
        <v>3472</v>
      </c>
      <c r="V38" s="830"/>
      <c r="W38" s="830"/>
      <c r="X38" s="830"/>
      <c r="Y38" s="829" t="s">
        <v>2828</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6516</v>
      </c>
      <c r="B39" s="823" t="s">
        <v>6517</v>
      </c>
      <c r="C39" s="824" t="s">
        <v>4869</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6518</v>
      </c>
      <c r="B40" s="823" t="s">
        <v>6519</v>
      </c>
      <c r="C40" s="824" t="s">
        <v>2429</v>
      </c>
      <c r="D40" s="859" t="s">
        <v>1266</v>
      </c>
      <c r="E40" s="833" t="s">
        <v>2429</v>
      </c>
      <c r="F40" s="827"/>
      <c r="G40" s="843"/>
      <c r="H40" s="833"/>
      <c r="I40" s="833" t="str">
        <f>HYPERLINK("https://youtu.be/t-1yqXLdZMA","38.05")</f>
        <v>38.05</v>
      </c>
      <c r="J40" s="833" t="s">
        <v>6520</v>
      </c>
      <c r="K40" s="833" t="s">
        <v>2264</v>
      </c>
      <c r="L40" s="833" t="s">
        <v>922</v>
      </c>
      <c r="M40" s="833" t="s">
        <v>3016</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6521</v>
      </c>
      <c r="B41" s="841" t="s">
        <v>6519</v>
      </c>
      <c r="C41" s="860" t="s">
        <v>6522</v>
      </c>
      <c r="D41" s="860" t="s">
        <v>6522</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6523</v>
      </c>
      <c r="B42" s="823" t="s">
        <v>6519</v>
      </c>
      <c r="C42" s="824" t="s">
        <v>3325</v>
      </c>
      <c r="D42" s="838" t="s">
        <v>647</v>
      </c>
      <c r="E42" s="833" t="s">
        <v>2839</v>
      </c>
      <c r="F42" s="827"/>
      <c r="G42" s="843"/>
      <c r="H42" s="833"/>
      <c r="I42" s="833" t="s">
        <v>1726</v>
      </c>
      <c r="J42" s="833"/>
      <c r="K42" s="833" t="s">
        <v>6524</v>
      </c>
      <c r="L42" s="833" t="s">
        <v>275</v>
      </c>
      <c r="M42" s="833" t="s">
        <v>784</v>
      </c>
      <c r="N42" s="833" t="str">
        <f>HYPERLINK("https://youtu.be/Z3lDpXDeu-A","48.50")</f>
        <v>48.50</v>
      </c>
      <c r="O42" s="833"/>
      <c r="P42" s="831"/>
      <c r="Q42" s="833"/>
      <c r="R42" s="833"/>
      <c r="S42" s="833" t="s">
        <v>3325</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6525</v>
      </c>
      <c r="C43" s="824" t="s">
        <v>2590</v>
      </c>
      <c r="D43" s="831"/>
      <c r="E43" s="831"/>
      <c r="F43" s="834"/>
      <c r="G43" s="843"/>
      <c r="H43" s="831"/>
      <c r="I43" s="861" t="s">
        <v>2590</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6526</v>
      </c>
      <c r="C44" s="824" t="s">
        <v>3302</v>
      </c>
      <c r="D44" s="831"/>
      <c r="E44" s="831"/>
      <c r="F44" s="827"/>
      <c r="G44" s="843"/>
      <c r="H44" s="831"/>
      <c r="I44" s="861" t="s">
        <v>3302</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6527</v>
      </c>
      <c r="C45" s="824" t="s">
        <v>5280</v>
      </c>
      <c r="D45" s="860" t="s">
        <v>6065</v>
      </c>
      <c r="E45" s="831"/>
      <c r="F45" s="834"/>
      <c r="G45" s="843"/>
      <c r="H45" s="831"/>
      <c r="I45" s="861" t="s">
        <v>5280</v>
      </c>
      <c r="J45" s="861" t="s">
        <v>2265</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6521</v>
      </c>
      <c r="B46" s="841" t="s">
        <v>6519</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6528</v>
      </c>
      <c r="C47" s="865" t="s">
        <v>6529</v>
      </c>
      <c r="D47" s="860" t="s">
        <v>6529</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6411</v>
      </c>
      <c r="C48" s="824" t="s">
        <v>349</v>
      </c>
      <c r="D48" s="838" t="s">
        <v>6530</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6531</v>
      </c>
      <c r="B50" s="873" t="s">
        <v>6532</v>
      </c>
      <c r="C50" s="865" t="s">
        <v>1917</v>
      </c>
      <c r="D50" s="833"/>
      <c r="E50" s="833" t="s">
        <v>187</v>
      </c>
      <c r="F50" s="827"/>
      <c r="G50" s="828" t="s">
        <v>1876</v>
      </c>
      <c r="H50" s="833"/>
      <c r="I50" s="833" t="s">
        <v>6064</v>
      </c>
      <c r="J50" s="833" t="s">
        <v>1917</v>
      </c>
      <c r="K50" s="833" t="s">
        <v>4584</v>
      </c>
      <c r="L50" s="833" t="s">
        <v>837</v>
      </c>
      <c r="M50" s="833" t="s">
        <v>752</v>
      </c>
      <c r="N50" s="833" t="s">
        <v>2871</v>
      </c>
      <c r="O50" s="833"/>
      <c r="P50" s="831" t="s">
        <v>3376</v>
      </c>
      <c r="Q50" s="833" t="s">
        <v>1138</v>
      </c>
      <c r="R50" s="833" t="s">
        <v>6533</v>
      </c>
      <c r="S50" s="833"/>
      <c r="T50" s="833"/>
      <c r="U50" s="833" t="s">
        <v>2651</v>
      </c>
      <c r="V50" s="833"/>
      <c r="W50" s="833"/>
      <c r="X50" s="833"/>
      <c r="Y50" s="833" t="s">
        <v>3464</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6534</v>
      </c>
      <c r="C51" s="865" t="s">
        <v>3269</v>
      </c>
      <c r="D51" s="833"/>
      <c r="E51" s="833" t="s">
        <v>3269</v>
      </c>
      <c r="F51" s="878"/>
      <c r="G51" s="843"/>
      <c r="H51" s="833"/>
      <c r="I51" s="833"/>
      <c r="J51" s="833"/>
      <c r="K51" s="833"/>
      <c r="L51" s="833"/>
      <c r="M51" s="833"/>
      <c r="N51" s="833"/>
      <c r="O51" s="833" t="s">
        <v>403</v>
      </c>
      <c r="P51" s="831" t="s">
        <v>1371</v>
      </c>
      <c r="Q51" s="833" t="s">
        <v>802</v>
      </c>
      <c r="R51" s="833"/>
      <c r="S51" s="833"/>
      <c r="T51" s="833" t="s">
        <v>5722</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6535</v>
      </c>
      <c r="C52" s="865">
        <v>52.89</v>
      </c>
      <c r="D52" s="879" t="s">
        <v>4598</v>
      </c>
      <c r="E52" s="880"/>
      <c r="F52" s="827"/>
      <c r="G52" s="843"/>
      <c r="H52" s="880"/>
      <c r="I52" s="880"/>
      <c r="J52" s="880"/>
      <c r="K52" s="880"/>
      <c r="L52" s="880"/>
      <c r="M52" s="880"/>
      <c r="N52" s="881" t="s">
        <v>6536</v>
      </c>
      <c r="O52" s="880"/>
      <c r="P52" s="831"/>
      <c r="Q52" s="880"/>
      <c r="R52" s="880"/>
      <c r="S52" s="880"/>
      <c r="T52" s="880"/>
      <c r="U52" s="880"/>
      <c r="V52" s="880"/>
      <c r="W52" s="880"/>
      <c r="X52" s="880"/>
      <c r="Y52" s="880" t="s">
        <v>1858</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6537</v>
      </c>
      <c r="C53" s="865" t="s">
        <v>237</v>
      </c>
      <c r="D53" s="833" t="s">
        <v>493</v>
      </c>
      <c r="E53" s="879" t="s">
        <v>350</v>
      </c>
      <c r="F53" s="839" t="s">
        <v>3077</v>
      </c>
      <c r="G53" s="828" t="s">
        <v>1339</v>
      </c>
      <c r="H53" s="828" t="s">
        <v>366</v>
      </c>
      <c r="I53" s="879"/>
      <c r="J53" s="879"/>
      <c r="K53" s="879"/>
      <c r="L53" s="879"/>
      <c r="M53" s="879"/>
      <c r="N53" s="879"/>
      <c r="O53" s="879" t="s">
        <v>3077</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6432</v>
      </c>
      <c r="B54" s="883" t="s">
        <v>6532</v>
      </c>
      <c r="C54" s="865" t="s">
        <v>3700</v>
      </c>
      <c r="D54" s="879"/>
      <c r="E54" s="879" t="s">
        <v>5058</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6534</v>
      </c>
      <c r="C55" s="865" t="s">
        <v>468</v>
      </c>
      <c r="D55" s="879"/>
      <c r="E55" s="879" t="s">
        <v>6538</v>
      </c>
      <c r="F55" s="884"/>
      <c r="G55" s="843"/>
      <c r="H55" s="879" t="s">
        <v>468</v>
      </c>
      <c r="I55" s="879"/>
      <c r="J55" s="879"/>
      <c r="K55" s="879"/>
      <c r="L55" s="879"/>
      <c r="M55" s="879"/>
      <c r="N55" s="879"/>
      <c r="O55" s="879"/>
      <c r="P55" s="831" t="s">
        <v>6539</v>
      </c>
      <c r="Q55" s="879" t="s">
        <v>2141</v>
      </c>
      <c r="R55" s="879"/>
      <c r="S55" s="879"/>
      <c r="T55" s="879"/>
      <c r="U55" s="879"/>
      <c r="V55" s="879"/>
      <c r="W55" s="879"/>
      <c r="X55" s="879" t="s">
        <v>4137</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6535</v>
      </c>
      <c r="C56" s="865" t="s">
        <v>1277</v>
      </c>
      <c r="D56" s="879" t="s">
        <v>4950</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6537</v>
      </c>
      <c r="C57" s="865" t="s">
        <v>415</v>
      </c>
      <c r="D57" s="879"/>
      <c r="E57" s="879" t="s">
        <v>135</v>
      </c>
      <c r="F57" s="885" t="s">
        <v>3286</v>
      </c>
      <c r="G57" s="828" t="s">
        <v>6540</v>
      </c>
      <c r="H57" s="828" t="s">
        <v>620</v>
      </c>
      <c r="I57" s="879"/>
      <c r="J57" s="879"/>
      <c r="K57" s="879"/>
      <c r="L57" s="879"/>
      <c r="M57" s="879"/>
      <c r="N57" s="879"/>
      <c r="O57" s="828" t="s">
        <v>3862</v>
      </c>
      <c r="P57" s="831" t="s">
        <v>6541</v>
      </c>
      <c r="Q57" s="879" t="s">
        <v>6465</v>
      </c>
      <c r="R57" s="879" t="s">
        <v>768</v>
      </c>
      <c r="S57" s="879"/>
      <c r="T57" s="879"/>
      <c r="U57" s="879"/>
      <c r="V57" s="879"/>
      <c r="W57" s="879"/>
      <c r="X57" s="879"/>
      <c r="Y57" s="879"/>
      <c r="Z57" s="879" t="s">
        <v>3862</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6427</v>
      </c>
      <c r="B58" s="887" t="s">
        <v>6411</v>
      </c>
      <c r="C58" s="865" t="s">
        <v>4117</v>
      </c>
      <c r="D58" s="835"/>
      <c r="E58" s="835"/>
      <c r="F58" s="839" t="s">
        <v>6542</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6413</v>
      </c>
      <c r="B59" s="873" t="s">
        <v>6411</v>
      </c>
      <c r="C59" s="890" t="s">
        <v>2611</v>
      </c>
      <c r="D59" s="857" t="s">
        <v>6543</v>
      </c>
      <c r="E59" s="857"/>
      <c r="F59" s="891" t="s">
        <v>2611</v>
      </c>
      <c r="G59" s="843"/>
      <c r="H59" s="857" t="s">
        <v>2217</v>
      </c>
      <c r="I59" s="857"/>
      <c r="J59" s="857"/>
      <c r="K59" s="857"/>
      <c r="L59" s="857"/>
      <c r="M59" s="857"/>
      <c r="N59" s="857"/>
      <c r="O59" s="857"/>
      <c r="P59" s="858"/>
      <c r="Q59" s="857"/>
      <c r="R59" s="857"/>
      <c r="S59" s="857"/>
      <c r="T59" s="857"/>
      <c r="U59" s="857"/>
      <c r="V59" s="857"/>
      <c r="W59" s="857"/>
      <c r="X59" s="857" t="s">
        <v>2020</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6427</v>
      </c>
      <c r="B60" s="883" t="s">
        <v>6544</v>
      </c>
      <c r="C60" s="865" t="s">
        <v>3638</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6545</v>
      </c>
      <c r="Z60" s="857"/>
      <c r="AA60" s="857"/>
      <c r="AB60" s="857"/>
      <c r="AC60" s="857"/>
      <c r="AD60" s="857"/>
      <c r="AE60" s="857"/>
      <c r="AF60" s="857"/>
      <c r="AG60" s="857"/>
      <c r="AH60" s="857"/>
      <c r="AI60" s="857"/>
      <c r="AJ60" s="857"/>
      <c r="AK60" s="857"/>
      <c r="AL60" s="857"/>
      <c r="AM60" s="857"/>
      <c r="AN60" s="857"/>
      <c r="AO60" s="857"/>
      <c r="AP60" s="826" t="s">
        <v>6546</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6547</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6548</v>
      </c>
      <c r="C62" s="895" t="s">
        <v>3179</v>
      </c>
      <c r="D62" s="831" t="s">
        <v>6465</v>
      </c>
      <c r="E62" s="831"/>
      <c r="F62" s="839" t="s">
        <v>3179</v>
      </c>
      <c r="G62" s="843"/>
      <c r="H62" s="861" t="s">
        <v>204</v>
      </c>
      <c r="I62" s="831"/>
      <c r="J62" s="831"/>
      <c r="K62" s="831"/>
      <c r="L62" s="831"/>
      <c r="M62" s="831"/>
      <c r="N62" s="831"/>
      <c r="O62" s="831"/>
      <c r="P62" s="831"/>
      <c r="Q62" s="831"/>
      <c r="R62" s="829" t="s">
        <v>6542</v>
      </c>
      <c r="S62" s="831"/>
      <c r="T62" s="831"/>
      <c r="U62" s="831"/>
      <c r="V62" s="831"/>
      <c r="W62" s="831"/>
      <c r="X62" s="831"/>
      <c r="Y62" s="829" t="s">
        <v>6549</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6432</v>
      </c>
      <c r="B63" s="883" t="s">
        <v>6544</v>
      </c>
      <c r="C63" s="896" t="s">
        <v>1032</v>
      </c>
      <c r="D63" s="831" t="s">
        <v>4200</v>
      </c>
      <c r="E63" s="831"/>
      <c r="F63" s="827"/>
      <c r="G63" s="843"/>
      <c r="H63" s="831"/>
      <c r="I63" s="831"/>
      <c r="J63" s="861" t="s">
        <v>6117</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3189</v>
      </c>
      <c r="AV63" s="831"/>
      <c r="AW63" s="835"/>
      <c r="AX63" s="831"/>
      <c r="AY63" s="831"/>
      <c r="AZ63" s="831"/>
      <c r="BA63" s="831"/>
      <c r="BB63" s="831"/>
      <c r="BC63" s="831"/>
      <c r="BD63" s="835"/>
      <c r="BE63" s="831"/>
      <c r="BF63" s="894"/>
      <c r="BG63" s="894"/>
      <c r="BH63" s="835"/>
      <c r="BI63" s="835"/>
      <c r="BJ63" s="835"/>
    </row>
    <row r="64" ht="15.75" customHeight="1">
      <c r="A64" s="892"/>
      <c r="B64" s="877" t="s">
        <v>6550</v>
      </c>
      <c r="C64" s="865" t="s">
        <v>2319</v>
      </c>
      <c r="D64" s="833" t="s">
        <v>2346</v>
      </c>
      <c r="E64" s="833" t="s">
        <v>3429</v>
      </c>
      <c r="F64" s="891" t="s">
        <v>2912</v>
      </c>
      <c r="G64" s="843"/>
      <c r="H64" s="833" t="s">
        <v>572</v>
      </c>
      <c r="I64" s="833"/>
      <c r="J64" s="833" t="s">
        <v>6551</v>
      </c>
      <c r="K64" s="833"/>
      <c r="L64" s="833"/>
      <c r="M64" s="833" t="s">
        <v>3429</v>
      </c>
      <c r="N64" s="833"/>
      <c r="O64" s="833"/>
      <c r="P64" s="831"/>
      <c r="Q64" s="833"/>
      <c r="R64" s="833"/>
      <c r="S64" s="833"/>
      <c r="T64" s="833" t="s">
        <v>2837</v>
      </c>
      <c r="U64" s="833"/>
      <c r="V64" s="833" t="s">
        <v>3154</v>
      </c>
      <c r="W64" s="833" t="s">
        <v>4992</v>
      </c>
      <c r="X64" s="833"/>
      <c r="Y64" s="833"/>
      <c r="Z64" s="833" t="s">
        <v>4730</v>
      </c>
      <c r="AA64" s="833"/>
      <c r="AB64" s="833"/>
      <c r="AC64" s="833"/>
      <c r="AD64" s="833"/>
      <c r="AE64" s="833" t="s">
        <v>3700</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6552</v>
      </c>
      <c r="B65" s="873" t="s">
        <v>6553</v>
      </c>
      <c r="C65" s="865" t="str">
        <f>HYPERLINK("https://youtu.be/4OqNmNgyDyw","16.24")</f>
        <v>16.24</v>
      </c>
      <c r="D65" s="897"/>
      <c r="E65" s="897" t="s">
        <v>1209</v>
      </c>
      <c r="F65" s="827"/>
      <c r="G65" s="843"/>
      <c r="H65" s="897"/>
      <c r="I65" s="897"/>
      <c r="J65" s="897"/>
      <c r="K65" s="897"/>
      <c r="L65" s="897"/>
      <c r="M65" s="897"/>
      <c r="N65" s="829" t="s">
        <v>3993</v>
      </c>
      <c r="O65" s="897"/>
      <c r="P65" s="844"/>
      <c r="Q65" s="897" t="str">
        <f>HYPERLINK("https://clips.twitch.tv/ThankfulSpoopyHerdWOOP","16.58")</f>
        <v>16.58</v>
      </c>
      <c r="R65" s="897"/>
      <c r="S65" s="897"/>
      <c r="T65" s="897"/>
      <c r="U65" s="897" t="s">
        <v>3103</v>
      </c>
      <c r="V65" s="897"/>
      <c r="W65" s="897" t="s">
        <v>3537</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6554</v>
      </c>
      <c r="C66" s="865" t="s">
        <v>4067</v>
      </c>
      <c r="D66" s="833" t="s">
        <v>528</v>
      </c>
      <c r="E66" s="833"/>
      <c r="F66" s="891" t="s">
        <v>3655</v>
      </c>
      <c r="G66" s="828" t="s">
        <v>2171</v>
      </c>
      <c r="H66" s="833" t="s">
        <v>3955</v>
      </c>
      <c r="I66" s="833" t="s">
        <v>405</v>
      </c>
      <c r="J66" s="833" t="s">
        <v>3655</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6555</v>
      </c>
      <c r="C67" s="865" t="s">
        <v>660</v>
      </c>
      <c r="D67" s="833" t="s">
        <v>1341</v>
      </c>
      <c r="E67" s="857" t="s">
        <v>838</v>
      </c>
      <c r="F67" s="839" t="s">
        <v>4779</v>
      </c>
      <c r="G67" s="828" t="s">
        <v>1341</v>
      </c>
      <c r="H67" s="857" t="s">
        <v>1210</v>
      </c>
      <c r="I67" s="857" t="s">
        <v>1430</v>
      </c>
      <c r="J67" s="857" t="s">
        <v>4295</v>
      </c>
      <c r="K67" s="857" t="s">
        <v>2945</v>
      </c>
      <c r="L67" s="857" t="s">
        <v>6232</v>
      </c>
      <c r="M67" s="857" t="s">
        <v>5721</v>
      </c>
      <c r="N67" s="857" t="s">
        <v>358</v>
      </c>
      <c r="O67" s="857" t="s">
        <v>6556</v>
      </c>
      <c r="P67" s="858"/>
      <c r="Q67" s="857" t="s">
        <v>1817</v>
      </c>
      <c r="R67" s="857"/>
      <c r="S67" s="857" t="s">
        <v>1607</v>
      </c>
      <c r="T67" s="857"/>
      <c r="U67" s="857"/>
      <c r="V67" s="857"/>
      <c r="W67" s="857"/>
      <c r="X67" s="857"/>
      <c r="Y67" s="857"/>
      <c r="Z67" s="857"/>
      <c r="AA67" s="857" t="s">
        <v>4067</v>
      </c>
      <c r="AB67" s="857"/>
      <c r="AC67" s="857"/>
      <c r="AD67" s="857"/>
      <c r="AE67" s="857"/>
      <c r="AF67" s="857"/>
      <c r="AG67" s="857"/>
      <c r="AH67" s="857" t="s">
        <v>660</v>
      </c>
      <c r="AI67" s="857"/>
      <c r="AJ67" s="857" t="s">
        <v>6557</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6558</v>
      </c>
      <c r="B68" s="873" t="s">
        <v>6559</v>
      </c>
      <c r="C68" s="865" t="s">
        <v>2156</v>
      </c>
      <c r="D68" s="833"/>
      <c r="E68" s="833" t="s">
        <v>2156</v>
      </c>
      <c r="F68" s="878"/>
      <c r="G68" s="828" t="s">
        <v>6337</v>
      </c>
      <c r="H68" s="833"/>
      <c r="I68" s="833" t="s">
        <v>6560</v>
      </c>
      <c r="J68" s="833"/>
      <c r="K68" s="833" t="s">
        <v>6561</v>
      </c>
      <c r="L68" s="833"/>
      <c r="M68" s="833"/>
      <c r="N68" s="833" t="s">
        <v>6562</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6563</v>
      </c>
      <c r="C69" s="865" t="s">
        <v>353</v>
      </c>
      <c r="D69" s="833" t="s">
        <v>1479</v>
      </c>
      <c r="E69" s="833" t="s">
        <v>353</v>
      </c>
      <c r="F69" s="898" t="s">
        <v>3078</v>
      </c>
      <c r="G69" s="828" t="s">
        <v>1342</v>
      </c>
      <c r="H69" s="833" t="s">
        <v>1538</v>
      </c>
      <c r="I69" s="833" t="s">
        <v>1431</v>
      </c>
      <c r="J69" s="833" t="s">
        <v>4905</v>
      </c>
      <c r="K69" s="833" t="s">
        <v>6564</v>
      </c>
      <c r="L69" s="833" t="s">
        <v>839</v>
      </c>
      <c r="M69" s="833" t="s">
        <v>754</v>
      </c>
      <c r="N69" s="833" t="s">
        <v>1270</v>
      </c>
      <c r="O69" s="833" t="s">
        <v>2316</v>
      </c>
      <c r="P69" s="831" t="s">
        <v>3808</v>
      </c>
      <c r="Q69" s="833" t="s">
        <v>6565</v>
      </c>
      <c r="R69" s="833"/>
      <c r="S69" s="833" t="s">
        <v>4579</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6427</v>
      </c>
      <c r="B70" s="883" t="s">
        <v>6566</v>
      </c>
      <c r="C70" s="896" t="s">
        <v>6567</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6567</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6568</v>
      </c>
      <c r="C71" s="900" t="s">
        <v>3994</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3994</v>
      </c>
      <c r="AX71" s="833"/>
      <c r="AY71" s="833"/>
      <c r="AZ71" s="833"/>
      <c r="BA71" s="833"/>
      <c r="BB71" s="833"/>
      <c r="BC71" s="833"/>
      <c r="BD71" s="835"/>
      <c r="BE71" s="833"/>
      <c r="BF71" s="874"/>
      <c r="BG71" s="874"/>
      <c r="BH71" s="835"/>
      <c r="BI71" s="835"/>
      <c r="BJ71" s="835"/>
    </row>
    <row r="72" ht="15.75" customHeight="1">
      <c r="A72" s="876"/>
      <c r="B72" s="877" t="s">
        <v>6569</v>
      </c>
      <c r="C72" s="865" t="s">
        <v>5916</v>
      </c>
      <c r="D72" s="833" t="s">
        <v>1569</v>
      </c>
      <c r="E72" s="833" t="s">
        <v>755</v>
      </c>
      <c r="F72" s="898" t="s">
        <v>3079</v>
      </c>
      <c r="G72" s="828" t="s">
        <v>1343</v>
      </c>
      <c r="H72" s="833" t="s">
        <v>5916</v>
      </c>
      <c r="I72" s="833" t="str">
        <f>HYPERLINK("https://www.youtube.com/watch?v=Imyo7x5mfG4&amp;feature=youtu.be","30.15")</f>
        <v>30.15</v>
      </c>
      <c r="J72" s="833" t="s">
        <v>1647</v>
      </c>
      <c r="K72" s="833" t="s">
        <v>1822</v>
      </c>
      <c r="L72" s="833" t="s">
        <v>118</v>
      </c>
      <c r="M72" s="833" t="s">
        <v>755</v>
      </c>
      <c r="N72" s="833" t="s">
        <v>118</v>
      </c>
      <c r="O72" s="833" t="s">
        <v>1003</v>
      </c>
      <c r="P72" s="831" t="s">
        <v>3258</v>
      </c>
      <c r="Q72" s="833" t="s">
        <v>6570</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6571</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6432</v>
      </c>
      <c r="B73" s="883" t="s">
        <v>6559</v>
      </c>
      <c r="C73" s="865" t="s">
        <v>3986</v>
      </c>
      <c r="D73" s="833"/>
      <c r="E73" s="833" t="s">
        <v>3986</v>
      </c>
      <c r="F73" s="878"/>
      <c r="G73" s="828" t="s">
        <v>2471</v>
      </c>
      <c r="H73" s="833"/>
      <c r="I73" s="833"/>
      <c r="J73" s="833"/>
      <c r="K73" s="833"/>
      <c r="L73" s="833"/>
      <c r="M73" s="833"/>
      <c r="N73" s="833"/>
      <c r="O73" s="833"/>
      <c r="P73" s="831"/>
      <c r="Q73" s="833"/>
      <c r="R73" s="833"/>
      <c r="S73" s="833"/>
      <c r="T73" s="833"/>
      <c r="U73" s="833"/>
      <c r="V73" s="833"/>
      <c r="W73" s="833" t="s">
        <v>3639</v>
      </c>
      <c r="X73" s="833"/>
      <c r="Y73" s="833"/>
      <c r="Z73" s="833"/>
      <c r="AA73" s="833"/>
      <c r="AB73" s="833"/>
      <c r="AC73" s="833" t="s">
        <v>1817</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6572</v>
      </c>
      <c r="C74" s="865" t="s">
        <v>2723</v>
      </c>
      <c r="D74" s="833" t="s">
        <v>2528</v>
      </c>
      <c r="E74" s="833" t="s">
        <v>2427</v>
      </c>
      <c r="F74" s="854" t="s">
        <v>4080</v>
      </c>
      <c r="G74" s="828" t="s">
        <v>6573</v>
      </c>
      <c r="H74" s="833"/>
      <c r="I74" s="833"/>
      <c r="J74" s="833"/>
      <c r="K74" s="833"/>
      <c r="L74" s="833"/>
      <c r="M74" s="833" t="s">
        <v>6574</v>
      </c>
      <c r="N74" s="833"/>
      <c r="O74" s="833"/>
      <c r="P74" s="831" t="s">
        <v>6575</v>
      </c>
      <c r="Q74" s="833"/>
      <c r="R74" s="833"/>
      <c r="S74" s="833" t="s">
        <v>3846</v>
      </c>
      <c r="T74" s="833"/>
      <c r="U74" s="833"/>
      <c r="V74" s="833" t="s">
        <v>6575</v>
      </c>
      <c r="W74" s="833" t="s">
        <v>2091</v>
      </c>
      <c r="X74" s="833" t="s">
        <v>2723</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6576</v>
      </c>
      <c r="C75" s="865" t="s">
        <v>2894</v>
      </c>
      <c r="D75" s="879"/>
      <c r="E75" s="879"/>
      <c r="F75" s="878"/>
      <c r="G75" s="843"/>
      <c r="H75" s="897" t="s">
        <v>2894</v>
      </c>
      <c r="I75" s="879"/>
      <c r="J75" s="879"/>
      <c r="K75" s="879"/>
      <c r="L75" s="879"/>
      <c r="M75" s="879"/>
      <c r="N75" s="879"/>
      <c r="O75" s="879" t="s">
        <v>2894</v>
      </c>
      <c r="P75" s="831" t="s">
        <v>4882</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6469</v>
      </c>
      <c r="B76" s="873" t="s">
        <v>6577</v>
      </c>
      <c r="C76" s="865" t="s">
        <v>2213</v>
      </c>
      <c r="D76" s="833"/>
      <c r="E76" s="833" t="s">
        <v>2213</v>
      </c>
      <c r="F76" s="878"/>
      <c r="G76" s="828" t="s">
        <v>6578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6579</v>
      </c>
      <c r="C77" s="865" t="s">
        <v>2612</v>
      </c>
      <c r="D77" s="833" t="s">
        <v>3551</v>
      </c>
      <c r="E77" s="833" t="s">
        <v>2612</v>
      </c>
      <c r="F77" s="827"/>
      <c r="G77" s="843"/>
      <c r="H77" s="833"/>
      <c r="I77" s="833"/>
      <c r="J77" s="833"/>
      <c r="K77" s="833" t="s">
        <v>6580</v>
      </c>
      <c r="L77" s="833" t="s">
        <v>5104</v>
      </c>
      <c r="M77" s="833"/>
      <c r="N77" s="833" t="str">
        <f>HYPERLINK("https://youtu.be/HUwmtKe7cOY","56.54")</f>
        <v>56.54</v>
      </c>
      <c r="O77" s="833"/>
      <c r="P77" s="831" t="s">
        <v>3687</v>
      </c>
      <c r="Q77" s="833"/>
      <c r="R77" s="833"/>
      <c r="S77" s="833"/>
      <c r="T77" s="833"/>
      <c r="U77" s="833" t="s">
        <v>2270</v>
      </c>
      <c r="V77" s="833"/>
      <c r="W77" s="833"/>
      <c r="X77" s="833"/>
      <c r="Y77" s="833" t="s">
        <v>6581</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6582</v>
      </c>
      <c r="C78" s="865" t="s">
        <v>879</v>
      </c>
      <c r="D78" s="833" t="s">
        <v>1570</v>
      </c>
      <c r="E78" s="833" t="s">
        <v>5452</v>
      </c>
      <c r="F78" s="839" t="s">
        <v>3080</v>
      </c>
      <c r="G78" s="828" t="s">
        <v>119</v>
      </c>
      <c r="H78" s="833" t="s">
        <v>879</v>
      </c>
      <c r="I78" s="833" t="s">
        <v>2773</v>
      </c>
      <c r="J78" s="833" t="s">
        <v>4402</v>
      </c>
      <c r="K78" s="833"/>
      <c r="L78" s="833"/>
      <c r="M78" s="833"/>
      <c r="N78" s="833" t="str">
        <f>HYPERLINK("https://youtu.be/vycxuqUj3Q4","56.44")</f>
        <v>56.44</v>
      </c>
      <c r="O78" s="833" t="s">
        <v>3038</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6583</v>
      </c>
      <c r="B79" s="873" t="s">
        <v>6584</v>
      </c>
      <c r="C79" s="865" t="s">
        <v>3460</v>
      </c>
      <c r="D79" s="833"/>
      <c r="E79" s="833" t="s">
        <v>6585</v>
      </c>
      <c r="F79" s="827"/>
      <c r="G79" s="828" t="s">
        <v>5180</v>
      </c>
      <c r="H79" s="833"/>
      <c r="I79" s="833"/>
      <c r="J79" s="833"/>
      <c r="K79" s="833"/>
      <c r="L79" s="833"/>
      <c r="M79" s="833"/>
      <c r="N79" s="833"/>
      <c r="O79" s="833"/>
      <c r="P79" s="831"/>
      <c r="Q79" s="833"/>
      <c r="R79" s="833"/>
      <c r="S79" s="833"/>
      <c r="T79" s="833"/>
      <c r="U79" s="833"/>
      <c r="V79" s="833"/>
      <c r="W79" s="833"/>
      <c r="X79" s="833"/>
      <c r="Y79" s="833"/>
      <c r="Z79" s="833"/>
      <c r="AA79" s="833"/>
      <c r="AB79" s="833" t="s">
        <v>3460</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6586</v>
      </c>
      <c r="C80" s="865" t="s">
        <v>1571</v>
      </c>
      <c r="D80" s="833" t="s">
        <v>1571</v>
      </c>
      <c r="E80" s="880"/>
      <c r="F80" s="898" t="s">
        <v>3081</v>
      </c>
      <c r="G80" s="843"/>
      <c r="H80" s="880"/>
      <c r="I80" s="880"/>
      <c r="J80" s="880"/>
      <c r="K80" s="880"/>
      <c r="L80" s="880"/>
      <c r="M80" s="880"/>
      <c r="N80" s="880"/>
      <c r="O80" s="880"/>
      <c r="P80" s="831"/>
      <c r="Q80" s="880"/>
      <c r="R80" s="880" t="s">
        <v>895</v>
      </c>
      <c r="S80" s="880"/>
      <c r="T80" s="880"/>
      <c r="U80" s="880"/>
      <c r="V80" s="880" t="s">
        <v>2709</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6587</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6588</v>
      </c>
      <c r="C81" s="865" t="s">
        <v>6305</v>
      </c>
      <c r="D81" s="879"/>
      <c r="E81" s="879" t="s">
        <v>6589</v>
      </c>
      <c r="F81" s="827"/>
      <c r="G81" s="828" t="s">
        <v>1345</v>
      </c>
      <c r="H81" s="879" t="s">
        <v>1077</v>
      </c>
      <c r="I81" s="879" t="s">
        <v>2948</v>
      </c>
      <c r="J81" s="879"/>
      <c r="K81" s="879" t="s">
        <v>6590</v>
      </c>
      <c r="L81" s="879" t="s">
        <v>758</v>
      </c>
      <c r="M81" s="879" t="s">
        <v>758</v>
      </c>
      <c r="N81" s="879" t="s">
        <v>6305</v>
      </c>
      <c r="O81" s="879" t="s">
        <v>664</v>
      </c>
      <c r="P81" s="831" t="s">
        <v>6591</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6592</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6593</v>
      </c>
      <c r="B82" s="887" t="s">
        <v>6411</v>
      </c>
      <c r="C82" s="890" t="s">
        <v>6594</v>
      </c>
      <c r="D82" s="829" t="s">
        <v>6595</v>
      </c>
      <c r="E82" s="879"/>
      <c r="F82" s="891" t="s">
        <v>6594</v>
      </c>
      <c r="G82" s="843"/>
      <c r="H82" s="879" t="s">
        <v>4833</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6596</v>
      </c>
      <c r="B83" s="887" t="s">
        <v>6411</v>
      </c>
      <c r="C83" s="903" t="s">
        <v>6597</v>
      </c>
      <c r="D83" s="829" t="s">
        <v>6598</v>
      </c>
      <c r="E83" s="879"/>
      <c r="F83" s="854" t="s">
        <v>6597</v>
      </c>
      <c r="G83" s="843"/>
      <c r="H83" s="879"/>
      <c r="I83" s="879"/>
      <c r="J83" s="879"/>
      <c r="K83" s="879"/>
      <c r="L83" s="879"/>
      <c r="M83" s="879"/>
      <c r="N83" s="879"/>
      <c r="O83" s="879"/>
      <c r="P83" s="831"/>
      <c r="Q83" s="879"/>
      <c r="R83" s="879"/>
      <c r="S83" s="879"/>
      <c r="T83" s="879"/>
      <c r="U83" s="879"/>
      <c r="V83" s="879"/>
      <c r="W83" s="879"/>
      <c r="X83" s="879"/>
      <c r="Y83" s="829" t="s">
        <v>6599</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6512</v>
      </c>
      <c r="B84" s="873" t="s">
        <v>6513</v>
      </c>
      <c r="C84" s="865" t="s">
        <v>5235</v>
      </c>
      <c r="D84" s="833" t="s">
        <v>6600</v>
      </c>
      <c r="E84" s="833" t="s">
        <v>5235</v>
      </c>
      <c r="F84" s="878"/>
      <c r="G84" s="843"/>
      <c r="H84" s="833" t="s">
        <v>5235</v>
      </c>
      <c r="I84" s="833" t="s">
        <v>5069</v>
      </c>
      <c r="J84" s="833"/>
      <c r="K84" s="833" t="s">
        <v>4666</v>
      </c>
      <c r="L84" s="833"/>
      <c r="M84" s="833" t="s">
        <v>3324</v>
      </c>
      <c r="N84" s="833" t="str">
        <f>HYPERLINK("https://youtu.be/HjDDp_Mj_yI","16.74")</f>
        <v>16.74</v>
      </c>
      <c r="O84" s="833"/>
      <c r="P84" s="831" t="s">
        <v>5124</v>
      </c>
      <c r="Q84" s="833"/>
      <c r="R84" s="833" t="s">
        <v>5235</v>
      </c>
      <c r="S84" s="833"/>
      <c r="T84" s="833"/>
      <c r="U84" s="833" t="s">
        <v>5069</v>
      </c>
      <c r="V84" s="833"/>
      <c r="W84" s="833"/>
      <c r="X84" s="833"/>
      <c r="Y84" s="833"/>
      <c r="Z84" s="833"/>
      <c r="AA84" s="833"/>
      <c r="AB84" s="833"/>
      <c r="AC84" s="833"/>
      <c r="AD84" s="833" t="s">
        <v>5235</v>
      </c>
      <c r="AE84" s="833"/>
      <c r="AF84" s="833"/>
      <c r="AG84" s="833"/>
      <c r="AH84" s="833"/>
      <c r="AI84" s="833"/>
      <c r="AJ84" s="833"/>
      <c r="AK84" s="833"/>
      <c r="AL84" s="833" t="s">
        <v>5478</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6601</v>
      </c>
      <c r="C85" s="865" t="s">
        <v>1692</v>
      </c>
      <c r="D85" s="833"/>
      <c r="E85" s="833" t="s">
        <v>1692</v>
      </c>
      <c r="F85" s="827"/>
      <c r="G85" s="843"/>
      <c r="H85" s="833" t="s">
        <v>1692</v>
      </c>
      <c r="I85" s="833"/>
      <c r="J85" s="833"/>
      <c r="K85" s="833"/>
      <c r="L85" s="833"/>
      <c r="M85" s="833" t="s">
        <v>1692</v>
      </c>
      <c r="N85" s="833"/>
      <c r="O85" s="833"/>
      <c r="P85" s="831"/>
      <c r="Q85" s="833" t="s">
        <v>2750</v>
      </c>
      <c r="R85" s="833" t="s">
        <v>1692</v>
      </c>
      <c r="S85" s="833"/>
      <c r="T85" s="833"/>
      <c r="U85" s="833"/>
      <c r="V85" s="833"/>
      <c r="W85" s="833"/>
      <c r="X85" s="833"/>
      <c r="Y85" s="833"/>
      <c r="Z85" s="833"/>
      <c r="AA85" s="833"/>
      <c r="AB85" s="833"/>
      <c r="AC85" s="833"/>
      <c r="AD85" s="833" t="s">
        <v>6602</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6603</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3893</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6604</v>
      </c>
      <c r="C87" s="865" t="s">
        <v>1078</v>
      </c>
      <c r="D87" s="833" t="s">
        <v>1572</v>
      </c>
      <c r="E87" s="829" t="s">
        <v>358</v>
      </c>
      <c r="F87" s="827"/>
      <c r="G87" s="828" t="s">
        <v>1346</v>
      </c>
      <c r="H87" s="829" t="s">
        <v>1078</v>
      </c>
      <c r="I87" s="830"/>
      <c r="J87" s="829" t="s">
        <v>6605</v>
      </c>
      <c r="K87" s="830"/>
      <c r="L87" s="830" t="s">
        <v>122</v>
      </c>
      <c r="M87" s="829" t="s">
        <v>5844</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6606</v>
      </c>
      <c r="C88" s="865" t="s">
        <v>2471</v>
      </c>
      <c r="D88" s="833" t="s">
        <v>2471</v>
      </c>
      <c r="E88" s="833"/>
      <c r="F88" s="885" t="s">
        <v>2471</v>
      </c>
      <c r="G88" s="843"/>
      <c r="H88" s="830" t="s">
        <v>6607</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6516</v>
      </c>
      <c r="B89" s="873" t="s">
        <v>6608</v>
      </c>
      <c r="C89" s="865" t="s">
        <v>359</v>
      </c>
      <c r="D89" s="838" t="s">
        <v>1573</v>
      </c>
      <c r="E89" s="833" t="s">
        <v>1668</v>
      </c>
      <c r="F89" s="827"/>
      <c r="G89" s="828" t="s">
        <v>4921</v>
      </c>
      <c r="H89" s="833"/>
      <c r="I89" s="833" t="str">
        <f>HYPERLINK("https://youtu.be/VjOXmvP4h2s","46.37")</f>
        <v>46.37</v>
      </c>
      <c r="J89" s="833" t="s">
        <v>359</v>
      </c>
      <c r="K89" s="833"/>
      <c r="L89" s="833"/>
      <c r="M89" s="833"/>
      <c r="N89" s="833" t="s">
        <v>3376</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6609</v>
      </c>
      <c r="B90" s="873" t="s">
        <v>6519</v>
      </c>
      <c r="C90" s="865" t="s">
        <v>6610</v>
      </c>
      <c r="D90" s="860" t="s">
        <v>1704</v>
      </c>
      <c r="E90" s="833" t="s">
        <v>360</v>
      </c>
      <c r="F90" s="827"/>
      <c r="G90" s="843"/>
      <c r="H90" s="833"/>
      <c r="I90" s="833"/>
      <c r="J90" s="833"/>
      <c r="K90" s="833"/>
      <c r="L90" s="833" t="s">
        <v>4212</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6611</v>
      </c>
      <c r="B91" s="887" t="s">
        <v>6519</v>
      </c>
      <c r="C91" s="865" t="s">
        <v>6612</v>
      </c>
      <c r="D91" s="860" t="s">
        <v>6612</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6411</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6613</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6410</v>
      </c>
      <c r="B94" s="911"/>
      <c r="C94" s="912" t="s">
        <v>4187</v>
      </c>
      <c r="D94" s="838" t="s">
        <v>1576</v>
      </c>
      <c r="E94" s="913" t="s">
        <v>2380</v>
      </c>
      <c r="F94" s="827"/>
      <c r="G94" s="828" t="s">
        <v>5814</v>
      </c>
      <c r="H94" s="913"/>
      <c r="I94" s="913" t="str">
        <f>HYPERLINK("https://youtu.be/ycBfir2aflI","41.70")</f>
        <v>41.70</v>
      </c>
      <c r="J94" s="913" t="s">
        <v>6444</v>
      </c>
      <c r="K94" s="913"/>
      <c r="L94" s="913" t="s">
        <v>845</v>
      </c>
      <c r="M94" s="913"/>
      <c r="N94" s="913" t="str">
        <f>HYPERLINK("https://youtu.be/OxlK2SgEm_U","42.73")</f>
        <v>42.73</v>
      </c>
      <c r="O94" s="913"/>
      <c r="P94" s="914" t="s">
        <v>2040</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6427</v>
      </c>
      <c r="B95" s="918"/>
      <c r="C95" s="912" t="s">
        <v>1615</v>
      </c>
      <c r="D95" s="838" t="s">
        <v>1577</v>
      </c>
      <c r="E95" s="919"/>
      <c r="F95" s="920"/>
      <c r="G95" s="828" t="s">
        <v>6538</v>
      </c>
      <c r="H95" s="919"/>
      <c r="I95" s="919" t="s">
        <v>3264</v>
      </c>
      <c r="J95" s="919" t="s">
        <v>4137</v>
      </c>
      <c r="K95" s="919" t="s">
        <v>1235</v>
      </c>
      <c r="L95" s="919" t="s">
        <v>846</v>
      </c>
      <c r="M95" s="919" t="s">
        <v>762</v>
      </c>
      <c r="N95" s="919" t="s">
        <v>3620</v>
      </c>
      <c r="O95" s="919" t="s">
        <v>1615</v>
      </c>
      <c r="P95" s="921" t="s">
        <v>2738</v>
      </c>
      <c r="Q95" s="919"/>
      <c r="R95" s="919" t="s">
        <v>5627</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6432</v>
      </c>
      <c r="B96" s="922"/>
      <c r="C96" s="912" t="s">
        <v>3352</v>
      </c>
      <c r="D96" s="923" t="s">
        <v>4552</v>
      </c>
      <c r="E96" s="919"/>
      <c r="F96" s="827"/>
      <c r="G96" s="828" t="s">
        <v>5865</v>
      </c>
      <c r="H96" s="919"/>
      <c r="I96" s="919"/>
      <c r="J96" s="919" t="s">
        <v>3352</v>
      </c>
      <c r="K96" s="919"/>
      <c r="L96" s="919" t="s">
        <v>3429</v>
      </c>
      <c r="M96" s="919"/>
      <c r="N96" s="919"/>
      <c r="O96" s="919"/>
      <c r="P96" s="921"/>
      <c r="Q96" s="919"/>
      <c r="R96" s="919"/>
      <c r="S96" s="919"/>
      <c r="T96" s="919" t="s">
        <v>1969</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6614</v>
      </c>
      <c r="B97" s="924" t="s">
        <v>6615</v>
      </c>
      <c r="C97" s="912" t="s">
        <v>1513</v>
      </c>
      <c r="D97" s="859" t="s">
        <v>6616</v>
      </c>
      <c r="E97" s="919"/>
      <c r="F97" s="827"/>
      <c r="G97" s="828" t="s">
        <v>1351</v>
      </c>
      <c r="H97" s="919"/>
      <c r="I97" s="919" t="s">
        <v>6617</v>
      </c>
      <c r="J97" s="919" t="s">
        <v>6618</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6619</v>
      </c>
      <c r="C98" s="912" t="s">
        <v>6620</v>
      </c>
      <c r="D98" s="838" t="s">
        <v>1578</v>
      </c>
      <c r="E98" s="919"/>
      <c r="F98" s="920"/>
      <c r="G98" s="843"/>
      <c r="H98" s="919"/>
      <c r="I98" s="919"/>
      <c r="J98" s="919" t="s">
        <v>6620</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6552</v>
      </c>
      <c r="B99" s="924" t="s">
        <v>6621</v>
      </c>
      <c r="C99" s="912" t="s">
        <v>5550</v>
      </c>
      <c r="D99" s="859" t="s">
        <v>6622</v>
      </c>
      <c r="E99" s="919"/>
      <c r="F99" s="827"/>
      <c r="G99" s="828" t="s">
        <v>610</v>
      </c>
      <c r="H99" s="919"/>
      <c r="I99" s="919"/>
      <c r="J99" s="919" t="s">
        <v>6623</v>
      </c>
      <c r="K99" s="919" t="s">
        <v>3543</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6624</v>
      </c>
      <c r="BB99" s="919"/>
      <c r="BC99" s="919"/>
      <c r="BD99" s="916"/>
      <c r="BE99" s="919"/>
      <c r="BF99" s="915"/>
      <c r="BG99" s="915"/>
      <c r="BH99" s="916"/>
      <c r="BI99" s="916"/>
      <c r="BJ99" s="916"/>
    </row>
    <row r="100" ht="15.75" customHeight="1">
      <c r="A100" s="910" t="s">
        <v>6558</v>
      </c>
      <c r="B100" s="924" t="s">
        <v>6625</v>
      </c>
      <c r="C100" s="912" t="s">
        <v>6626</v>
      </c>
      <c r="D100" s="859" t="s">
        <v>3617</v>
      </c>
      <c r="E100" s="919"/>
      <c r="F100" s="920"/>
      <c r="G100" s="828" t="s">
        <v>131</v>
      </c>
      <c r="H100" s="919"/>
      <c r="I100" s="919" t="s">
        <v>6627</v>
      </c>
      <c r="J100" s="919" t="s">
        <v>6628</v>
      </c>
      <c r="K100" s="919" t="s">
        <v>3544</v>
      </c>
      <c r="L100" s="919" t="s">
        <v>848</v>
      </c>
      <c r="M100" s="919"/>
      <c r="N100" s="919" t="s">
        <v>2503</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6427</v>
      </c>
      <c r="B101" s="918" t="s">
        <v>6625</v>
      </c>
      <c r="C101" s="824" t="s">
        <v>6629</v>
      </c>
      <c r="D101" s="860" t="s">
        <v>6542</v>
      </c>
      <c r="E101" s="913" t="s">
        <v>367</v>
      </c>
      <c r="F101" s="827"/>
      <c r="G101" s="828" t="s">
        <v>6630</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6629</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6432</v>
      </c>
      <c r="B102" s="928" t="s">
        <v>6615</v>
      </c>
      <c r="C102" s="912" t="s">
        <v>1702</v>
      </c>
      <c r="D102" s="919"/>
      <c r="E102" s="919"/>
      <c r="F102" s="920"/>
      <c r="G102" s="828" t="s">
        <v>4215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3286</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6631</v>
      </c>
      <c r="B103" s="929" t="s">
        <v>6411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6583</v>
      </c>
      <c r="B104" s="924" t="s">
        <v>6519</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6632</v>
      </c>
      <c r="C105" s="912" t="s">
        <v>1327</v>
      </c>
      <c r="D105" s="838" t="s">
        <v>1581</v>
      </c>
      <c r="E105" s="919"/>
      <c r="F105" s="827"/>
      <c r="G105" s="828" t="s">
        <v>1354</v>
      </c>
      <c r="H105" s="919"/>
      <c r="I105" s="919" t="s">
        <v>6633</v>
      </c>
      <c r="J105" s="919" t="s">
        <v>1327</v>
      </c>
      <c r="K105" s="919" t="s">
        <v>3546</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6512</v>
      </c>
      <c r="B106" s="924" t="s">
        <v>6513</v>
      </c>
      <c r="C106" s="912" t="s">
        <v>1060</v>
      </c>
      <c r="D106" s="913" t="s">
        <v>1550</v>
      </c>
      <c r="E106" s="913" t="s">
        <v>5865</v>
      </c>
      <c r="F106" s="931" t="s">
        <v>5408</v>
      </c>
      <c r="G106" s="843"/>
      <c r="H106" s="913" t="s">
        <v>5865</v>
      </c>
      <c r="I106" s="913" t="str">
        <f>HYPERLINK("https://youtu.be/NIfI1hsvvFQ","19.73")</f>
        <v>19.73</v>
      </c>
      <c r="J106" s="913" t="s">
        <v>1060</v>
      </c>
      <c r="K106" s="913" t="s">
        <v>2555</v>
      </c>
      <c r="L106" s="913"/>
      <c r="M106" s="913" t="s">
        <v>1661</v>
      </c>
      <c r="N106" s="913" t="str">
        <f>HYPERLINK("https://youtu.be/vlD8b3WQME8","20.08")</f>
        <v>20.08</v>
      </c>
      <c r="O106" s="913"/>
      <c r="P106" s="914" t="s">
        <v>3031</v>
      </c>
      <c r="Q106" s="913"/>
      <c r="R106" s="913" t="s">
        <v>5865</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6515</v>
      </c>
      <c r="C107" s="912" t="s">
        <v>473</v>
      </c>
      <c r="D107" s="833" t="s">
        <v>931</v>
      </c>
      <c r="E107" s="913" t="s">
        <v>674</v>
      </c>
      <c r="F107" s="898" t="s">
        <v>2054</v>
      </c>
      <c r="G107" s="828" t="s">
        <v>1750</v>
      </c>
      <c r="H107" s="913" t="s">
        <v>473</v>
      </c>
      <c r="I107" s="913"/>
      <c r="J107" s="913" t="s">
        <v>2054</v>
      </c>
      <c r="K107" s="913" t="s">
        <v>2054</v>
      </c>
      <c r="L107" s="913" t="s">
        <v>674</v>
      </c>
      <c r="M107" s="913" t="s">
        <v>768</v>
      </c>
      <c r="N107" s="913"/>
      <c r="O107" s="913" t="s">
        <v>2171</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6516</v>
      </c>
      <c r="B108" s="924" t="s">
        <v>6634</v>
      </c>
      <c r="C108" s="912" t="s">
        <v>2200</v>
      </c>
      <c r="D108" s="919"/>
      <c r="E108" s="919"/>
      <c r="F108" s="920"/>
      <c r="G108" s="828" t="s">
        <v>4245</v>
      </c>
      <c r="H108" s="919"/>
      <c r="I108" s="919"/>
      <c r="J108" s="919"/>
      <c r="K108" s="919" t="s">
        <v>3895</v>
      </c>
      <c r="L108" s="919"/>
      <c r="M108" s="919"/>
      <c r="N108" s="919" t="s">
        <v>5285</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5995</v>
      </c>
      <c r="AO108" s="919"/>
      <c r="AP108" s="915"/>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6635</v>
      </c>
      <c r="C109" s="912" t="s">
        <v>963</v>
      </c>
      <c r="D109" s="919" t="s">
        <v>3871</v>
      </c>
      <c r="E109" s="919"/>
      <c r="F109" s="827"/>
      <c r="G109" s="828" t="s">
        <v>823</v>
      </c>
      <c r="H109" s="919"/>
      <c r="I109" s="919"/>
      <c r="J109" s="919" t="s">
        <v>179</v>
      </c>
      <c r="K109" s="919" t="s">
        <v>118</v>
      </c>
      <c r="L109" s="919" t="s">
        <v>295</v>
      </c>
      <c r="M109" s="919"/>
      <c r="N109" s="919"/>
      <c r="O109" s="919"/>
      <c r="P109" s="921" t="s">
        <v>2519</v>
      </c>
      <c r="Q109" s="919" t="s">
        <v>2743</v>
      </c>
      <c r="R109" s="919" t="s">
        <v>933</v>
      </c>
      <c r="S109" s="919"/>
      <c r="T109" s="919"/>
      <c r="U109" s="919" t="s">
        <v>6636</v>
      </c>
      <c r="V109" s="919"/>
      <c r="W109" s="919"/>
      <c r="X109" s="919"/>
      <c r="Y109" s="919" t="s">
        <v>2081</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6637</v>
      </c>
      <c r="C110" s="912" t="s">
        <v>6638</v>
      </c>
      <c r="D110" s="833" t="s">
        <v>1582</v>
      </c>
      <c r="E110" s="913" t="s">
        <v>6638</v>
      </c>
      <c r="F110" s="839" t="s">
        <v>1978</v>
      </c>
      <c r="G110" s="843"/>
      <c r="H110" s="913"/>
      <c r="I110" s="913" t="s">
        <v>257</v>
      </c>
      <c r="J110" s="913" t="s">
        <v>4943</v>
      </c>
      <c r="K110" s="913" t="s">
        <v>933</v>
      </c>
      <c r="L110" s="913"/>
      <c r="M110" s="913" t="s">
        <v>769</v>
      </c>
      <c r="N110" s="913"/>
      <c r="O110" s="913" t="s">
        <v>2249</v>
      </c>
      <c r="P110" s="914" t="s">
        <v>5898</v>
      </c>
      <c r="Q110" s="913" t="s">
        <v>6639</v>
      </c>
      <c r="R110" s="913" t="s">
        <v>3150</v>
      </c>
      <c r="S110" s="913"/>
      <c r="T110" s="913" t="s">
        <v>6640</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6641</v>
      </c>
      <c r="C111" s="912" t="s">
        <v>6642</v>
      </c>
      <c r="D111" s="919"/>
      <c r="E111" s="919"/>
      <c r="F111" s="827"/>
      <c r="G111" s="843"/>
      <c r="H111" s="919"/>
      <c r="I111" s="919"/>
      <c r="J111" s="919"/>
      <c r="K111" s="919"/>
      <c r="L111" s="919"/>
      <c r="M111" s="919"/>
      <c r="N111" s="919"/>
      <c r="O111" s="919"/>
      <c r="P111" s="921"/>
      <c r="Q111" s="919"/>
      <c r="R111" s="919"/>
      <c r="S111" s="919" t="s">
        <v>6643</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6644</v>
      </c>
      <c r="B112" s="929" t="s">
        <v>6519</v>
      </c>
      <c r="C112" s="912" t="s">
        <v>851</v>
      </c>
      <c r="D112" s="838" t="s">
        <v>1584</v>
      </c>
      <c r="E112" s="919"/>
      <c r="F112" s="920"/>
      <c r="G112" s="843"/>
      <c r="H112" s="919" t="s">
        <v>5080</v>
      </c>
      <c r="I112" s="919" t="s">
        <v>3563</v>
      </c>
      <c r="J112" s="919"/>
      <c r="K112" s="919" t="s">
        <v>2985</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5785</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6611</v>
      </c>
      <c r="B113" s="918" t="s">
        <v>6519</v>
      </c>
      <c r="C113" s="912" t="s">
        <v>6645</v>
      </c>
      <c r="D113" s="859" t="s">
        <v>6645</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6646</v>
      </c>
      <c r="B114" s="929" t="s">
        <v>6411</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6615</v>
      </c>
      <c r="C115" s="912" t="s">
        <v>2784</v>
      </c>
      <c r="D115" s="838" t="s">
        <v>6647</v>
      </c>
      <c r="E115" s="919"/>
      <c r="F115" s="827"/>
      <c r="G115" s="843"/>
      <c r="H115" s="919"/>
      <c r="I115" s="919" t="s">
        <v>6648</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6649</v>
      </c>
      <c r="B117" s="940"/>
      <c r="C117" s="912" t="s">
        <v>4041</v>
      </c>
      <c r="D117" s="913" t="s">
        <v>6650</v>
      </c>
      <c r="E117" s="913" t="s">
        <v>6651</v>
      </c>
      <c r="F117" s="839" t="s">
        <v>6652</v>
      </c>
      <c r="G117" s="843"/>
      <c r="H117" s="913" t="s">
        <v>4041</v>
      </c>
      <c r="I117" s="913"/>
      <c r="J117" s="913"/>
      <c r="K117" s="913"/>
      <c r="L117" s="913" t="s">
        <v>6651</v>
      </c>
      <c r="M117" s="913"/>
      <c r="N117" s="913"/>
      <c r="O117" s="913"/>
      <c r="P117" s="914" t="s">
        <v>6653</v>
      </c>
      <c r="Q117" s="913"/>
      <c r="R117" s="913"/>
      <c r="S117" s="913" t="s">
        <v>6654</v>
      </c>
      <c r="T117" s="913"/>
      <c r="U117" s="913"/>
      <c r="V117" s="913" t="s">
        <v>6653</v>
      </c>
      <c r="W117" s="913"/>
      <c r="X117" s="913"/>
      <c r="Y117" s="913"/>
      <c r="Z117" s="913" t="s">
        <v>6652</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6410</v>
      </c>
      <c r="B118" s="942" t="s">
        <v>6655</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6656</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4074</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6657</v>
      </c>
      <c r="C120" s="895" t="s">
        <v>1184</v>
      </c>
      <c r="D120" s="833" t="s">
        <v>658</v>
      </c>
      <c r="E120" s="919"/>
      <c r="F120" s="839" t="s">
        <v>1184</v>
      </c>
      <c r="G120" s="828" t="s">
        <v>1260</v>
      </c>
      <c r="H120" s="919"/>
      <c r="I120" s="919"/>
      <c r="J120" s="919" t="s">
        <v>2652</v>
      </c>
      <c r="K120" s="919" t="s">
        <v>6658</v>
      </c>
      <c r="L120" s="919"/>
      <c r="M120" s="919"/>
      <c r="N120" s="919"/>
      <c r="O120" s="919"/>
      <c r="P120" s="921" t="s">
        <v>6659</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6660</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2558</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6427</v>
      </c>
      <c r="B122" s="947" t="s">
        <v>6411</v>
      </c>
      <c r="C122" s="912" t="s">
        <v>3363</v>
      </c>
      <c r="D122" s="915"/>
      <c r="E122" s="915"/>
      <c r="F122" s="948" t="s">
        <v>731</v>
      </c>
      <c r="G122" s="843"/>
      <c r="H122" s="927" t="s">
        <v>3363</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6432</v>
      </c>
      <c r="B123" s="951" t="s">
        <v>6411</v>
      </c>
      <c r="C123" s="912" t="s">
        <v>6661</v>
      </c>
      <c r="D123" s="919"/>
      <c r="E123" s="919"/>
      <c r="F123" s="839" t="s">
        <v>2096</v>
      </c>
      <c r="G123" s="828" t="s">
        <v>6662</v>
      </c>
      <c r="H123" s="828" t="s">
        <v>6661</v>
      </c>
      <c r="I123" s="919"/>
      <c r="J123" s="919"/>
      <c r="K123" s="919"/>
      <c r="L123" s="919"/>
      <c r="M123" s="919"/>
      <c r="N123" s="919"/>
      <c r="O123" s="919"/>
      <c r="P123" s="921"/>
      <c r="Q123" s="919"/>
      <c r="R123" s="919"/>
      <c r="S123" s="919" t="s">
        <v>6661</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6413</v>
      </c>
      <c r="B124" s="940"/>
      <c r="C124" s="912" t="s">
        <v>774</v>
      </c>
      <c r="D124" s="833" t="s">
        <v>862</v>
      </c>
      <c r="E124" s="919"/>
      <c r="F124" s="952" t="s">
        <v>1834</v>
      </c>
      <c r="G124" s="828" t="s">
        <v>1360</v>
      </c>
      <c r="H124" s="919"/>
      <c r="I124" s="927" t="str">
        <f>HYPERLINK("https://youtu.be/6f5dBhAmU1g","42.10")</f>
        <v>42.10</v>
      </c>
      <c r="J124" s="919" t="s">
        <v>6663</v>
      </c>
      <c r="K124" s="919" t="s">
        <v>2137</v>
      </c>
      <c r="L124" s="927" t="s">
        <v>854</v>
      </c>
      <c r="M124" s="927" t="s">
        <v>774</v>
      </c>
      <c r="N124" s="919" t="s">
        <v>4684</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2119</v>
      </c>
      <c r="AV124" s="919"/>
      <c r="AW124" s="835"/>
      <c r="AX124" s="919"/>
      <c r="AY124" s="919"/>
      <c r="AZ124" s="919"/>
      <c r="BA124" s="919"/>
      <c r="BB124" s="919"/>
      <c r="BC124" s="919"/>
      <c r="BD124" s="835"/>
      <c r="BE124" s="919"/>
      <c r="BF124" s="915"/>
      <c r="BG124" s="915"/>
      <c r="BH124" s="835"/>
      <c r="BI124" s="835"/>
      <c r="BJ124" s="835"/>
    </row>
    <row r="125" ht="15.75" customHeight="1">
      <c r="A125" s="950" t="s">
        <v>6427</v>
      </c>
      <c r="B125" s="951" t="s">
        <v>6411</v>
      </c>
      <c r="C125" s="912" t="str">
        <f>HYPERLINK("https://youtu.be/sDPkawvhuRo","28.54")</f>
        <v>28.54</v>
      </c>
      <c r="D125" s="833" t="s">
        <v>1585</v>
      </c>
      <c r="E125" s="919"/>
      <c r="F125" s="839" t="s">
        <v>2318</v>
      </c>
      <c r="G125" s="828" t="s">
        <v>376</v>
      </c>
      <c r="H125" s="927" t="s">
        <v>1113</v>
      </c>
      <c r="I125" s="919" t="s">
        <v>1450</v>
      </c>
      <c r="J125" s="919" t="s">
        <v>2318</v>
      </c>
      <c r="K125" s="919" t="s">
        <v>407</v>
      </c>
      <c r="L125" s="927" t="s">
        <v>143</v>
      </c>
      <c r="M125" s="927" t="s">
        <v>376</v>
      </c>
      <c r="N125" s="919" t="s">
        <v>3549</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6432</v>
      </c>
      <c r="B126" s="951" t="s">
        <v>6411</v>
      </c>
      <c r="C126" s="912" t="s">
        <v>6664</v>
      </c>
      <c r="D126" s="913"/>
      <c r="E126" s="913" t="s">
        <v>6664</v>
      </c>
      <c r="F126" s="948" t="s">
        <v>1547</v>
      </c>
      <c r="G126" s="828" t="s">
        <v>6665</v>
      </c>
      <c r="H126" s="913"/>
      <c r="I126" s="913"/>
      <c r="J126" s="913"/>
      <c r="K126" s="913"/>
      <c r="L126" s="913" t="s">
        <v>2894</v>
      </c>
      <c r="M126" s="913" t="s">
        <v>6665</v>
      </c>
      <c r="N126" s="913"/>
      <c r="O126" s="913"/>
      <c r="P126" s="914" t="s">
        <v>6664</v>
      </c>
      <c r="Q126" s="913" t="s">
        <v>487</v>
      </c>
      <c r="R126" s="913"/>
      <c r="S126" s="913"/>
      <c r="T126" s="913"/>
      <c r="U126" s="913"/>
      <c r="V126" s="913"/>
      <c r="W126" s="913"/>
      <c r="X126" s="913" t="s">
        <v>6666</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6552</v>
      </c>
      <c r="B127" s="942" t="s">
        <v>6667</v>
      </c>
      <c r="C127" s="912" t="s">
        <v>6668</v>
      </c>
      <c r="D127" s="919"/>
      <c r="E127" s="919"/>
      <c r="F127" s="827"/>
      <c r="G127" s="828" t="s">
        <v>4717</v>
      </c>
      <c r="H127" s="919"/>
      <c r="I127" s="919"/>
      <c r="J127" s="919"/>
      <c r="K127" s="919" t="s">
        <v>4435</v>
      </c>
      <c r="L127" s="919"/>
      <c r="M127" s="919"/>
      <c r="N127" s="919"/>
      <c r="O127" s="919"/>
      <c r="P127" s="921"/>
      <c r="Q127" s="919"/>
      <c r="R127" s="919"/>
      <c r="S127" s="919"/>
      <c r="T127" s="919"/>
      <c r="U127" s="919"/>
      <c r="V127" s="919"/>
      <c r="W127" s="919" t="s">
        <v>2808</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6669</v>
      </c>
      <c r="C128" s="912" t="s">
        <v>1888</v>
      </c>
      <c r="D128" s="919" t="s">
        <v>2557</v>
      </c>
      <c r="E128" s="919"/>
      <c r="F128" s="943"/>
      <c r="G128" s="843"/>
      <c r="H128" s="919"/>
      <c r="I128" s="919"/>
      <c r="J128" s="919"/>
      <c r="K128" s="919" t="s">
        <v>3550</v>
      </c>
      <c r="L128" s="919"/>
      <c r="M128" s="919"/>
      <c r="N128" s="919"/>
      <c r="O128" s="919"/>
      <c r="P128" s="921"/>
      <c r="Q128" s="919"/>
      <c r="R128" s="919" t="s">
        <v>2975</v>
      </c>
      <c r="S128" s="919"/>
      <c r="T128" s="919"/>
      <c r="U128" s="919"/>
      <c r="V128" s="919"/>
      <c r="W128" s="919" t="s">
        <v>1641</v>
      </c>
      <c r="X128" s="919"/>
      <c r="Y128" s="919"/>
      <c r="Z128" s="919" t="s">
        <v>5130</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6670</v>
      </c>
      <c r="C129" s="912" t="s">
        <v>3503</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3503</v>
      </c>
      <c r="AG129" s="919"/>
      <c r="AH129" s="919"/>
      <c r="AI129" s="919"/>
      <c r="AJ129" s="919"/>
      <c r="AK129" s="919"/>
      <c r="AL129" s="919"/>
      <c r="AM129" s="919"/>
      <c r="AN129" s="919"/>
      <c r="AO129" s="919"/>
      <c r="AP129" s="915"/>
      <c r="AQ129" s="919"/>
      <c r="AR129" s="919"/>
      <c r="AS129" s="919"/>
      <c r="AT129" s="919" t="s">
        <v>6219</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6671</v>
      </c>
      <c r="C130" s="912" t="s">
        <v>377</v>
      </c>
      <c r="D130" s="833" t="s">
        <v>775</v>
      </c>
      <c r="E130" s="828" t="s">
        <v>377</v>
      </c>
      <c r="F130" s="898" t="s">
        <v>3082</v>
      </c>
      <c r="G130" s="828" t="s">
        <v>1361</v>
      </c>
      <c r="H130" s="953" t="s">
        <v>6672</v>
      </c>
      <c r="I130" s="828" t="s">
        <v>5357</v>
      </c>
      <c r="J130" s="843"/>
      <c r="K130" s="843"/>
      <c r="L130" s="828" t="s">
        <v>855</v>
      </c>
      <c r="M130" s="828" t="s">
        <v>4843</v>
      </c>
      <c r="N130" s="843"/>
      <c r="O130" s="828" t="s">
        <v>6673</v>
      </c>
      <c r="P130" s="914" t="s">
        <v>5022</v>
      </c>
      <c r="Q130" s="843"/>
      <c r="R130" s="828" t="s">
        <v>144</v>
      </c>
      <c r="S130" s="843"/>
      <c r="T130" s="843"/>
      <c r="U130" s="843"/>
      <c r="V130" s="843"/>
      <c r="W130" s="843"/>
      <c r="X130" s="843"/>
      <c r="Y130" s="828" t="s">
        <v>3182</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6674</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6459</v>
      </c>
      <c r="B131" s="942" t="s">
        <v>6675</v>
      </c>
      <c r="C131" s="912" t="s">
        <v>565</v>
      </c>
      <c r="D131" s="919" t="s">
        <v>4329</v>
      </c>
      <c r="E131" s="919"/>
      <c r="F131" s="827"/>
      <c r="G131" s="843"/>
      <c r="H131" s="919"/>
      <c r="I131" s="919"/>
      <c r="J131" s="828" t="s">
        <v>5534</v>
      </c>
      <c r="K131" s="919" t="s">
        <v>1740</v>
      </c>
      <c r="L131" s="919"/>
      <c r="M131" s="919"/>
      <c r="N131" s="919" t="str">
        <f>HYPERLINK("https://youtu.be/wzsts4r5VHY","56.24")</f>
        <v>56.24</v>
      </c>
      <c r="O131" s="828" t="s">
        <v>6676</v>
      </c>
      <c r="P131" s="921"/>
      <c r="Q131" s="919"/>
      <c r="R131" s="919"/>
      <c r="S131" s="919" t="s">
        <v>565</v>
      </c>
      <c r="T131" s="919"/>
      <c r="U131" s="919"/>
      <c r="V131" s="919"/>
      <c r="W131" s="919"/>
      <c r="X131" s="919"/>
      <c r="Y131" s="919"/>
      <c r="Z131" s="919"/>
      <c r="AA131" s="919"/>
      <c r="AB131" s="919"/>
      <c r="AC131" s="919"/>
      <c r="AD131" s="919" t="s">
        <v>6677</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6678</v>
      </c>
      <c r="C132" s="912" t="s">
        <v>4504</v>
      </c>
      <c r="D132" s="954"/>
      <c r="E132" s="954"/>
      <c r="F132" s="943"/>
      <c r="G132" s="843"/>
      <c r="H132" s="954"/>
      <c r="I132" s="954"/>
      <c r="J132" s="828" t="s">
        <v>6679</v>
      </c>
      <c r="K132" s="954"/>
      <c r="L132" s="954"/>
      <c r="M132" s="954"/>
      <c r="N132" s="954"/>
      <c r="O132" s="954"/>
      <c r="P132" s="914"/>
      <c r="Q132" s="954"/>
      <c r="R132" s="954" t="s">
        <v>4504</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6680</v>
      </c>
      <c r="C133" s="912" t="s">
        <v>6681</v>
      </c>
      <c r="D133" s="833" t="s">
        <v>792</v>
      </c>
      <c r="E133" s="913" t="s">
        <v>776</v>
      </c>
      <c r="F133" s="854" t="s">
        <v>2621</v>
      </c>
      <c r="G133" s="828" t="s">
        <v>848</v>
      </c>
      <c r="H133" s="913" t="s">
        <v>776</v>
      </c>
      <c r="I133" s="913" t="s">
        <v>504</v>
      </c>
      <c r="J133" s="913"/>
      <c r="K133" s="913"/>
      <c r="L133" s="913" t="s">
        <v>856</v>
      </c>
      <c r="M133" s="913" t="s">
        <v>1909</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6469</v>
      </c>
      <c r="B134" s="942" t="s">
        <v>6682</v>
      </c>
      <c r="C134" s="912" t="s">
        <v>4112</v>
      </c>
      <c r="D134" s="919"/>
      <c r="E134" s="919"/>
      <c r="F134" s="943"/>
      <c r="G134" s="843"/>
      <c r="H134" s="919"/>
      <c r="I134" s="919"/>
      <c r="J134" s="919"/>
      <c r="K134" s="919" t="s">
        <v>3967</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6683</v>
      </c>
      <c r="C135" s="912" t="s">
        <v>6684</v>
      </c>
      <c r="D135" s="833" t="s">
        <v>579</v>
      </c>
      <c r="E135" s="919"/>
      <c r="F135" s="827"/>
      <c r="G135" s="828" t="s">
        <v>1363</v>
      </c>
      <c r="H135" s="919"/>
      <c r="I135" s="919"/>
      <c r="J135" s="828" t="s">
        <v>1434</v>
      </c>
      <c r="K135" s="919"/>
      <c r="L135" s="919" t="s">
        <v>857</v>
      </c>
      <c r="M135" s="919"/>
      <c r="N135" s="919"/>
      <c r="O135" s="828" t="s">
        <v>3161</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6476</v>
      </c>
      <c r="B136" s="942" t="s">
        <v>6685</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6686</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6427</v>
      </c>
      <c r="B138" s="947" t="s">
        <v>6685</v>
      </c>
      <c r="C138" s="912" t="s">
        <v>4076</v>
      </c>
      <c r="D138" s="913" t="s">
        <v>5272</v>
      </c>
      <c r="E138" s="913" t="s">
        <v>4076</v>
      </c>
      <c r="F138" s="943"/>
      <c r="G138" s="828" t="s">
        <v>2772</v>
      </c>
      <c r="H138" s="913"/>
      <c r="I138" s="913"/>
      <c r="J138" s="913"/>
      <c r="K138" s="913" t="s">
        <v>475</v>
      </c>
      <c r="L138" s="913"/>
      <c r="M138" s="913" t="s">
        <v>2309</v>
      </c>
      <c r="N138" s="913" t="s">
        <v>1387</v>
      </c>
      <c r="O138" s="913"/>
      <c r="P138" s="914"/>
      <c r="Q138" s="913"/>
      <c r="R138" s="913"/>
      <c r="S138" s="913"/>
      <c r="T138" s="913"/>
      <c r="U138" s="913"/>
      <c r="V138" s="913"/>
      <c r="W138" s="913" t="s">
        <v>6687</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1859</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6686</v>
      </c>
      <c r="C139" s="912" t="s">
        <v>1444</v>
      </c>
      <c r="D139" s="838" t="s">
        <v>1587</v>
      </c>
      <c r="E139" s="913" t="s">
        <v>5361</v>
      </c>
      <c r="F139" s="898" t="s">
        <v>148</v>
      </c>
      <c r="G139" s="828" t="s">
        <v>3150</v>
      </c>
      <c r="H139" s="923" t="s">
        <v>1281</v>
      </c>
      <c r="I139" s="913" t="str">
        <f>HYPERLINK("https://youtu.be/NPrbRwZDn1I","27.54")</f>
        <v>27.54</v>
      </c>
      <c r="J139" s="913" t="s">
        <v>505</v>
      </c>
      <c r="K139" s="913" t="s">
        <v>6639</v>
      </c>
      <c r="L139" s="913"/>
      <c r="M139" s="913" t="s">
        <v>5361</v>
      </c>
      <c r="N139" s="913" t="str">
        <f>HYPERLINK("https://youtu.be/gwRV1gD1ndo","27.79")</f>
        <v>27.79</v>
      </c>
      <c r="O139" s="913" t="s">
        <v>1254</v>
      </c>
      <c r="P139" s="914" t="s">
        <v>431</v>
      </c>
      <c r="Q139" s="913" t="s">
        <v>410</v>
      </c>
      <c r="R139" s="913"/>
      <c r="S139" s="828" t="s">
        <v>399</v>
      </c>
      <c r="T139" s="913"/>
      <c r="U139" s="913" t="s">
        <v>1905</v>
      </c>
      <c r="V139" s="913"/>
      <c r="W139" s="913" t="s">
        <v>1084</v>
      </c>
      <c r="X139" s="913"/>
      <c r="Y139" s="913"/>
      <c r="Z139" s="913"/>
      <c r="AA139" s="913"/>
      <c r="AB139" s="913"/>
      <c r="AC139" s="913"/>
      <c r="AD139" s="913"/>
      <c r="AE139" s="913"/>
      <c r="AF139" s="913"/>
      <c r="AG139" s="913"/>
      <c r="AH139" s="913" t="s">
        <v>2361</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6432</v>
      </c>
      <c r="B140" s="947" t="s">
        <v>6411</v>
      </c>
      <c r="C140" s="912" t="s">
        <v>6688</v>
      </c>
      <c r="D140" s="954"/>
      <c r="E140" s="954"/>
      <c r="F140" s="943"/>
      <c r="G140" s="828" t="s">
        <v>2685</v>
      </c>
      <c r="H140" s="954"/>
      <c r="I140" s="954"/>
      <c r="J140" s="954"/>
      <c r="K140" s="954"/>
      <c r="L140" s="954"/>
      <c r="M140" s="954"/>
      <c r="N140" s="954"/>
      <c r="O140" s="927" t="s">
        <v>6688</v>
      </c>
      <c r="P140" s="914"/>
      <c r="Q140" s="954"/>
      <c r="R140" s="954"/>
      <c r="S140" s="954"/>
      <c r="T140" s="954"/>
      <c r="U140" s="954"/>
      <c r="V140" s="954"/>
      <c r="W140" s="954"/>
      <c r="X140" s="954"/>
      <c r="Y140" s="954"/>
      <c r="Z140" s="954"/>
      <c r="AA140" s="954"/>
      <c r="AB140" s="954"/>
      <c r="AC140" s="954"/>
      <c r="AD140" s="954"/>
      <c r="AE140" s="954"/>
      <c r="AF140" s="954"/>
      <c r="AG140" s="954" t="s">
        <v>1905</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6689</v>
      </c>
      <c r="B141" s="951" t="s">
        <v>6690</v>
      </c>
      <c r="C141" s="912" t="s">
        <v>6691</v>
      </c>
      <c r="D141" s="913" t="s">
        <v>6692</v>
      </c>
      <c r="E141" s="913" t="s">
        <v>6691</v>
      </c>
      <c r="F141" s="827"/>
      <c r="G141" s="843"/>
      <c r="H141" s="913"/>
      <c r="I141" s="913" t="s">
        <v>6693</v>
      </c>
      <c r="J141" s="913" t="s">
        <v>6694</v>
      </c>
      <c r="K141" s="913"/>
      <c r="L141" s="913" t="s">
        <v>860</v>
      </c>
      <c r="M141" s="913"/>
      <c r="N141" s="913" t="s">
        <v>6695</v>
      </c>
      <c r="O141" s="913"/>
      <c r="P141" s="914"/>
      <c r="Q141" s="913"/>
      <c r="R141" s="913"/>
      <c r="S141" s="913"/>
      <c r="T141" s="913" t="s">
        <v>6696</v>
      </c>
      <c r="U141" s="913" t="s">
        <v>5033</v>
      </c>
      <c r="V141" s="913"/>
      <c r="W141" s="913"/>
      <c r="X141" s="913"/>
      <c r="Y141" s="913"/>
      <c r="Z141" s="913"/>
      <c r="AA141" s="913"/>
      <c r="AB141" s="913"/>
      <c r="AC141" s="913"/>
      <c r="AD141" s="913"/>
      <c r="AE141" s="913"/>
      <c r="AF141" s="913"/>
      <c r="AG141" s="913"/>
      <c r="AH141" s="913"/>
      <c r="AI141" s="913" t="s">
        <v>6697</v>
      </c>
      <c r="AJ141" s="913"/>
      <c r="AK141" s="913"/>
      <c r="AL141" s="913"/>
      <c r="AM141" s="913"/>
      <c r="AN141" s="913"/>
      <c r="AO141" s="913"/>
      <c r="AP141" s="915"/>
      <c r="AQ141" s="913"/>
      <c r="AR141" s="913"/>
      <c r="AS141" s="913"/>
      <c r="AT141" s="913"/>
      <c r="AU141" s="913"/>
      <c r="AV141" s="913"/>
      <c r="AW141" s="941"/>
      <c r="AX141" s="913"/>
      <c r="AY141" s="913"/>
      <c r="AZ141" s="913" t="s">
        <v>6698</v>
      </c>
      <c r="BA141" s="913"/>
      <c r="BB141" s="913"/>
      <c r="BC141" s="913"/>
      <c r="BD141" s="941"/>
      <c r="BE141" s="913"/>
      <c r="BF141" s="915"/>
      <c r="BG141" s="915"/>
      <c r="BH141" s="941"/>
      <c r="BI141" s="941"/>
      <c r="BJ141" s="941"/>
    </row>
    <row r="142" ht="15.75" customHeight="1">
      <c r="A142" s="944"/>
      <c r="B142" s="945" t="s">
        <v>6699</v>
      </c>
      <c r="C142" s="912" t="s">
        <v>6700</v>
      </c>
      <c r="D142" s="919"/>
      <c r="E142" s="919"/>
      <c r="F142" s="943"/>
      <c r="G142" s="843"/>
      <c r="H142" s="919"/>
      <c r="I142" s="919"/>
      <c r="J142" s="919"/>
      <c r="K142" s="919" t="s">
        <v>6701</v>
      </c>
      <c r="L142" s="919"/>
      <c r="M142" s="919"/>
      <c r="N142" s="919"/>
      <c r="O142" s="919" t="s">
        <v>6700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6702</v>
      </c>
      <c r="C143" s="912" t="s">
        <v>6703</v>
      </c>
      <c r="D143" s="879" t="s">
        <v>1589</v>
      </c>
      <c r="E143" s="828" t="s">
        <v>382</v>
      </c>
      <c r="F143" s="898" t="s">
        <v>3083</v>
      </c>
      <c r="G143" s="843"/>
      <c r="H143" s="843" t="s">
        <v>6704</v>
      </c>
      <c r="I143" s="828" t="s">
        <v>586</v>
      </c>
      <c r="J143" s="828" t="s">
        <v>3646</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6705</v>
      </c>
      <c r="C144" s="824" t="s">
        <v>3493</v>
      </c>
      <c r="D144" s="838" t="s">
        <v>1588</v>
      </c>
      <c r="E144" s="919"/>
      <c r="F144" s="943"/>
      <c r="G144" s="828" t="s">
        <v>1365</v>
      </c>
      <c r="H144" s="919"/>
      <c r="I144" s="919"/>
      <c r="J144" s="919"/>
      <c r="K144" s="919"/>
      <c r="L144" s="919"/>
      <c r="M144" s="919" t="s">
        <v>6706</v>
      </c>
      <c r="N144" s="919"/>
      <c r="O144" s="919" t="s">
        <v>1023</v>
      </c>
      <c r="P144" s="921"/>
      <c r="Q144" s="919"/>
      <c r="R144" s="919"/>
      <c r="S144" s="828" t="s">
        <v>3493</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6707</v>
      </c>
      <c r="B145" s="951" t="s">
        <v>6690</v>
      </c>
      <c r="C145" s="912" t="s">
        <v>776</v>
      </c>
      <c r="D145" s="955" t="s">
        <v>5030</v>
      </c>
      <c r="E145" s="955" t="s">
        <v>3558</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6702</v>
      </c>
      <c r="C147" s="824" t="s">
        <v>2585</v>
      </c>
      <c r="D147" s="955" t="s">
        <v>6708</v>
      </c>
      <c r="E147" s="955"/>
      <c r="F147" s="854" t="s">
        <v>3784</v>
      </c>
      <c r="G147" s="843"/>
      <c r="H147" s="828" t="s">
        <v>2585</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6705</v>
      </c>
      <c r="C148" s="824" t="s">
        <v>1431</v>
      </c>
      <c r="D148" s="955"/>
      <c r="E148" s="955"/>
      <c r="F148" s="943"/>
      <c r="G148" s="828" t="s">
        <v>6709</v>
      </c>
      <c r="H148" s="955" t="s">
        <v>6710</v>
      </c>
      <c r="I148" s="955" t="s">
        <v>284</v>
      </c>
      <c r="J148" s="955"/>
      <c r="K148" s="955"/>
      <c r="L148" s="955"/>
      <c r="M148" s="913" t="s">
        <v>4940</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6711</v>
      </c>
      <c r="B149" s="951" t="s">
        <v>6712</v>
      </c>
      <c r="C149" s="912" t="s">
        <v>6713</v>
      </c>
      <c r="D149" s="955" t="s">
        <v>2280</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6715</v>
      </c>
      <c r="B151" s="951" t="s">
        <v>6716</v>
      </c>
      <c r="C151" s="824" t="s">
        <v>6717</v>
      </c>
      <c r="D151" s="955"/>
      <c r="E151" s="955"/>
      <c r="F151" s="839" t="s">
        <v>6718</v>
      </c>
      <c r="G151" s="828" t="s">
        <v>6719</v>
      </c>
      <c r="H151" s="913" t="s">
        <v>6720</v>
      </c>
      <c r="I151" s="955" t="s">
        <v>6721</v>
      </c>
      <c r="J151" s="955"/>
      <c r="K151" s="955"/>
      <c r="L151" s="955"/>
      <c r="M151" s="913" t="s">
        <v>1391</v>
      </c>
      <c r="N151" s="955"/>
      <c r="O151" s="955"/>
      <c r="P151" s="914"/>
      <c r="Q151" s="955"/>
      <c r="R151" s="955"/>
      <c r="S151" s="828" t="s">
        <v>6717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6722</v>
      </c>
      <c r="C152" s="912" t="s">
        <v>6723</v>
      </c>
      <c r="D152" s="955"/>
      <c r="E152" s="955"/>
      <c r="F152" s="948" t="s">
        <v>6724</v>
      </c>
      <c r="G152" s="843"/>
      <c r="H152" s="913" t="s">
        <v>6725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6726</v>
      </c>
      <c r="C153" s="912" t="s">
        <v>6727</v>
      </c>
      <c r="D153" s="955"/>
      <c r="E153" s="955"/>
      <c r="F153" s="839" t="s">
        <v>6728</v>
      </c>
      <c r="G153" s="843"/>
      <c r="H153" s="913" t="s">
        <v>6727</v>
      </c>
      <c r="I153" s="955" t="s">
        <v>6729</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6730</v>
      </c>
      <c r="C154" s="912" t="s">
        <v>744</v>
      </c>
      <c r="D154" s="955"/>
      <c r="E154" s="955"/>
      <c r="F154" s="948" t="s">
        <v>2228</v>
      </c>
      <c r="G154" s="843"/>
      <c r="H154" s="913" t="s">
        <v>744</v>
      </c>
      <c r="I154" s="955"/>
      <c r="J154" s="955"/>
      <c r="K154" s="955"/>
      <c r="L154" s="955"/>
      <c r="M154" s="913" t="s">
        <v>3199</v>
      </c>
      <c r="N154" s="955"/>
      <c r="O154" s="955"/>
      <c r="P154" s="914"/>
      <c r="Q154" s="955"/>
      <c r="R154" s="955"/>
      <c r="S154" s="955"/>
      <c r="T154" s="955"/>
      <c r="U154" s="955"/>
      <c r="V154" s="955" t="s">
        <v>2344</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6512</v>
      </c>
      <c r="B155" s="956" t="s">
        <v>6731</v>
      </c>
      <c r="C155" s="912" t="s">
        <v>2564</v>
      </c>
      <c r="D155" s="919" t="s">
        <v>2564</v>
      </c>
      <c r="E155" s="919"/>
      <c r="F155" s="948" t="s">
        <v>2803</v>
      </c>
      <c r="G155" s="828" t="s">
        <v>2856</v>
      </c>
      <c r="H155" s="913" t="s">
        <v>2564</v>
      </c>
      <c r="I155" s="919"/>
      <c r="J155" s="919"/>
      <c r="K155" s="919" t="s">
        <v>3738</v>
      </c>
      <c r="L155" s="919"/>
      <c r="M155" s="919"/>
      <c r="N155" s="919"/>
      <c r="O155" s="919" t="s">
        <v>2564</v>
      </c>
      <c r="P155" s="921" t="s">
        <v>2803</v>
      </c>
      <c r="Q155" s="919"/>
      <c r="R155" s="919" t="s">
        <v>2564</v>
      </c>
      <c r="S155" s="919" t="s">
        <v>2564</v>
      </c>
      <c r="T155" s="919"/>
      <c r="U155" s="919"/>
      <c r="V155" s="919"/>
      <c r="W155" s="919"/>
      <c r="X155" s="919"/>
      <c r="Y155" s="919"/>
      <c r="Z155" s="919"/>
      <c r="AA155" s="828" t="s">
        <v>4080</v>
      </c>
      <c r="AB155" s="919"/>
      <c r="AC155" s="919"/>
      <c r="AD155" s="919"/>
      <c r="AE155" s="919" t="s">
        <v>2564</v>
      </c>
      <c r="AF155" s="919"/>
      <c r="AG155" s="919"/>
      <c r="AH155" s="919"/>
      <c r="AI155" s="919"/>
      <c r="AJ155" s="919"/>
      <c r="AK155" s="919"/>
      <c r="AL155" s="919" t="s">
        <v>5485</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6732</v>
      </c>
      <c r="C156" s="912" t="s">
        <v>2383</v>
      </c>
      <c r="D156" s="833" t="s">
        <v>1590</v>
      </c>
      <c r="E156" s="913" t="s">
        <v>6733</v>
      </c>
      <c r="F156" s="839" t="s">
        <v>6734</v>
      </c>
      <c r="G156" s="843"/>
      <c r="H156" s="913" t="s">
        <v>6735</v>
      </c>
      <c r="I156" s="913"/>
      <c r="J156" s="913" t="s">
        <v>516</v>
      </c>
      <c r="K156" s="913" t="s">
        <v>3554</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6516</v>
      </c>
      <c r="B157" s="956" t="s">
        <v>6736</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6432</v>
      </c>
      <c r="B158" s="951" t="s">
        <v>6411</v>
      </c>
      <c r="C158" s="912" t="s">
        <v>6737</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6738</v>
      </c>
      <c r="B159" s="956" t="s">
        <v>6739</v>
      </c>
      <c r="C159" s="912" t="s">
        <v>6740</v>
      </c>
      <c r="D159" s="919" t="s">
        <v>5856</v>
      </c>
      <c r="E159" s="919"/>
      <c r="F159" s="827"/>
      <c r="G159" s="843"/>
      <c r="H159" s="919"/>
      <c r="I159" s="919"/>
      <c r="J159" s="919"/>
      <c r="K159" s="919" t="s">
        <v>6102</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6741</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6521</v>
      </c>
      <c r="B161" s="951" t="s">
        <v>6739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6741</v>
      </c>
      <c r="C162" s="912" t="s">
        <v>6742</v>
      </c>
      <c r="D162" s="957" t="s">
        <v>6742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6523</v>
      </c>
      <c r="B163" s="956" t="s">
        <v>6411</v>
      </c>
      <c r="C163" s="912" t="s">
        <v>1521</v>
      </c>
      <c r="D163" s="859" t="s">
        <v>1591</v>
      </c>
      <c r="E163" s="913" t="s">
        <v>6743</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6521</v>
      </c>
      <c r="B164" s="947" t="s">
        <v>6411</v>
      </c>
      <c r="C164" s="865" t="s">
        <v>6744</v>
      </c>
      <c r="D164" s="860" t="s">
        <v>6744</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6411</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6745</v>
      </c>
      <c r="B167" s="965" t="s">
        <v>6746</v>
      </c>
      <c r="C167" s="912" t="s">
        <v>6747</v>
      </c>
      <c r="D167" s="833" t="s">
        <v>6718</v>
      </c>
      <c r="E167" s="833" t="s">
        <v>6748</v>
      </c>
      <c r="F167" s="839" t="s">
        <v>6749</v>
      </c>
      <c r="G167" s="828" t="s">
        <v>6750</v>
      </c>
      <c r="H167" s="833" t="s">
        <v>6748</v>
      </c>
      <c r="I167" s="833"/>
      <c r="J167" s="833" t="s">
        <v>6751</v>
      </c>
      <c r="K167" s="833" t="s">
        <v>6752</v>
      </c>
      <c r="L167" s="833" t="s">
        <v>6749</v>
      </c>
      <c r="M167" s="833" t="s">
        <v>6749</v>
      </c>
      <c r="N167" s="833"/>
      <c r="O167" s="833"/>
      <c r="P167" s="831" t="s">
        <v>6748</v>
      </c>
      <c r="Q167" s="833"/>
      <c r="R167" s="833" t="s">
        <v>2234</v>
      </c>
      <c r="S167" s="833" t="s">
        <v>6753</v>
      </c>
      <c r="T167" s="833"/>
      <c r="U167" s="833"/>
      <c r="V167" s="833"/>
      <c r="W167" s="833"/>
      <c r="X167" s="833"/>
      <c r="Y167" s="833"/>
      <c r="Z167" s="833"/>
      <c r="AA167" s="833"/>
      <c r="AB167" s="833" t="s">
        <v>6720</v>
      </c>
      <c r="AC167" s="833" t="s">
        <v>6750</v>
      </c>
      <c r="AD167" s="833"/>
      <c r="AE167" s="833"/>
      <c r="AF167" s="833" t="s">
        <v>6747</v>
      </c>
      <c r="AG167" s="833"/>
      <c r="AH167" s="833"/>
      <c r="AI167" s="833"/>
      <c r="AJ167" s="833"/>
      <c r="AK167" s="833" t="s">
        <v>6752</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6754</v>
      </c>
      <c r="C168" s="912" t="s">
        <v>6755</v>
      </c>
      <c r="D168" s="833"/>
      <c r="E168" s="833" t="s">
        <v>6751</v>
      </c>
      <c r="F168" s="969"/>
      <c r="G168" s="843"/>
      <c r="H168" s="833" t="s">
        <v>6755</v>
      </c>
      <c r="I168" s="833"/>
      <c r="J168" s="833"/>
      <c r="K168" s="833"/>
      <c r="L168" s="833"/>
      <c r="M168" s="833"/>
      <c r="N168" s="833"/>
      <c r="O168" s="833"/>
      <c r="P168" s="831" t="s">
        <v>6756</v>
      </c>
      <c r="Q168" s="833"/>
      <c r="R168" s="833"/>
      <c r="S168" s="833"/>
      <c r="T168" s="833" t="s">
        <v>6751</v>
      </c>
      <c r="U168" s="833"/>
      <c r="V168" s="833"/>
      <c r="W168" s="833"/>
      <c r="X168" s="833"/>
      <c r="Y168" s="833"/>
      <c r="Z168" s="833" t="s">
        <v>6748</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6757</v>
      </c>
      <c r="B169" s="965" t="s">
        <v>6411</v>
      </c>
      <c r="C169" s="912" t="s">
        <v>1928</v>
      </c>
      <c r="D169" s="833" t="s">
        <v>5332</v>
      </c>
      <c r="E169" s="833" t="s">
        <v>5968</v>
      </c>
      <c r="F169" s="854" t="s">
        <v>6758</v>
      </c>
      <c r="G169" s="828" t="s">
        <v>6758</v>
      </c>
      <c r="H169" s="833" t="s">
        <v>2877</v>
      </c>
      <c r="I169" s="833"/>
      <c r="J169" s="833"/>
      <c r="K169" s="833"/>
      <c r="L169" s="833" t="s">
        <v>4483</v>
      </c>
      <c r="M169" s="833"/>
      <c r="N169" s="833"/>
      <c r="O169" s="833"/>
      <c r="P169" s="831"/>
      <c r="Q169" s="833"/>
      <c r="R169" s="833"/>
      <c r="S169" s="833" t="s">
        <v>4164</v>
      </c>
      <c r="T169" s="833" t="s">
        <v>2766</v>
      </c>
      <c r="U169" s="833"/>
      <c r="V169" s="833"/>
      <c r="W169" s="833"/>
      <c r="X169" s="833"/>
      <c r="Y169" s="833"/>
      <c r="Z169" s="833"/>
      <c r="AA169" s="833"/>
      <c r="AB169" s="833" t="s">
        <v>1928</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6427</v>
      </c>
      <c r="B170" s="971" t="s">
        <v>6411</v>
      </c>
      <c r="C170" s="912" t="s">
        <v>6759</v>
      </c>
      <c r="D170" s="897"/>
      <c r="E170" s="897" t="s">
        <v>6760</v>
      </c>
      <c r="F170" s="972" t="s">
        <v>6761</v>
      </c>
      <c r="G170" s="843"/>
      <c r="H170" s="897" t="s">
        <v>6759</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6413</v>
      </c>
      <c r="B171" s="973" t="s">
        <v>6762</v>
      </c>
      <c r="C171" s="912" t="s">
        <v>4987</v>
      </c>
      <c r="D171" s="974"/>
      <c r="E171" s="974"/>
      <c r="F171" s="827"/>
      <c r="G171" s="843"/>
      <c r="H171" s="974"/>
      <c r="I171" s="974"/>
      <c r="J171" s="974" t="s">
        <v>4987</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6763</v>
      </c>
      <c r="C172" s="912" t="s">
        <v>6764</v>
      </c>
      <c r="D172" s="833" t="s">
        <v>6765</v>
      </c>
      <c r="E172" s="833" t="s">
        <v>6764</v>
      </c>
      <c r="F172" s="839" t="s">
        <v>157</v>
      </c>
      <c r="G172" s="828" t="s">
        <v>1371</v>
      </c>
      <c r="H172" s="833" t="s">
        <v>6064</v>
      </c>
      <c r="I172" s="833"/>
      <c r="J172" s="833" t="s">
        <v>608</v>
      </c>
      <c r="K172" s="833" t="s">
        <v>355</v>
      </c>
      <c r="L172" s="833"/>
      <c r="M172" s="833"/>
      <c r="N172" s="833" t="s">
        <v>145</v>
      </c>
      <c r="O172" s="833" t="s">
        <v>6766</v>
      </c>
      <c r="P172" s="831"/>
      <c r="Q172" s="833"/>
      <c r="R172" s="833"/>
      <c r="S172" s="833" t="s">
        <v>2569</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6427</v>
      </c>
      <c r="B173" s="975" t="s">
        <v>6767</v>
      </c>
      <c r="C173" s="912" t="s">
        <v>6768</v>
      </c>
      <c r="D173" s="879"/>
      <c r="E173" s="879"/>
      <c r="F173" s="827"/>
      <c r="G173" s="843"/>
      <c r="H173" s="879"/>
      <c r="I173" s="879"/>
      <c r="J173" s="879" t="s">
        <v>4106</v>
      </c>
      <c r="K173" s="879"/>
      <c r="L173" s="879"/>
      <c r="M173" s="879"/>
      <c r="N173" s="879"/>
      <c r="O173" s="879"/>
      <c r="P173" s="831"/>
      <c r="Q173" s="879"/>
      <c r="R173" s="879"/>
      <c r="S173" s="879"/>
      <c r="T173" s="879"/>
      <c r="U173" s="879"/>
      <c r="V173" s="879"/>
      <c r="W173" s="879" t="s">
        <v>6769</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6770</v>
      </c>
      <c r="C174" s="912" t="s">
        <v>6771</v>
      </c>
      <c r="D174" s="833" t="s">
        <v>1593</v>
      </c>
      <c r="E174" s="833" t="s">
        <v>6771</v>
      </c>
      <c r="F174" s="898" t="s">
        <v>3086</v>
      </c>
      <c r="G174" s="828" t="s">
        <v>1372</v>
      </c>
      <c r="H174" s="833" t="s">
        <v>2996</v>
      </c>
      <c r="I174" s="833" t="s">
        <v>1461</v>
      </c>
      <c r="J174" s="833" t="s">
        <v>2064</v>
      </c>
      <c r="K174" s="833" t="s">
        <v>5276</v>
      </c>
      <c r="L174" s="833" t="s">
        <v>867</v>
      </c>
      <c r="M174" s="833" t="s">
        <v>2815</v>
      </c>
      <c r="N174" s="833" t="s">
        <v>1845</v>
      </c>
      <c r="O174" s="833" t="s">
        <v>4728</v>
      </c>
      <c r="P174" s="831" t="s">
        <v>1845</v>
      </c>
      <c r="Q174" s="833"/>
      <c r="R174" s="833"/>
      <c r="S174" s="833"/>
      <c r="T174" s="833"/>
      <c r="U174" s="833" t="s">
        <v>6772</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6773</v>
      </c>
      <c r="C175" s="912" t="s">
        <v>3897</v>
      </c>
      <c r="D175" s="833"/>
      <c r="E175" s="833" t="s">
        <v>3897</v>
      </c>
      <c r="F175" s="827"/>
      <c r="G175" s="843"/>
      <c r="H175" s="833"/>
      <c r="I175" s="833" t="s">
        <v>5219</v>
      </c>
      <c r="J175" s="833"/>
      <c r="K175" s="833"/>
      <c r="L175" s="833"/>
      <c r="M175" s="833" t="s">
        <v>1029</v>
      </c>
      <c r="N175" s="833" t="s">
        <v>4424</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6774</v>
      </c>
      <c r="B176" s="975" t="s">
        <v>6553</v>
      </c>
      <c r="C176" s="912" t="s">
        <v>3924</v>
      </c>
      <c r="D176" s="974"/>
      <c r="E176" s="974"/>
      <c r="F176" s="976" t="s">
        <v>2923</v>
      </c>
      <c r="G176" s="843"/>
      <c r="H176" s="974"/>
      <c r="I176" s="974"/>
      <c r="J176" s="974"/>
      <c r="K176" s="974"/>
      <c r="L176" s="974" t="s">
        <v>2858</v>
      </c>
      <c r="M176" s="974"/>
      <c r="N176" s="974"/>
      <c r="O176" s="974"/>
      <c r="P176" s="848"/>
      <c r="Q176" s="974"/>
      <c r="R176" s="974"/>
      <c r="S176" s="974"/>
      <c r="T176" s="974"/>
      <c r="U176" s="974"/>
      <c r="V176" s="974"/>
      <c r="W176" s="974"/>
      <c r="X176" s="974"/>
      <c r="Y176" s="974"/>
      <c r="Z176" s="974"/>
      <c r="AA176" s="974" t="s">
        <v>3220</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6775</v>
      </c>
      <c r="C177" s="912" t="s">
        <v>5091</v>
      </c>
      <c r="D177" s="977" t="s">
        <v>199</v>
      </c>
      <c r="E177" s="833" t="s">
        <v>5091</v>
      </c>
      <c r="F177" s="827"/>
      <c r="G177" s="828" t="s">
        <v>199</v>
      </c>
      <c r="H177" s="833"/>
      <c r="I177" s="833"/>
      <c r="J177" s="833"/>
      <c r="K177" s="833"/>
      <c r="L177" s="833"/>
      <c r="M177" s="833"/>
      <c r="N177" s="833"/>
      <c r="O177" s="833"/>
      <c r="P177" s="831"/>
      <c r="Q177" s="833"/>
      <c r="R177" s="833"/>
      <c r="S177" s="833" t="s">
        <v>1993</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6776</v>
      </c>
      <c r="B178" s="975" t="s">
        <v>6553</v>
      </c>
      <c r="C178" s="912" t="s">
        <v>6777</v>
      </c>
      <c r="D178" s="974"/>
      <c r="E178" s="974"/>
      <c r="F178" s="972" t="s">
        <v>6778</v>
      </c>
      <c r="G178" s="843"/>
      <c r="H178" s="974" t="s">
        <v>6777</v>
      </c>
      <c r="I178" s="974"/>
      <c r="J178" s="974" t="s">
        <v>6779</v>
      </c>
      <c r="K178" s="974"/>
      <c r="L178" s="974"/>
      <c r="M178" s="974"/>
      <c r="N178" s="974"/>
      <c r="O178" s="974"/>
      <c r="P178" s="848"/>
      <c r="Q178" s="974"/>
      <c r="R178" s="974"/>
      <c r="S178" s="974"/>
      <c r="T178" s="974"/>
      <c r="U178" s="974"/>
      <c r="V178" s="974"/>
      <c r="W178" s="974" t="s">
        <v>6761</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6775</v>
      </c>
      <c r="C179" s="912" t="s">
        <v>6780</v>
      </c>
      <c r="D179" s="830" t="s">
        <v>6781</v>
      </c>
      <c r="E179" s="829" t="s">
        <v>6780</v>
      </c>
      <c r="F179" s="827"/>
      <c r="G179" s="843"/>
      <c r="H179" s="830" t="s">
        <v>6780</v>
      </c>
      <c r="I179" s="830"/>
      <c r="J179" s="830"/>
      <c r="K179" s="830"/>
      <c r="L179" s="830"/>
      <c r="M179" s="830"/>
      <c r="N179" s="830"/>
      <c r="O179" s="830"/>
      <c r="P179" s="831"/>
      <c r="Q179" s="830"/>
      <c r="R179" s="830"/>
      <c r="S179" s="830"/>
      <c r="T179" s="830"/>
      <c r="U179" s="830"/>
      <c r="V179" s="830"/>
      <c r="W179" s="830"/>
      <c r="X179" s="829" t="s">
        <v>6780</v>
      </c>
      <c r="Y179" s="830"/>
      <c r="Z179" s="830"/>
      <c r="AA179" s="830"/>
      <c r="AB179" s="830"/>
      <c r="AC179" s="830"/>
      <c r="AD179" s="830"/>
      <c r="AE179" s="830"/>
      <c r="AF179" s="830"/>
      <c r="AG179" s="830" t="s">
        <v>6782</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6436</v>
      </c>
      <c r="B180" s="973" t="s">
        <v>6783</v>
      </c>
      <c r="C180" s="912" t="s">
        <v>2571</v>
      </c>
      <c r="D180" s="974"/>
      <c r="E180" s="974"/>
      <c r="F180" s="969"/>
      <c r="G180" s="828" t="s">
        <v>6784</v>
      </c>
      <c r="H180" s="974"/>
      <c r="I180" s="974"/>
      <c r="J180" s="974"/>
      <c r="K180" s="974"/>
      <c r="L180" s="974"/>
      <c r="M180" s="974"/>
      <c r="N180" s="974" t="s">
        <v>4523</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6785</v>
      </c>
      <c r="C181" s="912" t="s">
        <v>821</v>
      </c>
      <c r="D181" s="974" t="s">
        <v>3417</v>
      </c>
      <c r="E181" s="974"/>
      <c r="F181" s="854" t="s">
        <v>6786</v>
      </c>
      <c r="G181" s="843"/>
      <c r="H181" s="974"/>
      <c r="I181" s="974" t="s">
        <v>6021</v>
      </c>
      <c r="J181" s="974"/>
      <c r="K181" s="974" t="s">
        <v>3143</v>
      </c>
      <c r="L181" s="974"/>
      <c r="M181" s="974"/>
      <c r="N181" s="974" t="s">
        <v>6787</v>
      </c>
      <c r="O181" s="974"/>
      <c r="P181" s="848"/>
      <c r="Q181" s="974"/>
      <c r="R181" s="974"/>
      <c r="S181" s="974"/>
      <c r="T181" s="974"/>
      <c r="U181" s="974"/>
      <c r="V181" s="974"/>
      <c r="W181" s="974"/>
      <c r="X181" s="974"/>
      <c r="Y181" s="974"/>
      <c r="Z181" s="974"/>
      <c r="AA181" s="974"/>
      <c r="AB181" s="974"/>
      <c r="AC181" s="974"/>
      <c r="AD181" s="974"/>
      <c r="AE181" s="974"/>
      <c r="AF181" s="974"/>
      <c r="AG181" s="974" t="s">
        <v>4561</v>
      </c>
      <c r="AH181" s="974"/>
      <c r="AI181" s="974"/>
      <c r="AJ181" s="974"/>
      <c r="AK181" s="974"/>
      <c r="AL181" s="974"/>
      <c r="AM181" s="974"/>
      <c r="AN181" s="974"/>
      <c r="AO181" s="974"/>
      <c r="AP181" s="874"/>
      <c r="AQ181" s="974"/>
      <c r="AR181" s="974"/>
      <c r="AS181" s="974" t="s">
        <v>3248</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6788</v>
      </c>
      <c r="C182" s="912" t="s">
        <v>495</v>
      </c>
      <c r="D182" s="833" t="s">
        <v>2751</v>
      </c>
      <c r="E182" s="974"/>
      <c r="F182" s="972" t="s">
        <v>1710</v>
      </c>
      <c r="G182" s="828" t="s">
        <v>629</v>
      </c>
      <c r="H182" s="974" t="s">
        <v>785</v>
      </c>
      <c r="I182" s="974"/>
      <c r="J182" s="974" t="s">
        <v>5508</v>
      </c>
      <c r="K182" s="974"/>
      <c r="L182" s="974" t="s">
        <v>868</v>
      </c>
      <c r="M182" s="974"/>
      <c r="N182" s="974"/>
      <c r="O182" s="974" t="s">
        <v>1030</v>
      </c>
      <c r="P182" s="848"/>
      <c r="Q182" s="974" t="s">
        <v>6340</v>
      </c>
      <c r="R182" s="974"/>
      <c r="S182" s="974"/>
      <c r="T182" s="974" t="s">
        <v>495</v>
      </c>
      <c r="U182" s="974" t="s">
        <v>585</v>
      </c>
      <c r="V182" s="974"/>
      <c r="W182" s="974"/>
      <c r="X182" s="974"/>
      <c r="Y182" s="829" t="s">
        <v>3189</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6427</v>
      </c>
      <c r="B183" s="975" t="s">
        <v>6789</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6790</v>
      </c>
      <c r="C184" s="912" t="s">
        <v>6728</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6791</v>
      </c>
      <c r="C185" s="912" t="s">
        <v>6792</v>
      </c>
      <c r="D185" s="974" t="s">
        <v>1547</v>
      </c>
      <c r="E185" s="974"/>
      <c r="F185" s="854" t="s">
        <v>6793</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1979</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6794</v>
      </c>
      <c r="C186" s="912" t="s">
        <v>2234</v>
      </c>
      <c r="D186" s="857" t="s">
        <v>6795</v>
      </c>
      <c r="E186" s="974"/>
      <c r="F186" s="972" t="s">
        <v>587</v>
      </c>
      <c r="G186" s="843"/>
      <c r="H186" s="974" t="s">
        <v>2987</v>
      </c>
      <c r="I186" s="974"/>
      <c r="J186" s="974"/>
      <c r="K186" s="974"/>
      <c r="L186" s="974"/>
      <c r="M186" s="974"/>
      <c r="N186" s="974"/>
      <c r="O186" s="974"/>
      <c r="P186" s="848"/>
      <c r="Q186" s="974"/>
      <c r="R186" s="974"/>
      <c r="S186" s="974"/>
      <c r="T186" s="974" t="s">
        <v>2234</v>
      </c>
      <c r="U186" s="974"/>
      <c r="V186" s="974"/>
      <c r="W186" s="974"/>
      <c r="X186" s="974"/>
      <c r="Y186" s="974"/>
      <c r="Z186" s="974" t="s">
        <v>687</v>
      </c>
      <c r="AA186" s="974"/>
      <c r="AB186" s="913" t="s">
        <v>2234</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6558</v>
      </c>
      <c r="B187" s="980" t="s">
        <v>6796</v>
      </c>
      <c r="C187" s="912" t="s">
        <v>5333</v>
      </c>
      <c r="D187" s="974"/>
      <c r="E187" s="974"/>
      <c r="F187" s="827"/>
      <c r="G187" s="828" t="s">
        <v>2841</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6797</v>
      </c>
      <c r="C188" s="912" t="s">
        <v>5294</v>
      </c>
      <c r="D188" s="974" t="s">
        <v>3384</v>
      </c>
      <c r="E188" s="974"/>
      <c r="F188" s="972" t="s">
        <v>657</v>
      </c>
      <c r="G188" s="828" t="s">
        <v>6355</v>
      </c>
      <c r="H188" s="974"/>
      <c r="I188" s="974"/>
      <c r="J188" s="974"/>
      <c r="K188" s="974" t="s">
        <v>5557</v>
      </c>
      <c r="L188" s="974" t="s">
        <v>1676</v>
      </c>
      <c r="M188" s="974"/>
      <c r="N188" s="974" t="s">
        <v>4639</v>
      </c>
      <c r="O188" s="974"/>
      <c r="P188" s="848"/>
      <c r="Q188" s="974"/>
      <c r="R188" s="974"/>
      <c r="S188" s="974"/>
      <c r="T188" s="974" t="s">
        <v>3455</v>
      </c>
      <c r="U188" s="974" t="s">
        <v>6798</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6799</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6800</v>
      </c>
      <c r="C190" s="912" t="s">
        <v>366</v>
      </c>
      <c r="D190" s="830" t="s">
        <v>5660</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6801</v>
      </c>
      <c r="C191" s="912" t="s">
        <v>869</v>
      </c>
      <c r="D191" s="833" t="s">
        <v>160</v>
      </c>
      <c r="E191" s="857"/>
      <c r="F191" s="854" t="s">
        <v>3087</v>
      </c>
      <c r="G191" s="828" t="s">
        <v>1373</v>
      </c>
      <c r="H191" s="913" t="s">
        <v>6802</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6427</v>
      </c>
      <c r="B192" s="975" t="s">
        <v>6796</v>
      </c>
      <c r="C192" s="912" t="s">
        <v>1492</v>
      </c>
      <c r="D192" s="857"/>
      <c r="E192" s="857"/>
      <c r="F192" s="969"/>
      <c r="G192" s="843"/>
      <c r="H192" s="857"/>
      <c r="I192" s="857"/>
      <c r="J192" s="857" t="s">
        <v>5378</v>
      </c>
      <c r="K192" s="857"/>
      <c r="L192" s="857"/>
      <c r="M192" s="857"/>
      <c r="N192" s="857"/>
      <c r="O192" s="857"/>
      <c r="P192" s="858"/>
      <c r="Q192" s="857"/>
      <c r="R192" s="857"/>
      <c r="S192" s="857"/>
      <c r="T192" s="857"/>
      <c r="U192" s="857"/>
      <c r="V192" s="857"/>
      <c r="W192" s="913" t="s">
        <v>932</v>
      </c>
      <c r="X192" s="857"/>
      <c r="Y192" s="857"/>
      <c r="Z192" s="857"/>
      <c r="AA192" s="857"/>
      <c r="AB192" s="857"/>
      <c r="AC192" s="913" t="s">
        <v>6803</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6804</v>
      </c>
      <c r="BC192" s="857"/>
      <c r="BD192" s="966"/>
      <c r="BE192" s="857"/>
      <c r="BF192" s="874"/>
      <c r="BG192" s="874"/>
      <c r="BH192" s="966"/>
      <c r="BI192" s="966"/>
      <c r="BJ192" s="966"/>
    </row>
    <row r="193" ht="15.75" customHeight="1">
      <c r="A193" s="967"/>
      <c r="B193" s="968" t="s">
        <v>6797</v>
      </c>
      <c r="C193" s="912" t="s">
        <v>6805</v>
      </c>
      <c r="D193" s="857" t="s">
        <v>328</v>
      </c>
      <c r="E193" s="857" t="s">
        <v>3695</v>
      </c>
      <c r="F193" s="827"/>
      <c r="G193" s="828" t="s">
        <v>6806</v>
      </c>
      <c r="H193" s="857"/>
      <c r="I193" s="857" t="s">
        <v>6807</v>
      </c>
      <c r="J193" s="857"/>
      <c r="K193" s="857"/>
      <c r="L193" s="857" t="s">
        <v>3695</v>
      </c>
      <c r="M193" s="857"/>
      <c r="N193" s="857" t="s">
        <v>6808</v>
      </c>
      <c r="O193" s="857"/>
      <c r="P193" s="858" t="s">
        <v>3788</v>
      </c>
      <c r="Q193" s="857"/>
      <c r="R193" s="879" t="s">
        <v>6809</v>
      </c>
      <c r="S193" s="857"/>
      <c r="T193" s="857"/>
      <c r="U193" s="857" t="s">
        <v>3044</v>
      </c>
      <c r="V193" s="857"/>
      <c r="W193" s="857" t="s">
        <v>3947</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6799</v>
      </c>
      <c r="C194" s="912" t="s">
        <v>4804</v>
      </c>
      <c r="D194" s="974"/>
      <c r="E194" s="974"/>
      <c r="F194" s="972" t="s">
        <v>4889</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4679</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6800</v>
      </c>
      <c r="C195" s="912" t="s">
        <v>2754</v>
      </c>
      <c r="D195" s="833" t="s">
        <v>542</v>
      </c>
      <c r="E195" s="833" t="s">
        <v>2754</v>
      </c>
      <c r="F195" s="854" t="s">
        <v>6809</v>
      </c>
      <c r="G195" s="843"/>
      <c r="H195" s="833"/>
      <c r="I195" s="833" t="s">
        <v>1462</v>
      </c>
      <c r="J195" s="833" t="s">
        <v>6810</v>
      </c>
      <c r="K195" s="833" t="s">
        <v>4242</v>
      </c>
      <c r="L195" s="833"/>
      <c r="M195" s="833" t="s">
        <v>6811</v>
      </c>
      <c r="N195" s="833" t="s">
        <v>4488</v>
      </c>
      <c r="O195" s="833" t="s">
        <v>4737</v>
      </c>
      <c r="P195" s="829" t="s">
        <v>6812</v>
      </c>
      <c r="Q195" s="833"/>
      <c r="R195" s="829" t="s">
        <v>5685</v>
      </c>
      <c r="S195" s="833"/>
      <c r="T195" s="833"/>
      <c r="U195" s="833"/>
      <c r="V195" s="833" t="s">
        <v>2525</v>
      </c>
      <c r="W195" s="833" t="s">
        <v>6813</v>
      </c>
      <c r="X195" s="833"/>
      <c r="Y195" s="833"/>
      <c r="Z195" s="833"/>
      <c r="AA195" s="833"/>
      <c r="AB195" s="833"/>
      <c r="AC195" s="833"/>
      <c r="AD195" s="833"/>
      <c r="AE195" s="833"/>
      <c r="AF195" s="833"/>
      <c r="AG195" s="833"/>
      <c r="AH195" s="833"/>
      <c r="AI195" s="833"/>
      <c r="AJ195" s="833" t="s">
        <v>4737</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6801</v>
      </c>
      <c r="C196" s="912" t="s">
        <v>2130</v>
      </c>
      <c r="D196" s="833" t="s">
        <v>1594</v>
      </c>
      <c r="E196" s="830"/>
      <c r="F196" s="898" t="s">
        <v>874</v>
      </c>
      <c r="G196" s="843"/>
      <c r="H196" s="829" t="s">
        <v>2130</v>
      </c>
      <c r="I196" s="830"/>
      <c r="J196" s="830"/>
      <c r="K196" s="830"/>
      <c r="L196" s="830"/>
      <c r="M196" s="830"/>
      <c r="N196" s="830"/>
      <c r="O196" s="830"/>
      <c r="P196" s="831"/>
      <c r="Q196" s="830"/>
      <c r="R196" s="830"/>
      <c r="S196" s="830"/>
      <c r="T196" s="829" t="s">
        <v>497</v>
      </c>
      <c r="U196" s="830"/>
      <c r="V196" s="830"/>
      <c r="W196" s="830"/>
      <c r="X196" s="830"/>
      <c r="Y196" s="830"/>
      <c r="Z196" s="829" t="s">
        <v>2130</v>
      </c>
      <c r="AA196" s="830"/>
      <c r="AB196" s="830" t="s">
        <v>2130</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6432</v>
      </c>
      <c r="B197" s="975" t="s">
        <v>6411</v>
      </c>
      <c r="C197" s="912" t="s">
        <v>980</v>
      </c>
      <c r="D197" s="830" t="s">
        <v>5788</v>
      </c>
      <c r="E197" s="829" t="s">
        <v>380</v>
      </c>
      <c r="F197" s="854" t="s">
        <v>6814</v>
      </c>
      <c r="G197" s="828" t="s">
        <v>6814</v>
      </c>
      <c r="H197" s="830" t="s">
        <v>2232</v>
      </c>
      <c r="I197" s="830"/>
      <c r="J197" s="830"/>
      <c r="K197" s="830"/>
      <c r="L197" s="830" t="s">
        <v>6815</v>
      </c>
      <c r="M197" s="830"/>
      <c r="N197" s="830"/>
      <c r="O197" s="830"/>
      <c r="P197" s="831"/>
      <c r="Q197" s="830"/>
      <c r="R197" s="830"/>
      <c r="S197" s="830"/>
      <c r="T197" s="830"/>
      <c r="U197" s="830"/>
      <c r="V197" s="830" t="s">
        <v>4409</v>
      </c>
      <c r="W197" s="830"/>
      <c r="X197" s="830"/>
      <c r="Y197" s="830"/>
      <c r="Z197" s="829" t="s">
        <v>4409</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6816</v>
      </c>
      <c r="B198" s="975" t="s">
        <v>6411</v>
      </c>
      <c r="C198" s="912" t="s">
        <v>6817</v>
      </c>
      <c r="D198" s="830"/>
      <c r="E198" s="829" t="s">
        <v>6817</v>
      </c>
      <c r="F198" s="972" t="s">
        <v>6818</v>
      </c>
      <c r="G198" s="843"/>
      <c r="H198" s="830" t="s">
        <v>6819</v>
      </c>
      <c r="I198" s="830"/>
      <c r="J198" s="830" t="s">
        <v>6820</v>
      </c>
      <c r="K198" s="830"/>
      <c r="L198" s="830"/>
      <c r="M198" s="830"/>
      <c r="N198" s="830"/>
      <c r="O198" s="829" t="s">
        <v>6817</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6631</v>
      </c>
      <c r="B199" s="973" t="s">
        <v>6821</v>
      </c>
      <c r="C199" s="912" t="s">
        <v>6822</v>
      </c>
      <c r="D199" s="833" t="s">
        <v>1595</v>
      </c>
      <c r="E199" s="833" t="s">
        <v>6822</v>
      </c>
      <c r="F199" s="976" t="s">
        <v>3088</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6432</v>
      </c>
      <c r="B200" s="975" t="s">
        <v>6411</v>
      </c>
      <c r="C200" s="912" t="s">
        <v>4444</v>
      </c>
      <c r="D200" s="833" t="s">
        <v>3348</v>
      </c>
      <c r="E200" s="833" t="s">
        <v>4444</v>
      </c>
      <c r="F200" s="854" t="s">
        <v>1790</v>
      </c>
      <c r="G200" s="828" t="s">
        <v>896</v>
      </c>
      <c r="H200" s="833" t="s">
        <v>1054</v>
      </c>
      <c r="I200" s="833"/>
      <c r="J200" s="833"/>
      <c r="K200" s="833"/>
      <c r="L200" s="833" t="s">
        <v>313</v>
      </c>
      <c r="M200" s="833"/>
      <c r="N200" s="833"/>
      <c r="O200" s="833"/>
      <c r="P200" s="831"/>
      <c r="Q200" s="833"/>
      <c r="R200" s="833"/>
      <c r="S200" s="833" t="s">
        <v>6823</v>
      </c>
      <c r="T200" s="833"/>
      <c r="U200" s="833"/>
      <c r="V200" s="833" t="s">
        <v>6824</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6476</v>
      </c>
      <c r="B201" s="973" t="s">
        <v>6825</v>
      </c>
      <c r="C201" s="983" t="s">
        <v>6543</v>
      </c>
      <c r="D201" s="974"/>
      <c r="E201" s="974"/>
      <c r="F201" s="972" t="s">
        <v>6543</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6826</v>
      </c>
      <c r="C202" s="912" t="s">
        <v>6663</v>
      </c>
      <c r="D202" s="974"/>
      <c r="E202" s="974"/>
      <c r="F202" s="827"/>
      <c r="G202" s="843"/>
      <c r="H202" s="974" t="s">
        <v>6663</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6512</v>
      </c>
      <c r="B203" s="973" t="s">
        <v>6827</v>
      </c>
      <c r="C203" s="912" t="s">
        <v>1944</v>
      </c>
      <c r="D203" s="974" t="s">
        <v>4143</v>
      </c>
      <c r="E203" s="974"/>
      <c r="F203" s="972" t="s">
        <v>6828</v>
      </c>
      <c r="G203" s="828" t="s">
        <v>2961</v>
      </c>
      <c r="H203" s="974"/>
      <c r="I203" s="974"/>
      <c r="J203" s="974"/>
      <c r="K203" s="974" t="s">
        <v>1126</v>
      </c>
      <c r="L203" s="974"/>
      <c r="M203" s="974"/>
      <c r="N203" s="974" t="s">
        <v>6829</v>
      </c>
      <c r="O203" s="913" t="s">
        <v>6830</v>
      </c>
      <c r="P203" s="848" t="s">
        <v>6831</v>
      </c>
      <c r="Q203" s="974"/>
      <c r="R203" s="974" t="s">
        <v>975</v>
      </c>
      <c r="S203" s="974" t="s">
        <v>6831</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6832</v>
      </c>
      <c r="C204" s="912" t="s">
        <v>394</v>
      </c>
      <c r="D204" s="833" t="s">
        <v>1523</v>
      </c>
      <c r="E204" s="974"/>
      <c r="F204" s="854" t="s">
        <v>3090</v>
      </c>
      <c r="G204" s="828" t="s">
        <v>1377</v>
      </c>
      <c r="H204" s="974"/>
      <c r="I204" s="974"/>
      <c r="J204" s="974"/>
      <c r="K204" s="974"/>
      <c r="L204" s="913" t="s">
        <v>874</v>
      </c>
      <c r="M204" s="913" t="s">
        <v>165</v>
      </c>
      <c r="N204" s="974"/>
      <c r="O204" s="913" t="s">
        <v>1851</v>
      </c>
      <c r="P204" s="848" t="s">
        <v>1466</v>
      </c>
      <c r="Q204" s="974"/>
      <c r="R204" s="974" t="s">
        <v>3486</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6516</v>
      </c>
      <c r="B205" s="973" t="s">
        <v>6833</v>
      </c>
      <c r="C205" s="912" t="s">
        <v>1467</v>
      </c>
      <c r="D205" s="860" t="s">
        <v>1597</v>
      </c>
      <c r="E205" s="974"/>
      <c r="F205" s="969"/>
      <c r="G205" s="843"/>
      <c r="H205" s="974"/>
      <c r="I205" s="974" t="s">
        <v>1467</v>
      </c>
      <c r="J205" s="974" t="s">
        <v>6834</v>
      </c>
      <c r="K205" s="974" t="s">
        <v>3561</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6835</v>
      </c>
      <c r="BD205" s="966"/>
      <c r="BE205" s="974"/>
      <c r="BF205" s="874"/>
      <c r="BG205" s="874"/>
      <c r="BH205" s="966"/>
      <c r="BI205" s="966"/>
      <c r="BJ205" s="966"/>
    </row>
    <row r="206" ht="15.75" customHeight="1">
      <c r="A206" s="964" t="s">
        <v>6738</v>
      </c>
      <c r="B206" s="973" t="s">
        <v>6411</v>
      </c>
      <c r="C206" s="912" t="str">
        <f>HYPERLINK("https://www.youtube.com/watch?v=_HQgQjbTLjM","1:11.32")</f>
        <v>1:11.32</v>
      </c>
      <c r="D206" s="838" t="s">
        <v>1598</v>
      </c>
      <c r="E206" s="974"/>
      <c r="F206" s="969"/>
      <c r="G206" s="828" t="s">
        <v>1378</v>
      </c>
      <c r="H206" s="974"/>
      <c r="I206" s="974" t="s">
        <v>1477</v>
      </c>
      <c r="J206" s="974" t="s">
        <v>6836</v>
      </c>
      <c r="K206" s="974" t="s">
        <v>3562</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6521</v>
      </c>
      <c r="B207" s="975" t="s">
        <v>6411</v>
      </c>
      <c r="C207" s="912" t="s">
        <v>321</v>
      </c>
      <c r="D207" s="857" t="s">
        <v>6837</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6838</v>
      </c>
      <c r="B208" s="975" t="s">
        <v>6839</v>
      </c>
      <c r="C208" s="912" t="s">
        <v>6840</v>
      </c>
      <c r="D208" s="974"/>
      <c r="E208" s="974"/>
      <c r="F208" s="969"/>
      <c r="G208" s="843"/>
      <c r="H208" s="974"/>
      <c r="I208" s="974"/>
      <c r="J208" s="974" t="s">
        <v>6840</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6841</v>
      </c>
      <c r="C209" s="912" t="s">
        <v>2449</v>
      </c>
      <c r="D209" s="974"/>
      <c r="E209" s="974"/>
      <c r="F209" s="827"/>
      <c r="G209" s="843"/>
      <c r="H209" s="974"/>
      <c r="I209" s="974"/>
      <c r="J209" s="974" t="s">
        <v>2449</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6609</v>
      </c>
      <c r="B210" s="973" t="s">
        <v>6411</v>
      </c>
      <c r="C210" s="912" t="s">
        <v>138</v>
      </c>
      <c r="D210" s="833" t="s">
        <v>138</v>
      </c>
      <c r="E210" s="833" t="s">
        <v>310</v>
      </c>
      <c r="F210" s="827"/>
      <c r="G210" s="843"/>
      <c r="H210" s="833"/>
      <c r="I210" s="833"/>
      <c r="J210" s="833" t="s">
        <v>583</v>
      </c>
      <c r="K210" s="833" t="s">
        <v>3563</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6521</v>
      </c>
      <c r="B211" s="975" t="s">
        <v>6411</v>
      </c>
      <c r="C211" s="896" t="s">
        <v>6842</v>
      </c>
      <c r="D211" s="829" t="s">
        <v>6842</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6843</v>
      </c>
      <c r="C212" s="912" t="s">
        <v>1469</v>
      </c>
      <c r="D212" s="838" t="s">
        <v>6844</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6845</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6410</v>
      </c>
      <c r="B214" s="992" t="s">
        <v>6411</v>
      </c>
      <c r="C214" s="912" t="s">
        <v>957</v>
      </c>
      <c r="D214" s="833" t="s">
        <v>1600</v>
      </c>
      <c r="E214" s="919"/>
      <c r="F214" s="854" t="s">
        <v>3091</v>
      </c>
      <c r="G214" s="828" t="s">
        <v>1380</v>
      </c>
      <c r="H214" s="913" t="s">
        <v>1103</v>
      </c>
      <c r="I214" s="919" t="s">
        <v>6846</v>
      </c>
      <c r="J214" s="913" t="s">
        <v>4520</v>
      </c>
      <c r="K214" s="913" t="s">
        <v>1731</v>
      </c>
      <c r="L214" s="913" t="s">
        <v>879</v>
      </c>
      <c r="M214" s="913" t="s">
        <v>255</v>
      </c>
      <c r="N214" s="919" t="s">
        <v>4402</v>
      </c>
      <c r="O214" s="913" t="s">
        <v>1176</v>
      </c>
      <c r="P214" s="921" t="s">
        <v>355</v>
      </c>
      <c r="Q214" s="919"/>
      <c r="R214" s="919"/>
      <c r="S214" s="919"/>
      <c r="T214" s="919"/>
      <c r="U214" s="919" t="s">
        <v>3840</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6614</v>
      </c>
      <c r="B215" s="992" t="s">
        <v>6847</v>
      </c>
      <c r="C215" s="912" t="s">
        <v>148</v>
      </c>
      <c r="D215" s="833" t="s">
        <v>1601</v>
      </c>
      <c r="E215" s="913" t="s">
        <v>148</v>
      </c>
      <c r="F215" s="898" t="s">
        <v>2743</v>
      </c>
      <c r="G215" s="828" t="s">
        <v>3211</v>
      </c>
      <c r="H215" s="913" t="s">
        <v>2172</v>
      </c>
      <c r="I215" s="913" t="s">
        <v>1601</v>
      </c>
      <c r="J215" s="913" t="s">
        <v>1905</v>
      </c>
      <c r="K215" s="913" t="s">
        <v>2172</v>
      </c>
      <c r="L215" s="913" t="s">
        <v>880</v>
      </c>
      <c r="M215" s="913" t="s">
        <v>1242</v>
      </c>
      <c r="N215" s="913" t="s">
        <v>376</v>
      </c>
      <c r="O215" s="913" t="s">
        <v>2755</v>
      </c>
      <c r="P215" s="914" t="s">
        <v>2348</v>
      </c>
      <c r="Q215" s="913" t="s">
        <v>933</v>
      </c>
      <c r="R215" s="913"/>
      <c r="S215" s="913"/>
      <c r="T215" s="913"/>
      <c r="U215" s="913" t="s">
        <v>2309</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6436</v>
      </c>
      <c r="B216" s="992" t="s">
        <v>6411</v>
      </c>
      <c r="C216" s="912" t="str">
        <f>HYPERLINK("https://www.youtube.com/watch?v=aWzlUqH0LaM","41.87")</f>
        <v>41.87</v>
      </c>
      <c r="D216" s="923"/>
      <c r="E216" s="919"/>
      <c r="F216" s="827"/>
      <c r="G216" s="828" t="s">
        <v>6848</v>
      </c>
      <c r="H216" s="913" t="s">
        <v>310</v>
      </c>
      <c r="I216" s="913" t="s">
        <v>1638</v>
      </c>
      <c r="J216" s="919"/>
      <c r="K216" s="913" t="s">
        <v>6324</v>
      </c>
      <c r="L216" s="913" t="s">
        <v>4419</v>
      </c>
      <c r="M216" s="913" t="str">
        <f>HYPERLINK("https://www.youtube.com/watch?v=aWzlUqH0LaM","41.87")</f>
        <v>41.87</v>
      </c>
      <c r="N216" s="919" t="s">
        <v>2153</v>
      </c>
      <c r="O216" s="913" t="s">
        <v>1535</v>
      </c>
      <c r="P216" s="921" t="s">
        <v>3217</v>
      </c>
      <c r="Q216" s="919"/>
      <c r="R216" s="919"/>
      <c r="S216" s="919"/>
      <c r="T216" s="919"/>
      <c r="U216" s="919" t="s">
        <v>6849</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6558</v>
      </c>
      <c r="B217" s="992" t="s">
        <v>6850</v>
      </c>
      <c r="C217" s="912" t="str">
        <f>HYPERLINK("https://youtu.be/F-20O1FDNbI","1:45.11")</f>
        <v>1:45.11</v>
      </c>
      <c r="D217" s="919" t="s">
        <v>6851</v>
      </c>
      <c r="E217" s="919"/>
      <c r="F217" s="994"/>
      <c r="G217" s="828" t="s">
        <v>6852</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6853</v>
      </c>
      <c r="C218" s="912" t="s">
        <v>507</v>
      </c>
      <c r="D218" s="833" t="s">
        <v>6854</v>
      </c>
      <c r="E218" s="919"/>
      <c r="F218" s="854" t="s">
        <v>6855</v>
      </c>
      <c r="G218" s="828" t="s">
        <v>1383</v>
      </c>
      <c r="H218" s="919" t="s">
        <v>6856</v>
      </c>
      <c r="I218" s="919"/>
      <c r="J218" s="913" t="s">
        <v>6857</v>
      </c>
      <c r="K218" s="919"/>
      <c r="L218" s="919" t="s">
        <v>881</v>
      </c>
      <c r="M218" s="913" t="s">
        <v>793</v>
      </c>
      <c r="N218" s="919"/>
      <c r="O218" s="919"/>
      <c r="P218" s="921" t="s">
        <v>4178</v>
      </c>
      <c r="Q218" s="919"/>
      <c r="R218" s="919"/>
      <c r="S218" s="919"/>
      <c r="T218" s="913" t="s">
        <v>507</v>
      </c>
      <c r="U218" s="919" t="s">
        <v>6086</v>
      </c>
      <c r="V218" s="919"/>
      <c r="W218" s="919"/>
      <c r="X218" s="919"/>
      <c r="Y218" s="919"/>
      <c r="Z218" s="919"/>
      <c r="AA218" s="919"/>
      <c r="AB218" s="919" t="s">
        <v>6858</v>
      </c>
      <c r="AC218" s="919" t="s">
        <v>3169</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6859</v>
      </c>
      <c r="C219" s="912" t="s">
        <v>6860</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6860</v>
      </c>
      <c r="AC219" s="919"/>
      <c r="AD219" s="919"/>
      <c r="AE219" s="919"/>
      <c r="AF219" s="919"/>
      <c r="AG219" s="919"/>
      <c r="AH219" s="919"/>
      <c r="AI219" s="919"/>
      <c r="AJ219" s="919"/>
      <c r="AK219" s="919"/>
      <c r="AL219" s="919"/>
      <c r="AM219" s="913" t="s">
        <v>3426</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6861</v>
      </c>
      <c r="C220" s="912" t="s">
        <v>2963</v>
      </c>
      <c r="D220" s="919"/>
      <c r="E220" s="919"/>
      <c r="F220" s="898" t="s">
        <v>3093</v>
      </c>
      <c r="G220" s="843"/>
      <c r="H220" s="913" t="s">
        <v>6862</v>
      </c>
      <c r="I220" s="919"/>
      <c r="J220" s="919"/>
      <c r="K220" s="919"/>
      <c r="L220" s="919"/>
      <c r="M220" s="919"/>
      <c r="N220" s="919"/>
      <c r="O220" s="919"/>
      <c r="P220" s="921"/>
      <c r="Q220" s="919"/>
      <c r="R220" s="919"/>
      <c r="S220" s="919"/>
      <c r="T220" s="919"/>
      <c r="U220" s="919"/>
      <c r="V220" s="919"/>
      <c r="W220" s="919"/>
      <c r="X220" s="919"/>
      <c r="Y220" s="919"/>
      <c r="Z220" s="919"/>
      <c r="AA220" s="919"/>
      <c r="AB220" s="913" t="s">
        <v>6863</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6427</v>
      </c>
      <c r="B221" s="999" t="s">
        <v>6850</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6853</v>
      </c>
      <c r="C222" s="1003" t="s">
        <v>6864</v>
      </c>
      <c r="D222" s="1004" t="s">
        <v>6864</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6859</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6861</v>
      </c>
      <c r="C224" s="824" t="s">
        <v>764</v>
      </c>
      <c r="D224" s="1000"/>
      <c r="E224" s="1000"/>
      <c r="F224" s="839" t="s">
        <v>4980</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6432</v>
      </c>
      <c r="B225" s="999" t="s">
        <v>6865</v>
      </c>
      <c r="C225" s="912" t="s">
        <v>6866</v>
      </c>
      <c r="D225" s="1005">
        <v>13.23</v>
      </c>
      <c r="E225" s="1000"/>
      <c r="F225" s="1006" t="s">
        <v>6867</v>
      </c>
      <c r="G225" s="828" t="s">
        <v>6868</v>
      </c>
      <c r="H225" s="1000"/>
      <c r="I225" s="1000"/>
      <c r="J225" s="1007" t="s">
        <v>4080</v>
      </c>
      <c r="K225" s="1000"/>
      <c r="L225" s="1000"/>
      <c r="M225" s="1000"/>
      <c r="N225" s="1000"/>
      <c r="O225" s="1000"/>
      <c r="P225" s="1001"/>
      <c r="Q225" s="1000"/>
      <c r="R225" s="1007" t="s">
        <v>6719</v>
      </c>
      <c r="S225" s="1000"/>
      <c r="T225" s="1000"/>
      <c r="U225" s="1000"/>
      <c r="V225" s="1007" t="s">
        <v>2564</v>
      </c>
      <c r="W225" s="1000"/>
      <c r="X225" s="1000"/>
      <c r="Y225" s="1000"/>
      <c r="Z225" s="1000"/>
      <c r="AA225" s="1000"/>
      <c r="AB225" s="1007" t="s">
        <v>6866</v>
      </c>
      <c r="AC225" s="1000"/>
      <c r="AD225" s="1000"/>
      <c r="AE225" s="1000"/>
      <c r="AF225" s="1000"/>
      <c r="AG225" s="1000"/>
      <c r="AH225" s="1000"/>
      <c r="AI225" s="1000"/>
      <c r="AJ225" s="1000"/>
      <c r="AK225" s="1000" t="s">
        <v>6869</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6870</v>
      </c>
      <c r="C226" s="912" t="s">
        <v>487</v>
      </c>
      <c r="D226" s="913"/>
      <c r="E226" s="913" t="s">
        <v>800</v>
      </c>
      <c r="F226" s="827"/>
      <c r="G226" s="828" t="s">
        <v>6871</v>
      </c>
      <c r="H226" s="913" t="s">
        <v>487</v>
      </c>
      <c r="I226" s="913"/>
      <c r="J226" s="913"/>
      <c r="K226" s="913"/>
      <c r="L226" s="913" t="s">
        <v>6866</v>
      </c>
      <c r="M226" s="913"/>
      <c r="N226" s="913"/>
      <c r="O226" s="913"/>
      <c r="P226" s="914"/>
      <c r="Q226" s="913"/>
      <c r="R226" s="913"/>
      <c r="S226" s="913" t="s">
        <v>6872</v>
      </c>
      <c r="T226" s="913"/>
      <c r="U226" s="913"/>
      <c r="V226" s="913"/>
      <c r="W226" s="913"/>
      <c r="X226" s="913" t="s">
        <v>6719</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6631</v>
      </c>
      <c r="B227" s="992" t="s">
        <v>6411</v>
      </c>
      <c r="C227" s="1008" t="s">
        <v>6873</v>
      </c>
      <c r="D227" s="919"/>
      <c r="E227" s="919"/>
      <c r="F227" s="1009" t="s">
        <v>6873</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6874</v>
      </c>
      <c r="B228" s="1011" t="s">
        <v>6411</v>
      </c>
      <c r="C228" s="824" t="s">
        <v>6875</v>
      </c>
      <c r="D228" s="828" t="s">
        <v>6876</v>
      </c>
      <c r="E228" s="919"/>
      <c r="F228" s="839" t="s">
        <v>6877</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6476</v>
      </c>
      <c r="B229" s="992" t="s">
        <v>6878</v>
      </c>
      <c r="C229" s="912" t="s">
        <v>6879</v>
      </c>
      <c r="D229" s="919" t="s">
        <v>4173</v>
      </c>
      <c r="E229" s="919"/>
      <c r="F229" s="994"/>
      <c r="G229" s="843"/>
      <c r="H229" s="919"/>
      <c r="I229" s="919"/>
      <c r="J229" s="919"/>
      <c r="K229" s="913" t="s">
        <v>5346</v>
      </c>
      <c r="L229" s="919"/>
      <c r="M229" s="919"/>
      <c r="N229" s="919"/>
      <c r="O229" s="919"/>
      <c r="P229" s="921"/>
      <c r="Q229" s="919"/>
      <c r="R229" s="919"/>
      <c r="S229" s="913" t="s">
        <v>4580</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6880</v>
      </c>
      <c r="C230" s="824" t="s">
        <v>1676</v>
      </c>
      <c r="D230" s="833" t="s">
        <v>1858</v>
      </c>
      <c r="E230" s="919"/>
      <c r="F230" s="839" t="s">
        <v>175</v>
      </c>
      <c r="G230" s="828" t="s">
        <v>1384</v>
      </c>
      <c r="H230" s="919"/>
      <c r="I230" s="919" t="s">
        <v>4300</v>
      </c>
      <c r="J230" s="913" t="s">
        <v>6881</v>
      </c>
      <c r="K230" s="913" t="s">
        <v>3464</v>
      </c>
      <c r="L230" s="919"/>
      <c r="M230" s="919"/>
      <c r="N230" s="919" t="s">
        <v>4282</v>
      </c>
      <c r="O230" s="913" t="s">
        <v>1384</v>
      </c>
      <c r="P230" s="921" t="s">
        <v>2138</v>
      </c>
      <c r="Q230" s="919" t="s">
        <v>1858</v>
      </c>
      <c r="R230" s="828" t="s">
        <v>1676</v>
      </c>
      <c r="S230" s="828" t="s">
        <v>1138</v>
      </c>
      <c r="T230" s="913" t="s">
        <v>3847</v>
      </c>
      <c r="U230" s="919" t="s">
        <v>4407</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6882</v>
      </c>
      <c r="C231" s="912" t="s">
        <v>403</v>
      </c>
      <c r="D231" s="913"/>
      <c r="E231" s="913" t="s">
        <v>403</v>
      </c>
      <c r="F231" s="994"/>
      <c r="G231" s="843"/>
      <c r="H231" s="913" t="s">
        <v>2245</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6427</v>
      </c>
      <c r="B232" s="1013" t="s">
        <v>6883</v>
      </c>
      <c r="C232" s="912" t="s">
        <v>2782</v>
      </c>
      <c r="D232" s="919" t="s">
        <v>389</v>
      </c>
      <c r="E232" s="919"/>
      <c r="F232" s="827"/>
      <c r="G232" s="843"/>
      <c r="H232" s="919"/>
      <c r="I232" s="919"/>
      <c r="J232" s="919"/>
      <c r="K232" s="919" t="s">
        <v>5019</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6884</v>
      </c>
      <c r="C233" s="900" t="s">
        <v>1778</v>
      </c>
      <c r="D233" s="913"/>
      <c r="E233" s="913" t="s">
        <v>4238</v>
      </c>
      <c r="F233" s="1006" t="s">
        <v>2349</v>
      </c>
      <c r="G233" s="843"/>
      <c r="H233" s="913"/>
      <c r="I233" s="913"/>
      <c r="J233" s="913"/>
      <c r="K233" s="913"/>
      <c r="L233" s="913"/>
      <c r="M233" s="913"/>
      <c r="N233" s="913"/>
      <c r="O233" s="913"/>
      <c r="P233" s="914"/>
      <c r="Q233" s="913"/>
      <c r="R233" s="913" t="s">
        <v>2237</v>
      </c>
      <c r="S233" s="913"/>
      <c r="T233" s="913"/>
      <c r="U233" s="913"/>
      <c r="V233" s="913"/>
      <c r="W233" s="913" t="s">
        <v>3660</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1778</v>
      </c>
      <c r="AX233" s="913"/>
      <c r="AY233" s="913"/>
      <c r="AZ233" s="913"/>
      <c r="BA233" s="913"/>
      <c r="BB233" s="913"/>
      <c r="BC233" s="913"/>
      <c r="BD233" s="835"/>
      <c r="BE233" s="913"/>
      <c r="BF233" s="915"/>
      <c r="BG233" s="915"/>
      <c r="BH233" s="835"/>
      <c r="BI233" s="835"/>
      <c r="BJ233" s="835"/>
    </row>
    <row r="234" ht="15.75" customHeight="1">
      <c r="A234" s="1012"/>
      <c r="B234" s="996" t="s">
        <v>6885</v>
      </c>
      <c r="C234" s="912" t="s">
        <v>3201</v>
      </c>
      <c r="D234" s="919" t="s">
        <v>1623</v>
      </c>
      <c r="E234" s="919"/>
      <c r="F234" s="854" t="s">
        <v>1606</v>
      </c>
      <c r="G234" s="828" t="s">
        <v>1694</v>
      </c>
      <c r="H234" s="919"/>
      <c r="I234" s="919" t="s">
        <v>2440</v>
      </c>
      <c r="J234" s="919"/>
      <c r="K234" s="913" t="s">
        <v>4021</v>
      </c>
      <c r="L234" s="919"/>
      <c r="M234" s="919"/>
      <c r="N234" s="919" t="s">
        <v>3306</v>
      </c>
      <c r="O234" s="919"/>
      <c r="P234" s="921" t="s">
        <v>6886</v>
      </c>
      <c r="Q234" s="919"/>
      <c r="R234" s="919" t="s">
        <v>3201</v>
      </c>
      <c r="S234" s="919"/>
      <c r="T234" s="919"/>
      <c r="U234" s="919" t="s">
        <v>3727</v>
      </c>
      <c r="V234" s="919"/>
      <c r="W234" s="919"/>
      <c r="X234" s="919"/>
      <c r="Y234" s="919"/>
      <c r="Z234" s="919"/>
      <c r="AA234" s="919"/>
      <c r="AB234" s="919"/>
      <c r="AC234" s="919"/>
      <c r="AD234" s="919"/>
      <c r="AE234" s="913" t="s">
        <v>426</v>
      </c>
      <c r="AF234" s="913" t="s">
        <v>426</v>
      </c>
      <c r="AG234" s="919" t="s">
        <v>2468</v>
      </c>
      <c r="AH234" s="919"/>
      <c r="AI234" s="919"/>
      <c r="AJ234" s="919"/>
      <c r="AK234" s="913" t="s">
        <v>4750</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6887</v>
      </c>
      <c r="C235" s="912" t="s">
        <v>6888</v>
      </c>
      <c r="D235" s="833" t="s">
        <v>1606</v>
      </c>
      <c r="E235" s="919"/>
      <c r="F235" s="994"/>
      <c r="G235" s="843"/>
      <c r="H235" s="913" t="s">
        <v>2516</v>
      </c>
      <c r="I235" s="919"/>
      <c r="J235" s="913" t="s">
        <v>1079</v>
      </c>
      <c r="K235" s="919"/>
      <c r="L235" s="913" t="s">
        <v>883</v>
      </c>
      <c r="M235" s="913" t="s">
        <v>241</v>
      </c>
      <c r="N235" s="919"/>
      <c r="O235" s="913" t="s">
        <v>2964</v>
      </c>
      <c r="P235" s="921"/>
      <c r="Q235" s="919" t="s">
        <v>6889</v>
      </c>
      <c r="R235" s="828" t="s">
        <v>2139</v>
      </c>
      <c r="S235" s="919"/>
      <c r="T235" s="919"/>
      <c r="U235" s="919"/>
      <c r="V235" s="919"/>
      <c r="W235" s="919"/>
      <c r="X235" s="919"/>
      <c r="Y235" s="919"/>
      <c r="Z235" s="919"/>
      <c r="AA235" s="919"/>
      <c r="AB235" s="919"/>
      <c r="AC235" s="919"/>
      <c r="AD235" s="919"/>
      <c r="AE235" s="919"/>
      <c r="AF235" s="919"/>
      <c r="AG235" s="919"/>
      <c r="AH235" s="828" t="s">
        <v>6888</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6432</v>
      </c>
      <c r="B236" s="1013" t="s">
        <v>6890</v>
      </c>
      <c r="C236" s="912" t="s">
        <v>5613</v>
      </c>
      <c r="D236" s="1014"/>
      <c r="E236" s="913" t="s">
        <v>5621</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6891</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6892</v>
      </c>
      <c r="C237" s="912" t="s">
        <v>1413</v>
      </c>
      <c r="D237" s="913" t="s">
        <v>1374</v>
      </c>
      <c r="E237" s="913" t="s">
        <v>1413</v>
      </c>
      <c r="F237" s="994"/>
      <c r="G237" s="828" t="s">
        <v>3320</v>
      </c>
      <c r="H237" s="828" t="s">
        <v>5416</v>
      </c>
      <c r="I237" s="913"/>
      <c r="J237" s="913" t="s">
        <v>1790</v>
      </c>
      <c r="K237" s="913" t="s">
        <v>1035</v>
      </c>
      <c r="L237" s="913" t="s">
        <v>529</v>
      </c>
      <c r="M237" s="913"/>
      <c r="N237" s="913"/>
      <c r="O237" s="913"/>
      <c r="P237" s="914"/>
      <c r="Q237" s="913"/>
      <c r="R237" s="828" t="s">
        <v>812</v>
      </c>
      <c r="S237" s="913" t="s">
        <v>1411</v>
      </c>
      <c r="T237" s="913"/>
      <c r="U237" s="913"/>
      <c r="V237" s="913" t="s">
        <v>4444</v>
      </c>
      <c r="W237" s="913"/>
      <c r="X237" s="913"/>
      <c r="Y237" s="913"/>
      <c r="Z237" s="913"/>
      <c r="AA237" s="913"/>
      <c r="AB237" s="913"/>
      <c r="AC237" s="913"/>
      <c r="AD237" s="913"/>
      <c r="AE237" s="913"/>
      <c r="AF237" s="913" t="s">
        <v>6893</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6894</v>
      </c>
      <c r="C238" s="895" t="s">
        <v>4122</v>
      </c>
      <c r="D238" s="1015" t="s">
        <v>4603</v>
      </c>
      <c r="E238" s="913"/>
      <c r="F238" s="839" t="s">
        <v>4122</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6512</v>
      </c>
      <c r="B239" s="992" t="s">
        <v>6827</v>
      </c>
      <c r="C239" s="912" t="s">
        <v>5408</v>
      </c>
      <c r="D239" s="913" t="s">
        <v>1323</v>
      </c>
      <c r="E239" s="913" t="s">
        <v>2555</v>
      </c>
      <c r="F239" s="854" t="s">
        <v>4097</v>
      </c>
      <c r="G239" s="843"/>
      <c r="H239" s="913" t="s">
        <v>5408</v>
      </c>
      <c r="I239" s="913"/>
      <c r="J239" s="913"/>
      <c r="K239" s="913" t="s">
        <v>5516</v>
      </c>
      <c r="L239" s="913"/>
      <c r="M239" s="913"/>
      <c r="N239" s="913" t="s">
        <v>5165</v>
      </c>
      <c r="O239" s="913" t="s">
        <v>4097</v>
      </c>
      <c r="P239" s="914" t="s">
        <v>5447</v>
      </c>
      <c r="Q239" s="913"/>
      <c r="R239" s="913" t="s">
        <v>5408</v>
      </c>
      <c r="S239" s="913"/>
      <c r="T239" s="913"/>
      <c r="U239" s="913" t="s">
        <v>4225</v>
      </c>
      <c r="V239" s="913"/>
      <c r="W239" s="913"/>
      <c r="X239" s="913"/>
      <c r="Y239" s="913"/>
      <c r="Z239" s="913"/>
      <c r="AA239" s="913"/>
      <c r="AB239" s="913"/>
      <c r="AC239" s="913"/>
      <c r="AD239" s="913"/>
      <c r="AE239" s="913"/>
      <c r="AF239" s="913"/>
      <c r="AG239" s="913"/>
      <c r="AH239" s="913"/>
      <c r="AI239" s="913"/>
      <c r="AJ239" s="913"/>
      <c r="AK239" s="913"/>
      <c r="AL239" s="913" t="s">
        <v>3031</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6601</v>
      </c>
      <c r="C240" s="912" t="s">
        <v>2982</v>
      </c>
      <c r="D240" s="913"/>
      <c r="E240" s="913" t="s">
        <v>4215</v>
      </c>
      <c r="F240" s="1006" t="s">
        <v>6895</v>
      </c>
      <c r="G240" s="843"/>
      <c r="H240" s="913" t="s">
        <v>2982</v>
      </c>
      <c r="I240" s="913" t="str">
        <f>HYPERLINK("https://youtu.be/yGR2akJEjQQ","19.18")</f>
        <v>19.18</v>
      </c>
      <c r="J240" s="913"/>
      <c r="K240" s="913"/>
      <c r="L240" s="913"/>
      <c r="M240" s="913"/>
      <c r="N240" s="913"/>
      <c r="O240" s="913"/>
      <c r="P240" s="914"/>
      <c r="Q240" s="913"/>
      <c r="R240" s="828" t="s">
        <v>5360</v>
      </c>
      <c r="S240" s="913"/>
      <c r="T240" s="913" t="s">
        <v>2444</v>
      </c>
      <c r="U240" s="913"/>
      <c r="V240" s="913" t="s">
        <v>2912</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6896</v>
      </c>
      <c r="C241" s="912" t="s">
        <v>3096</v>
      </c>
      <c r="D241" s="913"/>
      <c r="E241" s="913" t="s">
        <v>846</v>
      </c>
      <c r="F241" s="827"/>
      <c r="G241" s="843"/>
      <c r="H241" s="913" t="s">
        <v>3096</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6897</v>
      </c>
      <c r="C242" s="912" t="s">
        <v>1044</v>
      </c>
      <c r="D242" s="833" t="s">
        <v>1607</v>
      </c>
      <c r="E242" s="828" t="s">
        <v>405</v>
      </c>
      <c r="F242" s="898" t="s">
        <v>1993</v>
      </c>
      <c r="G242" s="828" t="s">
        <v>1247</v>
      </c>
      <c r="H242" s="828" t="s">
        <v>1044</v>
      </c>
      <c r="I242" s="828" t="s">
        <v>405</v>
      </c>
      <c r="J242" s="843"/>
      <c r="K242" s="828" t="s">
        <v>2198</v>
      </c>
      <c r="L242" s="828" t="s">
        <v>510</v>
      </c>
      <c r="M242" s="843"/>
      <c r="N242" s="843"/>
      <c r="O242" s="828" t="s">
        <v>1928</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6898</v>
      </c>
      <c r="C243" s="824" t="s">
        <v>4951</v>
      </c>
      <c r="D243" s="919"/>
      <c r="E243" s="919"/>
      <c r="F243" s="839" t="s">
        <v>456</v>
      </c>
      <c r="G243" s="843"/>
      <c r="H243" s="828" t="s">
        <v>4951</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6899</v>
      </c>
      <c r="B244" s="992" t="s">
        <v>6411</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6523</v>
      </c>
      <c r="B245" s="992" t="s">
        <v>6519</v>
      </c>
      <c r="C245" s="912" t="s">
        <v>6900</v>
      </c>
      <c r="D245" s="838" t="s">
        <v>1610</v>
      </c>
      <c r="E245" s="919"/>
      <c r="F245" s="994"/>
      <c r="G245" s="843"/>
      <c r="H245" s="919"/>
      <c r="I245" s="919" t="s">
        <v>1929</v>
      </c>
      <c r="J245" s="913" t="s">
        <v>1468</v>
      </c>
      <c r="K245" s="919" t="s">
        <v>6901</v>
      </c>
      <c r="L245" s="919" t="s">
        <v>5806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6521</v>
      </c>
      <c r="B246" s="1016" t="s">
        <v>6519</v>
      </c>
      <c r="C246" s="912" t="s">
        <v>6902</v>
      </c>
      <c r="D246" s="1017" t="s">
        <v>6902</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6903</v>
      </c>
      <c r="C247" s="912" t="s">
        <v>3179</v>
      </c>
      <c r="D247" s="913"/>
      <c r="E247" s="913" t="s">
        <v>3179</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6904</v>
      </c>
      <c r="C248" s="912" t="s">
        <v>295</v>
      </c>
      <c r="D248" s="838" t="s">
        <v>1609</v>
      </c>
      <c r="E248" s="828" t="s">
        <v>407</v>
      </c>
      <c r="F248" s="994"/>
      <c r="G248" s="828" t="s">
        <v>1387</v>
      </c>
      <c r="H248" s="828" t="s">
        <v>798</v>
      </c>
      <c r="I248" s="843"/>
      <c r="J248" s="828" t="s">
        <v>354</v>
      </c>
      <c r="K248" s="843"/>
      <c r="L248" s="843" t="s">
        <v>3385</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6411</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6905</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6410</v>
      </c>
      <c r="B251" s="1025" t="s">
        <v>6906</v>
      </c>
      <c r="C251" s="912" t="s">
        <v>1755</v>
      </c>
      <c r="D251" s="919" t="s">
        <v>3864</v>
      </c>
      <c r="E251" s="919"/>
      <c r="F251" s="827"/>
      <c r="G251" s="843"/>
      <c r="H251" s="919"/>
      <c r="I251" s="919"/>
      <c r="J251" s="913" t="s">
        <v>3011</v>
      </c>
      <c r="K251" s="919"/>
      <c r="L251" s="919"/>
      <c r="M251" s="919"/>
      <c r="N251" s="919"/>
      <c r="O251" s="919"/>
      <c r="P251" s="921"/>
      <c r="Q251" s="919"/>
      <c r="R251" s="919"/>
      <c r="S251" s="919"/>
      <c r="T251" s="919"/>
      <c r="U251" s="919"/>
      <c r="V251" s="919"/>
      <c r="W251" s="919" t="s">
        <v>6907</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6908</v>
      </c>
      <c r="C252" s="912" t="s">
        <v>4500</v>
      </c>
      <c r="D252" s="919"/>
      <c r="E252" s="919"/>
      <c r="F252" s="1029" t="s">
        <v>3734</v>
      </c>
      <c r="G252" s="843"/>
      <c r="H252" s="919"/>
      <c r="I252" s="913" t="str">
        <f>HYPERLINK("https://youtu.be/K8Egs0-qumI","48.41")</f>
        <v>48.41</v>
      </c>
      <c r="J252" s="919"/>
      <c r="K252" s="919"/>
      <c r="L252" s="919"/>
      <c r="M252" s="919"/>
      <c r="N252" s="919"/>
      <c r="O252" s="919"/>
      <c r="P252" s="921"/>
      <c r="Q252" s="919"/>
      <c r="R252" s="828" t="s">
        <v>6909</v>
      </c>
      <c r="S252" s="919"/>
      <c r="T252" s="913" t="s">
        <v>4500</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6910</v>
      </c>
      <c r="C253" s="912" t="s">
        <v>429</v>
      </c>
      <c r="D253" s="919" t="s">
        <v>4500</v>
      </c>
      <c r="E253" s="919"/>
      <c r="F253" s="827"/>
      <c r="G253" s="843"/>
      <c r="H253" s="919"/>
      <c r="I253" s="919" t="s">
        <v>6911</v>
      </c>
      <c r="J253" s="913" t="s">
        <v>4743</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6912</v>
      </c>
      <c r="C254" s="912" t="s">
        <v>3808</v>
      </c>
      <c r="D254" s="919"/>
      <c r="E254" s="919"/>
      <c r="F254" s="1030"/>
      <c r="G254" s="828" t="s">
        <v>6220</v>
      </c>
      <c r="H254" s="919"/>
      <c r="I254" s="913" t="s">
        <v>6913</v>
      </c>
      <c r="J254" s="919"/>
      <c r="K254" s="919"/>
      <c r="L254" s="919"/>
      <c r="M254" s="919"/>
      <c r="N254" s="919"/>
      <c r="O254" s="919"/>
      <c r="P254" s="921"/>
      <c r="Q254" s="919" t="s">
        <v>568</v>
      </c>
      <c r="R254" s="919"/>
      <c r="S254" s="919"/>
      <c r="T254" s="919"/>
      <c r="U254" s="919"/>
      <c r="V254" s="919"/>
      <c r="W254" s="919"/>
      <c r="X254" s="919"/>
      <c r="Y254" s="919"/>
      <c r="Z254" s="919"/>
      <c r="AA254" s="919"/>
      <c r="AB254" s="919" t="s">
        <v>3475</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6914</v>
      </c>
      <c r="C255" s="912" t="s">
        <v>1995</v>
      </c>
      <c r="D255" s="913"/>
      <c r="E255" s="913" t="s">
        <v>1535</v>
      </c>
      <c r="F255" s="839" t="s">
        <v>857</v>
      </c>
      <c r="G255" s="843"/>
      <c r="H255" s="913" t="s">
        <v>1995</v>
      </c>
      <c r="I255" s="913"/>
      <c r="J255" s="913" t="s">
        <v>2160</v>
      </c>
      <c r="K255" s="913"/>
      <c r="L255" s="914" t="s">
        <v>6915</v>
      </c>
      <c r="M255" s="913"/>
      <c r="N255" s="913"/>
      <c r="O255" s="913" t="s">
        <v>1307</v>
      </c>
      <c r="P255" s="914" t="s">
        <v>6916</v>
      </c>
      <c r="Q255" s="913"/>
      <c r="R255" s="913"/>
      <c r="S255" s="913"/>
      <c r="T255" s="913" t="s">
        <v>2149</v>
      </c>
      <c r="U255" s="913"/>
      <c r="V255" s="913"/>
      <c r="W255" s="913"/>
      <c r="X255" s="913" t="s">
        <v>1924</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6917</v>
      </c>
      <c r="C256" s="912" t="s">
        <v>2160</v>
      </c>
      <c r="D256" s="913"/>
      <c r="E256" s="913" t="s">
        <v>2160</v>
      </c>
      <c r="F256" s="1029" t="s">
        <v>6918</v>
      </c>
      <c r="G256" s="843"/>
      <c r="H256" s="914" t="s">
        <v>2966</v>
      </c>
      <c r="I256" s="913"/>
      <c r="J256" s="913"/>
      <c r="K256" s="913"/>
      <c r="L256" s="913"/>
      <c r="M256" s="913"/>
      <c r="N256" s="913"/>
      <c r="O256" s="913"/>
      <c r="P256" s="914"/>
      <c r="Q256" s="828" t="s">
        <v>3217</v>
      </c>
      <c r="R256" s="913"/>
      <c r="S256" s="913"/>
      <c r="T256" s="913"/>
      <c r="U256" s="913"/>
      <c r="V256" s="914" t="s">
        <v>4534</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6919</v>
      </c>
      <c r="C257" s="912" t="s">
        <v>359</v>
      </c>
      <c r="D257" s="913"/>
      <c r="E257" s="913" t="s">
        <v>801</v>
      </c>
      <c r="F257" s="839" t="s">
        <v>1307</v>
      </c>
      <c r="G257" s="843"/>
      <c r="H257" s="914" t="s">
        <v>5467</v>
      </c>
      <c r="I257" s="913"/>
      <c r="J257" s="913"/>
      <c r="K257" s="913"/>
      <c r="L257" s="913"/>
      <c r="M257" s="913"/>
      <c r="N257" s="913"/>
      <c r="O257" s="913" t="s">
        <v>6025</v>
      </c>
      <c r="P257" s="914"/>
      <c r="Q257" s="913"/>
      <c r="R257" s="913"/>
      <c r="S257" s="913"/>
      <c r="T257" s="913"/>
      <c r="U257" s="913"/>
      <c r="V257" s="914" t="s">
        <v>6920</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6921</v>
      </c>
      <c r="C258" s="895" t="s">
        <v>3094</v>
      </c>
      <c r="D258" s="913" t="s">
        <v>934</v>
      </c>
      <c r="E258" s="913" t="s">
        <v>6922</v>
      </c>
      <c r="F258" s="839" t="s">
        <v>3094</v>
      </c>
      <c r="G258" s="828" t="s">
        <v>6923</v>
      </c>
      <c r="H258" s="913"/>
      <c r="I258" s="913"/>
      <c r="J258" s="913"/>
      <c r="K258" s="913"/>
      <c r="L258" s="913"/>
      <c r="M258" s="913"/>
      <c r="N258" s="913"/>
      <c r="O258" s="913" t="s">
        <v>6924</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6413</v>
      </c>
      <c r="B259" s="1025" t="s">
        <v>6411</v>
      </c>
      <c r="C259" s="895" t="s">
        <v>6925</v>
      </c>
      <c r="D259" s="919"/>
      <c r="E259" s="919"/>
      <c r="F259" s="839" t="s">
        <v>6925</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6552</v>
      </c>
      <c r="B260" s="1025" t="s">
        <v>6926</v>
      </c>
      <c r="C260" s="912" t="s">
        <v>1623</v>
      </c>
      <c r="D260" s="919" t="s">
        <v>144</v>
      </c>
      <c r="E260" s="919"/>
      <c r="F260" s="1030"/>
      <c r="G260" s="828" t="s">
        <v>4255</v>
      </c>
      <c r="H260" s="919"/>
      <c r="I260" s="913" t="str">
        <f>HYPERLINK("https://youtu.be/_GZXmZdCc5s","31.80")</f>
        <v>31.80</v>
      </c>
      <c r="J260" s="919"/>
      <c r="K260" s="913" t="s">
        <v>6927</v>
      </c>
      <c r="L260" s="919"/>
      <c r="M260" s="913" t="s">
        <v>1623</v>
      </c>
      <c r="N260" s="913" t="str">
        <f>HYPERLINK("https://youtu.be/kUsh0nBBuMY","32.45")</f>
        <v>32.45</v>
      </c>
      <c r="O260" s="919"/>
      <c r="P260" s="921" t="s">
        <v>2215</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6928</v>
      </c>
      <c r="C261" s="912" t="s">
        <v>459</v>
      </c>
      <c r="D261" s="919"/>
      <c r="E261" s="919"/>
      <c r="F261" s="827"/>
      <c r="G261" s="843"/>
      <c r="H261" s="919"/>
      <c r="I261" s="919"/>
      <c r="J261" s="919"/>
      <c r="K261" s="828" t="s">
        <v>2312</v>
      </c>
      <c r="L261" s="919"/>
      <c r="M261" s="919"/>
      <c r="N261" s="919"/>
      <c r="O261" s="919"/>
      <c r="P261" s="921"/>
      <c r="Q261" s="919"/>
      <c r="R261" s="919"/>
      <c r="S261" s="919"/>
      <c r="T261" s="913" t="s">
        <v>459</v>
      </c>
      <c r="U261" s="919" t="s">
        <v>4021</v>
      </c>
      <c r="V261" s="919"/>
      <c r="W261" s="919"/>
      <c r="X261" s="919"/>
      <c r="Y261" s="919"/>
      <c r="Z261" s="919"/>
      <c r="AA261" s="919"/>
      <c r="AB261" s="919"/>
      <c r="AC261" s="919"/>
      <c r="AD261" s="919"/>
      <c r="AE261" s="919"/>
      <c r="AF261" s="919"/>
      <c r="AG261" s="919" t="s">
        <v>3164</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6929</v>
      </c>
      <c r="C262" s="912" t="s">
        <v>6570</v>
      </c>
      <c r="D262" s="919" t="s">
        <v>3385</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6930</v>
      </c>
      <c r="C263" s="912" t="s">
        <v>3549</v>
      </c>
      <c r="D263" s="913" t="s">
        <v>241</v>
      </c>
      <c r="E263" s="913" t="s">
        <v>3549</v>
      </c>
      <c r="F263" s="898" t="s">
        <v>179</v>
      </c>
      <c r="G263" s="828" t="s">
        <v>1392</v>
      </c>
      <c r="H263" s="913" t="s">
        <v>1537</v>
      </c>
      <c r="I263" s="913" t="s">
        <v>3149</v>
      </c>
      <c r="J263" s="913" t="s">
        <v>2139</v>
      </c>
      <c r="K263" s="913" t="s">
        <v>5379</v>
      </c>
      <c r="L263" s="913" t="s">
        <v>840</v>
      </c>
      <c r="M263" s="913" t="s">
        <v>276</v>
      </c>
      <c r="N263" s="913" t="s">
        <v>5663</v>
      </c>
      <c r="O263" s="913" t="s">
        <v>185</v>
      </c>
      <c r="P263" s="914" t="s">
        <v>426</v>
      </c>
      <c r="Q263" s="913" t="s">
        <v>4021</v>
      </c>
      <c r="R263" s="913"/>
      <c r="S263" s="913"/>
      <c r="T263" s="913"/>
      <c r="U263" s="913" t="s">
        <v>6931</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6459</v>
      </c>
      <c r="B264" s="1025" t="s">
        <v>6932</v>
      </c>
      <c r="C264" s="912" t="s">
        <v>6933</v>
      </c>
      <c r="D264" s="913" t="s">
        <v>6565</v>
      </c>
      <c r="E264" s="913" t="s">
        <v>4139</v>
      </c>
      <c r="F264" s="1031" t="s">
        <v>6934</v>
      </c>
      <c r="G264" s="828" t="s">
        <v>6935</v>
      </c>
      <c r="H264" s="913"/>
      <c r="I264" s="913" t="str">
        <f>HYPERLINK("https://youtu.be/fNmQmNF7N9I","46.93")</f>
        <v>46.93</v>
      </c>
      <c r="J264" s="913" t="s">
        <v>6933</v>
      </c>
      <c r="K264" s="913" t="s">
        <v>535</v>
      </c>
      <c r="L264" s="913" t="s">
        <v>6936</v>
      </c>
      <c r="M264" s="913" t="s">
        <v>1573</v>
      </c>
      <c r="N264" s="913"/>
      <c r="O264" s="913"/>
      <c r="P264" s="914"/>
      <c r="Q264" s="913"/>
      <c r="R264" s="913"/>
      <c r="S264" s="913" t="s">
        <v>3874</v>
      </c>
      <c r="T264" s="913" t="s">
        <v>6911</v>
      </c>
      <c r="U264" s="913" t="s">
        <v>6937</v>
      </c>
      <c r="V264" s="913" t="s">
        <v>4314</v>
      </c>
      <c r="W264" s="913" t="s">
        <v>6938</v>
      </c>
      <c r="X264" s="913"/>
      <c r="Y264" s="913"/>
      <c r="Z264" s="913"/>
      <c r="AA264" s="913" t="s">
        <v>6939</v>
      </c>
      <c r="AB264" s="913" t="s">
        <v>6940</v>
      </c>
      <c r="AC264" s="913"/>
      <c r="AD264" s="913"/>
      <c r="AE264" s="913"/>
      <c r="AF264" s="913"/>
      <c r="AG264" s="913"/>
      <c r="AH264" s="913"/>
      <c r="AI264" s="913"/>
      <c r="AJ264" s="913"/>
      <c r="AK264" s="913"/>
      <c r="AL264" s="913"/>
      <c r="AM264" s="913"/>
      <c r="AN264" s="913"/>
      <c r="AO264" s="913" t="s">
        <v>6941</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6942</v>
      </c>
      <c r="C265" s="912" t="s">
        <v>3860</v>
      </c>
      <c r="D265" s="913" t="s">
        <v>5096</v>
      </c>
      <c r="E265" s="913" t="s">
        <v>3386</v>
      </c>
      <c r="F265" s="854" t="s">
        <v>6943</v>
      </c>
      <c r="G265" s="828" t="s">
        <v>6944</v>
      </c>
      <c r="H265" s="913"/>
      <c r="I265" s="913" t="str">
        <f>HYPERLINK(" https://youtu.be/dsDcBzsPA5s","45.74")</f>
        <v>45.74</v>
      </c>
      <c r="J265" s="913" t="s">
        <v>3860</v>
      </c>
      <c r="K265" s="913" t="s">
        <v>6945</v>
      </c>
      <c r="L265" s="913" t="s">
        <v>3916</v>
      </c>
      <c r="M265" s="913" t="s">
        <v>1700</v>
      </c>
      <c r="N265" s="913" t="s">
        <v>1996</v>
      </c>
      <c r="O265" s="913" t="s">
        <v>3844</v>
      </c>
      <c r="P265" s="914" t="s">
        <v>3475</v>
      </c>
      <c r="Q265" s="913" t="s">
        <v>6946</v>
      </c>
      <c r="R265" s="913"/>
      <c r="S265" s="913" t="s">
        <v>6947</v>
      </c>
      <c r="T265" s="913" t="s">
        <v>284</v>
      </c>
      <c r="U265" s="913" t="s">
        <v>6920</v>
      </c>
      <c r="V265" s="913" t="s">
        <v>704</v>
      </c>
      <c r="W265" s="913" t="s">
        <v>6948</v>
      </c>
      <c r="X265" s="913"/>
      <c r="Y265" s="913"/>
      <c r="Z265" s="913"/>
      <c r="AA265" s="913"/>
      <c r="AB265" s="913" t="s">
        <v>6626</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6949</v>
      </c>
      <c r="C266" s="912" t="s">
        <v>1048</v>
      </c>
      <c r="D266" s="913" t="s">
        <v>4585</v>
      </c>
      <c r="E266" s="913" t="s">
        <v>411</v>
      </c>
      <c r="F266" s="1031" t="s">
        <v>186</v>
      </c>
      <c r="G266" s="828" t="s">
        <v>1393</v>
      </c>
      <c r="H266" s="913" t="s">
        <v>2060</v>
      </c>
      <c r="I266" s="913" t="str">
        <f>HYPERLINK("https://youtu.be/9O9oqhlyCxY","45.20")</f>
        <v>45.20</v>
      </c>
      <c r="J266" s="913" t="s">
        <v>6950</v>
      </c>
      <c r="K266" s="828" t="s">
        <v>3570</v>
      </c>
      <c r="L266" s="913" t="s">
        <v>321</v>
      </c>
      <c r="M266" s="913" t="s">
        <v>1309</v>
      </c>
      <c r="N266" s="913" t="s">
        <v>6913</v>
      </c>
      <c r="O266" s="913" t="s">
        <v>1048</v>
      </c>
      <c r="P266" s="914"/>
      <c r="Q266" s="913" t="s">
        <v>1933</v>
      </c>
      <c r="R266" s="913"/>
      <c r="S266" s="913" t="s">
        <v>429</v>
      </c>
      <c r="T266" s="913" t="s">
        <v>518</v>
      </c>
      <c r="U266" s="913"/>
      <c r="V266" s="913" t="s">
        <v>616</v>
      </c>
      <c r="W266" s="913"/>
      <c r="X266" s="913"/>
      <c r="Y266" s="913"/>
      <c r="Z266" s="913"/>
      <c r="AA266" s="913" t="s">
        <v>4311</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6631</v>
      </c>
      <c r="B267" s="1033" t="s">
        <v>6951</v>
      </c>
      <c r="C267" s="912" t="s">
        <v>969</v>
      </c>
      <c r="D267" s="838" t="s">
        <v>1614</v>
      </c>
      <c r="E267" s="1034" t="s">
        <v>412</v>
      </c>
      <c r="F267" s="898" t="s">
        <v>3095</v>
      </c>
      <c r="G267" s="828" t="s">
        <v>1394</v>
      </c>
      <c r="H267" s="1034" t="s">
        <v>4498</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6427</v>
      </c>
      <c r="B268" s="1037" t="s">
        <v>6951</v>
      </c>
      <c r="C268" s="912" t="s">
        <v>6952</v>
      </c>
      <c r="D268" s="1034" t="s">
        <v>148</v>
      </c>
      <c r="E268" s="1034" t="s">
        <v>413</v>
      </c>
      <c r="F268" s="1031" t="s">
        <v>880</v>
      </c>
      <c r="G268" s="843"/>
      <c r="H268" s="1034" t="s">
        <v>6952</v>
      </c>
      <c r="I268" s="1034"/>
      <c r="J268" s="1034"/>
      <c r="K268" s="1034"/>
      <c r="L268" s="1034" t="s">
        <v>888</v>
      </c>
      <c r="M268" s="1034" t="s">
        <v>719</v>
      </c>
      <c r="N268" s="1034"/>
      <c r="O268" s="1034" t="s">
        <v>1050</v>
      </c>
      <c r="P268" s="1035"/>
      <c r="Q268" s="1034"/>
      <c r="R268" s="1034"/>
      <c r="S268" s="1034"/>
      <c r="T268" s="1034" t="s">
        <v>3007</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6432</v>
      </c>
      <c r="B269" s="1039" t="s">
        <v>6411</v>
      </c>
      <c r="C269" s="912" t="s">
        <v>5627</v>
      </c>
      <c r="D269" s="913" t="s">
        <v>5641</v>
      </c>
      <c r="E269" s="913" t="s">
        <v>2777</v>
      </c>
      <c r="F269" s="839" t="s">
        <v>6953</v>
      </c>
      <c r="G269" s="828" t="s">
        <v>5602</v>
      </c>
      <c r="H269" s="913" t="s">
        <v>5627</v>
      </c>
      <c r="I269" s="913"/>
      <c r="J269" s="913" t="s">
        <v>5165</v>
      </c>
      <c r="K269" s="913"/>
      <c r="L269" s="913" t="s">
        <v>6954</v>
      </c>
      <c r="M269" s="913"/>
      <c r="N269" s="913"/>
      <c r="O269" s="913" t="s">
        <v>5627</v>
      </c>
      <c r="P269" s="914"/>
      <c r="Q269" s="913"/>
      <c r="R269" s="828" t="s">
        <v>6955</v>
      </c>
      <c r="S269" s="913"/>
      <c r="T269" s="913" t="s">
        <v>5627</v>
      </c>
      <c r="U269" s="913"/>
      <c r="V269" s="913" t="s">
        <v>4097</v>
      </c>
      <c r="W269" s="913" t="s">
        <v>6021</v>
      </c>
      <c r="X269" s="913" t="s">
        <v>6956</v>
      </c>
      <c r="Y269" s="913"/>
      <c r="Z269" s="913" t="s">
        <v>5963</v>
      </c>
      <c r="AA269" s="913"/>
      <c r="AB269" s="913"/>
      <c r="AC269" s="913"/>
      <c r="AD269" s="913"/>
      <c r="AE269" s="913" t="s">
        <v>3406</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6583</v>
      </c>
      <c r="B270" s="1040" t="s">
        <v>6957</v>
      </c>
      <c r="C270" s="912" t="s">
        <v>6958</v>
      </c>
      <c r="D270" s="833" t="s">
        <v>1480</v>
      </c>
      <c r="E270" s="913" t="s">
        <v>4400</v>
      </c>
      <c r="F270" s="898" t="s">
        <v>1890</v>
      </c>
      <c r="G270" s="828" t="s">
        <v>1396</v>
      </c>
      <c r="H270" s="913" t="s">
        <v>6958</v>
      </c>
      <c r="I270" s="913" t="s">
        <v>1480</v>
      </c>
      <c r="J270" s="913" t="s">
        <v>3703</v>
      </c>
      <c r="K270" s="913"/>
      <c r="L270" s="913" t="s">
        <v>889</v>
      </c>
      <c r="M270" s="913"/>
      <c r="N270" s="913"/>
      <c r="O270" s="913" t="s">
        <v>6959</v>
      </c>
      <c r="P270" s="914"/>
      <c r="Q270" s="913" t="s">
        <v>189</v>
      </c>
      <c r="R270" s="913"/>
      <c r="S270" s="913"/>
      <c r="T270" s="913" t="s">
        <v>521</v>
      </c>
      <c r="U270" s="913"/>
      <c r="V270" s="913" t="s">
        <v>6960</v>
      </c>
      <c r="W270" s="913"/>
      <c r="X270" s="913"/>
      <c r="Y270" s="913"/>
      <c r="Z270" s="913"/>
      <c r="AA270" s="913"/>
      <c r="AB270" s="913"/>
      <c r="AC270" s="913"/>
      <c r="AD270" s="913"/>
      <c r="AE270" s="913"/>
      <c r="AF270" s="913" t="s">
        <v>6961</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6593</v>
      </c>
      <c r="B271" s="1039" t="s">
        <v>6957</v>
      </c>
      <c r="C271" s="912" t="s">
        <v>6962</v>
      </c>
      <c r="D271" s="913" t="s">
        <v>6963</v>
      </c>
      <c r="E271" s="913"/>
      <c r="F271" s="839" t="s">
        <v>6964</v>
      </c>
      <c r="G271" s="843"/>
      <c r="H271" s="914" t="s">
        <v>6962</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6512</v>
      </c>
      <c r="B272" s="1025" t="s">
        <v>6965</v>
      </c>
      <c r="C272" s="912" t="s">
        <v>4197</v>
      </c>
      <c r="D272" s="843"/>
      <c r="E272" s="828" t="s">
        <v>4271</v>
      </c>
      <c r="F272" s="1030"/>
      <c r="G272" s="828" t="s">
        <v>3321</v>
      </c>
      <c r="H272" s="828" t="s">
        <v>4197</v>
      </c>
      <c r="I272" s="843"/>
      <c r="J272" s="843"/>
      <c r="K272" s="843"/>
      <c r="L272" s="843"/>
      <c r="M272" s="843"/>
      <c r="N272" s="843" t="s">
        <v>4369</v>
      </c>
      <c r="O272" s="843"/>
      <c r="P272" s="914" t="s">
        <v>6966</v>
      </c>
      <c r="Q272" s="843"/>
      <c r="R272" s="843"/>
      <c r="S272" s="843"/>
      <c r="T272" s="843"/>
      <c r="U272" s="843"/>
      <c r="V272" s="843"/>
      <c r="W272" s="843"/>
      <c r="X272" s="843"/>
      <c r="Y272" s="828" t="s">
        <v>6895</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6967</v>
      </c>
      <c r="C273" s="912" t="s">
        <v>4423</v>
      </c>
      <c r="D273" s="913" t="s">
        <v>1615</v>
      </c>
      <c r="E273" s="913" t="s">
        <v>2745</v>
      </c>
      <c r="F273" s="839" t="s">
        <v>3096</v>
      </c>
      <c r="G273" s="843"/>
      <c r="H273" s="914" t="s">
        <v>1277</v>
      </c>
      <c r="I273" s="913"/>
      <c r="J273" s="913"/>
      <c r="K273" s="913"/>
      <c r="L273" s="913"/>
      <c r="M273" s="913"/>
      <c r="N273" s="913"/>
      <c r="O273" s="913"/>
      <c r="P273" s="914" t="s">
        <v>5168</v>
      </c>
      <c r="Q273" s="913" t="s">
        <v>2589</v>
      </c>
      <c r="R273" s="913" t="s">
        <v>1615</v>
      </c>
      <c r="S273" s="913"/>
      <c r="T273" s="913" t="s">
        <v>4423</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6968</v>
      </c>
      <c r="C274" s="912" t="s">
        <v>620</v>
      </c>
      <c r="D274" s="913"/>
      <c r="E274" s="913" t="s">
        <v>370</v>
      </c>
      <c r="F274" s="1031" t="s">
        <v>3096</v>
      </c>
      <c r="G274" s="828" t="s">
        <v>3691</v>
      </c>
      <c r="H274" s="914" t="s">
        <v>6153</v>
      </c>
      <c r="I274" s="913"/>
      <c r="J274" s="913" t="s">
        <v>1615</v>
      </c>
      <c r="K274" s="913"/>
      <c r="L274" s="913"/>
      <c r="M274" s="913" t="s">
        <v>1186</v>
      </c>
      <c r="N274" s="913"/>
      <c r="O274" s="913" t="s">
        <v>3691</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6516</v>
      </c>
      <c r="B275" s="1025" t="s">
        <v>6411</v>
      </c>
      <c r="C275" s="912" t="s">
        <v>6969</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6970</v>
      </c>
      <c r="B276" s="1025" t="s">
        <v>6411</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6521</v>
      </c>
      <c r="B277" s="1039" t="s">
        <v>6411</v>
      </c>
      <c r="C277" s="912" t="s">
        <v>6971</v>
      </c>
      <c r="D277" s="914" t="s">
        <v>6971</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6646</v>
      </c>
      <c r="B278" s="1025" t="s">
        <v>6615</v>
      </c>
      <c r="C278" s="912" t="s">
        <v>4155</v>
      </c>
      <c r="D278" s="859" t="s">
        <v>1617</v>
      </c>
      <c r="E278" s="919"/>
      <c r="F278" s="1030"/>
      <c r="G278" s="828" t="s">
        <v>1641</v>
      </c>
      <c r="H278" s="919"/>
      <c r="I278" s="919" t="s">
        <v>4155</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6619</v>
      </c>
      <c r="C279" s="912" t="s">
        <v>4735</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6411</v>
      </c>
      <c r="C280" s="912" t="s">
        <v>6972</v>
      </c>
      <c r="D280" s="919" t="s">
        <v>6973</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6974</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6975</v>
      </c>
      <c r="C282" s="912" t="s">
        <v>6976</v>
      </c>
      <c r="D282" s="913" t="s">
        <v>6977</v>
      </c>
      <c r="E282" s="913" t="s">
        <v>6976</v>
      </c>
      <c r="F282" s="827"/>
      <c r="G282" s="828" t="s">
        <v>4752</v>
      </c>
      <c r="H282" s="913"/>
      <c r="I282" s="913"/>
      <c r="J282" s="913"/>
      <c r="K282" s="914" t="s">
        <v>6978</v>
      </c>
      <c r="L282" s="913"/>
      <c r="M282" s="913"/>
      <c r="N282" s="913"/>
      <c r="O282" s="913"/>
      <c r="P282" s="914" t="s">
        <v>6979</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6980</v>
      </c>
      <c r="C283" s="912" t="s">
        <v>425</v>
      </c>
      <c r="D283" s="833" t="s">
        <v>1622</v>
      </c>
      <c r="E283" s="828" t="s">
        <v>425</v>
      </c>
      <c r="F283" s="885" t="s">
        <v>2955</v>
      </c>
      <c r="G283" s="828" t="s">
        <v>1408</v>
      </c>
      <c r="H283" s="828" t="s">
        <v>6981</v>
      </c>
      <c r="I283" s="828" t="str">
        <f>HYPERLINK("https://youtu.be/ZpzmhXUsVhA","1:19.38")</f>
        <v>1:19.38</v>
      </c>
      <c r="J283" s="843"/>
      <c r="K283" s="828" t="s">
        <v>3575</v>
      </c>
      <c r="L283" s="843" t="s">
        <v>898</v>
      </c>
      <c r="M283" s="843" t="s">
        <v>5875</v>
      </c>
      <c r="N283" s="843" t="s">
        <v>6982</v>
      </c>
      <c r="O283" s="828" t="s">
        <v>6983</v>
      </c>
      <c r="P283" s="914" t="s">
        <v>6984</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6985</v>
      </c>
      <c r="B284" s="1055" t="s">
        <v>6975</v>
      </c>
      <c r="C284" s="912" t="s">
        <v>5435</v>
      </c>
      <c r="D284" s="913" t="s">
        <v>1018</v>
      </c>
      <c r="E284" s="913" t="s">
        <v>3235</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6980</v>
      </c>
      <c r="C285" s="912" t="s">
        <v>2178</v>
      </c>
      <c r="D285" s="1056" t="s">
        <v>6986</v>
      </c>
      <c r="E285" s="913" t="s">
        <v>4075</v>
      </c>
      <c r="F285" s="885" t="s">
        <v>2086</v>
      </c>
      <c r="G285" s="828" t="s">
        <v>2834</v>
      </c>
      <c r="H285" s="953" t="s">
        <v>4684</v>
      </c>
      <c r="I285" s="913"/>
      <c r="J285" s="913"/>
      <c r="K285" s="913"/>
      <c r="L285" s="913"/>
      <c r="M285" s="913"/>
      <c r="N285" s="913"/>
      <c r="O285" s="913" t="s">
        <v>2178</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6987</v>
      </c>
      <c r="B286" s="1057" t="s">
        <v>6988</v>
      </c>
      <c r="C286" s="912" t="s">
        <v>4222</v>
      </c>
      <c r="D286" s="1015" t="s">
        <v>1794</v>
      </c>
      <c r="E286" s="913" t="s">
        <v>4222</v>
      </c>
      <c r="F286" s="827"/>
      <c r="G286" s="843"/>
      <c r="H286" s="913"/>
      <c r="I286" s="913"/>
      <c r="J286" s="913"/>
      <c r="K286" s="913" t="s">
        <v>2331</v>
      </c>
      <c r="L286" s="913"/>
      <c r="M286" s="913"/>
      <c r="N286" s="913"/>
      <c r="O286" s="913"/>
      <c r="P286" s="914" t="s">
        <v>6989</v>
      </c>
      <c r="Q286" s="913"/>
      <c r="R286" s="913"/>
      <c r="S286" s="913" t="s">
        <v>6990</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6991</v>
      </c>
      <c r="C287" s="912" t="s">
        <v>6931</v>
      </c>
      <c r="D287" s="833" t="s">
        <v>1623</v>
      </c>
      <c r="E287" s="828" t="s">
        <v>426</v>
      </c>
      <c r="F287" s="898" t="s">
        <v>731</v>
      </c>
      <c r="G287" s="828" t="s">
        <v>1409</v>
      </c>
      <c r="H287" s="828" t="s">
        <v>2090</v>
      </c>
      <c r="I287" s="843"/>
      <c r="J287" s="843"/>
      <c r="K287" s="843"/>
      <c r="L287" s="828" t="s">
        <v>899</v>
      </c>
      <c r="M287" s="843" t="s">
        <v>817</v>
      </c>
      <c r="N287" s="843"/>
      <c r="O287" s="828" t="s">
        <v>6931</v>
      </c>
      <c r="P287" s="914" t="s">
        <v>1445</v>
      </c>
      <c r="Q287" s="843"/>
      <c r="R287" s="843"/>
      <c r="S287" s="843"/>
      <c r="T287" s="843" t="s">
        <v>1606</v>
      </c>
      <c r="U287" s="843"/>
      <c r="V287" s="843"/>
      <c r="W287" s="843"/>
      <c r="X287" s="843"/>
      <c r="Y287" s="843"/>
      <c r="Z287" s="828" t="s">
        <v>3201</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6992</v>
      </c>
      <c r="B288" s="1058" t="s">
        <v>6993</v>
      </c>
      <c r="C288" s="912" t="s">
        <v>6054</v>
      </c>
      <c r="D288" s="913"/>
      <c r="E288" s="913" t="s">
        <v>6054</v>
      </c>
      <c r="F288" s="827"/>
      <c r="G288" s="843"/>
      <c r="H288" s="913"/>
      <c r="I288" s="913" t="s">
        <v>6866</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6994</v>
      </c>
      <c r="C289" s="912" t="s">
        <v>6792</v>
      </c>
      <c r="D289" s="913"/>
      <c r="E289" s="913" t="s">
        <v>1318</v>
      </c>
      <c r="F289" s="878"/>
      <c r="G289" s="843"/>
      <c r="H289" s="913"/>
      <c r="I289" s="913" t="s">
        <v>6792</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6995</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6996</v>
      </c>
      <c r="C291" s="912" t="s">
        <v>2564</v>
      </c>
      <c r="D291" s="955"/>
      <c r="E291" s="955"/>
      <c r="F291" s="878"/>
      <c r="G291" s="843"/>
      <c r="H291" s="955"/>
      <c r="I291" s="955" t="s">
        <v>2564</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6997</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6998</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6427</v>
      </c>
      <c r="B294" s="1057" t="s">
        <v>6519</v>
      </c>
      <c r="C294" s="912" t="s">
        <v>3106</v>
      </c>
      <c r="D294" s="913"/>
      <c r="E294" s="913" t="s">
        <v>3727</v>
      </c>
      <c r="F294" s="827"/>
      <c r="G294" s="843"/>
      <c r="H294" s="913" t="s">
        <v>3106</v>
      </c>
      <c r="I294" s="913" t="s">
        <v>6999</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7000</v>
      </c>
      <c r="B295" s="1061"/>
      <c r="C295" s="824" t="s">
        <v>7001</v>
      </c>
      <c r="D295" s="919"/>
      <c r="E295" s="919"/>
      <c r="F295" s="878"/>
      <c r="G295" s="843"/>
      <c r="H295" s="828" t="s">
        <v>7001</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7002</v>
      </c>
      <c r="B296" s="1057" t="s">
        <v>7003</v>
      </c>
      <c r="C296" s="912" t="s">
        <v>3538</v>
      </c>
      <c r="D296" s="833" t="s">
        <v>3538</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7004</v>
      </c>
      <c r="C297" s="912" t="s">
        <v>3955</v>
      </c>
      <c r="D297" s="1062"/>
      <c r="E297" s="1062" t="s">
        <v>4164</v>
      </c>
      <c r="F297" s="878"/>
      <c r="G297" s="843"/>
      <c r="H297" s="1062"/>
      <c r="I297" s="828" t="s">
        <v>3955</v>
      </c>
      <c r="J297" s="1062"/>
      <c r="K297" s="1062"/>
      <c r="L297" s="1062"/>
      <c r="M297" s="1062" t="s">
        <v>6465</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7005</v>
      </c>
      <c r="B298" s="1050" t="s">
        <v>7006</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7007</v>
      </c>
      <c r="C299" s="912" t="s">
        <v>5392</v>
      </c>
      <c r="D299" s="919"/>
      <c r="E299" s="919"/>
      <c r="F299" s="878"/>
      <c r="G299" s="843"/>
      <c r="H299" s="919"/>
      <c r="I299" s="919"/>
      <c r="J299" s="919"/>
      <c r="K299" s="919"/>
      <c r="L299" s="919"/>
      <c r="M299" s="919"/>
      <c r="N299" s="919" t="s">
        <v>5392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7008</v>
      </c>
      <c r="B300" s="1050" t="s">
        <v>7009</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7010</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7011</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7012</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7012</v>
      </c>
      <c r="C304" s="912" t="s">
        <v>7013</v>
      </c>
      <c r="D304" s="919"/>
      <c r="E304" s="919"/>
      <c r="F304" s="827"/>
      <c r="G304" s="843"/>
      <c r="H304" s="919"/>
      <c r="I304" s="828" t="s">
        <v>7013</v>
      </c>
      <c r="J304" s="919"/>
      <c r="K304" s="919"/>
      <c r="L304" s="919"/>
      <c r="M304" s="919"/>
      <c r="N304" s="919" t="s">
        <v>5703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7014</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7015</v>
      </c>
      <c r="B306" s="1058" t="s">
        <v>6414</v>
      </c>
      <c r="C306" s="912" t="s">
        <v>532</v>
      </c>
      <c r="D306" s="923" t="s">
        <v>3385</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7016</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7017</v>
      </c>
      <c r="C308" s="912" t="s">
        <v>2907</v>
      </c>
      <c r="D308" s="828" t="s">
        <v>407</v>
      </c>
      <c r="E308" s="828" t="s">
        <v>5232</v>
      </c>
      <c r="F308" s="854" t="s">
        <v>2964</v>
      </c>
      <c r="G308" s="843"/>
      <c r="H308" s="843" t="s">
        <v>2056</v>
      </c>
      <c r="I308" s="843"/>
      <c r="J308" s="843"/>
      <c r="K308" s="843"/>
      <c r="L308" s="843"/>
      <c r="M308" s="843"/>
      <c r="N308" s="843"/>
      <c r="O308" s="843"/>
      <c r="P308" s="914"/>
      <c r="Q308" s="843"/>
      <c r="R308" s="828" t="s">
        <v>5232</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2139</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7018</v>
      </c>
      <c r="B309" s="1058" t="s">
        <v>6513</v>
      </c>
      <c r="C309" s="912" t="s">
        <v>7019</v>
      </c>
      <c r="D309" s="843"/>
      <c r="E309" s="828" t="s">
        <v>7019</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6515</v>
      </c>
      <c r="C310" s="912" t="s">
        <v>3092</v>
      </c>
      <c r="D310" s="843" t="s">
        <v>5022</v>
      </c>
      <c r="E310" s="828" t="s">
        <v>4469</v>
      </c>
      <c r="F310" s="839" t="s">
        <v>7020</v>
      </c>
      <c r="G310" s="843"/>
      <c r="H310" s="828" t="s">
        <v>3092</v>
      </c>
      <c r="I310" s="843"/>
      <c r="J310" s="843"/>
      <c r="K310" s="843"/>
      <c r="L310" s="843"/>
      <c r="M310" s="843"/>
      <c r="N310" s="843"/>
      <c r="O310" s="843"/>
      <c r="P310" s="914"/>
      <c r="Q310" s="843"/>
      <c r="R310" s="828" t="s">
        <v>6673</v>
      </c>
      <c r="S310" s="843"/>
      <c r="T310" s="843"/>
      <c r="U310" s="843"/>
      <c r="V310" s="828" t="s">
        <v>5867</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6673</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7021</v>
      </c>
      <c r="B311" s="1058" t="s">
        <v>6411</v>
      </c>
      <c r="C311" s="912" t="s">
        <v>2413</v>
      </c>
      <c r="D311" s="852"/>
      <c r="E311" s="1065" t="s">
        <v>1782</v>
      </c>
      <c r="F311" s="891" t="s">
        <v>2981</v>
      </c>
      <c r="G311" s="843"/>
      <c r="H311" s="1065" t="s">
        <v>2413</v>
      </c>
      <c r="I311" s="852"/>
      <c r="J311" s="1065" t="s">
        <v>1782</v>
      </c>
      <c r="K311" s="852"/>
      <c r="L311" s="1065" t="s">
        <v>7022</v>
      </c>
      <c r="M311" s="1065" t="s">
        <v>4832</v>
      </c>
      <c r="N311" s="852"/>
      <c r="O311" s="852"/>
      <c r="P311" s="851"/>
      <c r="Q311" s="852"/>
      <c r="R311" s="852"/>
      <c r="S311" s="852"/>
      <c r="T311" s="852"/>
      <c r="U311" s="852"/>
      <c r="V311" s="1065" t="s">
        <v>2834</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7023</v>
      </c>
      <c r="B312" s="1058" t="s">
        <v>7024</v>
      </c>
      <c r="C312" s="912" t="s">
        <v>7025</v>
      </c>
      <c r="D312" s="843"/>
      <c r="E312" s="828" t="s">
        <v>7025</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7026</v>
      </c>
      <c r="C313" s="912" t="s">
        <v>7027</v>
      </c>
      <c r="D313" s="843"/>
      <c r="E313" s="828" t="s">
        <v>7028</v>
      </c>
      <c r="F313" s="891" t="s">
        <v>7029</v>
      </c>
      <c r="G313" s="843"/>
      <c r="H313" s="843" t="s">
        <v>1426</v>
      </c>
      <c r="I313" s="843"/>
      <c r="J313" s="843"/>
      <c r="K313" s="843"/>
      <c r="L313" s="843"/>
      <c r="M313" s="843"/>
      <c r="N313" s="843"/>
      <c r="O313" s="843"/>
      <c r="P313" s="914"/>
      <c r="Q313" s="843"/>
      <c r="R313" s="843"/>
      <c r="S313" s="843"/>
      <c r="T313" s="843"/>
      <c r="U313" s="843"/>
      <c r="V313" s="843"/>
      <c r="W313" s="843"/>
      <c r="X313" s="828" t="s">
        <v>7027</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7030</v>
      </c>
      <c r="B314" s="1058" t="s">
        <v>7031</v>
      </c>
      <c r="C314" s="912" t="s">
        <v>4364</v>
      </c>
      <c r="D314" s="843"/>
      <c r="E314" s="828" t="s">
        <v>4364</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7032</v>
      </c>
      <c r="C315" s="912" t="s">
        <v>3568</v>
      </c>
      <c r="D315" s="843"/>
      <c r="E315" s="828" t="s">
        <v>3568</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7033</v>
      </c>
      <c r="C316" s="912" t="s">
        <v>7034</v>
      </c>
      <c r="D316" s="843"/>
      <c r="E316" s="828" t="s">
        <v>7034</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7035</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7036</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7037</v>
      </c>
      <c r="C319" s="912" t="s">
        <v>7038</v>
      </c>
      <c r="D319" s="843"/>
      <c r="E319" s="828" t="s">
        <v>3933</v>
      </c>
      <c r="F319" s="891" t="s">
        <v>1107</v>
      </c>
      <c r="G319" s="843"/>
      <c r="H319" s="828" t="s">
        <v>7038</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7039</v>
      </c>
      <c r="C320" s="912" t="s">
        <v>7040</v>
      </c>
      <c r="D320" s="919" t="s">
        <v>7041</v>
      </c>
      <c r="E320" s="919"/>
      <c r="F320" s="1067" t="str">
        <f>HYPERLINK("https://youtu.be/wR4-nYMM6Xk","10.74")</f>
        <v>10.74</v>
      </c>
      <c r="G320" s="843"/>
      <c r="H320" s="828" t="s">
        <v>7042</v>
      </c>
      <c r="I320" s="919"/>
      <c r="J320" s="919"/>
      <c r="K320" s="919"/>
      <c r="L320" s="919"/>
      <c r="M320" s="919"/>
      <c r="N320" s="919"/>
      <c r="O320" s="919"/>
      <c r="P320" s="921"/>
      <c r="Q320" s="919"/>
      <c r="R320" s="828" t="s">
        <v>7043</v>
      </c>
      <c r="S320" s="919"/>
      <c r="T320" s="828" t="s">
        <v>7044</v>
      </c>
      <c r="U320" s="919"/>
      <c r="V320" s="919"/>
      <c r="W320" s="919"/>
      <c r="X320" s="828" t="s">
        <v>7040</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7045</v>
      </c>
      <c r="B321" s="1058" t="s">
        <v>6411</v>
      </c>
      <c r="C321" s="912" t="s">
        <v>529</v>
      </c>
      <c r="D321" s="923" t="s">
        <v>5432</v>
      </c>
      <c r="E321" s="919"/>
      <c r="F321" s="891" t="s">
        <v>5416</v>
      </c>
      <c r="G321" s="843"/>
      <c r="H321" s="828" t="s">
        <v>529</v>
      </c>
      <c r="I321" s="919"/>
      <c r="J321" s="828" t="s">
        <v>3972</v>
      </c>
      <c r="K321" s="919"/>
      <c r="L321" s="919"/>
      <c r="M321" s="919"/>
      <c r="N321" s="919"/>
      <c r="O321" s="919"/>
      <c r="P321" s="921"/>
      <c r="Q321" s="919"/>
      <c r="R321" s="919" t="s">
        <v>7046</v>
      </c>
      <c r="S321" s="919"/>
      <c r="T321" s="919"/>
      <c r="U321" s="919"/>
      <c r="V321" s="919" t="s">
        <v>6340</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7047</v>
      </c>
      <c r="B322" s="1058" t="s">
        <v>7048</v>
      </c>
      <c r="C322" s="912" t="s">
        <v>4670</v>
      </c>
      <c r="D322" s="843"/>
      <c r="E322" s="828" t="s">
        <v>4670</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7049</v>
      </c>
      <c r="C323" s="824" t="s">
        <v>7050</v>
      </c>
      <c r="D323" s="843" t="s">
        <v>1012</v>
      </c>
      <c r="E323" s="828" t="s">
        <v>7051</v>
      </c>
      <c r="F323" s="885" t="s">
        <v>7052</v>
      </c>
      <c r="G323" s="843"/>
      <c r="H323" s="843"/>
      <c r="I323" s="843"/>
      <c r="J323" s="828" t="s">
        <v>7053</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7054</v>
      </c>
      <c r="C324" s="824" t="s">
        <v>7055</v>
      </c>
      <c r="D324" s="843"/>
      <c r="E324" s="843"/>
      <c r="F324" s="839" t="s">
        <v>7056</v>
      </c>
      <c r="G324" s="843"/>
      <c r="H324" s="843" t="s">
        <v>7057</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7055</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7058</v>
      </c>
      <c r="B325" s="1050" t="s">
        <v>7059</v>
      </c>
      <c r="C325" s="912" t="s">
        <v>5641</v>
      </c>
      <c r="D325" s="1068"/>
      <c r="E325" s="1068"/>
      <c r="F325" s="885" t="s">
        <v>315</v>
      </c>
      <c r="G325" s="843"/>
      <c r="H325" s="828" t="s">
        <v>1298</v>
      </c>
      <c r="I325" s="1068"/>
      <c r="J325" s="828" t="s">
        <v>5641</v>
      </c>
      <c r="K325" s="1068"/>
      <c r="L325" s="1068"/>
      <c r="M325" s="1068"/>
      <c r="N325" s="1068"/>
      <c r="O325" s="1068"/>
      <c r="P325" s="914"/>
      <c r="Q325" s="1068"/>
      <c r="R325" s="1068"/>
      <c r="S325" s="1068"/>
      <c r="T325" s="1068"/>
      <c r="U325" s="1068"/>
      <c r="V325" s="1068"/>
      <c r="W325" s="1068"/>
      <c r="X325" s="828" t="s">
        <v>4470</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7060</v>
      </c>
      <c r="C326" s="912" t="s">
        <v>4603</v>
      </c>
      <c r="D326" s="843"/>
      <c r="E326" s="828" t="s">
        <v>6041</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4603</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7061</v>
      </c>
      <c r="B327" s="1058" t="s">
        <v>6411</v>
      </c>
      <c r="C327" s="912" t="s">
        <v>7062</v>
      </c>
      <c r="D327" s="954"/>
      <c r="E327" s="954"/>
      <c r="F327" s="878"/>
      <c r="G327" s="843"/>
      <c r="H327" s="828" t="s">
        <v>7062</v>
      </c>
      <c r="I327" s="954"/>
      <c r="J327" s="954"/>
      <c r="K327" s="954"/>
      <c r="L327" s="954"/>
      <c r="M327" s="828" t="s">
        <v>7063</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7064</v>
      </c>
      <c r="B328" s="1058" t="s">
        <v>7065</v>
      </c>
      <c r="C328" s="912" t="s">
        <v>3312</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3312</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7066</v>
      </c>
      <c r="C329" s="912" t="s">
        <v>755</v>
      </c>
      <c r="D329" s="914"/>
      <c r="E329" s="914"/>
      <c r="F329" s="885" t="s">
        <v>7067</v>
      </c>
      <c r="G329" s="843"/>
      <c r="H329" s="828" t="s">
        <v>755</v>
      </c>
      <c r="I329" s="914"/>
      <c r="J329" s="914"/>
      <c r="K329" s="914"/>
      <c r="L329" s="914"/>
      <c r="M329" s="914"/>
      <c r="N329" s="914"/>
      <c r="O329" s="828" t="s">
        <v>459</v>
      </c>
      <c r="P329" s="914"/>
      <c r="Q329" s="914"/>
      <c r="R329" s="914"/>
      <c r="S329" s="914"/>
      <c r="T329" s="914"/>
      <c r="U329" s="914"/>
      <c r="V329" s="914"/>
      <c r="W329" s="914" t="s">
        <v>977</v>
      </c>
      <c r="X329" s="1069" t="s">
        <v>7068</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7069</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7071</v>
      </c>
      <c r="H2" s="1076" t="s">
        <v>47</v>
      </c>
      <c r="I2" s="1076" t="s">
        <v>48</v>
      </c>
      <c r="J2" s="1076" t="s">
        <v>7072</v>
      </c>
      <c r="K2" s="1076" t="s">
        <v>54</v>
      </c>
      <c r="N2" s="1076" t="s">
        <v>7073</v>
      </c>
      <c r="P2" s="1077"/>
      <c r="Q2" s="1078" t="s">
        <v>47</v>
      </c>
      <c r="R2" s="1078" t="s">
        <v>7074</v>
      </c>
      <c r="S2" s="1078" t="s">
        <v>52</v>
      </c>
      <c r="T2" s="1078" t="s">
        <v>53</v>
      </c>
      <c r="U2" s="1078" t="s">
        <v>54</v>
      </c>
      <c r="V2" s="1078" t="s">
        <v>7075</v>
      </c>
      <c r="W2" s="1077"/>
      <c r="X2" s="1079" t="s">
        <v>47</v>
      </c>
      <c r="Y2" s="1079" t="s">
        <v>48</v>
      </c>
      <c r="Z2" s="1079" t="s">
        <v>49</v>
      </c>
      <c r="AA2" s="1079" t="s">
        <v>50</v>
      </c>
      <c r="AC2" s="1079" t="s">
        <v>52</v>
      </c>
      <c r="AD2" s="1079" t="s">
        <v>53</v>
      </c>
      <c r="AE2" s="1079" t="s">
        <v>54</v>
      </c>
      <c r="AF2" s="1079" t="s">
        <v>6646</v>
      </c>
      <c r="AG2" s="1079" t="s">
        <v>7073</v>
      </c>
      <c r="AI2" s="1077"/>
      <c r="AJ2" s="1080" t="s">
        <v>47</v>
      </c>
      <c r="AK2" s="1080" t="s">
        <v>48</v>
      </c>
      <c r="AM2" s="1080" t="s">
        <v>49</v>
      </c>
      <c r="AP2" s="1080" t="s">
        <v>51</v>
      </c>
      <c r="AR2" s="1080" t="s">
        <v>52</v>
      </c>
      <c r="AV2" s="1080" t="s">
        <v>52</v>
      </c>
      <c r="AW2" s="1080" t="s">
        <v>53</v>
      </c>
      <c r="AX2" s="1080" t="s">
        <v>7075</v>
      </c>
      <c r="AZ2" s="1081"/>
      <c r="BA2" s="1082" t="s">
        <v>47</v>
      </c>
      <c r="BB2" s="1082" t="s">
        <v>52</v>
      </c>
      <c r="BC2" s="1082" t="s">
        <v>53</v>
      </c>
      <c r="BD2" s="1082" t="s">
        <v>54</v>
      </c>
      <c r="BE2" s="1082" t="s">
        <v>7073</v>
      </c>
      <c r="BF2" s="1081"/>
      <c r="BG2" s="1083" t="s">
        <v>47</v>
      </c>
      <c r="BH2" s="1083" t="s">
        <v>48</v>
      </c>
      <c r="BI2" s="1083" t="s">
        <v>50</v>
      </c>
      <c r="BK2" s="1083" t="s">
        <v>52</v>
      </c>
      <c r="BL2" s="1083" t="s">
        <v>7073</v>
      </c>
      <c r="BN2" s="1077"/>
      <c r="BO2" s="1084" t="s">
        <v>49</v>
      </c>
      <c r="BP2" s="1084" t="s">
        <v>50</v>
      </c>
      <c r="BQ2" s="1084" t="s">
        <v>51</v>
      </c>
      <c r="BR2" s="1084" t="s">
        <v>52</v>
      </c>
      <c r="BT2" s="1084" t="s">
        <v>53</v>
      </c>
      <c r="BU2" s="1084" t="s">
        <v>54</v>
      </c>
      <c r="BW2" s="1084" t="s">
        <v>7075</v>
      </c>
      <c r="BX2" s="1081"/>
      <c r="BY2" s="1085" t="s">
        <v>7076</v>
      </c>
      <c r="BZ2" s="1086" t="s">
        <v>75</v>
      </c>
      <c r="CA2" s="1085" t="s">
        <v>80</v>
      </c>
      <c r="CD2" s="1085" t="s">
        <v>77</v>
      </c>
      <c r="CE2" s="1085" t="s">
        <v>7077</v>
      </c>
      <c r="CF2" s="1085" t="s">
        <v>7078</v>
      </c>
      <c r="CG2" s="1087" t="s">
        <v>68</v>
      </c>
      <c r="CH2" s="1085" t="s">
        <v>76</v>
      </c>
      <c r="CI2" s="1085" t="s">
        <v>66</v>
      </c>
      <c r="CJ2" s="1086" t="s">
        <v>78</v>
      </c>
    </row>
    <row r="3" ht="23.25" customHeight="1">
      <c r="J3" s="1088" t="s">
        <v>7079</v>
      </c>
      <c r="K3" s="1088" t="s">
        <v>7080</v>
      </c>
      <c r="L3" s="1089" t="s">
        <v>7081</v>
      </c>
      <c r="M3" s="1089" t="s">
        <v>7082</v>
      </c>
      <c r="N3" s="1089" t="s">
        <v>7083</v>
      </c>
      <c r="O3" s="1088" t="s">
        <v>7084</v>
      </c>
      <c r="P3" s="1077"/>
      <c r="W3" s="1077"/>
      <c r="AA3" s="1090" t="s">
        <v>7085</v>
      </c>
      <c r="AB3" s="1091" t="s">
        <v>91</v>
      </c>
      <c r="AF3" s="1091" t="s">
        <v>7086</v>
      </c>
      <c r="AG3" s="1090" t="s">
        <v>52</v>
      </c>
      <c r="AH3" s="1092" t="s">
        <v>49</v>
      </c>
      <c r="AI3" s="1077"/>
      <c r="AK3" s="1093" t="s">
        <v>7087</v>
      </c>
      <c r="AL3" s="1093" t="s">
        <v>7088</v>
      </c>
      <c r="AM3" s="1094" t="s">
        <v>7083</v>
      </c>
      <c r="AN3" s="1094" t="s">
        <v>7089</v>
      </c>
      <c r="AO3" s="1094" t="s">
        <v>7090</v>
      </c>
      <c r="AP3" s="1094" t="s">
        <v>7083</v>
      </c>
      <c r="AQ3" s="1095" t="s">
        <v>7091</v>
      </c>
      <c r="AR3" s="1094" t="s">
        <v>7092</v>
      </c>
      <c r="AS3" s="1094" t="s">
        <v>7093</v>
      </c>
      <c r="AT3" s="1094" t="s">
        <v>7094</v>
      </c>
      <c r="AU3" s="1094" t="s">
        <v>7095</v>
      </c>
      <c r="AX3" s="1094" t="s">
        <v>7096</v>
      </c>
      <c r="AY3" s="1094" t="s">
        <v>7097</v>
      </c>
      <c r="AZ3" s="1081"/>
      <c r="BF3" s="1096"/>
      <c r="BI3" s="1083" t="s">
        <v>7098</v>
      </c>
      <c r="BJ3" s="1083" t="s">
        <v>7099</v>
      </c>
      <c r="BL3" s="1097" t="s">
        <v>88</v>
      </c>
      <c r="BM3" s="1097" t="s">
        <v>7100</v>
      </c>
      <c r="BN3" s="1077"/>
      <c r="BR3" s="1098" t="s">
        <v>7090</v>
      </c>
      <c r="BS3" s="1098" t="s">
        <v>7101</v>
      </c>
      <c r="BU3" s="1098" t="s">
        <v>7083</v>
      </c>
      <c r="BV3" s="1098" t="s">
        <v>7090</v>
      </c>
      <c r="BX3" s="1081"/>
      <c r="CA3" s="1099" t="s">
        <v>7102</v>
      </c>
      <c r="CB3" s="1099" t="s">
        <v>7103</v>
      </c>
      <c r="CC3" s="1099" t="s">
        <v>7104</v>
      </c>
      <c r="CJ3" s="1099" t="s">
        <v>7105</v>
      </c>
      <c r="CK3" s="1099" t="s">
        <v>7106</v>
      </c>
    </row>
    <row r="4">
      <c r="A4" s="1100" t="s">
        <v>6391</v>
      </c>
      <c r="B4" s="1101" t="s">
        <v>7107</v>
      </c>
      <c r="C4" s="1102" t="s">
        <v>332</v>
      </c>
      <c r="D4" s="1103" t="s">
        <v>438</v>
      </c>
      <c r="E4" s="1104" t="s">
        <v>332</v>
      </c>
      <c r="F4" s="1105" t="s">
        <v>3332</v>
      </c>
      <c r="G4" s="1101" t="s">
        <v>5044</v>
      </c>
      <c r="H4" s="1106"/>
      <c r="I4" s="1107" t="s">
        <v>1328</v>
      </c>
      <c r="J4" s="1107"/>
      <c r="K4" s="1108" t="s">
        <v>7108</v>
      </c>
      <c r="L4" s="1107" t="s">
        <v>7109</v>
      </c>
      <c r="M4" s="1106"/>
      <c r="N4" s="1106"/>
      <c r="O4" s="1109" t="s">
        <v>7110</v>
      </c>
      <c r="P4" s="1110"/>
      <c r="Q4" s="1111" t="s">
        <v>7111</v>
      </c>
      <c r="R4" s="1112"/>
      <c r="S4" s="1112"/>
      <c r="T4" s="1113" t="s">
        <v>6602</v>
      </c>
      <c r="U4" s="1114"/>
      <c r="V4" s="1115" t="s">
        <v>7112</v>
      </c>
      <c r="W4" s="1110"/>
      <c r="X4" s="1116" t="s">
        <v>138</v>
      </c>
      <c r="Y4" s="1116" t="s">
        <v>7113</v>
      </c>
      <c r="Z4" s="1117" t="s">
        <v>4437</v>
      </c>
      <c r="AA4" s="1118" t="s">
        <v>2253</v>
      </c>
      <c r="AB4" s="1118" t="s">
        <v>792</v>
      </c>
      <c r="AC4" s="1119" t="s">
        <v>2806</v>
      </c>
      <c r="AD4" s="1119" t="s">
        <v>1215</v>
      </c>
      <c r="AE4" s="1118" t="s">
        <v>5575</v>
      </c>
      <c r="AF4" s="1120"/>
      <c r="AG4" s="1119" t="s">
        <v>7114</v>
      </c>
      <c r="AH4" s="1121"/>
      <c r="AI4" s="1110"/>
      <c r="AJ4" s="1122"/>
      <c r="AK4" s="1122" t="s">
        <v>4005</v>
      </c>
      <c r="AL4" s="1123"/>
      <c r="AM4" s="1122" t="s">
        <v>2076</v>
      </c>
      <c r="AN4" s="1122"/>
      <c r="AO4" s="1124" t="s">
        <v>2413</v>
      </c>
      <c r="AP4" s="1123"/>
      <c r="AQ4" s="1125" t="s">
        <v>7115</v>
      </c>
      <c r="AR4" s="1122" t="s">
        <v>6037</v>
      </c>
      <c r="AS4" s="1122" t="s">
        <v>7116</v>
      </c>
      <c r="AT4" s="1123"/>
      <c r="AU4" s="1123"/>
      <c r="AV4" s="1123"/>
      <c r="AW4" s="1126" t="s">
        <v>5997</v>
      </c>
      <c r="AX4" s="1127" t="s">
        <v>3720</v>
      </c>
      <c r="AY4" s="1122" t="s">
        <v>7117</v>
      </c>
      <c r="AZ4" s="1110"/>
      <c r="BA4" s="1128"/>
      <c r="BB4" s="1129" t="s">
        <v>7118</v>
      </c>
      <c r="BC4" s="1130" t="s">
        <v>7119</v>
      </c>
      <c r="BD4" s="1128"/>
      <c r="BE4" s="1131" t="s">
        <v>7120</v>
      </c>
      <c r="BF4" s="1110"/>
      <c r="BG4" s="1132" t="s">
        <v>7121</v>
      </c>
      <c r="BH4" s="1133" t="s">
        <v>3182</v>
      </c>
      <c r="BI4" s="1133"/>
      <c r="BJ4" s="1133"/>
      <c r="BK4" s="1134" t="s">
        <v>1973</v>
      </c>
      <c r="BL4" s="1135"/>
      <c r="BM4" s="1133" t="s">
        <v>7122</v>
      </c>
      <c r="BN4" s="1110"/>
      <c r="BO4" s="1136" t="s">
        <v>6242</v>
      </c>
      <c r="BP4" s="1137"/>
      <c r="BQ4" s="1137"/>
      <c r="BR4" s="1138" t="s">
        <v>7123</v>
      </c>
      <c r="BS4" s="1137"/>
      <c r="BT4" s="1139" t="s">
        <v>148</v>
      </c>
      <c r="BU4" s="1137"/>
      <c r="BV4" s="1140" t="s">
        <v>3791</v>
      </c>
      <c r="BW4" s="1139" t="s">
        <v>5930</v>
      </c>
      <c r="BX4" s="1110"/>
      <c r="BY4" s="1141" t="s">
        <v>2677</v>
      </c>
      <c r="BZ4" s="1142" t="s">
        <v>4190</v>
      </c>
      <c r="CA4" s="1143"/>
      <c r="CB4" s="1143"/>
      <c r="CC4" s="1143"/>
      <c r="CD4" s="1142" t="s">
        <v>1309</v>
      </c>
      <c r="CE4" s="1144" t="s">
        <v>4660</v>
      </c>
      <c r="CF4" s="1142" t="s">
        <v>7124</v>
      </c>
      <c r="CG4" s="1143"/>
      <c r="CH4" s="1143"/>
      <c r="CI4" s="1143"/>
      <c r="CJ4" s="1143"/>
      <c r="CK4" s="1143"/>
    </row>
    <row r="5">
      <c r="A5" s="1100" t="s">
        <v>7125</v>
      </c>
      <c r="B5" s="1101" t="s">
        <v>7126</v>
      </c>
      <c r="C5" s="1102" t="s">
        <v>220</v>
      </c>
      <c r="D5" s="1103" t="s">
        <v>1201</v>
      </c>
      <c r="E5" s="1104" t="s">
        <v>545</v>
      </c>
      <c r="F5" s="1105" t="s">
        <v>5044</v>
      </c>
      <c r="G5" s="1101" t="s">
        <v>2099</v>
      </c>
      <c r="H5" s="1108" t="s">
        <v>2871</v>
      </c>
      <c r="I5" s="1106"/>
      <c r="J5" s="1145" t="s">
        <v>1953</v>
      </c>
      <c r="K5" s="1146" t="s">
        <v>7127</v>
      </c>
      <c r="L5" s="1145" t="s">
        <v>7128</v>
      </c>
      <c r="M5" s="1147" t="s">
        <v>3299</v>
      </c>
      <c r="N5" s="1106"/>
      <c r="O5" s="1148" t="s">
        <v>7129</v>
      </c>
      <c r="P5" s="1149"/>
      <c r="Q5" s="1150" t="s">
        <v>7130</v>
      </c>
      <c r="R5" s="1115" t="s">
        <v>1647</v>
      </c>
      <c r="S5" s="1111" t="s">
        <v>4985</v>
      </c>
      <c r="T5" s="1111" t="s">
        <v>5562</v>
      </c>
      <c r="U5" s="1111"/>
      <c r="V5" s="1119" t="s">
        <v>7131</v>
      </c>
      <c r="W5" s="1149"/>
      <c r="X5" s="1115" t="s">
        <v>2406</v>
      </c>
      <c r="Y5" s="1119" t="s">
        <v>7132</v>
      </c>
      <c r="Z5" s="1119" t="s">
        <v>7133</v>
      </c>
      <c r="AA5" s="1117" t="s">
        <v>4949</v>
      </c>
      <c r="AB5" s="1117" t="s">
        <v>7134</v>
      </c>
      <c r="AC5" s="1116" t="s">
        <v>2686</v>
      </c>
      <c r="AD5" s="1151" t="s">
        <v>4215</v>
      </c>
      <c r="AE5" s="1151" t="s">
        <v>2522</v>
      </c>
      <c r="AF5" s="1120"/>
      <c r="AG5" s="1117" t="s">
        <v>7135</v>
      </c>
      <c r="AH5" s="1121"/>
      <c r="AI5" s="1152"/>
      <c r="AJ5" s="1122"/>
      <c r="AK5" s="1123"/>
      <c r="AL5" s="1123"/>
      <c r="AM5" s="1153" t="s">
        <v>1207</v>
      </c>
      <c r="AN5" s="1122"/>
      <c r="AO5" s="1123"/>
      <c r="AP5" s="1124" t="s">
        <v>835</v>
      </c>
      <c r="AQ5" s="1123"/>
      <c r="AR5" s="1123"/>
      <c r="AS5" s="1123"/>
      <c r="AT5" s="1154"/>
      <c r="AU5" s="1123"/>
      <c r="AV5" s="1123"/>
      <c r="AW5" s="1127" t="s">
        <v>4666</v>
      </c>
      <c r="AX5" s="1124" t="s">
        <v>1673</v>
      </c>
      <c r="AY5" s="1124" t="s">
        <v>2162</v>
      </c>
      <c r="AZ5" s="1110"/>
      <c r="BA5" s="1124" t="s">
        <v>7136</v>
      </c>
      <c r="BB5" s="1130" t="s">
        <v>7137</v>
      </c>
      <c r="BC5" s="1155" t="s">
        <v>293</v>
      </c>
      <c r="BD5" s="1129" t="s">
        <v>4220</v>
      </c>
      <c r="BE5" s="1156" t="s">
        <v>7138</v>
      </c>
      <c r="BF5" s="1110"/>
      <c r="BG5" s="1132" t="s">
        <v>7139</v>
      </c>
      <c r="BH5" s="1132" t="s">
        <v>694</v>
      </c>
      <c r="BI5" s="1157" t="s">
        <v>7140</v>
      </c>
      <c r="BJ5" s="1157" t="s">
        <v>7141</v>
      </c>
      <c r="BK5" s="1158" t="s">
        <v>7142</v>
      </c>
      <c r="BL5" s="1135"/>
      <c r="BM5" s="1159" t="s">
        <v>7143</v>
      </c>
      <c r="BN5" s="1152"/>
      <c r="BO5" s="1139" t="s">
        <v>1313</v>
      </c>
      <c r="BP5" s="1160"/>
      <c r="BQ5" s="1137"/>
      <c r="BR5" s="1138" t="s">
        <v>2682</v>
      </c>
      <c r="BS5" s="1137"/>
      <c r="BT5" s="1139" t="s">
        <v>5336</v>
      </c>
      <c r="BU5" s="1140" t="s">
        <v>2790</v>
      </c>
      <c r="BV5" s="1138"/>
      <c r="BW5" s="1139" t="s">
        <v>7144</v>
      </c>
      <c r="BX5" s="1149"/>
      <c r="BY5" s="1161" t="s">
        <v>3342</v>
      </c>
      <c r="BZ5" s="1162" t="s">
        <v>7145</v>
      </c>
      <c r="CA5" s="1163" t="s">
        <v>7146</v>
      </c>
      <c r="CB5" s="1164"/>
      <c r="CC5" s="1165"/>
      <c r="CD5" s="1163" t="s">
        <v>7147</v>
      </c>
      <c r="CE5" s="1166" t="s">
        <v>7148</v>
      </c>
      <c r="CF5" s="1163" t="s">
        <v>1592</v>
      </c>
      <c r="CG5" s="1167" t="s">
        <v>5021</v>
      </c>
      <c r="CH5" s="1141" t="s">
        <v>7149</v>
      </c>
      <c r="CI5" s="1143"/>
      <c r="CJ5" s="1163" t="s">
        <v>2172</v>
      </c>
      <c r="CK5" s="1163" t="s">
        <v>3802</v>
      </c>
    </row>
    <row r="6">
      <c r="A6" s="1168" t="s">
        <v>435</v>
      </c>
      <c r="B6" s="1101" t="s">
        <v>7150</v>
      </c>
      <c r="C6" s="1102" t="s">
        <v>437</v>
      </c>
      <c r="D6" s="1103" t="s">
        <v>334</v>
      </c>
      <c r="E6" s="1104" t="s">
        <v>1201</v>
      </c>
      <c r="F6" s="1105" t="s">
        <v>3983</v>
      </c>
      <c r="G6" s="1101" t="s">
        <v>1499</v>
      </c>
      <c r="H6" s="1169" t="s">
        <v>1605</v>
      </c>
      <c r="I6" s="1145" t="s">
        <v>2956</v>
      </c>
      <c r="J6" s="1109" t="s">
        <v>7151</v>
      </c>
      <c r="K6" s="1170" t="s">
        <v>5742</v>
      </c>
      <c r="L6" s="1169" t="s">
        <v>5412</v>
      </c>
      <c r="M6" s="1106"/>
      <c r="N6" s="1106"/>
      <c r="O6" s="1108" t="s">
        <v>7152</v>
      </c>
      <c r="P6" s="1149"/>
      <c r="Q6" s="1171" t="s">
        <v>7153</v>
      </c>
      <c r="R6" s="1171" t="s">
        <v>2678</v>
      </c>
      <c r="S6" s="1112"/>
      <c r="T6" s="1150" t="s">
        <v>231</v>
      </c>
      <c r="U6" s="1172"/>
      <c r="V6" s="1113" t="s">
        <v>7154</v>
      </c>
      <c r="W6" s="1149"/>
      <c r="X6" s="1151" t="s">
        <v>3663</v>
      </c>
      <c r="Y6" s="1151" t="s">
        <v>7155</v>
      </c>
      <c r="Z6" s="1151" t="s">
        <v>2552</v>
      </c>
      <c r="AA6" s="1173" t="s">
        <v>7156</v>
      </c>
      <c r="AB6" s="1116" t="s">
        <v>119</v>
      </c>
      <c r="AC6" s="1173" t="s">
        <v>1386</v>
      </c>
      <c r="AD6" s="1119" t="s">
        <v>1215</v>
      </c>
      <c r="AE6" s="1119" t="s">
        <v>6496</v>
      </c>
      <c r="AF6" s="1174"/>
      <c r="AG6" s="1175" t="s">
        <v>7157</v>
      </c>
      <c r="AH6" s="1121"/>
      <c r="AI6" s="1152"/>
      <c r="AJ6" s="1122"/>
      <c r="AK6" s="1122" t="s">
        <v>7158</v>
      </c>
      <c r="AL6" s="1123"/>
      <c r="AM6" s="1154" t="s">
        <v>3667</v>
      </c>
      <c r="AN6" s="1153" t="s">
        <v>3461</v>
      </c>
      <c r="AO6" s="1122" t="s">
        <v>7159</v>
      </c>
      <c r="AP6" s="1154" t="s">
        <v>2462</v>
      </c>
      <c r="AQ6" s="1176" t="s">
        <v>7160</v>
      </c>
      <c r="AR6" s="1122" t="s">
        <v>7161</v>
      </c>
      <c r="AS6" s="1123"/>
      <c r="AT6" s="1124" t="s">
        <v>4786</v>
      </c>
      <c r="AU6" s="1123"/>
      <c r="AV6" s="1123"/>
      <c r="AW6" s="1127" t="s">
        <v>4951</v>
      </c>
      <c r="AX6" s="1153" t="s">
        <v>1370</v>
      </c>
      <c r="AY6" s="1123"/>
      <c r="AZ6" s="1110"/>
      <c r="BA6" s="1177"/>
      <c r="BB6" s="1131" t="s">
        <v>7162</v>
      </c>
      <c r="BC6" s="1131" t="s">
        <v>6556</v>
      </c>
      <c r="BD6" s="1177"/>
      <c r="BE6" s="1178" t="s">
        <v>7163</v>
      </c>
      <c r="BF6" s="1110"/>
      <c r="BG6" s="1179" t="s">
        <v>3308</v>
      </c>
      <c r="BH6" s="1132" t="s">
        <v>1372</v>
      </c>
      <c r="BI6" s="1180" t="s">
        <v>5778</v>
      </c>
      <c r="BJ6" s="1181"/>
      <c r="BK6" s="1132" t="s">
        <v>7164</v>
      </c>
      <c r="BL6" s="1135"/>
      <c r="BM6" s="1133" t="s">
        <v>7165</v>
      </c>
      <c r="BN6" s="1149"/>
      <c r="BO6" s="1182" t="s">
        <v>4091</v>
      </c>
      <c r="BP6" s="1138"/>
      <c r="BQ6" s="1183" t="s">
        <v>1765</v>
      </c>
      <c r="BR6" s="1138" t="s">
        <v>7166</v>
      </c>
      <c r="BS6" s="1137"/>
      <c r="BT6" s="1183" t="s">
        <v>2053</v>
      </c>
      <c r="BU6" s="1137"/>
      <c r="BV6" s="1138" t="s">
        <v>7167</v>
      </c>
      <c r="BW6" s="1138" t="s">
        <v>2127</v>
      </c>
      <c r="BX6" s="1149"/>
      <c r="BY6" s="1167" t="s">
        <v>301</v>
      </c>
      <c r="BZ6" s="1142" t="s">
        <v>3456</v>
      </c>
      <c r="CA6" s="1164"/>
      <c r="CB6" s="1164"/>
      <c r="CC6" s="1164"/>
      <c r="CD6" s="1143"/>
      <c r="CE6" s="1143"/>
      <c r="CF6" s="1143"/>
      <c r="CG6" s="1143"/>
      <c r="CH6" s="1143"/>
      <c r="CI6" s="1143"/>
      <c r="CJ6" s="1164"/>
      <c r="CK6" s="1164"/>
    </row>
    <row r="7">
      <c r="A7" s="1184" t="s">
        <v>1552</v>
      </c>
      <c r="B7" s="1101" t="s">
        <v>7168</v>
      </c>
      <c r="C7" s="1102" t="s">
        <v>332</v>
      </c>
      <c r="D7" s="1103" t="s">
        <v>334</v>
      </c>
      <c r="E7" s="1104" t="s">
        <v>438</v>
      </c>
      <c r="F7" s="1105" t="s">
        <v>2761</v>
      </c>
      <c r="G7" s="1101" t="s">
        <v>5677</v>
      </c>
      <c r="H7" s="1169" t="s">
        <v>1362</v>
      </c>
      <c r="I7" s="1147" t="s">
        <v>7169</v>
      </c>
      <c r="J7" s="1106"/>
      <c r="K7" s="1107" t="s">
        <v>7170</v>
      </c>
      <c r="L7" s="1147" t="s">
        <v>7171</v>
      </c>
      <c r="M7" s="1106"/>
      <c r="N7" s="1108" t="s">
        <v>7172</v>
      </c>
      <c r="O7" s="1106"/>
      <c r="P7" s="1149"/>
      <c r="Q7" s="1111" t="s">
        <v>4145</v>
      </c>
      <c r="R7" s="1150" t="s">
        <v>3057</v>
      </c>
      <c r="S7" s="1172" t="s">
        <v>5725</v>
      </c>
      <c r="T7" s="1185" t="s">
        <v>5269</v>
      </c>
      <c r="U7" s="1185" t="s">
        <v>7173</v>
      </c>
      <c r="V7" s="1171" t="s">
        <v>7174</v>
      </c>
      <c r="W7" s="1149"/>
      <c r="X7" s="1173" t="s">
        <v>839</v>
      </c>
      <c r="Y7" s="1173" t="s">
        <v>7175</v>
      </c>
      <c r="Z7" s="1151" t="s">
        <v>6622</v>
      </c>
      <c r="AA7" s="1186" t="s">
        <v>4845</v>
      </c>
      <c r="AB7" s="1116" t="s">
        <v>4869</v>
      </c>
      <c r="AC7" s="1116" t="s">
        <v>5048</v>
      </c>
      <c r="AD7" s="1173" t="s">
        <v>4874</v>
      </c>
      <c r="AE7" s="1116" t="s">
        <v>6464</v>
      </c>
      <c r="AF7" s="1116"/>
      <c r="AG7" s="1187"/>
      <c r="AH7" s="1188" t="s">
        <v>7176</v>
      </c>
      <c r="AI7" s="1149"/>
      <c r="AJ7" s="1122"/>
      <c r="AK7" s="1122" t="s">
        <v>7177</v>
      </c>
      <c r="AL7" s="1122" t="s">
        <v>5455</v>
      </c>
      <c r="AM7" s="1122" t="s">
        <v>560</v>
      </c>
      <c r="AN7" s="1127" t="s">
        <v>7178</v>
      </c>
      <c r="AO7" s="1123"/>
      <c r="AP7" s="1127" t="s">
        <v>7179</v>
      </c>
      <c r="AQ7" s="1189" t="s">
        <v>4980</v>
      </c>
      <c r="AR7" s="1122" t="s">
        <v>7180</v>
      </c>
      <c r="AS7" s="1153" t="s">
        <v>7181</v>
      </c>
      <c r="AT7" s="1154"/>
      <c r="AU7" s="1122" t="s">
        <v>7182</v>
      </c>
      <c r="AV7" s="1123"/>
      <c r="AW7" s="1122" t="s">
        <v>473</v>
      </c>
      <c r="AX7" s="1127" t="s">
        <v>7183</v>
      </c>
      <c r="AY7" s="1153" t="s">
        <v>1930</v>
      </c>
      <c r="AZ7" s="1110"/>
      <c r="BA7" s="1156" t="s">
        <v>7184</v>
      </c>
      <c r="BB7" s="1130" t="s">
        <v>7185</v>
      </c>
      <c r="BC7" s="1190" t="s">
        <v>3472</v>
      </c>
      <c r="BD7" s="1177"/>
      <c r="BE7" s="1178" t="s">
        <v>7186</v>
      </c>
      <c r="BF7" s="1110"/>
      <c r="BG7" s="1179" t="s">
        <v>3308</v>
      </c>
      <c r="BH7" s="1132" t="s">
        <v>7187</v>
      </c>
      <c r="BI7" s="1133" t="s">
        <v>770</v>
      </c>
      <c r="BJ7" s="1191"/>
      <c r="BK7" s="1132" t="s">
        <v>7188</v>
      </c>
      <c r="BL7" s="1134" t="s">
        <v>7189</v>
      </c>
      <c r="BM7" s="1192" t="s">
        <v>7190</v>
      </c>
      <c r="BN7" s="1149"/>
      <c r="BO7" s="1138" t="s">
        <v>7191</v>
      </c>
      <c r="BP7" s="1160"/>
      <c r="BQ7" s="1138" t="s">
        <v>6830</v>
      </c>
      <c r="BR7" s="1193" t="s">
        <v>7192</v>
      </c>
      <c r="BS7" s="1140" t="s">
        <v>7193</v>
      </c>
      <c r="BT7" s="1138" t="s">
        <v>6640</v>
      </c>
      <c r="BU7" s="1193" t="s">
        <v>7184</v>
      </c>
      <c r="BV7" s="1139" t="s">
        <v>7194</v>
      </c>
      <c r="BW7" s="1183" t="s">
        <v>7195</v>
      </c>
      <c r="BX7" s="1149"/>
      <c r="BY7" s="1142" t="s">
        <v>7196</v>
      </c>
      <c r="BZ7" s="1142" t="s">
        <v>2606</v>
      </c>
      <c r="CA7" s="1164"/>
      <c r="CB7" s="1194" t="s">
        <v>2430</v>
      </c>
      <c r="CC7" s="1194"/>
      <c r="CD7" s="1142" t="s">
        <v>2779</v>
      </c>
      <c r="CE7" s="1195" t="s">
        <v>7197</v>
      </c>
      <c r="CF7" s="1195" t="s">
        <v>7198</v>
      </c>
      <c r="CG7" s="1161" t="s">
        <v>7199</v>
      </c>
      <c r="CH7" s="1163" t="s">
        <v>7200</v>
      </c>
      <c r="CI7" s="1163" t="s">
        <v>3546</v>
      </c>
      <c r="CJ7" s="1161" t="s">
        <v>4958</v>
      </c>
      <c r="CK7" s="1164"/>
    </row>
    <row r="8">
      <c r="A8" s="1196" t="s">
        <v>7201</v>
      </c>
      <c r="B8" s="1197" t="s">
        <v>7202</v>
      </c>
      <c r="C8" s="1102" t="s">
        <v>332</v>
      </c>
      <c r="D8" s="1103" t="s">
        <v>1201</v>
      </c>
      <c r="E8" s="1104" t="s">
        <v>1200</v>
      </c>
      <c r="F8" s="1105" t="s">
        <v>7203</v>
      </c>
      <c r="G8" s="1101" t="s">
        <v>3801</v>
      </c>
      <c r="H8" s="1198" t="s">
        <v>6907</v>
      </c>
      <c r="I8" s="1169" t="s">
        <v>7204</v>
      </c>
      <c r="J8" s="1198" t="s">
        <v>3621</v>
      </c>
      <c r="K8" s="1169" t="s">
        <v>7205</v>
      </c>
      <c r="L8" s="1199" t="s">
        <v>1953</v>
      </c>
      <c r="M8" s="1145" t="s">
        <v>7206</v>
      </c>
      <c r="N8" s="1169" t="s">
        <v>7207</v>
      </c>
      <c r="O8" s="1169" t="s">
        <v>7208</v>
      </c>
      <c r="P8" s="1149"/>
      <c r="Q8" s="1115" t="s">
        <v>7209</v>
      </c>
      <c r="R8" s="1115" t="s">
        <v>2090</v>
      </c>
      <c r="S8" s="1113" t="s">
        <v>727</v>
      </c>
      <c r="T8" s="1115" t="s">
        <v>5099</v>
      </c>
      <c r="U8" s="1171" t="s">
        <v>7210</v>
      </c>
      <c r="V8" s="1113" t="s">
        <v>7211</v>
      </c>
      <c r="W8" s="1149"/>
      <c r="X8" s="1118" t="s">
        <v>919</v>
      </c>
      <c r="Y8" s="1117" t="s">
        <v>7212</v>
      </c>
      <c r="Z8" s="1151" t="s">
        <v>7213</v>
      </c>
      <c r="AA8" s="1151" t="s">
        <v>7214</v>
      </c>
      <c r="AB8" s="1186" t="s">
        <v>4300</v>
      </c>
      <c r="AC8" s="1151" t="s">
        <v>5611</v>
      </c>
      <c r="AD8" s="1151" t="s">
        <v>128</v>
      </c>
      <c r="AE8" s="1151" t="s">
        <v>7215</v>
      </c>
      <c r="AF8" s="1120"/>
      <c r="AG8" s="1175" t="s">
        <v>7216</v>
      </c>
      <c r="AH8" s="1200" t="s">
        <v>7217</v>
      </c>
      <c r="AI8" s="1149"/>
      <c r="AJ8" s="1201"/>
      <c r="AK8" s="1153" t="s">
        <v>100</v>
      </c>
      <c r="AL8" s="1176" t="s">
        <v>7218</v>
      </c>
      <c r="AM8" s="1127" t="s">
        <v>2187</v>
      </c>
      <c r="AN8" s="1122" t="s">
        <v>4617</v>
      </c>
      <c r="AO8" s="1122" t="s">
        <v>7219</v>
      </c>
      <c r="AP8" s="1127" t="s">
        <v>7220</v>
      </c>
      <c r="AQ8" s="1122" t="s">
        <v>7221</v>
      </c>
      <c r="AR8" s="1153" t="s">
        <v>7222</v>
      </c>
      <c r="AS8" s="1127" t="s">
        <v>7223</v>
      </c>
      <c r="AT8" s="1176" t="s">
        <v>7224</v>
      </c>
      <c r="AU8" s="1124" t="s">
        <v>7225</v>
      </c>
      <c r="AV8" s="1176" t="s">
        <v>7226</v>
      </c>
      <c r="AW8" s="1127" t="s">
        <v>2828</v>
      </c>
      <c r="AX8" s="1176" t="s">
        <v>2235</v>
      </c>
      <c r="AY8" s="1176" t="s">
        <v>7227</v>
      </c>
      <c r="AZ8" s="1110"/>
      <c r="BA8" s="1131" t="s">
        <v>7228</v>
      </c>
      <c r="BB8" s="1178" t="s">
        <v>7229</v>
      </c>
      <c r="BC8" s="1202" t="s">
        <v>3675</v>
      </c>
      <c r="BD8" s="1203"/>
      <c r="BE8" s="1130" t="s">
        <v>7230</v>
      </c>
      <c r="BF8" s="1110"/>
      <c r="BG8" s="1157" t="s">
        <v>7231</v>
      </c>
      <c r="BH8" s="1204" t="s">
        <v>3473</v>
      </c>
      <c r="BI8" s="1132" t="s">
        <v>609</v>
      </c>
      <c r="BJ8" s="1133" t="s">
        <v>7232</v>
      </c>
      <c r="BK8" s="1132" t="s">
        <v>7233</v>
      </c>
      <c r="BL8" s="1132" t="s">
        <v>7234</v>
      </c>
      <c r="BM8" s="1132" t="s">
        <v>7235</v>
      </c>
      <c r="BN8" s="1149"/>
      <c r="BO8" s="1139" t="s">
        <v>2462</v>
      </c>
      <c r="BP8" s="1140" t="s">
        <v>5628</v>
      </c>
      <c r="BQ8" s="1139" t="s">
        <v>6021</v>
      </c>
      <c r="BR8" s="1139" t="s">
        <v>3966</v>
      </c>
      <c r="BS8" s="1139" t="s">
        <v>816</v>
      </c>
      <c r="BT8" s="1139" t="s">
        <v>1282</v>
      </c>
      <c r="BU8" s="1183" t="s">
        <v>3966</v>
      </c>
      <c r="BV8" s="1182" t="s">
        <v>7236</v>
      </c>
      <c r="BW8" s="1139" t="s">
        <v>7237</v>
      </c>
      <c r="BX8" s="1149"/>
      <c r="BY8" s="1167" t="s">
        <v>7238</v>
      </c>
      <c r="BZ8" s="1161" t="s">
        <v>5130</v>
      </c>
      <c r="CA8" s="1195" t="s">
        <v>2341</v>
      </c>
      <c r="CB8" s="1161" t="s">
        <v>3410</v>
      </c>
      <c r="CC8" s="1161"/>
      <c r="CD8" s="1205"/>
      <c r="CE8" s="1167" t="s">
        <v>2686</v>
      </c>
      <c r="CF8" s="1167" t="s">
        <v>6862</v>
      </c>
      <c r="CG8" s="1167" t="s">
        <v>7239</v>
      </c>
      <c r="CH8" s="1167" t="s">
        <v>2202</v>
      </c>
      <c r="CI8" s="1195" t="s">
        <v>7240</v>
      </c>
      <c r="CJ8" s="1195" t="s">
        <v>3179</v>
      </c>
      <c r="CK8" s="1161"/>
    </row>
    <row r="9">
      <c r="A9" s="1168" t="s">
        <v>1416</v>
      </c>
      <c r="B9" s="1101" t="s">
        <v>7241</v>
      </c>
      <c r="C9" s="1102" t="s">
        <v>437</v>
      </c>
      <c r="D9" s="1103" t="s">
        <v>646</v>
      </c>
      <c r="E9" s="1104" t="s">
        <v>438</v>
      </c>
      <c r="F9" s="1105" t="s">
        <v>218</v>
      </c>
      <c r="G9" s="1101" t="s">
        <v>1725</v>
      </c>
      <c r="H9" s="1106"/>
      <c r="I9" s="1169" t="s">
        <v>7242</v>
      </c>
      <c r="J9" s="1170"/>
      <c r="K9" s="1145" t="s">
        <v>7243</v>
      </c>
      <c r="L9" s="1198" t="s">
        <v>2969</v>
      </c>
      <c r="M9" s="1106"/>
      <c r="N9" s="1106"/>
      <c r="O9" s="1147" t="s">
        <v>7244</v>
      </c>
      <c r="P9" s="1149"/>
      <c r="Q9" s="1115" t="s">
        <v>6697</v>
      </c>
      <c r="R9" s="1112"/>
      <c r="S9" s="1112"/>
      <c r="T9" s="1206" t="s">
        <v>5684</v>
      </c>
      <c r="U9" s="1111"/>
      <c r="V9" s="1185" t="s">
        <v>7245</v>
      </c>
      <c r="W9" s="1149"/>
      <c r="X9" s="1151" t="s">
        <v>589</v>
      </c>
      <c r="Y9" s="1207" t="s">
        <v>6617</v>
      </c>
      <c r="Z9" s="1173" t="s">
        <v>3121</v>
      </c>
      <c r="AA9" s="1173" t="s">
        <v>5446</v>
      </c>
      <c r="AB9" s="1151" t="s">
        <v>2345</v>
      </c>
      <c r="AC9" s="1173" t="s">
        <v>7246</v>
      </c>
      <c r="AD9" s="1208" t="s">
        <v>2444</v>
      </c>
      <c r="AE9" s="1151" t="s">
        <v>655</v>
      </c>
      <c r="AF9" s="1174"/>
      <c r="AG9" s="1118" t="s">
        <v>7247</v>
      </c>
      <c r="AH9" s="1209" t="s">
        <v>7248</v>
      </c>
      <c r="AI9" s="1152"/>
      <c r="AJ9" s="1123"/>
      <c r="AK9" s="1154" t="s">
        <v>7249</v>
      </c>
      <c r="AL9" s="1153" t="s">
        <v>5804</v>
      </c>
      <c r="AM9" s="1127" t="s">
        <v>657</v>
      </c>
      <c r="AN9" s="1210"/>
      <c r="AO9" s="1127" t="s">
        <v>5650</v>
      </c>
      <c r="AP9" s="1154" t="s">
        <v>7250</v>
      </c>
      <c r="AQ9" s="1211" t="s">
        <v>5697</v>
      </c>
      <c r="AR9" s="1123"/>
      <c r="AS9" s="1123"/>
      <c r="AT9" s="1154"/>
      <c r="AU9" s="1123"/>
      <c r="AV9" s="1154" t="s">
        <v>7251</v>
      </c>
      <c r="AW9" s="1154" t="s">
        <v>890</v>
      </c>
      <c r="AX9" s="1189" t="s">
        <v>7252</v>
      </c>
      <c r="AY9" s="1189" t="s">
        <v>7253</v>
      </c>
      <c r="AZ9" s="1110"/>
      <c r="BA9" s="1212"/>
      <c r="BB9" s="1213" t="s">
        <v>7254</v>
      </c>
      <c r="BC9" s="1130" t="s">
        <v>5293</v>
      </c>
      <c r="BD9" s="1177"/>
      <c r="BE9" s="1130" t="s">
        <v>7255</v>
      </c>
      <c r="BF9" s="1110"/>
      <c r="BG9" s="1132" t="s">
        <v>7256</v>
      </c>
      <c r="BH9" s="1214" t="s">
        <v>4688</v>
      </c>
      <c r="BI9" s="1135"/>
      <c r="BJ9" s="1191"/>
      <c r="BK9" s="1135"/>
      <c r="BL9" s="1135"/>
      <c r="BM9" s="1215" t="s">
        <v>7257</v>
      </c>
      <c r="BN9" s="1152"/>
      <c r="BO9" s="1139" t="s">
        <v>7258</v>
      </c>
      <c r="BP9" s="1160"/>
      <c r="BQ9" s="1137"/>
      <c r="BR9" s="1140" t="s">
        <v>7259</v>
      </c>
      <c r="BS9" s="1137"/>
      <c r="BT9" s="1160" t="s">
        <v>295</v>
      </c>
      <c r="BU9" s="1137"/>
      <c r="BV9" s="1160" t="s">
        <v>7260</v>
      </c>
      <c r="BW9" s="1139" t="s">
        <v>7261</v>
      </c>
      <c r="BX9" s="1152"/>
      <c r="BY9" s="1216"/>
      <c r="BZ9" s="1195" t="s">
        <v>724</v>
      </c>
      <c r="CA9" s="1164"/>
      <c r="CB9" s="1164"/>
      <c r="CC9" s="1164"/>
      <c r="CD9" s="1161" t="s">
        <v>4372</v>
      </c>
      <c r="CE9" s="1143"/>
      <c r="CF9" s="1161" t="s">
        <v>7262</v>
      </c>
      <c r="CG9" s="1194" t="s">
        <v>2595</v>
      </c>
      <c r="CH9" s="1143"/>
      <c r="CI9" s="1143"/>
      <c r="CJ9" s="1164"/>
      <c r="CK9" s="1164"/>
    </row>
    <row r="10">
      <c r="A10" s="1217" t="s">
        <v>911</v>
      </c>
      <c r="B10" s="1101" t="s">
        <v>7241</v>
      </c>
      <c r="C10" s="1102" t="s">
        <v>333</v>
      </c>
      <c r="D10" s="1103" t="s">
        <v>438</v>
      </c>
      <c r="E10" s="1104" t="s">
        <v>646</v>
      </c>
      <c r="F10" s="1105" t="s">
        <v>5961</v>
      </c>
      <c r="G10" s="1101" t="s">
        <v>2869</v>
      </c>
      <c r="H10" s="1106"/>
      <c r="I10" s="1198" t="s">
        <v>7263</v>
      </c>
      <c r="J10" s="1107" t="s">
        <v>7264</v>
      </c>
      <c r="K10" s="1107"/>
      <c r="L10" s="1108" t="s">
        <v>7265</v>
      </c>
      <c r="M10" s="1106"/>
      <c r="N10" s="1145" t="s">
        <v>7266</v>
      </c>
      <c r="O10" s="1106"/>
      <c r="P10" s="1149"/>
      <c r="Q10" s="1218" t="s">
        <v>7267</v>
      </c>
      <c r="R10" s="1218" t="s">
        <v>2115</v>
      </c>
      <c r="S10" s="1112"/>
      <c r="T10" s="1112"/>
      <c r="U10" s="1150" t="s">
        <v>7268</v>
      </c>
      <c r="V10" s="1113" t="s">
        <v>7269</v>
      </c>
      <c r="W10" s="1149"/>
      <c r="X10" s="1117" t="s">
        <v>7270</v>
      </c>
      <c r="Y10" s="1116"/>
      <c r="Z10" s="1116" t="s">
        <v>7271</v>
      </c>
      <c r="AA10" s="1219" t="s">
        <v>7272</v>
      </c>
      <c r="AB10" s="1116"/>
      <c r="AC10" s="1116" t="s">
        <v>7273</v>
      </c>
      <c r="AD10" s="1119" t="s">
        <v>1215</v>
      </c>
      <c r="AE10" s="1187"/>
      <c r="AF10" s="1187"/>
      <c r="AG10" s="1116" t="s">
        <v>7274</v>
      </c>
      <c r="AH10" s="1121"/>
      <c r="AI10" s="1149"/>
      <c r="AJ10" s="1123"/>
      <c r="AK10" s="1123"/>
      <c r="AL10" s="1123"/>
      <c r="AM10" s="1124" t="s">
        <v>6064</v>
      </c>
      <c r="AN10" s="1123"/>
      <c r="AO10" s="1153" t="s">
        <v>1987</v>
      </c>
      <c r="AP10" s="1176" t="s">
        <v>7275</v>
      </c>
      <c r="AQ10" s="1124" t="s">
        <v>7276</v>
      </c>
      <c r="AR10" s="1123"/>
      <c r="AS10" s="1123"/>
      <c r="AT10" s="1154"/>
      <c r="AU10" s="1123"/>
      <c r="AV10" s="1123"/>
      <c r="AW10" s="1124" t="s">
        <v>3167</v>
      </c>
      <c r="AX10" s="1123"/>
      <c r="AY10" s="1123"/>
      <c r="AZ10" s="1110"/>
      <c r="BA10" s="1212"/>
      <c r="BB10" s="1212"/>
      <c r="BC10" s="1129" t="s">
        <v>6447</v>
      </c>
      <c r="BD10" s="1177"/>
      <c r="BE10" s="1178" t="s">
        <v>7277</v>
      </c>
      <c r="BF10" s="1110"/>
      <c r="BG10" s="1158" t="s">
        <v>7278</v>
      </c>
      <c r="BH10" s="1158" t="s">
        <v>6999</v>
      </c>
      <c r="BI10" s="1134" t="s">
        <v>325</v>
      </c>
      <c r="BJ10" s="1191"/>
      <c r="BK10" s="1135"/>
      <c r="BL10" s="1135"/>
      <c r="BM10" s="1133" t="s">
        <v>7279</v>
      </c>
      <c r="BN10" s="1149"/>
      <c r="BO10" s="1140" t="s">
        <v>7280</v>
      </c>
      <c r="BP10" s="1160"/>
      <c r="BQ10" s="1138" t="s">
        <v>7281</v>
      </c>
      <c r="BR10" s="1137"/>
      <c r="BS10" s="1137"/>
      <c r="BT10" s="1182" t="s">
        <v>958</v>
      </c>
      <c r="BU10" s="1137"/>
      <c r="BV10" s="1138" t="s">
        <v>3990</v>
      </c>
      <c r="BW10" s="1138" t="s">
        <v>7282</v>
      </c>
      <c r="BX10" s="1149"/>
      <c r="BY10" s="1142" t="s">
        <v>894</v>
      </c>
      <c r="BZ10" s="1163" t="s">
        <v>7283</v>
      </c>
      <c r="CA10" s="1164"/>
      <c r="CB10" s="1164"/>
      <c r="CC10" s="1164"/>
      <c r="CD10" s="1143"/>
      <c r="CE10" s="1143"/>
      <c r="CF10" s="1143"/>
      <c r="CG10" s="1143"/>
      <c r="CH10" s="1143"/>
      <c r="CI10" s="1143"/>
      <c r="CJ10" s="1164"/>
      <c r="CK10" s="1164"/>
    </row>
    <row r="11">
      <c r="A11" s="1168" t="s">
        <v>330</v>
      </c>
      <c r="B11" s="1101" t="s">
        <v>7284</v>
      </c>
      <c r="C11" s="1102" t="s">
        <v>332</v>
      </c>
      <c r="D11" s="1103" t="s">
        <v>1201</v>
      </c>
      <c r="E11" s="1104" t="s">
        <v>439</v>
      </c>
      <c r="F11" s="1105" t="s">
        <v>3854</v>
      </c>
      <c r="G11" s="1101" t="s">
        <v>1499</v>
      </c>
      <c r="H11" s="1220" t="s">
        <v>2753</v>
      </c>
      <c r="I11" s="1108" t="s">
        <v>7285</v>
      </c>
      <c r="J11" s="1108" t="s">
        <v>7286</v>
      </c>
      <c r="K11" s="1198" t="s">
        <v>713</v>
      </c>
      <c r="L11" s="1221" t="s">
        <v>7287</v>
      </c>
      <c r="M11" s="1106"/>
      <c r="N11" s="1106"/>
      <c r="O11" s="1147" t="s">
        <v>7288</v>
      </c>
      <c r="P11" s="1149"/>
      <c r="Q11" s="1115" t="s">
        <v>7289</v>
      </c>
      <c r="R11" s="1112"/>
      <c r="S11" s="1112"/>
      <c r="T11" s="1171" t="s">
        <v>5235</v>
      </c>
      <c r="U11" s="1111"/>
      <c r="V11" s="1185" t="s">
        <v>7290</v>
      </c>
      <c r="W11" s="1149"/>
      <c r="X11" s="1187"/>
      <c r="Y11" s="1173" t="s">
        <v>7291</v>
      </c>
      <c r="Z11" s="1207" t="s">
        <v>7287</v>
      </c>
      <c r="AA11" s="1207" t="s">
        <v>7292</v>
      </c>
      <c r="AB11" s="1119" t="s">
        <v>3384</v>
      </c>
      <c r="AC11" s="1173" t="s">
        <v>2722</v>
      </c>
      <c r="AD11" s="1151" t="s">
        <v>2422</v>
      </c>
      <c r="AE11" s="1117" t="s">
        <v>1249</v>
      </c>
      <c r="AF11" s="1174"/>
      <c r="AG11" s="1207" t="s">
        <v>7293</v>
      </c>
      <c r="AH11" s="1121"/>
      <c r="AI11" s="1149"/>
      <c r="AJ11" s="1222"/>
      <c r="AK11" s="1127" t="s">
        <v>7294</v>
      </c>
      <c r="AL11" s="1123"/>
      <c r="AM11" s="1223"/>
      <c r="AN11" s="1223" t="s">
        <v>6007</v>
      </c>
      <c r="AO11" s="1224" t="s">
        <v>4748</v>
      </c>
      <c r="AP11" s="1225" t="s">
        <v>7295</v>
      </c>
      <c r="AQ11" s="1225" t="s">
        <v>7296</v>
      </c>
      <c r="AR11" s="1226"/>
      <c r="AS11" s="1124" t="s">
        <v>7116</v>
      </c>
      <c r="AT11" s="1227"/>
      <c r="AU11" s="1210"/>
      <c r="AV11" s="1124" t="s">
        <v>7297</v>
      </c>
      <c r="AW11" s="1153" t="s">
        <v>7298</v>
      </c>
      <c r="AX11" s="1189" t="s">
        <v>7299</v>
      </c>
      <c r="AY11" s="1189" t="s">
        <v>7300</v>
      </c>
      <c r="AZ11" s="1110"/>
      <c r="BA11" s="1128"/>
      <c r="BB11" s="1156" t="s">
        <v>7301</v>
      </c>
      <c r="BC11" s="1130" t="s">
        <v>3716</v>
      </c>
      <c r="BD11" s="1177"/>
      <c r="BE11" s="1213" t="s">
        <v>7302</v>
      </c>
      <c r="BF11" s="1110"/>
      <c r="BG11" s="1134" t="s">
        <v>7303</v>
      </c>
      <c r="BH11" s="1179" t="s">
        <v>5366</v>
      </c>
      <c r="BI11" s="1133"/>
      <c r="BJ11" s="1228"/>
      <c r="BK11" s="1228" t="s">
        <v>7304</v>
      </c>
      <c r="BL11" s="1135"/>
      <c r="BM11" s="1228" t="s">
        <v>7305</v>
      </c>
      <c r="BN11" s="1149"/>
      <c r="BO11" s="1183" t="s">
        <v>7306</v>
      </c>
      <c r="BP11" s="1160"/>
      <c r="BQ11" s="1182" t="s">
        <v>695</v>
      </c>
      <c r="BR11" s="1193" t="s">
        <v>7307</v>
      </c>
      <c r="BS11" s="1137"/>
      <c r="BT11" s="1139" t="s">
        <v>4669</v>
      </c>
      <c r="BU11" s="1137"/>
      <c r="BV11" s="1160" t="s">
        <v>7308</v>
      </c>
      <c r="BW11" s="1229" t="s">
        <v>7309</v>
      </c>
      <c r="BX11" s="1152"/>
      <c r="BY11" s="1194" t="s">
        <v>4421</v>
      </c>
      <c r="BZ11" s="1143"/>
      <c r="CA11" s="1230"/>
      <c r="CB11" s="1163" t="s">
        <v>2844</v>
      </c>
      <c r="CC11" s="1231"/>
      <c r="CD11" s="1194" t="s">
        <v>1174</v>
      </c>
      <c r="CE11" s="1143"/>
      <c r="CF11" s="1194" t="s">
        <v>7310</v>
      </c>
      <c r="CG11" s="1143"/>
      <c r="CH11" s="1161" t="s">
        <v>4756</v>
      </c>
      <c r="CI11" s="1143"/>
      <c r="CJ11" s="1164"/>
      <c r="CK11" s="1164"/>
    </row>
    <row r="12">
      <c r="A12" s="1100" t="s">
        <v>2399</v>
      </c>
      <c r="B12" s="1101" t="s">
        <v>7311</v>
      </c>
      <c r="C12" s="1102" t="s">
        <v>437</v>
      </c>
      <c r="D12" s="1103" t="s">
        <v>332</v>
      </c>
      <c r="E12" s="1104" t="s">
        <v>438</v>
      </c>
      <c r="F12" s="1105" t="s">
        <v>2099</v>
      </c>
      <c r="G12" s="1101" t="s">
        <v>2099</v>
      </c>
      <c r="H12" s="1169" t="s">
        <v>1207</v>
      </c>
      <c r="I12" s="1169" t="s">
        <v>7312</v>
      </c>
      <c r="J12" s="1198" t="s">
        <v>3621</v>
      </c>
      <c r="K12" s="1169" t="s">
        <v>1955</v>
      </c>
      <c r="L12" s="1106"/>
      <c r="M12" s="1106"/>
      <c r="N12" s="1106"/>
      <c r="O12" s="1198" t="s">
        <v>7313</v>
      </c>
      <c r="P12" s="1149"/>
      <c r="Q12" s="1115" t="s">
        <v>7314</v>
      </c>
      <c r="R12" s="1112"/>
      <c r="S12" s="1171" t="s">
        <v>7315</v>
      </c>
      <c r="T12" s="1115" t="s">
        <v>5178</v>
      </c>
      <c r="U12" s="1115" t="s">
        <v>7316</v>
      </c>
      <c r="V12" s="1115" t="s">
        <v>7317</v>
      </c>
      <c r="W12" s="1149"/>
      <c r="X12" s="1151" t="s">
        <v>2645</v>
      </c>
      <c r="Y12" s="1118" t="s">
        <v>7318</v>
      </c>
      <c r="Z12" s="1151" t="s">
        <v>7319</v>
      </c>
      <c r="AA12" s="1151" t="s">
        <v>7214</v>
      </c>
      <c r="AB12" s="1151" t="s">
        <v>6148</v>
      </c>
      <c r="AC12" s="1151" t="s">
        <v>7320</v>
      </c>
      <c r="AD12" s="1151" t="s">
        <v>1060</v>
      </c>
      <c r="AE12" s="1151" t="s">
        <v>7321</v>
      </c>
      <c r="AF12" s="1174"/>
      <c r="AG12" s="1151" t="s">
        <v>7322</v>
      </c>
      <c r="AH12" s="1121"/>
      <c r="AI12" s="1149"/>
      <c r="AJ12" s="1222"/>
      <c r="AK12" s="1176" t="s">
        <v>2017</v>
      </c>
      <c r="AL12" s="1123"/>
      <c r="AM12" s="1127" t="s">
        <v>4241</v>
      </c>
      <c r="AN12" s="1123"/>
      <c r="AO12" s="1123"/>
      <c r="AP12" s="1127" t="s">
        <v>3474</v>
      </c>
      <c r="AQ12" s="1123"/>
      <c r="AR12" s="1124" t="s">
        <v>7323</v>
      </c>
      <c r="AS12" s="1127" t="s">
        <v>7324</v>
      </c>
      <c r="AT12" s="1154"/>
      <c r="AU12" s="1153" t="s">
        <v>7325</v>
      </c>
      <c r="AV12" s="1123"/>
      <c r="AW12" s="1127" t="s">
        <v>5329</v>
      </c>
      <c r="AX12" s="1127" t="s">
        <v>4718</v>
      </c>
      <c r="AY12" s="1127" t="s">
        <v>7326</v>
      </c>
      <c r="AZ12" s="1110"/>
      <c r="BA12" s="1130" t="s">
        <v>7327</v>
      </c>
      <c r="BB12" s="1130" t="s">
        <v>7328</v>
      </c>
      <c r="BC12" s="1130" t="s">
        <v>5226</v>
      </c>
      <c r="BD12" s="1177"/>
      <c r="BE12" s="1130" t="s">
        <v>7329</v>
      </c>
      <c r="BF12" s="1110"/>
      <c r="BG12" s="1132" t="s">
        <v>7330</v>
      </c>
      <c r="BH12" s="1132" t="s">
        <v>3255</v>
      </c>
      <c r="BI12" s="1132" t="s">
        <v>2172</v>
      </c>
      <c r="BJ12" s="1232" t="s">
        <v>7331</v>
      </c>
      <c r="BK12" s="1132" t="s">
        <v>3083</v>
      </c>
      <c r="BL12" s="1135"/>
      <c r="BM12" s="1132" t="s">
        <v>7332</v>
      </c>
      <c r="BN12" s="1149"/>
      <c r="BO12" s="1137"/>
      <c r="BP12" s="1160"/>
      <c r="BQ12" s="1139" t="s">
        <v>2627</v>
      </c>
      <c r="BR12" s="1139" t="s">
        <v>7333</v>
      </c>
      <c r="BS12" s="1137"/>
      <c r="BT12" s="1139" t="s">
        <v>171</v>
      </c>
      <c r="BU12" s="1137"/>
      <c r="BV12" s="1139" t="s">
        <v>7334</v>
      </c>
      <c r="BW12" s="1139" t="s">
        <v>5934</v>
      </c>
      <c r="BX12" s="1149"/>
      <c r="BY12" s="1167" t="s">
        <v>7159</v>
      </c>
      <c r="BZ12" s="1167" t="s">
        <v>2649</v>
      </c>
      <c r="CA12" s="1233" t="s">
        <v>7335</v>
      </c>
      <c r="CB12" s="1164"/>
      <c r="CC12" s="1164"/>
      <c r="CD12" s="1161" t="s">
        <v>4372</v>
      </c>
      <c r="CE12" s="1167" t="s">
        <v>7336</v>
      </c>
      <c r="CF12" s="1167" t="s">
        <v>3197</v>
      </c>
      <c r="CG12" s="1195" t="s">
        <v>7337</v>
      </c>
      <c r="CH12" s="1143"/>
      <c r="CI12" s="1161" t="s">
        <v>4713</v>
      </c>
      <c r="CJ12" s="1164"/>
      <c r="CK12" s="1164"/>
    </row>
    <row r="13">
      <c r="A13" s="1100" t="s">
        <v>1949</v>
      </c>
      <c r="B13" s="1101" t="s">
        <v>7338</v>
      </c>
      <c r="C13" s="1102" t="s">
        <v>1418</v>
      </c>
      <c r="D13" s="1103" t="s">
        <v>332</v>
      </c>
      <c r="E13" s="1104" t="s">
        <v>646</v>
      </c>
      <c r="F13" s="1105" t="s">
        <v>220</v>
      </c>
      <c r="G13" s="1101" t="s">
        <v>7339</v>
      </c>
      <c r="H13" s="1106"/>
      <c r="I13" s="1107" t="s">
        <v>7340</v>
      </c>
      <c r="J13" s="1107"/>
      <c r="K13" s="1169" t="s">
        <v>1696</v>
      </c>
      <c r="L13" s="1107"/>
      <c r="M13" s="1107"/>
      <c r="N13" s="1106"/>
      <c r="O13" s="1169" t="s">
        <v>7341</v>
      </c>
      <c r="P13" s="1149"/>
      <c r="Q13" s="1112"/>
      <c r="R13" s="1114"/>
      <c r="S13" s="1115" t="s">
        <v>7342</v>
      </c>
      <c r="T13" s="1112"/>
      <c r="U13" s="1112"/>
      <c r="V13" s="1115" t="s">
        <v>7343</v>
      </c>
      <c r="W13" s="1149"/>
      <c r="X13" s="1119" t="s">
        <v>1285</v>
      </c>
      <c r="Y13" s="1187"/>
      <c r="Z13" s="1116" t="s">
        <v>7344</v>
      </c>
      <c r="AA13" s="1151" t="s">
        <v>7345</v>
      </c>
      <c r="AB13" s="1116" t="s">
        <v>3619</v>
      </c>
      <c r="AC13" s="1151" t="s">
        <v>1973</v>
      </c>
      <c r="AD13" s="1116" t="s">
        <v>4122</v>
      </c>
      <c r="AE13" s="1116" t="s">
        <v>7346</v>
      </c>
      <c r="AF13" s="1116"/>
      <c r="AG13" s="1151" t="s">
        <v>7347</v>
      </c>
      <c r="AH13" s="1121"/>
      <c r="AI13" s="1149"/>
      <c r="AJ13" s="1123"/>
      <c r="AK13" s="1123"/>
      <c r="AL13" s="1123"/>
      <c r="AM13" s="1176" t="s">
        <v>1420</v>
      </c>
      <c r="AN13" s="1123"/>
      <c r="AO13" s="1123"/>
      <c r="AP13" s="1122" t="s">
        <v>7348</v>
      </c>
      <c r="AQ13" s="1123"/>
      <c r="AR13" s="1123"/>
      <c r="AS13" s="1123"/>
      <c r="AT13" s="1154"/>
      <c r="AU13" s="1123"/>
      <c r="AV13" s="1123"/>
      <c r="AW13" s="1123"/>
      <c r="AX13" s="1127" t="s">
        <v>7349</v>
      </c>
      <c r="AY13" s="1122" t="s">
        <v>7350</v>
      </c>
      <c r="AZ13" s="1110"/>
      <c r="BA13" s="1178"/>
      <c r="BB13" s="1178"/>
      <c r="BC13" s="1130" t="s">
        <v>3324</v>
      </c>
      <c r="BD13" s="1128"/>
      <c r="BE13" s="1178" t="s">
        <v>7351</v>
      </c>
      <c r="BF13" s="1110"/>
      <c r="BG13" s="1133" t="s">
        <v>5910</v>
      </c>
      <c r="BH13" s="1134" t="s">
        <v>7020</v>
      </c>
      <c r="BI13" s="1135"/>
      <c r="BJ13" s="1191"/>
      <c r="BK13" s="1179" t="s">
        <v>7352</v>
      </c>
      <c r="BL13" s="1135"/>
      <c r="BM13" s="1132" t="s">
        <v>7353</v>
      </c>
      <c r="BN13" s="1149"/>
      <c r="BO13" s="1138" t="s">
        <v>7354</v>
      </c>
      <c r="BP13" s="1193"/>
      <c r="BQ13" s="1138"/>
      <c r="BR13" s="1182" t="s">
        <v>7355</v>
      </c>
      <c r="BS13" s="1138"/>
      <c r="BT13" s="1139" t="s">
        <v>1314</v>
      </c>
      <c r="BU13" s="1137"/>
      <c r="BV13" s="1183" t="s">
        <v>7356</v>
      </c>
      <c r="BW13" s="1139" t="s">
        <v>7357</v>
      </c>
      <c r="BX13" s="1149"/>
      <c r="BY13" s="1195" t="s">
        <v>463</v>
      </c>
      <c r="BZ13" s="1143"/>
      <c r="CA13" s="1164"/>
      <c r="CB13" s="1164"/>
      <c r="CC13" s="1164"/>
      <c r="CD13" s="1143"/>
      <c r="CE13" s="1143"/>
      <c r="CF13" s="1142" t="s">
        <v>4605</v>
      </c>
      <c r="CG13" s="1143"/>
      <c r="CH13" s="1143"/>
      <c r="CI13" s="1143"/>
      <c r="CJ13" s="1164"/>
      <c r="CK13" s="1164"/>
    </row>
    <row r="14">
      <c r="A14" s="1100" t="s">
        <v>6379</v>
      </c>
      <c r="B14" s="1101" t="s">
        <v>7358</v>
      </c>
      <c r="C14" s="1102" t="s">
        <v>1418</v>
      </c>
      <c r="D14" s="1103" t="s">
        <v>437</v>
      </c>
      <c r="E14" s="1104" t="s">
        <v>437</v>
      </c>
      <c r="F14" s="1105" t="s">
        <v>5525</v>
      </c>
      <c r="G14" s="1101" t="s">
        <v>1725</v>
      </c>
      <c r="H14" s="1169" t="s">
        <v>2118</v>
      </c>
      <c r="I14" s="1169" t="s">
        <v>7359</v>
      </c>
      <c r="J14" s="1106"/>
      <c r="K14" s="1106"/>
      <c r="L14" s="1169" t="s">
        <v>3156</v>
      </c>
      <c r="M14" s="1106"/>
      <c r="N14" s="1169" t="s">
        <v>7360</v>
      </c>
      <c r="O14" s="1106"/>
      <c r="P14" s="1149"/>
      <c r="Q14" s="1115" t="s">
        <v>244</v>
      </c>
      <c r="R14" s="1112"/>
      <c r="S14" s="1115" t="s">
        <v>7249</v>
      </c>
      <c r="T14" s="1115" t="s">
        <v>3636</v>
      </c>
      <c r="U14" s="1112"/>
      <c r="V14" s="1115" t="s">
        <v>7361</v>
      </c>
      <c r="W14" s="1149"/>
      <c r="X14" s="1151" t="s">
        <v>271</v>
      </c>
      <c r="Y14" s="1151" t="s">
        <v>7362</v>
      </c>
      <c r="Z14" s="1151" t="s">
        <v>2363</v>
      </c>
      <c r="AA14" s="1186" t="s">
        <v>7363</v>
      </c>
      <c r="AB14" s="1151" t="s">
        <v>7364</v>
      </c>
      <c r="AC14" s="1151" t="s">
        <v>1669</v>
      </c>
      <c r="AD14" s="1151" t="s">
        <v>5451</v>
      </c>
      <c r="AE14" s="1151" t="s">
        <v>7365</v>
      </c>
      <c r="AF14" s="1120"/>
      <c r="AG14" s="1116" t="s">
        <v>7366</v>
      </c>
      <c r="AH14" s="1121"/>
      <c r="AI14" s="1149"/>
      <c r="AJ14" s="1201"/>
      <c r="AK14" s="1127" t="s">
        <v>7367</v>
      </c>
      <c r="AL14" s="1127" t="s">
        <v>7368</v>
      </c>
      <c r="AM14" s="1127" t="s">
        <v>1212</v>
      </c>
      <c r="AN14" s="1122"/>
      <c r="AO14" s="1123"/>
      <c r="AP14" s="1127" t="s">
        <v>4001</v>
      </c>
      <c r="AQ14" s="1123"/>
      <c r="AR14" s="1127" t="s">
        <v>7369</v>
      </c>
      <c r="AS14" s="1176" t="s">
        <v>7370</v>
      </c>
      <c r="AT14" s="1153" t="s">
        <v>7371</v>
      </c>
      <c r="AU14" s="1176" t="s">
        <v>7372</v>
      </c>
      <c r="AV14" s="1123"/>
      <c r="AW14" s="1127" t="s">
        <v>370</v>
      </c>
      <c r="AX14" s="1127" t="s">
        <v>7373</v>
      </c>
      <c r="AY14" s="1127" t="s">
        <v>7374</v>
      </c>
      <c r="AZ14" s="1110"/>
      <c r="BA14" s="1212"/>
      <c r="BB14" s="1130" t="s">
        <v>7375</v>
      </c>
      <c r="BC14" s="1130" t="s">
        <v>7376</v>
      </c>
      <c r="BD14" s="1128"/>
      <c r="BE14" s="1130" t="s">
        <v>7377</v>
      </c>
      <c r="BF14" s="1110"/>
      <c r="BG14" s="1133" t="s">
        <v>4015</v>
      </c>
      <c r="BH14" s="1133" t="s">
        <v>4604</v>
      </c>
      <c r="BI14" s="1179" t="s">
        <v>1587</v>
      </c>
      <c r="BJ14" s="1191"/>
      <c r="BK14" s="1133" t="s">
        <v>4339</v>
      </c>
      <c r="BL14" s="1135"/>
      <c r="BM14" s="1133" t="s">
        <v>7378</v>
      </c>
      <c r="BN14" s="1149"/>
      <c r="BO14" s="1139" t="s">
        <v>3380</v>
      </c>
      <c r="BP14" s="1160"/>
      <c r="BQ14" s="1137"/>
      <c r="BR14" s="1137"/>
      <c r="BS14" s="1137"/>
      <c r="BT14" s="1139" t="s">
        <v>933</v>
      </c>
      <c r="BU14" s="1137"/>
      <c r="BV14" s="1138" t="s">
        <v>7379</v>
      </c>
      <c r="BW14" s="1138" t="s">
        <v>7380</v>
      </c>
      <c r="BX14" s="1149"/>
      <c r="BY14" s="1167" t="s">
        <v>1613</v>
      </c>
      <c r="BZ14" s="1142"/>
      <c r="CA14" s="1164"/>
      <c r="CB14" s="1164"/>
      <c r="CC14" s="1164"/>
      <c r="CD14" s="1143"/>
      <c r="CE14" s="1142" t="s">
        <v>7381</v>
      </c>
      <c r="CF14" s="1143"/>
      <c r="CG14" s="1143"/>
      <c r="CH14" s="1143"/>
      <c r="CI14" s="1143"/>
      <c r="CJ14" s="1164"/>
      <c r="CK14" s="1164"/>
    </row>
    <row r="15">
      <c r="A15" s="1234" t="s">
        <v>1723</v>
      </c>
      <c r="B15" s="1101" t="s">
        <v>7382</v>
      </c>
      <c r="C15" s="1102" t="s">
        <v>1418</v>
      </c>
      <c r="D15" s="1103" t="s">
        <v>437</v>
      </c>
      <c r="E15" s="1104" t="s">
        <v>545</v>
      </c>
      <c r="F15" s="1105" t="s">
        <v>987</v>
      </c>
      <c r="G15" s="1101" t="s">
        <v>2223</v>
      </c>
      <c r="H15" s="1169" t="s">
        <v>2350</v>
      </c>
      <c r="I15" s="1235" t="s">
        <v>7383</v>
      </c>
      <c r="J15" s="1107" t="s">
        <v>1368</v>
      </c>
      <c r="K15" s="1107" t="s">
        <v>7384</v>
      </c>
      <c r="L15" s="1107" t="s">
        <v>2142</v>
      </c>
      <c r="M15" s="1106"/>
      <c r="N15" s="1107" t="s">
        <v>7385</v>
      </c>
      <c r="O15" s="1107" t="s">
        <v>7386</v>
      </c>
      <c r="P15" s="1149"/>
      <c r="Q15" s="1111" t="s">
        <v>7387</v>
      </c>
      <c r="R15" s="1111" t="s">
        <v>2398</v>
      </c>
      <c r="S15" s="1111" t="s">
        <v>7388</v>
      </c>
      <c r="T15" s="1111" t="s">
        <v>5594</v>
      </c>
      <c r="U15" s="1111" t="s">
        <v>7389</v>
      </c>
      <c r="V15" s="1111" t="s">
        <v>7390</v>
      </c>
      <c r="W15" s="1149"/>
      <c r="X15" s="1116" t="s">
        <v>3860</v>
      </c>
      <c r="Y15" s="1116" t="s">
        <v>7391</v>
      </c>
      <c r="Z15" s="1173" t="s">
        <v>7392</v>
      </c>
      <c r="AA15" s="1236" t="s">
        <v>7393</v>
      </c>
      <c r="AB15" s="1116" t="s">
        <v>7394</v>
      </c>
      <c r="AC15" s="1116" t="s">
        <v>7395</v>
      </c>
      <c r="AD15" s="1186" t="s">
        <v>1702</v>
      </c>
      <c r="AE15" s="1151" t="s">
        <v>5375</v>
      </c>
      <c r="AF15" s="1116" t="s">
        <v>3093</v>
      </c>
      <c r="AG15" s="1116" t="s">
        <v>7396</v>
      </c>
      <c r="AH15" s="1237" t="s">
        <v>7397</v>
      </c>
      <c r="AI15" s="1149"/>
      <c r="AJ15" s="1201"/>
      <c r="AK15" s="1127" t="s">
        <v>7398</v>
      </c>
      <c r="AL15" s="1122"/>
      <c r="AM15" s="1122" t="s">
        <v>3374</v>
      </c>
      <c r="AN15" s="1127" t="s">
        <v>1641</v>
      </c>
      <c r="AO15" s="1122" t="s">
        <v>2248</v>
      </c>
      <c r="AP15" s="1125" t="s">
        <v>7399</v>
      </c>
      <c r="AQ15" s="1122" t="s">
        <v>7400</v>
      </c>
      <c r="AR15" s="1176" t="s">
        <v>7401</v>
      </c>
      <c r="AS15" s="1122" t="s">
        <v>7402</v>
      </c>
      <c r="AT15" s="1189"/>
      <c r="AU15" s="1122"/>
      <c r="AV15" s="1122"/>
      <c r="AW15" s="1125" t="s">
        <v>305</v>
      </c>
      <c r="AX15" s="1189" t="s">
        <v>7403</v>
      </c>
      <c r="AY15" s="1122" t="s">
        <v>7404</v>
      </c>
      <c r="AZ15" s="1110"/>
      <c r="BA15" s="1178" t="s">
        <v>7405</v>
      </c>
      <c r="BB15" s="1178" t="s">
        <v>7406</v>
      </c>
      <c r="BC15" s="1178" t="s">
        <v>4199</v>
      </c>
      <c r="BD15" s="1178"/>
      <c r="BE15" s="1238" t="s">
        <v>7407</v>
      </c>
      <c r="BF15" s="1110"/>
      <c r="BG15" s="1133" t="s">
        <v>7408</v>
      </c>
      <c r="BH15" s="1133" t="s">
        <v>4840</v>
      </c>
      <c r="BI15" s="1132" t="s">
        <v>2090</v>
      </c>
      <c r="BJ15" s="1158" t="s">
        <v>7409</v>
      </c>
      <c r="BK15" s="1192" t="s">
        <v>7410</v>
      </c>
      <c r="BL15" s="1133"/>
      <c r="BM15" s="1133" t="s">
        <v>7411</v>
      </c>
      <c r="BN15" s="1149"/>
      <c r="BO15" s="1139" t="s">
        <v>7412</v>
      </c>
      <c r="BP15" s="1193"/>
      <c r="BQ15" s="1239" t="s">
        <v>4694</v>
      </c>
      <c r="BR15" s="1138" t="s">
        <v>7413</v>
      </c>
      <c r="BS15" s="1138"/>
      <c r="BT15" s="1240" t="s">
        <v>7414</v>
      </c>
      <c r="BU15" s="1193" t="s">
        <v>4933</v>
      </c>
      <c r="BV15" s="1138" t="s">
        <v>7415</v>
      </c>
      <c r="BW15" s="1138" t="s">
        <v>7416</v>
      </c>
      <c r="BX15" s="1149"/>
      <c r="BY15" s="1142" t="s">
        <v>2515</v>
      </c>
      <c r="BZ15" s="1142" t="s">
        <v>2085</v>
      </c>
      <c r="CA15" s="1164"/>
      <c r="CB15" s="1164"/>
      <c r="CC15" s="1164"/>
      <c r="CD15" s="1142"/>
      <c r="CE15" s="1142" t="s">
        <v>7417</v>
      </c>
      <c r="CF15" s="1142" t="s">
        <v>7418</v>
      </c>
      <c r="CG15" s="1142"/>
      <c r="CH15" s="1195" t="s">
        <v>7419</v>
      </c>
      <c r="CI15" s="1143"/>
      <c r="CJ15" s="1164"/>
      <c r="CK15" s="1164"/>
    </row>
    <row r="16">
      <c r="A16" s="1100" t="s">
        <v>7420</v>
      </c>
      <c r="B16" s="1101" t="s">
        <v>7421</v>
      </c>
      <c r="C16" s="1102" t="s">
        <v>1418</v>
      </c>
      <c r="D16" s="1103" t="s">
        <v>1418</v>
      </c>
      <c r="E16" s="1104" t="s">
        <v>1418</v>
      </c>
      <c r="F16" s="1105" t="s">
        <v>1418</v>
      </c>
      <c r="G16" s="1101" t="s">
        <v>3124</v>
      </c>
      <c r="H16" s="1106"/>
      <c r="I16" s="1147" t="s">
        <v>3184</v>
      </c>
      <c r="J16" s="1107"/>
      <c r="K16" s="1106"/>
      <c r="L16" s="1106"/>
      <c r="M16" s="1106"/>
      <c r="N16" s="1106"/>
      <c r="O16" s="1107" t="s">
        <v>7422</v>
      </c>
      <c r="P16" s="1149"/>
      <c r="Q16" s="1185" t="s">
        <v>1486</v>
      </c>
      <c r="R16" s="1112"/>
      <c r="S16" s="1112"/>
      <c r="T16" s="1185" t="s">
        <v>1118</v>
      </c>
      <c r="U16" s="1111"/>
      <c r="V16" s="1111" t="s">
        <v>7423</v>
      </c>
      <c r="W16" s="1149"/>
      <c r="X16" s="1207" t="s">
        <v>7424</v>
      </c>
      <c r="Y16" s="1116" t="s">
        <v>7425</v>
      </c>
      <c r="Z16" s="1207" t="s">
        <v>7287</v>
      </c>
      <c r="AA16" s="1173" t="s">
        <v>6415</v>
      </c>
      <c r="AB16" s="1173" t="s">
        <v>1648</v>
      </c>
      <c r="AC16" s="1173" t="s">
        <v>3546</v>
      </c>
      <c r="AD16" s="1207" t="s">
        <v>200</v>
      </c>
      <c r="AE16" s="1173" t="s">
        <v>4616</v>
      </c>
      <c r="AF16" s="1116"/>
      <c r="AG16" s="1173" t="s">
        <v>7426</v>
      </c>
      <c r="AH16" s="1121"/>
      <c r="AI16" s="1149"/>
      <c r="AJ16" s="1123"/>
      <c r="AK16" s="1154" t="s">
        <v>5558</v>
      </c>
      <c r="AL16" s="1189" t="s">
        <v>7427</v>
      </c>
      <c r="AM16" s="1154" t="s">
        <v>7428</v>
      </c>
      <c r="AN16" s="1123"/>
      <c r="AO16" s="1189" t="s">
        <v>902</v>
      </c>
      <c r="AP16" s="1154" t="s">
        <v>1566</v>
      </c>
      <c r="AQ16" s="1189" t="s">
        <v>7429</v>
      </c>
      <c r="AR16" s="1189" t="s">
        <v>7430</v>
      </c>
      <c r="AS16" s="1123"/>
      <c r="AT16" s="1154"/>
      <c r="AU16" s="1123"/>
      <c r="AV16" s="1123"/>
      <c r="AW16" s="1154" t="s">
        <v>1251</v>
      </c>
      <c r="AX16" s="1189" t="s">
        <v>7431</v>
      </c>
      <c r="AY16" s="1189" t="s">
        <v>7432</v>
      </c>
      <c r="AZ16" s="1110"/>
      <c r="BA16" s="1178"/>
      <c r="BB16" s="1238" t="s">
        <v>7433</v>
      </c>
      <c r="BC16" s="1212"/>
      <c r="BD16" s="1212"/>
      <c r="BE16" s="1238" t="s">
        <v>7434</v>
      </c>
      <c r="BF16" s="1110"/>
      <c r="BG16" s="1228" t="s">
        <v>7435</v>
      </c>
      <c r="BH16" s="1228" t="s">
        <v>2125</v>
      </c>
      <c r="BI16" s="1135"/>
      <c r="BJ16" s="1191"/>
      <c r="BK16" s="1135"/>
      <c r="BL16" s="1135"/>
      <c r="BM16" s="1133" t="s">
        <v>7436</v>
      </c>
      <c r="BN16" s="1149"/>
      <c r="BO16" s="1193" t="s">
        <v>1957</v>
      </c>
      <c r="BP16" s="1160"/>
      <c r="BQ16" s="1137"/>
      <c r="BR16" s="1193" t="s">
        <v>7437</v>
      </c>
      <c r="BS16" s="1137"/>
      <c r="BT16" s="1193" t="s">
        <v>3002</v>
      </c>
      <c r="BU16" s="1137"/>
      <c r="BV16" s="1193" t="s">
        <v>7438</v>
      </c>
      <c r="BW16" s="1193" t="s">
        <v>7439</v>
      </c>
      <c r="BX16" s="1149"/>
      <c r="BY16" s="1194" t="s">
        <v>3517</v>
      </c>
      <c r="BZ16" s="1143"/>
      <c r="CA16" s="1164"/>
      <c r="CB16" s="1164"/>
      <c r="CC16" s="1164"/>
      <c r="CD16" s="1143"/>
      <c r="CE16" s="1143"/>
      <c r="CF16" s="1143"/>
      <c r="CG16" s="1143"/>
      <c r="CH16" s="1143"/>
      <c r="CI16" s="1143"/>
      <c r="CJ16" s="1164"/>
      <c r="CK16" s="1164"/>
    </row>
    <row r="17">
      <c r="A17" s="1100" t="s">
        <v>7440</v>
      </c>
      <c r="B17" s="1101" t="s">
        <v>7441</v>
      </c>
      <c r="C17" s="1102" t="s">
        <v>1418</v>
      </c>
      <c r="D17" s="1103" t="s">
        <v>1418</v>
      </c>
      <c r="E17" s="1104" t="s">
        <v>1418</v>
      </c>
      <c r="F17" s="1105" t="s">
        <v>334</v>
      </c>
      <c r="G17" s="1101" t="s">
        <v>1885</v>
      </c>
      <c r="H17" s="1106"/>
      <c r="I17" s="1106"/>
      <c r="J17" s="1107" t="s">
        <v>7442</v>
      </c>
      <c r="K17" s="1107" t="s">
        <v>7443</v>
      </c>
      <c r="L17" s="1169" t="s">
        <v>7444</v>
      </c>
      <c r="M17" s="1106"/>
      <c r="N17" s="1147" t="s">
        <v>7445</v>
      </c>
      <c r="O17" s="1107" t="s">
        <v>7446</v>
      </c>
      <c r="P17" s="1149"/>
      <c r="Q17" s="1185" t="s">
        <v>726</v>
      </c>
      <c r="R17" s="1112"/>
      <c r="S17" s="1112"/>
      <c r="T17" s="1112"/>
      <c r="U17" s="1111"/>
      <c r="V17" s="1115" t="s">
        <v>7366</v>
      </c>
      <c r="W17" s="1149"/>
      <c r="X17" s="1187"/>
      <c r="Y17" s="1151" t="s">
        <v>7447</v>
      </c>
      <c r="Z17" s="1173" t="s">
        <v>2428</v>
      </c>
      <c r="AA17" s="1241"/>
      <c r="AB17" s="1187"/>
      <c r="AC17" s="1173" t="s">
        <v>816</v>
      </c>
      <c r="AD17" s="1173" t="s">
        <v>5627</v>
      </c>
      <c r="AE17" s="1173" t="s">
        <v>6709</v>
      </c>
      <c r="AF17" s="1116"/>
      <c r="AG17" s="1173" t="s">
        <v>7448</v>
      </c>
      <c r="AH17" s="1121"/>
      <c r="AI17" s="1149"/>
      <c r="AJ17" s="1122"/>
      <c r="AK17" s="1189" t="s">
        <v>1473</v>
      </c>
      <c r="AL17" s="1123"/>
      <c r="AM17" s="1123"/>
      <c r="AN17" s="1123"/>
      <c r="AO17" s="1123"/>
      <c r="AP17" s="1189" t="s">
        <v>7449</v>
      </c>
      <c r="AQ17" s="1123"/>
      <c r="AR17" s="1123"/>
      <c r="AS17" s="1123"/>
      <c r="AT17" s="1154"/>
      <c r="AU17" s="1123"/>
      <c r="AV17" s="1123"/>
      <c r="AW17" s="1127" t="s">
        <v>5954</v>
      </c>
      <c r="AX17" s="1122" t="s">
        <v>7450</v>
      </c>
      <c r="AY17" s="1122" t="s">
        <v>6097</v>
      </c>
      <c r="AZ17" s="1110"/>
      <c r="BA17" s="1178" t="s">
        <v>7451</v>
      </c>
      <c r="BB17" s="1238" t="s">
        <v>7452</v>
      </c>
      <c r="BC17" s="1130" t="s">
        <v>510</v>
      </c>
      <c r="BD17" s="1128"/>
      <c r="BE17" s="1238" t="s">
        <v>7453</v>
      </c>
      <c r="BF17" s="1110"/>
      <c r="BG17" s="1133" t="s">
        <v>2853</v>
      </c>
      <c r="BH17" s="1228" t="s">
        <v>7454</v>
      </c>
      <c r="BI17" s="1133"/>
      <c r="BJ17" s="1228"/>
      <c r="BK17" s="1135"/>
      <c r="BL17" s="1135"/>
      <c r="BM17" s="1132" t="s">
        <v>7455</v>
      </c>
      <c r="BN17" s="1149"/>
      <c r="BO17" s="1193" t="s">
        <v>3076</v>
      </c>
      <c r="BP17" s="1160"/>
      <c r="BQ17" s="1137"/>
      <c r="BR17" s="1138" t="s">
        <v>7456</v>
      </c>
      <c r="BS17" s="1137"/>
      <c r="BT17" s="1193" t="s">
        <v>2318</v>
      </c>
      <c r="BU17" s="1137"/>
      <c r="BV17" s="1138" t="s">
        <v>250</v>
      </c>
      <c r="BW17" s="1138" t="s">
        <v>1575</v>
      </c>
      <c r="BX17" s="1149"/>
      <c r="BY17" s="1142" t="s">
        <v>4191</v>
      </c>
      <c r="BZ17" s="1167" t="s">
        <v>5846</v>
      </c>
      <c r="CA17" s="1164"/>
      <c r="CB17" s="1164"/>
      <c r="CC17" s="1164"/>
      <c r="CD17" s="1143"/>
      <c r="CE17" s="1142" t="s">
        <v>5723</v>
      </c>
      <c r="CF17" s="1194" t="s">
        <v>7457</v>
      </c>
      <c r="CG17" s="1143"/>
      <c r="CH17" s="1143"/>
      <c r="CI17" s="1142" t="s">
        <v>7458</v>
      </c>
      <c r="CJ17" s="1164"/>
      <c r="CK17" s="1164"/>
    </row>
    <row r="18">
      <c r="A18" s="1100" t="s">
        <v>1883</v>
      </c>
      <c r="B18" s="1101" t="s">
        <v>7459</v>
      </c>
      <c r="C18" s="1102" t="s">
        <v>1418</v>
      </c>
      <c r="D18" s="1103" t="s">
        <v>1418</v>
      </c>
      <c r="E18" s="1104" t="s">
        <v>1418</v>
      </c>
      <c r="F18" s="1105" t="s">
        <v>1418</v>
      </c>
      <c r="G18" s="1101" t="s">
        <v>1885</v>
      </c>
      <c r="H18" s="1106"/>
      <c r="I18" s="1107" t="s">
        <v>2622</v>
      </c>
      <c r="J18" s="1107" t="s">
        <v>3611</v>
      </c>
      <c r="K18" s="1107" t="s">
        <v>7460</v>
      </c>
      <c r="L18" s="1147" t="s">
        <v>7461</v>
      </c>
      <c r="M18" s="1106"/>
      <c r="N18" s="1147" t="s">
        <v>7462</v>
      </c>
      <c r="O18" s="1107" t="s">
        <v>7463</v>
      </c>
      <c r="P18" s="1149"/>
      <c r="Q18" s="1185" t="s">
        <v>3081</v>
      </c>
      <c r="R18" s="1112"/>
      <c r="S18" s="1112"/>
      <c r="T18" s="1185" t="s">
        <v>4952</v>
      </c>
      <c r="U18" s="1111"/>
      <c r="V18" s="1185" t="s">
        <v>7464</v>
      </c>
      <c r="W18" s="1149"/>
      <c r="X18" s="1173" t="s">
        <v>4049</v>
      </c>
      <c r="Y18" s="1173" t="s">
        <v>7465</v>
      </c>
      <c r="Z18" s="1173" t="s">
        <v>7466</v>
      </c>
      <c r="AA18" s="1173" t="s">
        <v>2913</v>
      </c>
      <c r="AB18" s="1173" t="s">
        <v>4654</v>
      </c>
      <c r="AC18" s="1116" t="s">
        <v>7467</v>
      </c>
      <c r="AD18" s="1173" t="s">
        <v>4603</v>
      </c>
      <c r="AE18" s="1173" t="s">
        <v>4797</v>
      </c>
      <c r="AF18" s="1116"/>
      <c r="AG18" s="1116" t="s">
        <v>7468</v>
      </c>
      <c r="AH18" s="1242" t="s">
        <v>7469</v>
      </c>
      <c r="AI18" s="1149"/>
      <c r="AJ18" s="1123"/>
      <c r="AK18" s="1123"/>
      <c r="AL18" s="1123"/>
      <c r="AM18" s="1122" t="s">
        <v>170</v>
      </c>
      <c r="AN18" s="1123"/>
      <c r="AO18" s="1189" t="s">
        <v>4311</v>
      </c>
      <c r="AP18" s="1122" t="s">
        <v>3229</v>
      </c>
      <c r="AQ18" s="1189" t="s">
        <v>7470</v>
      </c>
      <c r="AR18" s="1123"/>
      <c r="AS18" s="1123"/>
      <c r="AT18" s="1154"/>
      <c r="AU18" s="1123"/>
      <c r="AV18" s="1123"/>
      <c r="AW18" s="1189" t="s">
        <v>1010</v>
      </c>
      <c r="AX18" s="1189" t="s">
        <v>4786</v>
      </c>
      <c r="AY18" s="1123"/>
      <c r="AZ18" s="1110"/>
      <c r="BA18" s="1212"/>
      <c r="BB18" s="1212"/>
      <c r="BC18" s="1238" t="s">
        <v>6600</v>
      </c>
      <c r="BD18" s="1178"/>
      <c r="BE18" s="1178" t="s">
        <v>7471</v>
      </c>
      <c r="BF18" s="1110"/>
      <c r="BG18" s="1228" t="s">
        <v>1205</v>
      </c>
      <c r="BH18" s="1228" t="s">
        <v>2125</v>
      </c>
      <c r="BI18" s="1135"/>
      <c r="BJ18" s="1191"/>
      <c r="BK18" s="1133" t="s">
        <v>7472</v>
      </c>
      <c r="BL18" s="1135"/>
      <c r="BM18" s="1228" t="s">
        <v>7473</v>
      </c>
      <c r="BN18" s="1149"/>
      <c r="BO18" s="1193" t="s">
        <v>7474</v>
      </c>
      <c r="BP18" s="1160"/>
      <c r="BQ18" s="1137"/>
      <c r="BR18" s="1137"/>
      <c r="BS18" s="1137"/>
      <c r="BT18" s="1193" t="s">
        <v>3288</v>
      </c>
      <c r="BU18" s="1137"/>
      <c r="BV18" s="1137"/>
      <c r="BW18" s="1160" t="s">
        <v>7475</v>
      </c>
      <c r="BX18" s="1149"/>
      <c r="BY18" s="1142" t="s">
        <v>2878</v>
      </c>
      <c r="BZ18" s="1143"/>
      <c r="CA18" s="1164"/>
      <c r="CB18" s="1164"/>
      <c r="CC18" s="1164"/>
      <c r="CD18" s="1143"/>
      <c r="CE18" s="1143"/>
      <c r="CF18" s="1143"/>
      <c r="CG18" s="1143"/>
      <c r="CH18" s="1143"/>
      <c r="CI18" s="1143"/>
      <c r="CJ18" s="1164"/>
      <c r="CK18" s="1164"/>
    </row>
    <row r="19">
      <c r="A19" s="1100" t="s">
        <v>6388</v>
      </c>
      <c r="B19" s="1101" t="s">
        <v>7476</v>
      </c>
      <c r="C19" s="1102" t="s">
        <v>1418</v>
      </c>
      <c r="D19" s="1103" t="s">
        <v>545</v>
      </c>
      <c r="E19" s="1104" t="s">
        <v>1418</v>
      </c>
      <c r="F19" s="1105" t="s">
        <v>545</v>
      </c>
      <c r="G19" s="1101" t="s">
        <v>7339</v>
      </c>
      <c r="H19" s="1106"/>
      <c r="I19" s="1106"/>
      <c r="J19" s="1107" t="s">
        <v>7477</v>
      </c>
      <c r="K19" s="1107" t="s">
        <v>7478</v>
      </c>
      <c r="L19" s="1106"/>
      <c r="M19" s="1106"/>
      <c r="N19" s="1106"/>
      <c r="O19" s="1147" t="s">
        <v>7479</v>
      </c>
      <c r="P19" s="1149"/>
      <c r="Q19" s="1111" t="s">
        <v>7480</v>
      </c>
      <c r="R19" s="1112"/>
      <c r="S19" s="1111" t="s">
        <v>5725</v>
      </c>
      <c r="T19" s="1111" t="s">
        <v>5082</v>
      </c>
      <c r="U19" s="1111" t="s">
        <v>7481</v>
      </c>
      <c r="V19" s="1185" t="s">
        <v>7482</v>
      </c>
      <c r="W19" s="1149"/>
      <c r="X19" s="1187"/>
      <c r="Y19" s="1187"/>
      <c r="Z19" s="1116" t="s">
        <v>7483</v>
      </c>
      <c r="AA19" s="1241"/>
      <c r="AB19" s="1116" t="s">
        <v>2263</v>
      </c>
      <c r="AC19" s="1173" t="s">
        <v>7484</v>
      </c>
      <c r="AD19" s="1187"/>
      <c r="AE19" s="1187"/>
      <c r="AF19" s="1187"/>
      <c r="AG19" s="1173" t="s">
        <v>7485</v>
      </c>
      <c r="AH19" s="1121"/>
      <c r="AI19" s="1149"/>
      <c r="AJ19" s="1123"/>
      <c r="AK19" s="1123"/>
      <c r="AL19" s="1123"/>
      <c r="AM19" s="1122" t="s">
        <v>1380</v>
      </c>
      <c r="AN19" s="1122"/>
      <c r="AO19" s="1123"/>
      <c r="AP19" s="1123"/>
      <c r="AQ19" s="1123"/>
      <c r="AR19" s="1123"/>
      <c r="AS19" s="1123"/>
      <c r="AT19" s="1154"/>
      <c r="AU19" s="1123"/>
      <c r="AV19" s="1123"/>
      <c r="AW19" s="1122" t="s">
        <v>3859</v>
      </c>
      <c r="AX19" s="1189" t="s">
        <v>7486</v>
      </c>
      <c r="AY19" s="1123"/>
      <c r="AZ19" s="1110"/>
      <c r="BA19" s="1212"/>
      <c r="BB19" s="1178" t="s">
        <v>7487</v>
      </c>
      <c r="BC19" s="1178" t="s">
        <v>3633</v>
      </c>
      <c r="BD19" s="1178"/>
      <c r="BE19" s="1238" t="s">
        <v>7488</v>
      </c>
      <c r="BF19" s="1110"/>
      <c r="BG19" s="1133" t="s">
        <v>713</v>
      </c>
      <c r="BH19" s="1228" t="s">
        <v>4342</v>
      </c>
      <c r="BI19" s="1133" t="s">
        <v>144</v>
      </c>
      <c r="BJ19" s="1133" t="s">
        <v>7489</v>
      </c>
      <c r="BK19" s="1133" t="s">
        <v>7490</v>
      </c>
      <c r="BL19" s="1135"/>
      <c r="BM19" s="1133" t="s">
        <v>7491</v>
      </c>
      <c r="BN19" s="1149"/>
      <c r="BO19" s="1138" t="s">
        <v>4687</v>
      </c>
      <c r="BP19" s="1160"/>
      <c r="BQ19" s="1137"/>
      <c r="BR19" s="1183" t="s">
        <v>7492</v>
      </c>
      <c r="BS19" s="1137"/>
      <c r="BT19" s="1138" t="s">
        <v>2361</v>
      </c>
      <c r="BU19" s="1137"/>
      <c r="BV19" s="1138" t="s">
        <v>7493</v>
      </c>
      <c r="BW19" s="1138" t="s">
        <v>2067</v>
      </c>
      <c r="BX19" s="1149"/>
      <c r="BY19" s="1142" t="s">
        <v>4534</v>
      </c>
      <c r="BZ19" s="1230"/>
      <c r="CA19" s="1164"/>
      <c r="CB19" s="1164"/>
      <c r="CC19" s="1164"/>
      <c r="CD19" s="1143"/>
      <c r="CE19" s="1143"/>
      <c r="CF19" s="1143"/>
      <c r="CG19" s="1143"/>
      <c r="CH19" s="1143"/>
      <c r="CI19" s="1143"/>
      <c r="CJ19" s="1164"/>
      <c r="CK19" s="1164"/>
    </row>
    <row r="20">
      <c r="A20" s="1243" t="s">
        <v>1061</v>
      </c>
      <c r="B20" s="1101" t="s">
        <v>7494</v>
      </c>
      <c r="C20" s="1102" t="s">
        <v>987</v>
      </c>
      <c r="D20" s="1103" t="s">
        <v>437</v>
      </c>
      <c r="E20" s="1104" t="s">
        <v>437</v>
      </c>
      <c r="F20" s="1105" t="s">
        <v>219</v>
      </c>
      <c r="G20" s="1101" t="s">
        <v>5707</v>
      </c>
      <c r="H20" s="1145" t="s">
        <v>4717</v>
      </c>
      <c r="I20" s="1106"/>
      <c r="J20" s="1106"/>
      <c r="K20" s="1106"/>
      <c r="L20" s="1106"/>
      <c r="M20" s="1106"/>
      <c r="N20" s="1106"/>
      <c r="O20" s="1106"/>
      <c r="P20" s="1149"/>
      <c r="Q20" s="1112"/>
      <c r="R20" s="1113" t="s">
        <v>404</v>
      </c>
      <c r="S20" s="1112"/>
      <c r="T20" s="1218" t="s">
        <v>4767</v>
      </c>
      <c r="U20" s="1218" t="s">
        <v>1187</v>
      </c>
      <c r="V20" s="1112"/>
      <c r="W20" s="1149"/>
      <c r="X20" s="1187"/>
      <c r="Y20" s="1187"/>
      <c r="Z20" s="1118" t="s">
        <v>3221</v>
      </c>
      <c r="AA20" s="1241"/>
      <c r="AB20" s="1187"/>
      <c r="AC20" s="1187"/>
      <c r="AD20" s="1117" t="s">
        <v>1784</v>
      </c>
      <c r="AE20" s="1173" t="s">
        <v>4314</v>
      </c>
      <c r="AF20" s="1116"/>
      <c r="AG20" s="1187"/>
      <c r="AH20" s="1121"/>
      <c r="AI20" s="1149"/>
      <c r="AJ20" s="1123"/>
      <c r="AK20" s="1123"/>
      <c r="AL20" s="1123"/>
      <c r="AM20" s="1123"/>
      <c r="AN20" s="1124" t="s">
        <v>4008</v>
      </c>
      <c r="AO20" s="1123"/>
      <c r="AP20" s="1123"/>
      <c r="AQ20" s="1123"/>
      <c r="AR20" s="1123"/>
      <c r="AS20" s="1123"/>
      <c r="AT20" s="1154"/>
      <c r="AU20" s="1123"/>
      <c r="AV20" s="1123"/>
      <c r="AW20" s="1176" t="s">
        <v>1044</v>
      </c>
      <c r="AX20" s="1123"/>
      <c r="AY20" s="1123"/>
      <c r="AZ20" s="1110"/>
      <c r="BA20" s="1212"/>
      <c r="BB20" s="1178"/>
      <c r="BC20" s="1156" t="s">
        <v>4493</v>
      </c>
      <c r="BD20" s="1128"/>
      <c r="BE20" s="1178"/>
      <c r="BF20" s="1110"/>
      <c r="BG20" s="1135"/>
      <c r="BH20" s="1135"/>
      <c r="BI20" s="1158" t="s">
        <v>7495</v>
      </c>
      <c r="BJ20" s="1191"/>
      <c r="BK20" s="1135"/>
      <c r="BL20" s="1135"/>
      <c r="BM20" s="1135"/>
      <c r="BN20" s="1149"/>
      <c r="BO20" s="1138"/>
      <c r="BP20" s="1160"/>
      <c r="BQ20" s="1140" t="s">
        <v>4953</v>
      </c>
      <c r="BR20" s="1137"/>
      <c r="BS20" s="1137"/>
      <c r="BT20" s="1140" t="s">
        <v>5378</v>
      </c>
      <c r="BU20" s="1137"/>
      <c r="BV20" s="1193" t="s">
        <v>7496</v>
      </c>
      <c r="BW20" s="1182" t="s">
        <v>7497</v>
      </c>
      <c r="BX20" s="1149"/>
      <c r="BY20" s="1163" t="s">
        <v>3408</v>
      </c>
      <c r="BZ20" s="1142"/>
      <c r="CA20" s="1164"/>
      <c r="CB20" s="1164"/>
      <c r="CC20" s="1164"/>
      <c r="CD20" s="1143"/>
      <c r="CE20" s="1143"/>
      <c r="CF20" s="1143"/>
      <c r="CG20" s="1163" t="s">
        <v>7498</v>
      </c>
      <c r="CH20" s="1143"/>
      <c r="CI20" s="1143"/>
      <c r="CJ20" s="1164"/>
      <c r="CK20" s="1164"/>
    </row>
    <row r="21">
      <c r="A21" s="1100" t="s">
        <v>2867</v>
      </c>
      <c r="B21" s="1101" t="s">
        <v>7499</v>
      </c>
      <c r="C21" s="1102" t="s">
        <v>545</v>
      </c>
      <c r="D21" s="1103" t="s">
        <v>1418</v>
      </c>
      <c r="E21" s="1104" t="s">
        <v>1418</v>
      </c>
      <c r="F21" s="1105" t="s">
        <v>545</v>
      </c>
      <c r="G21" s="1101" t="s">
        <v>5077</v>
      </c>
      <c r="H21" s="1106"/>
      <c r="I21" s="1106"/>
      <c r="J21" s="1107" t="s">
        <v>311</v>
      </c>
      <c r="K21" s="1107" t="s">
        <v>7500</v>
      </c>
      <c r="L21" s="1107"/>
      <c r="M21" s="1106"/>
      <c r="N21" s="1106"/>
      <c r="O21" s="1107" t="s">
        <v>7501</v>
      </c>
      <c r="P21" s="1149"/>
      <c r="Q21" s="1111" t="s">
        <v>4821</v>
      </c>
      <c r="R21" s="1111" t="s">
        <v>3771</v>
      </c>
      <c r="S21" s="1111" t="s">
        <v>691</v>
      </c>
      <c r="T21" s="1111" t="s">
        <v>249</v>
      </c>
      <c r="U21" s="1112"/>
      <c r="V21" s="1111" t="s">
        <v>7502</v>
      </c>
      <c r="W21" s="1149"/>
      <c r="X21" s="1116" t="s">
        <v>6217</v>
      </c>
      <c r="Y21" s="1187"/>
      <c r="Z21" s="1116" t="s">
        <v>4853</v>
      </c>
      <c r="AA21" s="1116" t="s">
        <v>7503</v>
      </c>
      <c r="AB21" s="1116" t="s">
        <v>2886</v>
      </c>
      <c r="AC21" s="1116" t="s">
        <v>1669</v>
      </c>
      <c r="AD21" s="1116" t="s">
        <v>6449</v>
      </c>
      <c r="AE21" s="1116" t="s">
        <v>2839</v>
      </c>
      <c r="AF21" s="1116"/>
      <c r="AG21" s="1116" t="s">
        <v>7504</v>
      </c>
      <c r="AH21" s="1244" t="s">
        <v>2889</v>
      </c>
      <c r="AI21" s="1149"/>
      <c r="AJ21" s="1123"/>
      <c r="AK21" s="1123"/>
      <c r="AL21" s="1124" t="s">
        <v>7505</v>
      </c>
      <c r="AM21" s="1122" t="s">
        <v>1823</v>
      </c>
      <c r="AN21" s="1122"/>
      <c r="AO21" s="1123"/>
      <c r="AP21" s="1123"/>
      <c r="AQ21" s="1123"/>
      <c r="AR21" s="1122" t="s">
        <v>7506</v>
      </c>
      <c r="AS21" s="1122"/>
      <c r="AT21" s="1154"/>
      <c r="AU21" s="1122" t="s">
        <v>7507</v>
      </c>
      <c r="AV21" s="1189" t="s">
        <v>7508</v>
      </c>
      <c r="AW21" s="1122" t="s">
        <v>768</v>
      </c>
      <c r="AX21" s="1189" t="s">
        <v>7509</v>
      </c>
      <c r="AY21" s="1122" t="s">
        <v>7510</v>
      </c>
      <c r="AZ21" s="1110"/>
      <c r="BA21" s="1178" t="s">
        <v>7511</v>
      </c>
      <c r="BB21" s="1178" t="s">
        <v>7512</v>
      </c>
      <c r="BC21" s="1212"/>
      <c r="BD21" s="1212"/>
      <c r="BE21" s="1178" t="s">
        <v>7513</v>
      </c>
      <c r="BF21" s="1110"/>
      <c r="BG21" s="1133" t="s">
        <v>5910</v>
      </c>
      <c r="BH21" s="1135"/>
      <c r="BI21" s="1133" t="s">
        <v>475</v>
      </c>
      <c r="BJ21" s="1133" t="s">
        <v>7514</v>
      </c>
      <c r="BK21" s="1133" t="s">
        <v>7515</v>
      </c>
      <c r="BL21" s="1133" t="s">
        <v>7516</v>
      </c>
      <c r="BM21" s="1192" t="s">
        <v>7517</v>
      </c>
      <c r="BN21" s="1149"/>
      <c r="BO21" s="1138" t="s">
        <v>7518</v>
      </c>
      <c r="BP21" s="1138" t="s">
        <v>4165</v>
      </c>
      <c r="BQ21" s="1137"/>
      <c r="BR21" s="1138" t="s">
        <v>7519</v>
      </c>
      <c r="BS21" s="1137"/>
      <c r="BT21" s="1138" t="s">
        <v>2907</v>
      </c>
      <c r="BU21" s="1138" t="s">
        <v>5068</v>
      </c>
      <c r="BV21" s="1138" t="s">
        <v>7520</v>
      </c>
      <c r="BW21" s="1138" t="s">
        <v>7521</v>
      </c>
      <c r="BX21" s="1149"/>
      <c r="BY21" s="1245" t="s">
        <v>3475</v>
      </c>
      <c r="BZ21" s="1142" t="s">
        <v>939</v>
      </c>
      <c r="CA21" s="1164"/>
      <c r="CB21" s="1164"/>
      <c r="CC21" s="1164"/>
      <c r="CD21" s="1143"/>
      <c r="CE21" s="1142" t="s">
        <v>7522</v>
      </c>
      <c r="CF21" s="1142" t="s">
        <v>7523</v>
      </c>
      <c r="CG21" s="1143"/>
      <c r="CH21" s="1143"/>
      <c r="CI21" s="1143"/>
      <c r="CJ21" s="1164"/>
      <c r="CK21" s="1164"/>
    </row>
    <row r="22">
      <c r="A22" s="1246" t="s">
        <v>3389</v>
      </c>
      <c r="B22" s="1101" t="s">
        <v>7524</v>
      </c>
      <c r="C22" s="1102" t="s">
        <v>1418</v>
      </c>
      <c r="D22" s="1103" t="s">
        <v>545</v>
      </c>
      <c r="E22" s="1104" t="s">
        <v>1418</v>
      </c>
      <c r="F22" s="1105" t="s">
        <v>646</v>
      </c>
      <c r="G22" s="1101" t="s">
        <v>1063</v>
      </c>
      <c r="H22" s="1106"/>
      <c r="I22" s="1106"/>
      <c r="J22" s="1106"/>
      <c r="K22" s="1106"/>
      <c r="L22" s="1106"/>
      <c r="M22" s="1106"/>
      <c r="N22" s="1107" t="s">
        <v>7525</v>
      </c>
      <c r="O22" s="1106"/>
      <c r="P22" s="1149"/>
      <c r="Q22" s="1112"/>
      <c r="R22" s="1112"/>
      <c r="S22" s="1112"/>
      <c r="T22" s="1112"/>
      <c r="U22" s="1111" t="s">
        <v>2963</v>
      </c>
      <c r="V22" s="1111" t="s">
        <v>7526</v>
      </c>
      <c r="W22" s="1149"/>
      <c r="X22" s="1116" t="s">
        <v>195</v>
      </c>
      <c r="Y22" s="1116" t="s">
        <v>7527</v>
      </c>
      <c r="Z22" s="1116" t="s">
        <v>7528</v>
      </c>
      <c r="AA22" s="1247" t="s">
        <v>2749</v>
      </c>
      <c r="AB22" s="1116" t="s">
        <v>656</v>
      </c>
      <c r="AC22" s="1116" t="s">
        <v>1887</v>
      </c>
      <c r="AD22" s="1116" t="s">
        <v>7046</v>
      </c>
      <c r="AE22" s="1116" t="s">
        <v>2621</v>
      </c>
      <c r="AF22" s="1116"/>
      <c r="AG22" s="1116" t="s">
        <v>6285</v>
      </c>
      <c r="AH22" s="1248" t="s">
        <v>7529</v>
      </c>
      <c r="AI22" s="1149"/>
      <c r="AJ22" s="1122"/>
      <c r="AK22" s="1122" t="s">
        <v>5591</v>
      </c>
      <c r="AL22" s="1123"/>
      <c r="AM22" s="1122" t="s">
        <v>5066</v>
      </c>
      <c r="AN22" s="1123"/>
      <c r="AO22" s="1123"/>
      <c r="AP22" s="1122" t="s">
        <v>1986</v>
      </c>
      <c r="AQ22" s="1123"/>
      <c r="AR22" s="1122" t="s">
        <v>7530</v>
      </c>
      <c r="AS22" s="1122" t="s">
        <v>3511</v>
      </c>
      <c r="AT22" s="1154"/>
      <c r="AU22" s="1123"/>
      <c r="AV22" s="1189" t="s">
        <v>7531</v>
      </c>
      <c r="AW22" s="1122" t="s">
        <v>804</v>
      </c>
      <c r="AX22" s="1122" t="s">
        <v>7532</v>
      </c>
      <c r="AY22" s="1122" t="s">
        <v>7533</v>
      </c>
      <c r="AZ22" s="1110"/>
      <c r="BA22" s="1212"/>
      <c r="BB22" s="1130" t="s">
        <v>7534</v>
      </c>
      <c r="BC22" s="1178" t="s">
        <v>6153</v>
      </c>
      <c r="BD22" s="1178"/>
      <c r="BE22" s="1155" t="s">
        <v>7535</v>
      </c>
      <c r="BF22" s="1110"/>
      <c r="BG22" s="1135"/>
      <c r="BH22" s="1135"/>
      <c r="BI22" s="1135"/>
      <c r="BJ22" s="1191"/>
      <c r="BK22" s="1135"/>
      <c r="BL22" s="1180" t="s">
        <v>7536</v>
      </c>
      <c r="BM22" s="1133" t="s">
        <v>7537</v>
      </c>
      <c r="BN22" s="1149"/>
      <c r="BO22" s="1137"/>
      <c r="BP22" s="1160"/>
      <c r="BQ22" s="1137"/>
      <c r="BR22" s="1137"/>
      <c r="BS22" s="1183" t="s">
        <v>6976</v>
      </c>
      <c r="BT22" s="1137"/>
      <c r="BU22" s="1137"/>
      <c r="BV22" s="1137"/>
      <c r="BW22" s="1138" t="s">
        <v>7538</v>
      </c>
      <c r="BX22" s="1149"/>
      <c r="BY22" s="1143"/>
      <c r="BZ22" s="1143"/>
      <c r="CA22" s="1164"/>
      <c r="CB22" s="1164"/>
      <c r="CC22" s="1164"/>
      <c r="CD22" s="1143"/>
      <c r="CE22" s="1143"/>
      <c r="CF22" s="1143"/>
      <c r="CG22" s="1143"/>
      <c r="CH22" s="1143"/>
      <c r="CI22" s="1143"/>
      <c r="CJ22" s="1164"/>
      <c r="CK22" s="1164"/>
    </row>
    <row r="23">
      <c r="A23" s="1100" t="s">
        <v>7539</v>
      </c>
      <c r="B23" s="1101" t="s">
        <v>7540</v>
      </c>
      <c r="C23" s="1102" t="s">
        <v>1418</v>
      </c>
      <c r="D23" s="1103" t="s">
        <v>1418</v>
      </c>
      <c r="E23" s="1104" t="s">
        <v>1418</v>
      </c>
      <c r="F23" s="1105" t="s">
        <v>438</v>
      </c>
      <c r="G23" s="1101" t="s">
        <v>5707</v>
      </c>
      <c r="H23" s="1106"/>
      <c r="I23" s="1106"/>
      <c r="J23" s="1106"/>
      <c r="K23" s="1106"/>
      <c r="L23" s="1221" t="s">
        <v>7541</v>
      </c>
      <c r="M23" s="1106"/>
      <c r="N23" s="1147" t="s">
        <v>7542</v>
      </c>
      <c r="O23" s="1106"/>
      <c r="P23" s="1149"/>
      <c r="Q23" s="1112"/>
      <c r="R23" s="1112"/>
      <c r="S23" s="1112"/>
      <c r="T23" s="1112"/>
      <c r="U23" s="1111"/>
      <c r="V23" s="1185" t="s">
        <v>7543</v>
      </c>
      <c r="W23" s="1149"/>
      <c r="X23" s="1187"/>
      <c r="Y23" s="1187"/>
      <c r="Z23" s="1207" t="s">
        <v>7544</v>
      </c>
      <c r="AA23" s="1187"/>
      <c r="AB23" s="1187"/>
      <c r="AC23" s="1187"/>
      <c r="AD23" s="1187"/>
      <c r="AE23" s="1249" t="str">
        <f>HYPERLINK("https://youtu.be/0lXotWIeH0g","49.54")</f>
        <v>49.54</v>
      </c>
      <c r="AF23" s="1241"/>
      <c r="AG23" s="1173" t="s">
        <v>7545</v>
      </c>
      <c r="AH23" s="1200" t="s">
        <v>7546</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7547</v>
      </c>
      <c r="AZ23" s="1110"/>
      <c r="BA23" s="1212"/>
      <c r="BB23" s="1212"/>
      <c r="BC23" s="1213" t="s">
        <v>4120</v>
      </c>
      <c r="BD23" s="1212"/>
      <c r="BE23" s="1238" t="s">
        <v>7548</v>
      </c>
      <c r="BF23" s="1110"/>
      <c r="BG23" s="1135"/>
      <c r="BH23" s="1135"/>
      <c r="BI23" s="1135"/>
      <c r="BJ23" s="1191"/>
      <c r="BK23" s="1135"/>
      <c r="BL23" s="1251" t="str">
        <f>HYPERLINK("https://youtu.be/ZWHJWoriERw","3:48.70")</f>
        <v>3:48.70</v>
      </c>
      <c r="BM23" s="1132" t="s">
        <v>7549</v>
      </c>
      <c r="BN23" s="1149"/>
      <c r="BO23" s="1160" t="s">
        <v>229</v>
      </c>
      <c r="BP23" s="1160"/>
      <c r="BQ23" s="1137"/>
      <c r="BR23" s="1137"/>
      <c r="BS23" s="1137"/>
      <c r="BT23" s="1139" t="str">
        <f>HYPERLINK("https://youtu.be/-5bLlrzaDDc","27.91")</f>
        <v>27.91</v>
      </c>
      <c r="BU23" s="1160" t="s">
        <v>7550</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7551</v>
      </c>
      <c r="C24" s="1102" t="s">
        <v>1418</v>
      </c>
      <c r="D24" s="1103" t="s">
        <v>1418</v>
      </c>
      <c r="E24" s="1104" t="s">
        <v>1418</v>
      </c>
      <c r="F24" s="1105" t="s">
        <v>334</v>
      </c>
      <c r="G24" s="1101" t="s">
        <v>3854</v>
      </c>
      <c r="H24" s="1169" t="s">
        <v>2569</v>
      </c>
      <c r="I24" s="1169" t="s">
        <v>7552</v>
      </c>
      <c r="J24" s="1254"/>
      <c r="K24" s="1169" t="s">
        <v>3234</v>
      </c>
      <c r="L24" s="1107"/>
      <c r="M24" s="1106"/>
      <c r="N24" s="1106"/>
      <c r="O24" s="1147" t="s">
        <v>7553</v>
      </c>
      <c r="P24" s="1149"/>
      <c r="Q24" s="1185" t="s">
        <v>7554</v>
      </c>
      <c r="R24" s="1112"/>
      <c r="S24" s="1112"/>
      <c r="T24" s="1185" t="s">
        <v>5099</v>
      </c>
      <c r="U24" s="1111"/>
      <c r="V24" s="1185" t="s">
        <v>7555</v>
      </c>
      <c r="W24" s="1149"/>
      <c r="X24" s="1173" t="s">
        <v>2137</v>
      </c>
      <c r="Y24" s="1187"/>
      <c r="Z24" s="1173" t="s">
        <v>1911</v>
      </c>
      <c r="AA24" s="1241"/>
      <c r="AB24" s="1173" t="s">
        <v>5211</v>
      </c>
      <c r="AC24" s="1187"/>
      <c r="AD24" s="1187"/>
      <c r="AE24" s="1173" t="s">
        <v>4406</v>
      </c>
      <c r="AF24" s="1116"/>
      <c r="AG24" s="1173" t="s">
        <v>7556</v>
      </c>
      <c r="AH24" s="1121"/>
      <c r="AI24" s="1149"/>
      <c r="AJ24" s="1123"/>
      <c r="AK24" s="1123"/>
      <c r="AL24" s="1123"/>
      <c r="AM24" s="1123"/>
      <c r="AN24" s="1123"/>
      <c r="AO24" s="1189" t="s">
        <v>5012</v>
      </c>
      <c r="AP24" s="1123"/>
      <c r="AQ24" s="1127" t="s">
        <v>3284</v>
      </c>
      <c r="AR24" s="1123"/>
      <c r="AS24" s="1123"/>
      <c r="AT24" s="1154"/>
      <c r="AU24" s="1123"/>
      <c r="AV24" s="1123"/>
      <c r="AW24" s="1127" t="s">
        <v>721</v>
      </c>
      <c r="AX24" s="1123"/>
      <c r="AY24" s="1123"/>
      <c r="AZ24" s="1110"/>
      <c r="BA24" s="1212"/>
      <c r="BB24" s="1212"/>
      <c r="BC24" s="1212"/>
      <c r="BD24" s="1212"/>
      <c r="BE24" s="1238" t="s">
        <v>7557</v>
      </c>
      <c r="BF24" s="1110"/>
      <c r="BG24" s="1228" t="s">
        <v>2584</v>
      </c>
      <c r="BH24" s="1135"/>
      <c r="BI24" s="1135"/>
      <c r="BJ24" s="1191"/>
      <c r="BK24" s="1135"/>
      <c r="BL24" s="1135"/>
      <c r="BM24" s="1228" t="s">
        <v>7558</v>
      </c>
      <c r="BN24" s="1149"/>
      <c r="BO24" s="1193" t="s">
        <v>611</v>
      </c>
      <c r="BP24" s="1160"/>
      <c r="BQ24" s="1137"/>
      <c r="BR24" s="1137"/>
      <c r="BS24" s="1137"/>
      <c r="BT24" s="1137"/>
      <c r="BU24" s="1137"/>
      <c r="BV24" s="1193" t="s">
        <v>7559</v>
      </c>
      <c r="BW24" s="1137"/>
      <c r="BX24" s="1149"/>
      <c r="BY24" s="1167" t="s">
        <v>7560</v>
      </c>
      <c r="BZ24" s="1143"/>
      <c r="CA24" s="1164"/>
      <c r="CB24" s="1164"/>
      <c r="CC24" s="1164"/>
      <c r="CD24" s="1143"/>
      <c r="CE24" s="1167" t="s">
        <v>7561</v>
      </c>
      <c r="CF24" s="1142" t="s">
        <v>7562</v>
      </c>
      <c r="CG24" s="1143"/>
      <c r="CH24" s="1143"/>
      <c r="CI24" s="1143"/>
      <c r="CJ24" s="1164"/>
      <c r="CK24" s="1164"/>
    </row>
    <row r="25">
      <c r="A25" s="1100" t="s">
        <v>6392</v>
      </c>
      <c r="B25" s="1101" t="s">
        <v>7563</v>
      </c>
      <c r="C25" s="1102" t="s">
        <v>1418</v>
      </c>
      <c r="D25" s="1103" t="s">
        <v>1418</v>
      </c>
      <c r="E25" s="1104" t="s">
        <v>545</v>
      </c>
      <c r="F25" s="1105" t="s">
        <v>437</v>
      </c>
      <c r="G25" s="1101" t="s">
        <v>3854</v>
      </c>
      <c r="H25" s="1106"/>
      <c r="I25" s="1106"/>
      <c r="J25" s="1106"/>
      <c r="K25" s="1106"/>
      <c r="L25" s="1107" t="s">
        <v>743</v>
      </c>
      <c r="M25" s="1106"/>
      <c r="N25" s="1107" t="s">
        <v>7564</v>
      </c>
      <c r="O25" s="1107"/>
      <c r="P25" s="1149"/>
      <c r="Q25" s="1112"/>
      <c r="R25" s="1112"/>
      <c r="S25" s="1112"/>
      <c r="T25" s="1112"/>
      <c r="U25" s="1112"/>
      <c r="V25" s="1185" t="s">
        <v>7565</v>
      </c>
      <c r="W25" s="1149"/>
      <c r="X25" s="1116" t="s">
        <v>7566</v>
      </c>
      <c r="Y25" s="1173" t="s">
        <v>7567</v>
      </c>
      <c r="Z25" s="1187"/>
      <c r="AA25" s="1255" t="s">
        <v>7568</v>
      </c>
      <c r="AB25" s="1187"/>
      <c r="AC25" s="1118" t="s">
        <v>4928</v>
      </c>
      <c r="AD25" s="1116" t="s">
        <v>1404</v>
      </c>
      <c r="AE25" s="1116" t="s">
        <v>7569</v>
      </c>
      <c r="AF25" s="1116"/>
      <c r="AG25" s="1173" t="s">
        <v>7570</v>
      </c>
      <c r="AH25" s="1121"/>
      <c r="AI25" s="1149"/>
      <c r="AJ25" s="1123"/>
      <c r="AK25" s="1123"/>
      <c r="AL25" s="1123"/>
      <c r="AM25" s="1122" t="s">
        <v>4869</v>
      </c>
      <c r="AN25" s="1123"/>
      <c r="AO25" s="1123"/>
      <c r="AP25" s="1123"/>
      <c r="AQ25" s="1123"/>
      <c r="AR25" s="1123"/>
      <c r="AS25" s="1123"/>
      <c r="AT25" s="1154"/>
      <c r="AU25" s="1123"/>
      <c r="AV25" s="1123"/>
      <c r="AW25" s="1123"/>
      <c r="AX25" s="1123"/>
      <c r="AY25" s="1189" t="s">
        <v>7571</v>
      </c>
      <c r="AZ25" s="1110"/>
      <c r="BA25" s="1212"/>
      <c r="BB25" s="1212"/>
      <c r="BC25" s="1212"/>
      <c r="BD25" s="1212"/>
      <c r="BE25" s="1178" t="s">
        <v>7572</v>
      </c>
      <c r="BF25" s="1110"/>
      <c r="BG25" s="1135"/>
      <c r="BH25" s="1135"/>
      <c r="BI25" s="1135"/>
      <c r="BJ25" s="1191"/>
      <c r="BK25" s="1135"/>
      <c r="BL25" s="1133" t="s">
        <v>7573</v>
      </c>
      <c r="BM25" s="1135"/>
      <c r="BN25" s="1149"/>
      <c r="BO25" s="1138" t="s">
        <v>4812</v>
      </c>
      <c r="BP25" s="1160"/>
      <c r="BQ25" s="1137"/>
      <c r="BR25" s="1138" t="s">
        <v>7574</v>
      </c>
      <c r="BS25" s="1139" t="s">
        <v>7345</v>
      </c>
      <c r="BT25" s="1138" t="s">
        <v>1387</v>
      </c>
      <c r="BU25" s="1137"/>
      <c r="BV25" s="1193" t="s">
        <v>7575</v>
      </c>
      <c r="BW25" s="1138" t="s">
        <v>7576</v>
      </c>
      <c r="BX25" s="1149"/>
      <c r="BY25" s="1143"/>
      <c r="BZ25" s="1143"/>
      <c r="CA25" s="1164"/>
      <c r="CB25" s="1164"/>
      <c r="CC25" s="1164"/>
      <c r="CD25" s="1143"/>
      <c r="CE25" s="1142" t="s">
        <v>3567</v>
      </c>
      <c r="CF25" s="1194" t="s">
        <v>7577</v>
      </c>
      <c r="CG25" s="1143"/>
      <c r="CH25" s="1143"/>
      <c r="CI25" s="1143"/>
      <c r="CJ25" s="1164"/>
      <c r="CK25" s="1164"/>
    </row>
    <row r="26">
      <c r="A26" s="1253" t="s">
        <v>6406</v>
      </c>
      <c r="B26" s="1101" t="s">
        <v>7578</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7579</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7580</v>
      </c>
      <c r="BF26" s="1110"/>
      <c r="BG26" s="1135"/>
      <c r="BH26" s="1135"/>
      <c r="BI26" s="1135"/>
      <c r="BJ26" s="1191"/>
      <c r="BK26" s="1135"/>
      <c r="BL26" s="1135"/>
      <c r="BM26" s="1158" t="s">
        <v>7581</v>
      </c>
      <c r="BN26" s="1152"/>
      <c r="BO26" s="1252" t="str">
        <f>HYPERLINK("https://youtu.be/oOY4TocVyJU","1:05.01")</f>
        <v>1:05.01</v>
      </c>
      <c r="BP26" s="1160"/>
      <c r="BQ26" s="1137"/>
      <c r="BR26" s="1138"/>
      <c r="BS26" s="1138"/>
      <c r="BT26" s="1137"/>
      <c r="BU26" s="1137"/>
      <c r="BV26" s="1137"/>
      <c r="BW26" s="1140" t="s">
        <v>7582</v>
      </c>
      <c r="BX26" s="1152"/>
      <c r="BY26" s="1143"/>
      <c r="BZ26" s="1143"/>
      <c r="CA26" s="1259"/>
      <c r="CB26" s="1259"/>
      <c r="CC26" s="1259"/>
      <c r="CD26" s="1143"/>
      <c r="CE26" s="1143"/>
      <c r="CF26" s="1143"/>
      <c r="CG26" s="1143"/>
      <c r="CH26" s="1143"/>
      <c r="CI26" s="1143"/>
      <c r="CJ26" s="1164"/>
      <c r="CK26" s="1164"/>
    </row>
    <row r="27">
      <c r="A27" s="1100" t="s">
        <v>7583</v>
      </c>
      <c r="B27" s="1101" t="s">
        <v>7584</v>
      </c>
      <c r="C27" s="1102" t="s">
        <v>545</v>
      </c>
      <c r="D27" s="1103" t="s">
        <v>1418</v>
      </c>
      <c r="E27" s="1104" t="s">
        <v>545</v>
      </c>
      <c r="F27" s="1105" t="s">
        <v>332</v>
      </c>
      <c r="G27" s="1101" t="s">
        <v>2761</v>
      </c>
      <c r="H27" s="1107" t="s">
        <v>3840</v>
      </c>
      <c r="I27" s="1107"/>
      <c r="J27" s="1107"/>
      <c r="K27" s="1106"/>
      <c r="L27" s="1107" t="s">
        <v>7585</v>
      </c>
      <c r="M27" s="1106"/>
      <c r="N27" s="1107" t="s">
        <v>7586</v>
      </c>
      <c r="O27" s="1106"/>
      <c r="P27" s="1149"/>
      <c r="Q27" s="1111" t="s">
        <v>7587</v>
      </c>
      <c r="R27" s="1112"/>
      <c r="S27" s="1112"/>
      <c r="T27" s="1112"/>
      <c r="U27" s="1185" t="s">
        <v>7588</v>
      </c>
      <c r="V27" s="1111" t="s">
        <v>7589</v>
      </c>
      <c r="W27" s="1149"/>
      <c r="X27" s="1116"/>
      <c r="Y27" s="1116"/>
      <c r="Z27" s="1116" t="s">
        <v>6426</v>
      </c>
      <c r="AA27" s="1247" t="s">
        <v>4605</v>
      </c>
      <c r="AB27" s="1116" t="s">
        <v>1187</v>
      </c>
      <c r="AC27" s="1187"/>
      <c r="AD27" s="1187"/>
      <c r="AE27" s="1116" t="s">
        <v>7590</v>
      </c>
      <c r="AF27" s="1116"/>
      <c r="AG27" s="1174" t="s">
        <v>7591</v>
      </c>
      <c r="AH27" s="1237" t="s">
        <v>7592</v>
      </c>
      <c r="AI27" s="1149"/>
      <c r="AJ27" s="1201"/>
      <c r="AK27" s="1124" t="s">
        <v>7593</v>
      </c>
      <c r="AL27" s="1123"/>
      <c r="AM27" s="1123"/>
      <c r="AN27" s="1123"/>
      <c r="AO27" s="1123"/>
      <c r="AP27" s="1123"/>
      <c r="AQ27" s="1123"/>
      <c r="AR27" s="1189" t="s">
        <v>7594</v>
      </c>
      <c r="AS27" s="1122" t="s">
        <v>7595</v>
      </c>
      <c r="AT27" s="1154"/>
      <c r="AU27" s="1123"/>
      <c r="AV27" s="1189" t="s">
        <v>7596</v>
      </c>
      <c r="AW27" s="1122" t="s">
        <v>2617</v>
      </c>
      <c r="AX27" s="1123"/>
      <c r="AY27" s="1122" t="s">
        <v>7597</v>
      </c>
      <c r="AZ27" s="1110"/>
      <c r="BA27" s="1212"/>
      <c r="BB27" s="1212"/>
      <c r="BC27" s="1212"/>
      <c r="BD27" s="1212"/>
      <c r="BE27" s="1178" t="s">
        <v>7598</v>
      </c>
      <c r="BF27" s="1110"/>
      <c r="BG27" s="1135"/>
      <c r="BH27" s="1135"/>
      <c r="BI27" s="1135"/>
      <c r="BJ27" s="1133"/>
      <c r="BK27" s="1135"/>
      <c r="BL27" s="1179" t="s">
        <v>7599</v>
      </c>
      <c r="BM27" s="1132" t="s">
        <v>7600</v>
      </c>
      <c r="BN27" s="1149"/>
      <c r="BO27" s="1138" t="s">
        <v>3988</v>
      </c>
      <c r="BP27" s="1160"/>
      <c r="BQ27" s="1137"/>
      <c r="BR27" s="1138" t="s">
        <v>7601</v>
      </c>
      <c r="BS27" s="1137"/>
      <c r="BT27" s="1193" t="s">
        <v>901</v>
      </c>
      <c r="BU27" s="1137"/>
      <c r="BV27" s="1138" t="s">
        <v>7602</v>
      </c>
      <c r="BW27" s="1138" t="s">
        <v>7603</v>
      </c>
      <c r="BX27" s="1149"/>
      <c r="BY27" s="1143"/>
      <c r="BZ27" s="1143"/>
      <c r="CA27" s="1164"/>
      <c r="CB27" s="1164"/>
      <c r="CC27" s="1164"/>
      <c r="CD27" s="1143"/>
      <c r="CE27" s="1167" t="s">
        <v>7604</v>
      </c>
      <c r="CF27" s="1143"/>
      <c r="CG27" s="1143"/>
      <c r="CH27" s="1143"/>
      <c r="CI27" s="1143"/>
      <c r="CJ27" s="1164"/>
      <c r="CK27" s="1164"/>
    </row>
    <row r="28">
      <c r="A28" s="1100" t="s">
        <v>4060</v>
      </c>
      <c r="B28" s="1101" t="s">
        <v>6208</v>
      </c>
      <c r="C28" s="1102" t="s">
        <v>1418</v>
      </c>
      <c r="D28" s="1103" t="s">
        <v>1418</v>
      </c>
      <c r="E28" s="1104" t="s">
        <v>646</v>
      </c>
      <c r="F28" s="1105" t="s">
        <v>1201</v>
      </c>
      <c r="G28" s="1101" t="s">
        <v>4251</v>
      </c>
      <c r="H28" s="1220" t="s">
        <v>1354</v>
      </c>
      <c r="I28" s="1106"/>
      <c r="J28" s="1106"/>
      <c r="K28" s="1106"/>
      <c r="L28" s="1107" t="s">
        <v>1486</v>
      </c>
      <c r="M28" s="1106"/>
      <c r="N28" s="1169" t="s">
        <v>7605</v>
      </c>
      <c r="O28" s="1106"/>
      <c r="P28" s="1149"/>
      <c r="Q28" s="1260" t="s">
        <v>7606</v>
      </c>
      <c r="R28" s="1112"/>
      <c r="S28" s="1111" t="s">
        <v>5797</v>
      </c>
      <c r="T28" s="1115" t="s">
        <v>620</v>
      </c>
      <c r="U28" s="1261" t="s">
        <v>7607</v>
      </c>
      <c r="V28" s="1111" t="s">
        <v>7608</v>
      </c>
      <c r="W28" s="1149"/>
      <c r="X28" s="1187"/>
      <c r="Y28" s="1116" t="s">
        <v>4071</v>
      </c>
      <c r="Z28" s="1116" t="s">
        <v>5208</v>
      </c>
      <c r="AA28" s="1262" t="s">
        <v>1762</v>
      </c>
      <c r="AB28" s="1116" t="s">
        <v>6122</v>
      </c>
      <c r="AC28" s="1116" t="s">
        <v>3426</v>
      </c>
      <c r="AD28" s="1116" t="s">
        <v>2991</v>
      </c>
      <c r="AE28" s="1151" t="s">
        <v>242</v>
      </c>
      <c r="AF28" s="1174"/>
      <c r="AG28" s="1187"/>
      <c r="AH28" s="1263" t="s">
        <v>4073</v>
      </c>
      <c r="AI28" s="1149"/>
      <c r="AJ28" s="1122"/>
      <c r="AK28" s="1122" t="s">
        <v>7609</v>
      </c>
      <c r="AL28" s="1122" t="s">
        <v>7610</v>
      </c>
      <c r="AM28" s="1122" t="s">
        <v>1642</v>
      </c>
      <c r="AN28" s="1122"/>
      <c r="AO28" s="1123"/>
      <c r="AP28" s="1127" t="s">
        <v>6836</v>
      </c>
      <c r="AQ28" s="1123"/>
      <c r="AR28" s="1122" t="s">
        <v>7611</v>
      </c>
      <c r="AS28" s="1122" t="s">
        <v>7612</v>
      </c>
      <c r="AT28" s="1154"/>
      <c r="AU28" s="1122" t="s">
        <v>7613</v>
      </c>
      <c r="AV28" s="1123"/>
      <c r="AW28" s="1127" t="s">
        <v>2705</v>
      </c>
      <c r="AX28" s="1122" t="s">
        <v>7614</v>
      </c>
      <c r="AY28" s="1122" t="s">
        <v>7615</v>
      </c>
      <c r="AZ28" s="1110"/>
      <c r="BA28" s="1212"/>
      <c r="BB28" s="1212"/>
      <c r="BC28" s="1178" t="s">
        <v>2207</v>
      </c>
      <c r="BD28" s="1178"/>
      <c r="BE28" s="1178" t="s">
        <v>7616</v>
      </c>
      <c r="BF28" s="1110"/>
      <c r="BG28" s="1135"/>
      <c r="BH28" s="1133" t="s">
        <v>7617</v>
      </c>
      <c r="BI28" s="1135"/>
      <c r="BJ28" s="1191"/>
      <c r="BK28" s="1135"/>
      <c r="BL28" s="1133" t="s">
        <v>7618</v>
      </c>
      <c r="BM28" s="1135"/>
      <c r="BN28" s="1149"/>
      <c r="BO28" s="1193" t="s">
        <v>7619</v>
      </c>
      <c r="BP28" s="1160"/>
      <c r="BQ28" s="1137"/>
      <c r="BR28" s="1137"/>
      <c r="BS28" s="1182" t="s">
        <v>7561</v>
      </c>
      <c r="BT28" s="1193" t="s">
        <v>318</v>
      </c>
      <c r="BU28" s="1182" t="s">
        <v>7620</v>
      </c>
      <c r="BV28" s="1137"/>
      <c r="BW28" s="1138" t="s">
        <v>3797</v>
      </c>
      <c r="BX28" s="1149"/>
      <c r="BY28" s="1143"/>
      <c r="BZ28" s="1143"/>
      <c r="CA28" s="1164"/>
      <c r="CB28" s="1164"/>
      <c r="CC28" s="1164"/>
      <c r="CD28" s="1143"/>
      <c r="CE28" s="1142" t="s">
        <v>7562</v>
      </c>
      <c r="CF28" s="1142" t="s">
        <v>7621</v>
      </c>
      <c r="CG28" s="1143"/>
      <c r="CH28" s="1143"/>
      <c r="CI28" s="1143"/>
      <c r="CJ28" s="1164"/>
      <c r="CK28" s="1164"/>
    </row>
    <row r="29">
      <c r="A29" s="1264" t="s">
        <v>6385</v>
      </c>
      <c r="B29" s="1101" t="s">
        <v>7622</v>
      </c>
      <c r="C29" s="1102" t="s">
        <v>1418</v>
      </c>
      <c r="D29" s="1103" t="s">
        <v>1418</v>
      </c>
      <c r="E29" s="1104" t="s">
        <v>1418</v>
      </c>
      <c r="F29" s="1105" t="s">
        <v>438</v>
      </c>
      <c r="G29" s="1101" t="s">
        <v>1063</v>
      </c>
      <c r="H29" s="1220" t="s">
        <v>4234</v>
      </c>
      <c r="I29" s="1107" t="s">
        <v>7623</v>
      </c>
      <c r="J29" s="1107"/>
      <c r="K29" s="1107"/>
      <c r="L29" s="1147" t="s">
        <v>7624</v>
      </c>
      <c r="M29" s="1106"/>
      <c r="N29" s="1169" t="s">
        <v>7625</v>
      </c>
      <c r="O29" s="1106"/>
      <c r="P29" s="1149"/>
      <c r="Q29" s="1112"/>
      <c r="R29" s="1112"/>
      <c r="S29" s="1112"/>
      <c r="T29" s="1112"/>
      <c r="U29" s="1111" t="s">
        <v>416</v>
      </c>
      <c r="V29" s="1115" t="s">
        <v>7626</v>
      </c>
      <c r="W29" s="1149"/>
      <c r="X29" s="1173" t="s">
        <v>4809</v>
      </c>
      <c r="Y29" s="1116" t="s">
        <v>7627</v>
      </c>
      <c r="Z29" s="1173" t="s">
        <v>5860</v>
      </c>
      <c r="AA29" s="1236" t="s">
        <v>4605</v>
      </c>
      <c r="AB29" s="1173" t="s">
        <v>2503</v>
      </c>
      <c r="AC29" s="1151" t="s">
        <v>7628</v>
      </c>
      <c r="AD29" s="1187"/>
      <c r="AE29" s="1151" t="str">
        <f>HYPERLINK("https://twitter.com/Qbe_Root/status/1242884733232648192","56.04")</f>
        <v>56.04</v>
      </c>
      <c r="AF29" s="1174"/>
      <c r="AG29" s="1151" t="s">
        <v>7629</v>
      </c>
      <c r="AH29" s="1121"/>
      <c r="AI29" s="1149"/>
      <c r="AJ29" s="1122"/>
      <c r="AK29" s="1122" t="s">
        <v>7630</v>
      </c>
      <c r="AL29" s="1122" t="s">
        <v>7631</v>
      </c>
      <c r="AM29" s="1122" t="s">
        <v>7632</v>
      </c>
      <c r="AN29" s="1122"/>
      <c r="AO29" s="1123"/>
      <c r="AP29" s="114" t="s">
        <v>7633</v>
      </c>
      <c r="AQ29" s="1123"/>
      <c r="AR29" s="1123"/>
      <c r="AS29" s="1123"/>
      <c r="AT29" s="1154"/>
      <c r="AU29" s="1123"/>
      <c r="AV29" s="1123"/>
      <c r="AW29" s="1122" t="s">
        <v>1615</v>
      </c>
      <c r="AX29" s="1122" t="s">
        <v>7634</v>
      </c>
      <c r="AY29" s="1123"/>
      <c r="AZ29" s="1110"/>
      <c r="BA29" s="1212"/>
      <c r="BB29" s="1212"/>
      <c r="BC29" s="1212"/>
      <c r="BD29" s="1212"/>
      <c r="BE29" s="1238" t="s">
        <v>7635</v>
      </c>
      <c r="BF29" s="1110"/>
      <c r="BG29" s="1133" t="s">
        <v>1468</v>
      </c>
      <c r="BH29" s="1135"/>
      <c r="BI29" s="1135"/>
      <c r="BJ29" s="1191"/>
      <c r="BK29" s="1133" t="s">
        <v>7636</v>
      </c>
      <c r="BL29" s="1135"/>
      <c r="BM29" s="1133" t="s">
        <v>7637</v>
      </c>
      <c r="BN29" s="1149"/>
      <c r="BO29" s="1138" t="s">
        <v>7638</v>
      </c>
      <c r="BP29" s="1160"/>
      <c r="BQ29" s="1137"/>
      <c r="BR29" s="1137"/>
      <c r="BS29" s="1137"/>
      <c r="BT29" s="1193" t="s">
        <v>1475</v>
      </c>
      <c r="BU29" s="1137"/>
      <c r="BV29" s="1265" t="str">
        <f>HYPERLINK("https://twitter.com/Qbe_Root/status/1400138849058275330", "1:53.21")</f>
        <v>1:53.21</v>
      </c>
      <c r="BW29" s="1138" t="s">
        <v>7639</v>
      </c>
      <c r="BX29" s="1149"/>
      <c r="BY29" s="1143"/>
      <c r="BZ29" s="1143"/>
      <c r="CA29" s="1164"/>
      <c r="CB29" s="1164"/>
      <c r="CC29" s="1164"/>
      <c r="CD29" s="1194" t="s">
        <v>4898</v>
      </c>
      <c r="CE29" s="1143"/>
      <c r="CF29" s="1143"/>
      <c r="CG29" s="1143"/>
      <c r="CH29" s="1143"/>
      <c r="CI29" s="1143"/>
      <c r="CJ29" s="1164"/>
      <c r="CK29" s="1164"/>
    </row>
    <row r="30">
      <c r="A30" s="1100" t="s">
        <v>3981</v>
      </c>
      <c r="B30" s="1101" t="s">
        <v>7640</v>
      </c>
      <c r="C30" s="1102" t="s">
        <v>1418</v>
      </c>
      <c r="D30" s="1103" t="s">
        <v>1418</v>
      </c>
      <c r="E30" s="1104" t="s">
        <v>1418</v>
      </c>
      <c r="F30" s="1105" t="s">
        <v>437</v>
      </c>
      <c r="G30" s="1101" t="s">
        <v>2869</v>
      </c>
      <c r="H30" s="1107" t="s">
        <v>2300</v>
      </c>
      <c r="I30" s="1106"/>
      <c r="J30" s="1106"/>
      <c r="K30" s="1106"/>
      <c r="L30" s="1107" t="s">
        <v>6243</v>
      </c>
      <c r="M30" s="1106"/>
      <c r="N30" s="1107" t="s">
        <v>7641</v>
      </c>
      <c r="O30" s="1106"/>
      <c r="P30" s="1149"/>
      <c r="Q30" s="1111" t="s">
        <v>7642</v>
      </c>
      <c r="R30" s="1112"/>
      <c r="S30" s="1112"/>
      <c r="T30" s="1112"/>
      <c r="U30" s="1185" t="s">
        <v>7260</v>
      </c>
      <c r="V30" s="1111" t="s">
        <v>7643</v>
      </c>
      <c r="W30" s="1149"/>
      <c r="X30" s="1187"/>
      <c r="Y30" s="1187"/>
      <c r="Z30" s="1116" t="s">
        <v>7644</v>
      </c>
      <c r="AA30" s="1241"/>
      <c r="AB30" s="1116" t="s">
        <v>4756</v>
      </c>
      <c r="AC30" s="1116" t="s">
        <v>309</v>
      </c>
      <c r="AD30" s="1187"/>
      <c r="AE30" s="1116" t="s">
        <v>3667</v>
      </c>
      <c r="AF30" s="1116"/>
      <c r="AG30" s="1151" t="s">
        <v>7645</v>
      </c>
      <c r="AH30" s="1244" t="s">
        <v>7646</v>
      </c>
      <c r="AI30" s="1149"/>
      <c r="AJ30" s="1122"/>
      <c r="AK30" s="1122" t="s">
        <v>7647</v>
      </c>
      <c r="AL30" s="1122" t="s">
        <v>7648</v>
      </c>
      <c r="AM30" s="1122" t="s">
        <v>4181</v>
      </c>
      <c r="AN30" s="1122"/>
      <c r="AO30" s="1123"/>
      <c r="AP30" s="1123"/>
      <c r="AQ30" s="1123"/>
      <c r="AR30" s="1122" t="s">
        <v>7649</v>
      </c>
      <c r="AS30" s="1122" t="s">
        <v>7650</v>
      </c>
      <c r="AT30" s="1189"/>
      <c r="AU30" s="1122" t="s">
        <v>7651</v>
      </c>
      <c r="AV30" s="1122"/>
      <c r="AW30" s="1122" t="s">
        <v>768</v>
      </c>
      <c r="AX30" s="1123"/>
      <c r="AY30" s="1122" t="s">
        <v>7652</v>
      </c>
      <c r="AZ30" s="1110"/>
      <c r="BA30" s="1178"/>
      <c r="BB30" s="1178" t="s">
        <v>7653</v>
      </c>
      <c r="BC30" s="1238" t="s">
        <v>4423</v>
      </c>
      <c r="BD30" s="1178"/>
      <c r="BE30" s="1238" t="s">
        <v>7654</v>
      </c>
      <c r="BF30" s="1110"/>
      <c r="BG30" s="1133" t="s">
        <v>7655</v>
      </c>
      <c r="BH30" s="1135"/>
      <c r="BI30" s="1135"/>
      <c r="BJ30" s="1191"/>
      <c r="BK30" s="1135"/>
      <c r="BL30" s="1133" t="s">
        <v>7656</v>
      </c>
      <c r="BM30" s="1133" t="s">
        <v>7657</v>
      </c>
      <c r="BN30" s="1149"/>
      <c r="BO30" s="1138" t="s">
        <v>3353</v>
      </c>
      <c r="BP30" s="1160"/>
      <c r="BQ30" s="1137"/>
      <c r="BR30" s="1138" t="s">
        <v>7658</v>
      </c>
      <c r="BS30" s="1193" t="s">
        <v>7659</v>
      </c>
      <c r="BT30" s="1137"/>
      <c r="BU30" s="1137"/>
      <c r="BV30" s="1138" t="s">
        <v>5224</v>
      </c>
      <c r="BW30" s="1138" t="s">
        <v>2588</v>
      </c>
      <c r="BX30" s="1149"/>
      <c r="BY30" s="1143"/>
      <c r="BZ30" s="1143"/>
      <c r="CA30" s="1164"/>
      <c r="CB30" s="1164"/>
      <c r="CC30" s="1164"/>
      <c r="CD30" s="1143"/>
      <c r="CE30" s="1143"/>
      <c r="CF30" s="1142" t="s">
        <v>7660</v>
      </c>
      <c r="CG30" s="1143"/>
      <c r="CH30" s="1143"/>
      <c r="CI30" s="1167" t="s">
        <v>7661</v>
      </c>
      <c r="CJ30" s="1164"/>
      <c r="CK30" s="1164"/>
    </row>
    <row r="31">
      <c r="A31" s="1100" t="s">
        <v>2759</v>
      </c>
      <c r="B31" s="1101" t="s">
        <v>7662</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7663</v>
      </c>
      <c r="V31" s="1111" t="s">
        <v>7664</v>
      </c>
      <c r="W31" s="1149"/>
      <c r="X31" s="1187"/>
      <c r="Y31" s="1187"/>
      <c r="Z31" s="1187"/>
      <c r="AA31" s="1241"/>
      <c r="AB31" s="1116"/>
      <c r="AC31" s="1117" t="s">
        <v>7665</v>
      </c>
      <c r="AD31" s="1116" t="s">
        <v>7666</v>
      </c>
      <c r="AE31" s="1116" t="s">
        <v>4521</v>
      </c>
      <c r="AF31" s="1116"/>
      <c r="AG31" s="1187"/>
      <c r="AH31" s="1121"/>
      <c r="AI31" s="1149"/>
      <c r="AJ31" s="1123"/>
      <c r="AK31" s="1123"/>
      <c r="AL31" s="1123"/>
      <c r="AM31" s="1123"/>
      <c r="AN31" s="1123"/>
      <c r="AO31" s="1123"/>
      <c r="AP31" s="1153" t="s">
        <v>7667</v>
      </c>
      <c r="AQ31" s="1123"/>
      <c r="AR31" s="1123"/>
      <c r="AS31" s="1123"/>
      <c r="AT31" s="1154"/>
      <c r="AU31" s="1123"/>
      <c r="AV31" s="1123"/>
      <c r="AW31" s="1122" t="s">
        <v>1702</v>
      </c>
      <c r="AX31" s="1123"/>
      <c r="AY31" s="1123"/>
      <c r="AZ31" s="1110"/>
      <c r="BA31" s="1212"/>
      <c r="BB31" s="1212"/>
      <c r="BC31" s="1130" t="s">
        <v>5528</v>
      </c>
      <c r="BD31" s="1128"/>
      <c r="BE31" s="1178" t="s">
        <v>7668</v>
      </c>
      <c r="BF31" s="1110"/>
      <c r="BG31" s="1135"/>
      <c r="BH31" s="1135"/>
      <c r="BI31" s="1135"/>
      <c r="BJ31" s="1191"/>
      <c r="BK31" s="1135"/>
      <c r="BL31" s="1135"/>
      <c r="BM31" s="1135"/>
      <c r="BN31" s="1149"/>
      <c r="BO31" s="1138" t="s">
        <v>7669</v>
      </c>
      <c r="BP31" s="1160"/>
      <c r="BQ31" s="1137"/>
      <c r="BR31" s="1137"/>
      <c r="BS31" s="1137"/>
      <c r="BT31" s="1137"/>
      <c r="BU31" s="1137"/>
      <c r="BV31" s="1138" t="s">
        <v>7670</v>
      </c>
      <c r="BW31" s="1137"/>
      <c r="BX31" s="1149"/>
      <c r="BY31" s="1143"/>
      <c r="BZ31" s="1143"/>
      <c r="CA31" s="1164"/>
      <c r="CB31" s="1164"/>
      <c r="CC31" s="1164"/>
      <c r="CD31" s="1143"/>
      <c r="CE31" s="1143"/>
      <c r="CF31" s="1143"/>
      <c r="CG31" s="1143"/>
      <c r="CH31" s="1143"/>
      <c r="CI31" s="1143"/>
      <c r="CJ31" s="1164"/>
      <c r="CK31" s="1164"/>
    </row>
    <row r="32">
      <c r="A32" s="1100" t="s">
        <v>7671</v>
      </c>
      <c r="B32" s="1101" t="s">
        <v>2692</v>
      </c>
      <c r="C32" s="1102" t="s">
        <v>1418</v>
      </c>
      <c r="D32" s="1103" t="s">
        <v>1418</v>
      </c>
      <c r="E32" s="1104" t="s">
        <v>1418</v>
      </c>
      <c r="F32" s="1105" t="s">
        <v>1418</v>
      </c>
      <c r="G32" s="1101" t="s">
        <v>4416</v>
      </c>
      <c r="H32" s="1106"/>
      <c r="I32" s="1106"/>
      <c r="J32" s="1107" t="s">
        <v>7672</v>
      </c>
      <c r="K32" s="1106"/>
      <c r="L32" s="1106"/>
      <c r="M32" s="1106"/>
      <c r="N32" s="1106"/>
      <c r="O32" s="1107" t="s">
        <v>7673</v>
      </c>
      <c r="P32" s="1149"/>
      <c r="Q32" s="1112"/>
      <c r="R32" s="1112"/>
      <c r="S32" s="1112"/>
      <c r="T32" s="1112"/>
      <c r="U32" s="1112"/>
      <c r="V32" s="1111" t="s">
        <v>7674</v>
      </c>
      <c r="W32" s="1149"/>
      <c r="X32" s="1187"/>
      <c r="Y32" s="1187"/>
      <c r="Z32" s="1187"/>
      <c r="AA32" s="1241"/>
      <c r="AB32" s="1187"/>
      <c r="AC32" s="1187"/>
      <c r="AD32" s="1187"/>
      <c r="AE32" s="1116" t="s">
        <v>2290</v>
      </c>
      <c r="AF32" s="1116"/>
      <c r="AG32" s="1116" t="s">
        <v>7675</v>
      </c>
      <c r="AH32" s="1121"/>
      <c r="AI32" s="1149"/>
      <c r="AJ32" s="1123"/>
      <c r="AK32" s="1123"/>
      <c r="AL32" s="1123"/>
      <c r="AM32" s="1123"/>
      <c r="AN32" s="1123"/>
      <c r="AO32" s="1123"/>
      <c r="AP32" s="1122" t="s">
        <v>7676</v>
      </c>
      <c r="AQ32" s="1123"/>
      <c r="AR32" s="1123"/>
      <c r="AS32" s="1123"/>
      <c r="AT32" s="1154"/>
      <c r="AU32" s="1123"/>
      <c r="AV32" s="1123"/>
      <c r="AW32" s="1123"/>
      <c r="AX32" s="1123"/>
      <c r="AY32" s="1123"/>
      <c r="AZ32" s="1110"/>
      <c r="BA32" s="1178" t="s">
        <v>7677</v>
      </c>
      <c r="BB32" s="1212"/>
      <c r="BC32" s="1178"/>
      <c r="BD32" s="1178"/>
      <c r="BE32" s="1178" t="s">
        <v>7678</v>
      </c>
      <c r="BF32" s="1110"/>
      <c r="BG32" s="1135"/>
      <c r="BH32" s="1135"/>
      <c r="BI32" s="1135"/>
      <c r="BJ32" s="1191"/>
      <c r="BK32" s="1135"/>
      <c r="BL32" s="1135"/>
      <c r="BM32" s="1133" t="s">
        <v>7679</v>
      </c>
      <c r="BN32" s="1149"/>
      <c r="BO32" s="1137"/>
      <c r="BP32" s="1160"/>
      <c r="BQ32" s="1137"/>
      <c r="BR32" s="1138" t="s">
        <v>2470</v>
      </c>
      <c r="BS32" s="1137"/>
      <c r="BT32" s="1137"/>
      <c r="BU32" s="1137"/>
      <c r="BV32" s="1193" t="s">
        <v>7680</v>
      </c>
      <c r="BW32" s="1138" t="s">
        <v>2038</v>
      </c>
      <c r="BX32" s="1149"/>
      <c r="BY32" s="1142" t="s">
        <v>6076</v>
      </c>
      <c r="BZ32" s="1143"/>
      <c r="CA32" s="1194"/>
      <c r="CB32" s="1194"/>
      <c r="CC32" s="1194"/>
      <c r="CD32" s="1143"/>
      <c r="CE32" s="1143"/>
      <c r="CF32" s="1143"/>
      <c r="CG32" s="1143"/>
      <c r="CH32" s="1143"/>
      <c r="CI32" s="1143"/>
      <c r="CJ32" s="1164"/>
      <c r="CK32" s="1164"/>
    </row>
    <row r="33">
      <c r="A33" s="1100" t="s">
        <v>2144</v>
      </c>
      <c r="B33" s="1101" t="s">
        <v>1259</v>
      </c>
      <c r="C33" s="1102" t="s">
        <v>545</v>
      </c>
      <c r="D33" s="1103" t="s">
        <v>1418</v>
      </c>
      <c r="E33" s="1104" t="s">
        <v>1418</v>
      </c>
      <c r="F33" s="1105" t="s">
        <v>545</v>
      </c>
      <c r="G33" s="1101" t="s">
        <v>5707</v>
      </c>
      <c r="H33" s="1107"/>
      <c r="I33" s="1106"/>
      <c r="J33" s="1106"/>
      <c r="K33" s="1106"/>
      <c r="L33" s="1107" t="s">
        <v>7681</v>
      </c>
      <c r="M33" s="1106"/>
      <c r="N33" s="1107" t="s">
        <v>7682</v>
      </c>
      <c r="O33" s="1107"/>
      <c r="P33" s="1149"/>
      <c r="Q33" s="1111" t="s">
        <v>7683</v>
      </c>
      <c r="R33" s="1112"/>
      <c r="S33" s="1112"/>
      <c r="T33" s="1112"/>
      <c r="U33" s="1112"/>
      <c r="V33" s="1111" t="s">
        <v>7684</v>
      </c>
      <c r="W33" s="1149"/>
      <c r="X33" s="1187"/>
      <c r="Y33" s="1187"/>
      <c r="Z33" s="1116" t="s">
        <v>7685</v>
      </c>
      <c r="AA33" s="1116" t="s">
        <v>7686</v>
      </c>
      <c r="AB33" s="1116" t="s">
        <v>3975</v>
      </c>
      <c r="AC33" s="1116" t="s">
        <v>7687</v>
      </c>
      <c r="AD33" s="1187"/>
      <c r="AE33" s="1116" t="s">
        <v>2562</v>
      </c>
      <c r="AF33" s="1116"/>
      <c r="AG33" s="1187"/>
      <c r="AH33" s="1244" t="s">
        <v>7688</v>
      </c>
      <c r="AI33" s="1149"/>
      <c r="AJ33" s="1123"/>
      <c r="AK33" s="1123"/>
      <c r="AL33" s="1123"/>
      <c r="AM33" s="1123"/>
      <c r="AN33" s="1123"/>
      <c r="AO33" s="1123"/>
      <c r="AP33" s="1122" t="s">
        <v>7689</v>
      </c>
      <c r="AQ33" s="1123"/>
      <c r="AR33" s="1123"/>
      <c r="AS33" s="1123"/>
      <c r="AT33" s="1154"/>
      <c r="AU33" s="1123"/>
      <c r="AV33" s="1123"/>
      <c r="AW33" s="1122" t="s">
        <v>433</v>
      </c>
      <c r="AX33" s="1123"/>
      <c r="AY33" s="1122" t="s">
        <v>7690</v>
      </c>
      <c r="AZ33" s="1110"/>
      <c r="BA33" s="1178" t="s">
        <v>7691</v>
      </c>
      <c r="BB33" s="1178" t="s">
        <v>7692</v>
      </c>
      <c r="BC33" s="1212"/>
      <c r="BD33" s="1212"/>
      <c r="BE33" s="1178" t="s">
        <v>7693</v>
      </c>
      <c r="BF33" s="1110"/>
      <c r="BG33" s="1135"/>
      <c r="BH33" s="1135"/>
      <c r="BI33" s="1135"/>
      <c r="BJ33" s="1191"/>
      <c r="BK33" s="1135"/>
      <c r="BL33" s="1158" t="s">
        <v>7694</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915</v>
      </c>
      <c r="C34" s="1102" t="s">
        <v>1418</v>
      </c>
      <c r="D34" s="1103" t="s">
        <v>1418</v>
      </c>
      <c r="E34" s="1104" t="s">
        <v>1418</v>
      </c>
      <c r="F34" s="1105" t="s">
        <v>332</v>
      </c>
      <c r="G34" s="1101" t="s">
        <v>3645</v>
      </c>
      <c r="H34" s="1107" t="s">
        <v>7695</v>
      </c>
      <c r="I34" s="1106"/>
      <c r="J34" s="1106"/>
      <c r="K34" s="1106"/>
      <c r="L34" s="1106"/>
      <c r="M34" s="1106"/>
      <c r="N34" s="1106"/>
      <c r="O34" s="1106"/>
      <c r="P34" s="1149"/>
      <c r="Q34" s="1112"/>
      <c r="R34" s="1112"/>
      <c r="S34" s="1111" t="s">
        <v>1026</v>
      </c>
      <c r="T34" s="1111" t="s">
        <v>1969</v>
      </c>
      <c r="U34" s="1111" t="s">
        <v>4517</v>
      </c>
      <c r="V34" s="1111" t="s">
        <v>7696</v>
      </c>
      <c r="W34" s="1149"/>
      <c r="X34" s="1116" t="s">
        <v>1665</v>
      </c>
      <c r="Y34" s="1187"/>
      <c r="Z34" s="1187"/>
      <c r="AA34" s="1241"/>
      <c r="AB34" s="1187"/>
      <c r="AC34" s="1187"/>
      <c r="AD34" s="1187"/>
      <c r="AE34" s="1187"/>
      <c r="AF34" s="1116"/>
      <c r="AG34" s="1187"/>
      <c r="AH34" s="1121"/>
      <c r="AI34" s="1149"/>
      <c r="AJ34" s="1123"/>
      <c r="AK34" s="1123"/>
      <c r="AL34" s="1123"/>
      <c r="AM34" s="1122" t="s">
        <v>7697</v>
      </c>
      <c r="AN34" s="1123"/>
      <c r="AO34" s="1123"/>
      <c r="AP34" s="1122" t="s">
        <v>7698</v>
      </c>
      <c r="AQ34" s="1123"/>
      <c r="AR34" s="1127" t="s">
        <v>7699</v>
      </c>
      <c r="AS34" s="1123"/>
      <c r="AT34" s="1154"/>
      <c r="AU34" s="1123"/>
      <c r="AV34" s="1123"/>
      <c r="AW34" s="1122" t="s">
        <v>1438</v>
      </c>
      <c r="AX34" s="1123"/>
      <c r="AY34" s="1123"/>
      <c r="AZ34" s="1110"/>
      <c r="BA34" s="1212"/>
      <c r="BB34" s="1178" t="s">
        <v>7700</v>
      </c>
      <c r="BC34" s="1178" t="s">
        <v>421</v>
      </c>
      <c r="BD34" s="1178"/>
      <c r="BE34" s="1178" t="s">
        <v>7701</v>
      </c>
      <c r="BF34" s="1110"/>
      <c r="BG34" s="1135"/>
      <c r="BH34" s="1135"/>
      <c r="BI34" s="1135"/>
      <c r="BJ34" s="1191"/>
      <c r="BK34" s="1135"/>
      <c r="BL34" s="1135"/>
      <c r="BM34" s="1135"/>
      <c r="BN34" s="1149"/>
      <c r="BO34" s="1139" t="s">
        <v>7702</v>
      </c>
      <c r="BP34" s="1160"/>
      <c r="BQ34" s="1139" t="s">
        <v>1038</v>
      </c>
      <c r="BR34" s="1137"/>
      <c r="BS34" s="1137"/>
      <c r="BT34" s="1137"/>
      <c r="BU34" s="1137"/>
      <c r="BV34" s="1138" t="s">
        <v>7703</v>
      </c>
      <c r="BW34" s="1138" t="s">
        <v>7704</v>
      </c>
      <c r="BX34" s="1149"/>
      <c r="BY34" s="1143"/>
      <c r="BZ34" s="1167" t="s">
        <v>6440</v>
      </c>
      <c r="CA34" s="1164"/>
      <c r="CB34" s="1164"/>
      <c r="CC34" s="1164"/>
      <c r="CD34" s="1143"/>
      <c r="CE34" s="1143"/>
      <c r="CF34" s="1143"/>
      <c r="CG34" s="1143"/>
      <c r="CH34" s="1143"/>
      <c r="CI34" s="1143"/>
      <c r="CJ34" s="1164"/>
      <c r="CK34" s="1164"/>
    </row>
    <row r="35">
      <c r="A35" s="1267" t="s">
        <v>3265</v>
      </c>
      <c r="B35" s="1101" t="s">
        <v>3526</v>
      </c>
      <c r="C35" s="1102" t="s">
        <v>545</v>
      </c>
      <c r="D35" s="1103" t="s">
        <v>1418</v>
      </c>
      <c r="E35" s="1104" t="s">
        <v>1418</v>
      </c>
      <c r="F35" s="1105" t="s">
        <v>332</v>
      </c>
      <c r="G35" s="1101" t="s">
        <v>3679</v>
      </c>
      <c r="H35" s="1107" t="s">
        <v>926</v>
      </c>
      <c r="I35" s="1106"/>
      <c r="J35" s="1106"/>
      <c r="K35" s="1106"/>
      <c r="L35" s="1106"/>
      <c r="M35" s="1106"/>
      <c r="N35" s="1169" t="s">
        <v>7705</v>
      </c>
      <c r="O35" s="1106"/>
      <c r="P35" s="1149"/>
      <c r="Q35" s="1112"/>
      <c r="R35" s="1112"/>
      <c r="S35" s="1218" t="s">
        <v>2842</v>
      </c>
      <c r="T35" s="1112"/>
      <c r="U35" s="1112"/>
      <c r="V35" s="1111" t="s">
        <v>7706</v>
      </c>
      <c r="W35" s="1149"/>
      <c r="X35" s="1187"/>
      <c r="Y35" s="1187"/>
      <c r="Z35" s="1116" t="s">
        <v>7477</v>
      </c>
      <c r="AA35" s="1186" t="s">
        <v>606</v>
      </c>
      <c r="AB35" s="1187"/>
      <c r="AC35" s="1187"/>
      <c r="AD35" s="1116" t="s">
        <v>4825</v>
      </c>
      <c r="AE35" s="1116" t="s">
        <v>748</v>
      </c>
      <c r="AF35" s="1187"/>
      <c r="AG35" s="1187"/>
      <c r="AH35" s="1248" t="s">
        <v>7707</v>
      </c>
      <c r="AI35" s="1149"/>
      <c r="AJ35" s="1123"/>
      <c r="AK35" s="1123"/>
      <c r="AL35" s="1123"/>
      <c r="AM35" s="1122" t="s">
        <v>7708</v>
      </c>
      <c r="AN35" s="1123"/>
      <c r="AO35" s="1123"/>
      <c r="AP35" s="1123"/>
      <c r="AQ35" s="1123"/>
      <c r="AR35" s="1123"/>
      <c r="AS35" s="1123"/>
      <c r="AT35" s="1154"/>
      <c r="AU35" s="1123"/>
      <c r="AV35" s="1123"/>
      <c r="AW35" s="1123"/>
      <c r="AX35" s="1123"/>
      <c r="AY35" s="1122" t="s">
        <v>7709</v>
      </c>
      <c r="AZ35" s="1110"/>
      <c r="BA35" s="1212"/>
      <c r="BB35" s="1212"/>
      <c r="BC35" s="1212"/>
      <c r="BD35" s="1178" t="s">
        <v>7710</v>
      </c>
      <c r="BE35" s="1178" t="s">
        <v>7711</v>
      </c>
      <c r="BF35" s="1110"/>
      <c r="BG35" s="1133" t="s">
        <v>1302</v>
      </c>
      <c r="BH35" s="1135"/>
      <c r="BI35" s="1135"/>
      <c r="BJ35" s="1191"/>
      <c r="BK35" s="1135"/>
      <c r="BL35" s="1133" t="s">
        <v>7712</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6166</v>
      </c>
      <c r="B36" s="1101" t="s">
        <v>1065</v>
      </c>
      <c r="C36" s="1102" t="s">
        <v>1418</v>
      </c>
      <c r="D36" s="1103" t="s">
        <v>1418</v>
      </c>
      <c r="E36" s="1104" t="s">
        <v>1418</v>
      </c>
      <c r="F36" s="1105" t="s">
        <v>1418</v>
      </c>
      <c r="G36" s="1101" t="s">
        <v>220</v>
      </c>
      <c r="H36" s="1106"/>
      <c r="I36" s="1106"/>
      <c r="J36" s="1106"/>
      <c r="K36" s="1106"/>
      <c r="L36" s="1107" t="s">
        <v>7713</v>
      </c>
      <c r="M36" s="1106"/>
      <c r="N36" s="1107" t="s">
        <v>7714</v>
      </c>
      <c r="O36" s="1106"/>
      <c r="P36" s="1149"/>
      <c r="Q36" s="1112"/>
      <c r="R36" s="1112"/>
      <c r="S36" s="1112"/>
      <c r="T36" s="1112"/>
      <c r="U36" s="1111" t="s">
        <v>4551</v>
      </c>
      <c r="V36" s="1111" t="s">
        <v>7715</v>
      </c>
      <c r="W36" s="1149"/>
      <c r="X36" s="1187"/>
      <c r="Y36" s="1187"/>
      <c r="Z36" s="1116" t="s">
        <v>7716</v>
      </c>
      <c r="AA36" s="1241"/>
      <c r="AB36" s="1187"/>
      <c r="AC36" s="1187"/>
      <c r="AD36" s="1116" t="s">
        <v>1322</v>
      </c>
      <c r="AE36" s="1116" t="s">
        <v>3080</v>
      </c>
      <c r="AF36" s="1116"/>
      <c r="AG36" s="1187"/>
      <c r="AH36" s="1244" t="s">
        <v>7717</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7718</v>
      </c>
      <c r="BF36" s="1110"/>
      <c r="BG36" s="1133" t="s">
        <v>7719</v>
      </c>
      <c r="BH36" s="1133" t="s">
        <v>2878</v>
      </c>
      <c r="BI36" s="1135"/>
      <c r="BJ36" s="1191"/>
      <c r="BK36" s="1135"/>
      <c r="BL36" s="1133" t="s">
        <v>7720</v>
      </c>
      <c r="BM36" s="1135"/>
      <c r="BN36" s="1149"/>
      <c r="BO36" s="1138" t="s">
        <v>1903</v>
      </c>
      <c r="BP36" s="1160"/>
      <c r="BQ36" s="1137"/>
      <c r="BR36" s="1137"/>
      <c r="BS36" s="1137"/>
      <c r="BT36" s="1138" t="s">
        <v>4313</v>
      </c>
      <c r="BU36" s="1137"/>
      <c r="BV36" s="1138" t="s">
        <v>7721</v>
      </c>
      <c r="BW36" s="1138" t="s">
        <v>7722</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545</v>
      </c>
      <c r="G37" s="1101" t="s">
        <v>4416</v>
      </c>
      <c r="H37" s="1106"/>
      <c r="I37" s="1106"/>
      <c r="J37" s="1106"/>
      <c r="K37" s="1106"/>
      <c r="L37" s="1220" t="s">
        <v>289</v>
      </c>
      <c r="M37" s="1106"/>
      <c r="N37" s="1107" t="s">
        <v>7723</v>
      </c>
      <c r="O37" s="1106"/>
      <c r="P37" s="1149"/>
      <c r="Q37" s="1112"/>
      <c r="R37" s="1112"/>
      <c r="S37" s="1111" t="s">
        <v>7724</v>
      </c>
      <c r="T37" s="1112"/>
      <c r="U37" s="1112"/>
      <c r="V37" s="1112"/>
      <c r="W37" s="1149"/>
      <c r="X37" s="1187"/>
      <c r="Y37" s="1187"/>
      <c r="Z37" s="1187"/>
      <c r="AA37" s="1247" t="s">
        <v>6695</v>
      </c>
      <c r="AB37" s="1175" t="s">
        <v>7725</v>
      </c>
      <c r="AC37" s="1187"/>
      <c r="AD37" s="1187"/>
      <c r="AE37" s="1187"/>
      <c r="AF37" s="1187"/>
      <c r="AG37" s="1187"/>
      <c r="AH37" s="1244" t="s">
        <v>7726</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7727</v>
      </c>
      <c r="BF37" s="1110"/>
      <c r="BG37" s="1135"/>
      <c r="BH37" s="1135"/>
      <c r="BI37" s="1135"/>
      <c r="BJ37" s="1191"/>
      <c r="BK37" s="1135"/>
      <c r="BL37" s="1135"/>
      <c r="BM37" s="1135"/>
      <c r="BN37" s="1149"/>
      <c r="BO37" s="1137"/>
      <c r="BP37" s="1160"/>
      <c r="BQ37" s="1137"/>
      <c r="BR37" s="1137"/>
      <c r="BS37" s="1137"/>
      <c r="BT37" s="1137"/>
      <c r="BU37" s="1239" t="s">
        <v>3365</v>
      </c>
      <c r="BV37" s="1138" t="s">
        <v>391</v>
      </c>
      <c r="BW37" s="1193" t="s">
        <v>7728</v>
      </c>
      <c r="BX37" s="1149"/>
      <c r="BY37" s="1143"/>
      <c r="BZ37" s="1245" t="s">
        <v>2695</v>
      </c>
      <c r="CA37" s="1164"/>
      <c r="CB37" s="1164"/>
      <c r="CC37" s="1164"/>
      <c r="CD37" s="1143"/>
      <c r="CE37" s="1143"/>
      <c r="CF37" s="1142" t="s">
        <v>7729</v>
      </c>
      <c r="CG37" s="1143"/>
      <c r="CH37" s="1143"/>
      <c r="CI37" s="1167" t="s">
        <v>4912</v>
      </c>
      <c r="CJ37" s="1164"/>
      <c r="CK37" s="1164"/>
    </row>
    <row r="38">
      <c r="A38" s="1100" t="s">
        <v>7730</v>
      </c>
      <c r="B38" s="1101" t="s">
        <v>7731</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7732</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6403</v>
      </c>
      <c r="B39" s="1101" t="s">
        <v>7733</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7734</v>
      </c>
      <c r="Z39" s="859"/>
      <c r="AA39" s="859"/>
      <c r="AB39" s="838" t="s">
        <v>5054</v>
      </c>
      <c r="AC39" s="859"/>
      <c r="AD39" s="1271"/>
      <c r="AE39" s="1271"/>
      <c r="AF39" s="1271"/>
      <c r="AG39" s="838" t="s">
        <v>7735</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2014</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4504</v>
      </c>
      <c r="AN40" s="1176" t="s">
        <v>4032</v>
      </c>
      <c r="AO40" s="1123"/>
      <c r="AP40" s="1123"/>
      <c r="AQ40" s="1123"/>
      <c r="AR40" s="1123"/>
      <c r="AS40" s="1123"/>
      <c r="AT40" s="1154"/>
      <c r="AU40" s="1123"/>
      <c r="AV40" s="1123"/>
      <c r="AW40" s="1123"/>
      <c r="AX40" s="1123"/>
      <c r="AY40" s="1123"/>
      <c r="AZ40" s="1110"/>
      <c r="BA40" s="1212"/>
      <c r="BB40" s="1212"/>
      <c r="BC40" s="1212"/>
      <c r="BD40" s="1212"/>
      <c r="BE40" s="1212"/>
      <c r="BF40" s="1110"/>
      <c r="BG40" s="1132" t="s">
        <v>7736</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4431</v>
      </c>
      <c r="B41" s="1101" t="s">
        <v>5077</v>
      </c>
      <c r="C41" s="1102" t="s">
        <v>1418</v>
      </c>
      <c r="D41" s="1103" t="s">
        <v>1418</v>
      </c>
      <c r="E41" s="1104" t="s">
        <v>1418</v>
      </c>
      <c r="F41" s="1105" t="s">
        <v>1418</v>
      </c>
      <c r="G41" s="1101" t="s">
        <v>333</v>
      </c>
      <c r="H41" s="1106"/>
      <c r="I41" s="1106"/>
      <c r="J41" s="1107" t="s">
        <v>7737</v>
      </c>
      <c r="K41" s="1107"/>
      <c r="L41" s="1107"/>
      <c r="M41" s="1107" t="s">
        <v>7738</v>
      </c>
      <c r="N41" s="1106"/>
      <c r="O41" s="1107" t="s">
        <v>7739</v>
      </c>
      <c r="P41" s="1149"/>
      <c r="Q41" s="1112"/>
      <c r="R41" s="1111" t="s">
        <v>7019</v>
      </c>
      <c r="S41" s="1112"/>
      <c r="T41" s="1112"/>
      <c r="U41" s="1112"/>
      <c r="V41" s="1111" t="s">
        <v>7740</v>
      </c>
      <c r="W41" s="1149"/>
      <c r="X41" s="1187"/>
      <c r="Y41" s="1187"/>
      <c r="Z41" s="1187"/>
      <c r="AA41" s="1247" t="s">
        <v>7741</v>
      </c>
      <c r="AB41" s="1116" t="s">
        <v>7742</v>
      </c>
      <c r="AC41" s="1187"/>
      <c r="AD41" s="1187"/>
      <c r="AE41" s="1187"/>
      <c r="AF41" s="1187"/>
      <c r="AG41" s="1116" t="s">
        <v>7743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7744</v>
      </c>
      <c r="BF41" s="1110"/>
      <c r="BG41" s="1135"/>
      <c r="BH41" s="1135"/>
      <c r="BI41" s="1135"/>
      <c r="BJ41" s="1191"/>
      <c r="BK41" s="1135"/>
      <c r="BL41" s="1135"/>
      <c r="BM41" s="1133" t="s">
        <v>7745</v>
      </c>
      <c r="BN41" s="1149"/>
      <c r="BO41" s="1137"/>
      <c r="BP41" s="1160"/>
      <c r="BQ41" s="1137"/>
      <c r="BR41" s="1137"/>
      <c r="BS41" s="1137"/>
      <c r="BT41" s="1137"/>
      <c r="BU41" s="1137"/>
      <c r="BV41" s="1138" t="s">
        <v>7226</v>
      </c>
      <c r="BW41" s="1138" t="s">
        <v>7746</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646</v>
      </c>
      <c r="G42" s="1101" t="s">
        <v>4416</v>
      </c>
      <c r="H42" s="1107" t="s">
        <v>2071</v>
      </c>
      <c r="I42" s="1107"/>
      <c r="J42" s="1106"/>
      <c r="K42" s="1106"/>
      <c r="L42" s="1107" t="s">
        <v>7747</v>
      </c>
      <c r="M42" s="1106"/>
      <c r="N42" s="1169" t="s">
        <v>7748</v>
      </c>
      <c r="O42" s="1106"/>
      <c r="P42" s="1149"/>
      <c r="Q42" s="1111" t="s">
        <v>7749</v>
      </c>
      <c r="R42" s="1112"/>
      <c r="S42" s="1112"/>
      <c r="T42" s="1112"/>
      <c r="U42" s="1112"/>
      <c r="V42" s="1111" t="s">
        <v>7750</v>
      </c>
      <c r="W42" s="1149"/>
      <c r="X42" s="1187"/>
      <c r="Y42" s="1187"/>
      <c r="Z42" s="1187"/>
      <c r="AA42" s="1241"/>
      <c r="AB42" s="1187"/>
      <c r="AC42" s="1187"/>
      <c r="AD42" s="1187"/>
      <c r="AE42" s="1187"/>
      <c r="AF42" s="1187"/>
      <c r="AG42" s="1187"/>
      <c r="AH42" s="1244" t="s">
        <v>7751</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7752</v>
      </c>
      <c r="BD42" s="1178"/>
      <c r="BE42" s="1178" t="s">
        <v>7753</v>
      </c>
      <c r="BF42" s="1110"/>
      <c r="BG42" s="1135"/>
      <c r="BH42" s="1135"/>
      <c r="BI42" s="1135"/>
      <c r="BJ42" s="1191"/>
      <c r="BK42" s="1135"/>
      <c r="BL42" s="1135"/>
      <c r="BM42" s="1135"/>
      <c r="BN42" s="1149"/>
      <c r="BO42" s="1137"/>
      <c r="BP42" s="1160"/>
      <c r="BQ42" s="1138" t="s">
        <v>3566</v>
      </c>
      <c r="BR42" s="1137"/>
      <c r="BS42" s="1137"/>
      <c r="BT42" s="1137"/>
      <c r="BU42" s="1139" t="s">
        <v>7754</v>
      </c>
      <c r="BV42" s="1137"/>
      <c r="BW42" s="1138" t="s">
        <v>7755</v>
      </c>
      <c r="BX42" s="1149"/>
      <c r="BY42" s="1143"/>
      <c r="BZ42" s="1143"/>
      <c r="CA42" s="1164"/>
      <c r="CB42" s="1164"/>
      <c r="CC42" s="1164"/>
      <c r="CD42" s="1143"/>
      <c r="CE42" s="1143"/>
      <c r="CF42" s="1143"/>
      <c r="CG42" s="1143"/>
      <c r="CH42" s="1143"/>
      <c r="CI42" s="1167" t="s">
        <v>7756</v>
      </c>
      <c r="CJ42" s="1164"/>
      <c r="CK42" s="1164"/>
    </row>
    <row r="43">
      <c r="A43" s="1100" t="s">
        <v>5773</v>
      </c>
      <c r="B43" s="1101" t="s">
        <v>2869</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7757</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646</v>
      </c>
      <c r="H44" s="1106"/>
      <c r="I44" s="1106"/>
      <c r="J44" s="1106"/>
      <c r="K44" s="1106"/>
      <c r="L44" s="1275" t="s">
        <v>7758</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7759</v>
      </c>
      <c r="BF44" s="1110"/>
      <c r="BG44" s="1228" t="s">
        <v>7760</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6407</v>
      </c>
      <c r="B45" s="1101" t="s">
        <v>5961</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5961</v>
      </c>
      <c r="C46" s="1102" t="s">
        <v>1418</v>
      </c>
      <c r="D46" s="1103" t="s">
        <v>1418</v>
      </c>
      <c r="E46" s="1104" t="s">
        <v>1418</v>
      </c>
      <c r="F46" s="1105" t="s">
        <v>1418</v>
      </c>
      <c r="G46" s="1101" t="s">
        <v>913</v>
      </c>
      <c r="H46" s="1106"/>
      <c r="I46" s="1106"/>
      <c r="J46" s="1106"/>
      <c r="K46" s="1106"/>
      <c r="L46" s="1107" t="s">
        <v>4732</v>
      </c>
      <c r="M46" s="1106"/>
      <c r="N46" s="1107" t="s">
        <v>7761</v>
      </c>
      <c r="O46" s="1106"/>
      <c r="P46" s="1149"/>
      <c r="Q46" s="1112"/>
      <c r="R46" s="1112"/>
      <c r="S46" s="1112"/>
      <c r="T46" s="1112"/>
      <c r="U46" s="1111"/>
      <c r="V46" s="1111" t="s">
        <v>7762</v>
      </c>
      <c r="W46" s="1149"/>
      <c r="X46" s="1187"/>
      <c r="Y46" s="1187"/>
      <c r="Z46" s="1173" t="s">
        <v>7763</v>
      </c>
      <c r="AA46" s="1241"/>
      <c r="AB46" s="1116" t="s">
        <v>816</v>
      </c>
      <c r="AC46" s="1187"/>
      <c r="AD46" s="1187"/>
      <c r="AE46" s="1187"/>
      <c r="AF46" s="1187"/>
      <c r="AG46" s="1116" t="s">
        <v>7764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7765</v>
      </c>
      <c r="BF46" s="1110"/>
      <c r="BG46" s="1135"/>
      <c r="BH46" s="1135"/>
      <c r="BI46" s="1135"/>
      <c r="BJ46" s="1191"/>
      <c r="BK46" s="1135"/>
      <c r="BL46" s="1135"/>
      <c r="BM46" s="1135"/>
      <c r="BN46" s="1149"/>
      <c r="BO46" s="1138" t="s">
        <v>7766</v>
      </c>
      <c r="BP46" s="1160"/>
      <c r="BQ46" s="1137"/>
      <c r="BR46" s="1137"/>
      <c r="BS46" s="1137"/>
      <c r="BT46" s="1137"/>
      <c r="BU46" s="1137"/>
      <c r="BV46" s="1137"/>
      <c r="BW46" s="1193" t="s">
        <v>7767</v>
      </c>
      <c r="BX46" s="1149"/>
      <c r="BY46" s="1143"/>
      <c r="BZ46" s="1143"/>
      <c r="CA46" s="1164"/>
      <c r="CB46" s="1164"/>
      <c r="CC46" s="1164"/>
      <c r="CD46" s="1143"/>
      <c r="CE46" s="1143"/>
      <c r="CF46" s="1143"/>
      <c r="CG46" s="1143"/>
      <c r="CH46" s="1143"/>
      <c r="CI46" s="1143"/>
      <c r="CJ46" s="1164"/>
      <c r="CK46" s="1164"/>
    </row>
    <row r="47">
      <c r="A47" s="1100" t="s">
        <v>6408</v>
      </c>
      <c r="B47" s="1101" t="s">
        <v>4416</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7768</v>
      </c>
      <c r="W47" s="1149"/>
      <c r="X47" s="1187"/>
      <c r="Y47" s="1187"/>
      <c r="Z47" s="1187"/>
      <c r="AA47" s="1241"/>
      <c r="AB47" s="1187"/>
      <c r="AC47" s="1187"/>
      <c r="AD47" s="1187"/>
      <c r="AE47" s="1187"/>
      <c r="AF47" s="1187"/>
      <c r="AG47" s="1187"/>
      <c r="AH47" s="1244" t="s">
        <v>7769</v>
      </c>
      <c r="AI47" s="1149"/>
      <c r="AJ47" s="1123"/>
      <c r="AK47" s="1123"/>
      <c r="AL47" s="1123"/>
      <c r="AM47" s="1123"/>
      <c r="AN47" s="1123"/>
      <c r="AO47" s="1123"/>
      <c r="AP47" s="1123"/>
      <c r="AQ47" s="1123"/>
      <c r="AR47" s="1123"/>
      <c r="AS47" s="1123"/>
      <c r="AT47" s="1154"/>
      <c r="AU47" s="1123"/>
      <c r="AV47" s="1123"/>
      <c r="AW47" s="1123"/>
      <c r="AX47" s="1123"/>
      <c r="AY47" s="1244" t="s">
        <v>7770</v>
      </c>
      <c r="AZ47" s="1110"/>
      <c r="BA47" s="1212"/>
      <c r="BB47" s="1212"/>
      <c r="BC47" s="1212"/>
      <c r="BD47" s="1212"/>
      <c r="BE47" s="1244" t="s">
        <v>7771</v>
      </c>
      <c r="BF47" s="1110"/>
      <c r="BG47" s="1135"/>
      <c r="BH47" s="1135"/>
      <c r="BI47" s="1135"/>
      <c r="BJ47" s="1191"/>
      <c r="BK47" s="1135"/>
      <c r="BL47" s="1244" t="s">
        <v>7772</v>
      </c>
      <c r="BM47" s="1133"/>
      <c r="BN47" s="1149"/>
      <c r="BO47" s="1137"/>
      <c r="BP47" s="1160"/>
      <c r="BQ47" s="1137"/>
      <c r="BR47" s="1137"/>
      <c r="BS47" s="1137"/>
      <c r="BT47" s="1137"/>
      <c r="BU47" s="1137"/>
      <c r="BV47" s="1137"/>
      <c r="BW47" s="1244" t="s">
        <v>7773</v>
      </c>
      <c r="BX47" s="1149"/>
      <c r="BY47" s="1143"/>
      <c r="BZ47" s="1143"/>
      <c r="CA47" s="1164"/>
      <c r="CB47" s="1164"/>
      <c r="CC47" s="1164"/>
      <c r="CD47" s="1143"/>
      <c r="CE47" s="1143"/>
      <c r="CF47" s="1143"/>
      <c r="CG47" s="1143"/>
      <c r="CH47" s="1143"/>
      <c r="CI47" s="1143"/>
      <c r="CJ47" s="1164"/>
      <c r="CK47" s="1164"/>
    </row>
    <row r="48">
      <c r="A48" s="1253" t="s">
        <v>7774</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7775</v>
      </c>
      <c r="AA48" s="1187"/>
      <c r="AB48" s="1207" t="s">
        <v>7776</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7777</v>
      </c>
      <c r="B49" s="1101" t="s">
        <v>987</v>
      </c>
      <c r="C49" s="1102" t="s">
        <v>1418</v>
      </c>
      <c r="D49" s="1103" t="s">
        <v>1418</v>
      </c>
      <c r="E49" s="1104" t="s">
        <v>1418</v>
      </c>
      <c r="F49" s="1105" t="s">
        <v>1418</v>
      </c>
      <c r="G49" s="1101" t="s">
        <v>646</v>
      </c>
      <c r="H49" s="1106"/>
      <c r="I49" s="1106"/>
      <c r="J49" s="1106"/>
      <c r="K49" s="1106"/>
      <c r="L49" s="1106"/>
      <c r="M49" s="1106"/>
      <c r="N49" s="1107" t="s">
        <v>7778</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7779</v>
      </c>
      <c r="BF49" s="1110"/>
      <c r="BG49" s="1135"/>
      <c r="BH49" s="1135"/>
      <c r="BI49" s="1135"/>
      <c r="BJ49" s="1191"/>
      <c r="BK49" s="1135"/>
      <c r="BL49" s="1135"/>
      <c r="BM49" s="1135"/>
      <c r="BN49" s="1149"/>
      <c r="BO49" s="1137"/>
      <c r="BP49" s="1160"/>
      <c r="BQ49" s="1137"/>
      <c r="BR49" s="1137"/>
      <c r="BS49" s="1137"/>
      <c r="BT49" s="1137"/>
      <c r="BU49" s="1137"/>
      <c r="BV49" s="1137"/>
      <c r="BW49" s="1138" t="s">
        <v>7780</v>
      </c>
      <c r="BX49" s="1149"/>
      <c r="BY49" s="1143"/>
      <c r="BZ49" s="1143"/>
      <c r="CA49" s="1164"/>
      <c r="CB49" s="1164"/>
      <c r="CC49" s="1164"/>
      <c r="CD49" s="1143"/>
      <c r="CE49" s="1143"/>
      <c r="CF49" s="1143"/>
      <c r="CG49" s="1143"/>
      <c r="CH49" s="1143"/>
      <c r="CI49" s="1143"/>
      <c r="CJ49" s="1164"/>
      <c r="CK49" s="1164"/>
    </row>
    <row r="50">
      <c r="A50" s="1100" t="s">
        <v>3524</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7781</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7782</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7783</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7784</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7785</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7786</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7787</v>
      </c>
      <c r="W56" s="1149"/>
      <c r="X56" s="1187"/>
      <c r="Y56" s="1187"/>
      <c r="Z56" s="1187"/>
      <c r="AA56" s="1241"/>
      <c r="AB56" s="1187"/>
      <c r="AC56" s="1187"/>
      <c r="AD56" s="1187"/>
      <c r="AE56" s="1187"/>
      <c r="AF56" s="1187"/>
      <c r="AG56" s="1187"/>
      <c r="AH56" s="1244" t="s">
        <v>7788</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7789</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5981</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4625</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7790</v>
      </c>
      <c r="B58" s="1101" t="s">
        <v>646</v>
      </c>
      <c r="C58" s="1102" t="s">
        <v>1418</v>
      </c>
      <c r="D58" s="1103" t="s">
        <v>1418</v>
      </c>
      <c r="E58" s="1104" t="s">
        <v>1418</v>
      </c>
      <c r="F58" s="1105" t="s">
        <v>437</v>
      </c>
      <c r="G58" s="1101" t="s">
        <v>437</v>
      </c>
      <c r="H58" s="1106"/>
      <c r="I58" s="1106"/>
      <c r="J58" s="1106"/>
      <c r="K58" s="1106"/>
      <c r="L58" s="1169" t="s">
        <v>7791</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7162</v>
      </c>
      <c r="BV58" s="1137"/>
      <c r="BW58" s="1137"/>
      <c r="BX58" s="1149"/>
      <c r="BY58" s="1143"/>
      <c r="BZ58" s="1143"/>
      <c r="CA58" s="1164"/>
      <c r="CB58" s="1164"/>
      <c r="CC58" s="1164"/>
      <c r="CD58" s="1143"/>
      <c r="CE58" s="1143"/>
      <c r="CF58" s="1143"/>
      <c r="CG58" s="1143"/>
      <c r="CH58" s="1143"/>
      <c r="CI58" s="1143"/>
      <c r="CJ58" s="1164"/>
      <c r="CK58" s="1164"/>
    </row>
    <row r="59">
      <c r="A59" s="1100" t="s">
        <v>7792</v>
      </c>
      <c r="B59" s="1101" t="s">
        <v>545</v>
      </c>
      <c r="C59" s="1102" t="s">
        <v>1418</v>
      </c>
      <c r="D59" s="1103" t="s">
        <v>1418</v>
      </c>
      <c r="E59" s="1104" t="s">
        <v>1418</v>
      </c>
      <c r="F59" s="1105" t="s">
        <v>1418</v>
      </c>
      <c r="G59" s="1101" t="s">
        <v>545</v>
      </c>
      <c r="H59" s="1107" t="s">
        <v>3927</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3912</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287" t="s">
        <v>7794</v>
      </c>
      <c r="W1" s="1288" t="s">
        <v>7795</v>
      </c>
      <c r="AM1" s="1289" t="s">
        <v>7796</v>
      </c>
      <c r="BG1" s="1290" t="s">
        <v>7797</v>
      </c>
      <c r="BQ1" s="1291" t="s">
        <v>7798</v>
      </c>
      <c r="BV1" s="1292" t="s">
        <v>7799</v>
      </c>
      <c r="CE1" s="1287" t="s">
        <v>7800</v>
      </c>
      <c r="CM1" s="1293" t="s">
        <v>7801</v>
      </c>
      <c r="CP1" s="1294" t="s">
        <v>7802</v>
      </c>
      <c r="CT1" s="1295" t="s">
        <v>7803</v>
      </c>
    </row>
    <row r="2">
      <c r="A2" s="1296" t="s">
        <v>43</v>
      </c>
      <c r="B2" s="36" t="s">
        <v>44</v>
      </c>
      <c r="C2" s="36" t="s">
        <v>45</v>
      </c>
      <c r="F2" s="36" t="s">
        <v>7804</v>
      </c>
      <c r="H2" s="1297" t="s">
        <v>7805</v>
      </c>
      <c r="I2" s="1297" t="s">
        <v>7806</v>
      </c>
      <c r="J2" s="1297" t="s">
        <v>7807</v>
      </c>
      <c r="K2" s="1297" t="s">
        <v>7808</v>
      </c>
      <c r="L2" s="1297" t="s">
        <v>7809</v>
      </c>
      <c r="M2" s="1297" t="s">
        <v>7810</v>
      </c>
      <c r="N2" s="1297" t="s">
        <v>7811</v>
      </c>
      <c r="O2" s="1297" t="s">
        <v>7812</v>
      </c>
      <c r="P2" s="1297" t="s">
        <v>7813</v>
      </c>
      <c r="Q2" s="1297" t="s">
        <v>7814</v>
      </c>
      <c r="R2" s="1297" t="s">
        <v>7815</v>
      </c>
      <c r="S2" s="1297" t="s">
        <v>7816</v>
      </c>
      <c r="T2" s="1297" t="s">
        <v>7817</v>
      </c>
      <c r="U2" s="1297" t="s">
        <v>7818</v>
      </c>
      <c r="V2" s="1297" t="s">
        <v>7819</v>
      </c>
      <c r="W2" s="1298" t="s">
        <v>7820</v>
      </c>
      <c r="X2" s="1298" t="s">
        <v>7821</v>
      </c>
      <c r="Y2" s="1298" t="s">
        <v>7822</v>
      </c>
      <c r="Z2" s="1298" t="s">
        <v>7823</v>
      </c>
      <c r="AA2" s="1298" t="s">
        <v>7824</v>
      </c>
      <c r="AB2" s="1298" t="s">
        <v>7825</v>
      </c>
      <c r="AC2" s="1298" t="s">
        <v>7826</v>
      </c>
      <c r="AD2" s="1298" t="s">
        <v>7827</v>
      </c>
      <c r="AE2" s="1298" t="s">
        <v>7828</v>
      </c>
      <c r="AF2" s="1298" t="s">
        <v>7829</v>
      </c>
      <c r="AG2" s="1298" t="s">
        <v>7830</v>
      </c>
      <c r="AH2" s="1298" t="s">
        <v>7831</v>
      </c>
      <c r="AI2" s="1298" t="s">
        <v>7832</v>
      </c>
      <c r="AJ2" s="1298" t="s">
        <v>7833</v>
      </c>
      <c r="AK2" s="1298" t="s">
        <v>7834</v>
      </c>
      <c r="AL2" s="1298" t="s">
        <v>7835</v>
      </c>
      <c r="AM2" s="1299" t="s">
        <v>7836</v>
      </c>
      <c r="AN2" s="1299" t="s">
        <v>7837</v>
      </c>
      <c r="AO2" s="1299" t="s">
        <v>7838</v>
      </c>
      <c r="AP2" s="1299" t="s">
        <v>7839</v>
      </c>
      <c r="AQ2" s="1299" t="s">
        <v>7840</v>
      </c>
      <c r="AR2" s="1299" t="s">
        <v>7841</v>
      </c>
      <c r="AS2" s="1299" t="s">
        <v>7842</v>
      </c>
      <c r="AT2" s="1299" t="s">
        <v>7843</v>
      </c>
      <c r="AU2" s="1299" t="s">
        <v>7844</v>
      </c>
      <c r="AV2" s="1299" t="s">
        <v>7845</v>
      </c>
      <c r="AW2" s="1299" t="s">
        <v>7846</v>
      </c>
      <c r="AX2" s="1299" t="s">
        <v>7847</v>
      </c>
      <c r="AY2" s="1299" t="s">
        <v>7848</v>
      </c>
      <c r="AZ2" s="1299" t="s">
        <v>7849</v>
      </c>
      <c r="BA2" s="1299" t="s">
        <v>7850</v>
      </c>
      <c r="BB2" s="1299" t="s">
        <v>7851</v>
      </c>
      <c r="BC2" s="1299" t="s">
        <v>7852</v>
      </c>
      <c r="BD2" s="1299" t="s">
        <v>7853</v>
      </c>
      <c r="BE2" s="1299" t="s">
        <v>7854</v>
      </c>
      <c r="BF2" s="1299" t="s">
        <v>7855</v>
      </c>
      <c r="BG2" s="1300" t="s">
        <v>7856</v>
      </c>
      <c r="BH2" s="1300" t="s">
        <v>7857</v>
      </c>
      <c r="BI2" s="1300" t="s">
        <v>7858</v>
      </c>
      <c r="BJ2" s="1300" t="s">
        <v>7859</v>
      </c>
      <c r="BK2" s="1300" t="s">
        <v>7860</v>
      </c>
      <c r="BL2" s="1300" t="s">
        <v>7861</v>
      </c>
      <c r="BM2" s="1300" t="s">
        <v>7862</v>
      </c>
      <c r="BN2" s="1300" t="s">
        <v>7863</v>
      </c>
      <c r="BO2" s="1300" t="s">
        <v>7864</v>
      </c>
      <c r="BP2" s="1300" t="s">
        <v>7865</v>
      </c>
      <c r="BQ2" s="1301" t="s">
        <v>7866</v>
      </c>
      <c r="BR2" s="1301" t="s">
        <v>7867</v>
      </c>
      <c r="BS2" s="1301" t="s">
        <v>7868</v>
      </c>
      <c r="BT2" s="1301" t="s">
        <v>7869</v>
      </c>
      <c r="BU2" s="1301" t="s">
        <v>7870</v>
      </c>
      <c r="BV2" s="1302" t="s">
        <v>7871</v>
      </c>
      <c r="BW2" s="1302" t="s">
        <v>7872</v>
      </c>
      <c r="BX2" s="1302" t="s">
        <v>7873</v>
      </c>
      <c r="BY2" s="1302" t="s">
        <v>7874</v>
      </c>
      <c r="BZ2" s="1302" t="s">
        <v>7875</v>
      </c>
      <c r="CA2" s="1302" t="s">
        <v>7876</v>
      </c>
      <c r="CB2" s="1302" t="s">
        <v>7877</v>
      </c>
      <c r="CC2" s="1302" t="s">
        <v>7878</v>
      </c>
      <c r="CD2" s="1302" t="s">
        <v>7879</v>
      </c>
      <c r="CE2" s="1303" t="s">
        <v>7805</v>
      </c>
      <c r="CF2" s="1303" t="s">
        <v>7808</v>
      </c>
      <c r="CG2" s="1303" t="s">
        <v>7812</v>
      </c>
      <c r="CH2" s="1303" t="s">
        <v>7814</v>
      </c>
      <c r="CI2" s="1303" t="s">
        <v>7815</v>
      </c>
      <c r="CJ2" s="1303" t="s">
        <v>7818</v>
      </c>
      <c r="CK2" s="1303" t="s">
        <v>7880</v>
      </c>
      <c r="CL2" s="1303" t="s">
        <v>7881</v>
      </c>
      <c r="CM2" s="1304" t="s">
        <v>7882</v>
      </c>
      <c r="CN2" s="1304" t="s">
        <v>7883</v>
      </c>
      <c r="CO2" s="1304" t="s">
        <v>7884</v>
      </c>
      <c r="CP2" s="1305" t="s">
        <v>7885</v>
      </c>
      <c r="CQ2" s="1305" t="s">
        <v>7886</v>
      </c>
      <c r="CR2" s="1305" t="s">
        <v>7887</v>
      </c>
      <c r="CS2" s="1305" t="s">
        <v>7888</v>
      </c>
      <c r="CT2" s="1306" t="s">
        <v>7889</v>
      </c>
    </row>
    <row r="3">
      <c r="A3" s="1307" t="s">
        <v>6401</v>
      </c>
      <c r="B3" s="1101" t="s">
        <v>7890</v>
      </c>
      <c r="C3" s="1102" t="s">
        <v>333</v>
      </c>
      <c r="D3" s="1103" t="s">
        <v>437</v>
      </c>
      <c r="E3" s="1104" t="s">
        <v>646</v>
      </c>
      <c r="F3" s="1105" t="s">
        <v>220</v>
      </c>
      <c r="G3" s="1101" t="s">
        <v>3490</v>
      </c>
      <c r="H3" s="859" t="s">
        <v>7891</v>
      </c>
      <c r="I3" s="1308" t="s">
        <v>7892</v>
      </c>
      <c r="J3" s="859" t="s">
        <v>7596</v>
      </c>
      <c r="K3" s="825" t="s">
        <v>7893</v>
      </c>
      <c r="L3" s="1308" t="s">
        <v>7894</v>
      </c>
      <c r="M3" s="1309" t="s">
        <v>7895</v>
      </c>
      <c r="N3" s="859" t="s">
        <v>7896</v>
      </c>
      <c r="O3" s="1308" t="s">
        <v>7897</v>
      </c>
      <c r="P3" s="1310" t="s">
        <v>7898</v>
      </c>
      <c r="Q3" s="1310" t="s">
        <v>7899</v>
      </c>
      <c r="R3" s="859" t="s">
        <v>7900</v>
      </c>
      <c r="S3" s="1311" t="s">
        <v>7901</v>
      </c>
      <c r="T3" s="838" t="s">
        <v>7902</v>
      </c>
      <c r="U3" s="1312" t="s">
        <v>7903</v>
      </c>
      <c r="V3" s="859" t="s">
        <v>7904</v>
      </c>
      <c r="W3" s="859" t="s">
        <v>2350</v>
      </c>
      <c r="X3" s="1311" t="s">
        <v>1775</v>
      </c>
      <c r="Y3" s="859" t="s">
        <v>1875</v>
      </c>
      <c r="Z3" s="1311" t="s">
        <v>7905</v>
      </c>
      <c r="AA3" s="859" t="s">
        <v>4447</v>
      </c>
      <c r="AB3" s="1311"/>
      <c r="AC3" s="859" t="s">
        <v>3402</v>
      </c>
      <c r="AD3" s="859" t="s">
        <v>3810</v>
      </c>
      <c r="AE3" s="859" t="s">
        <v>7906</v>
      </c>
      <c r="AF3" s="1311" t="s">
        <v>7907</v>
      </c>
      <c r="AG3" s="1311"/>
      <c r="AH3" s="1311" t="s">
        <v>7908</v>
      </c>
      <c r="AI3" s="1311" t="s">
        <v>7909</v>
      </c>
      <c r="AJ3" s="1313"/>
      <c r="AK3" s="1311"/>
      <c r="AL3" s="859"/>
      <c r="AM3" s="1311" t="s">
        <v>7910</v>
      </c>
      <c r="AN3" s="1312" t="s">
        <v>7911</v>
      </c>
      <c r="AO3" s="1312" t="s">
        <v>7912</v>
      </c>
      <c r="AP3" s="1312" t="s">
        <v>7913</v>
      </c>
      <c r="AQ3" s="1312" t="s">
        <v>7914</v>
      </c>
      <c r="AR3" s="1312" t="s">
        <v>7915</v>
      </c>
      <c r="AS3" s="1312" t="s">
        <v>7916</v>
      </c>
      <c r="AT3" s="1309" t="s">
        <v>7917</v>
      </c>
      <c r="AU3" s="1312" t="s">
        <v>7918</v>
      </c>
      <c r="AV3" s="1312" t="s">
        <v>7919</v>
      </c>
      <c r="AW3" s="838" t="s">
        <v>7920</v>
      </c>
      <c r="AX3" s="1312" t="s">
        <v>7921</v>
      </c>
      <c r="AY3" s="1311" t="s">
        <v>7922</v>
      </c>
      <c r="AZ3" s="1311" t="s">
        <v>5077</v>
      </c>
      <c r="BA3" s="1312" t="s">
        <v>7923</v>
      </c>
      <c r="BB3" s="1311" t="s">
        <v>7924</v>
      </c>
      <c r="BC3" s="1311" t="s">
        <v>7925</v>
      </c>
      <c r="BD3" s="859" t="s">
        <v>7926</v>
      </c>
      <c r="BE3" s="1311"/>
      <c r="BF3" s="1312" t="s">
        <v>7927</v>
      </c>
      <c r="BG3" s="1311"/>
      <c r="BH3" s="1311"/>
      <c r="BI3" s="1311" t="s">
        <v>7928</v>
      </c>
      <c r="BJ3" s="1311"/>
      <c r="BK3" s="1311"/>
      <c r="BL3" s="859"/>
      <c r="BM3" s="1311" t="s">
        <v>7929</v>
      </c>
      <c r="BN3" s="1311"/>
      <c r="BO3" s="1311"/>
      <c r="BP3" s="1311"/>
      <c r="BQ3" s="859" t="s">
        <v>7930</v>
      </c>
      <c r="BR3" s="1313"/>
      <c r="BS3" s="859" t="s">
        <v>7931</v>
      </c>
      <c r="BT3" s="1313"/>
      <c r="BU3" s="859" t="s">
        <v>7932</v>
      </c>
      <c r="BV3" s="1271"/>
      <c r="BW3" s="1313"/>
      <c r="BX3" s="1311" t="s">
        <v>3977</v>
      </c>
      <c r="BY3" s="1313"/>
      <c r="BZ3" s="1271"/>
      <c r="CA3" s="1311" t="s">
        <v>3438</v>
      </c>
      <c r="CB3" s="1311" t="s">
        <v>372</v>
      </c>
      <c r="CC3" s="1311" t="s">
        <v>2412</v>
      </c>
      <c r="CD3" s="1311"/>
      <c r="CE3" s="859" t="s">
        <v>7933</v>
      </c>
      <c r="CF3" s="859" t="s">
        <v>7934</v>
      </c>
      <c r="CG3" s="1311"/>
      <c r="CH3" s="1311"/>
      <c r="CI3" s="1311"/>
      <c r="CJ3" s="1311"/>
      <c r="CK3" s="1311"/>
      <c r="CL3" s="1311"/>
      <c r="CM3" s="1311"/>
      <c r="CN3" s="859"/>
      <c r="CO3" s="1311"/>
      <c r="CP3" s="859" t="s">
        <v>7935</v>
      </c>
      <c r="CQ3" s="859" t="s">
        <v>7936</v>
      </c>
      <c r="CR3" s="1311"/>
      <c r="CS3" s="1311"/>
      <c r="CT3" s="1311" t="s">
        <v>7937</v>
      </c>
    </row>
    <row r="4">
      <c r="A4" s="1314" t="s">
        <v>6379</v>
      </c>
      <c r="B4" s="1101" t="s">
        <v>7938</v>
      </c>
      <c r="C4" s="1102" t="s">
        <v>439</v>
      </c>
      <c r="D4" s="1103" t="s">
        <v>332</v>
      </c>
      <c r="E4" s="1104" t="s">
        <v>987</v>
      </c>
      <c r="F4" s="1105" t="s">
        <v>6000</v>
      </c>
      <c r="G4" s="1101" t="s">
        <v>4251</v>
      </c>
      <c r="H4" s="1315" t="s">
        <v>7939</v>
      </c>
      <c r="I4" s="1316" t="s">
        <v>7940</v>
      </c>
      <c r="J4" s="1271"/>
      <c r="K4" s="859" t="s">
        <v>7941</v>
      </c>
      <c r="L4" s="1313"/>
      <c r="M4" s="1312" t="s">
        <v>7942</v>
      </c>
      <c r="N4" s="1271"/>
      <c r="O4" s="838" t="s">
        <v>7943</v>
      </c>
      <c r="P4" s="1308" t="s">
        <v>7944</v>
      </c>
      <c r="Q4" s="1313"/>
      <c r="R4" s="838" t="s">
        <v>7945</v>
      </c>
      <c r="S4" s="1271"/>
      <c r="T4" s="859" t="s">
        <v>7946</v>
      </c>
      <c r="U4" s="838" t="s">
        <v>7447</v>
      </c>
      <c r="V4" s="1312" t="s">
        <v>7947</v>
      </c>
      <c r="W4" s="838" t="s">
        <v>1362</v>
      </c>
      <c r="X4" s="838" t="s">
        <v>1726</v>
      </c>
      <c r="Y4" s="838" t="s">
        <v>1583</v>
      </c>
      <c r="Z4" s="1312" t="s">
        <v>3171</v>
      </c>
      <c r="AA4" s="1317"/>
      <c r="AB4" s="1318" t="s">
        <v>7948</v>
      </c>
      <c r="AC4" s="838" t="s">
        <v>3195</v>
      </c>
      <c r="AD4" s="838" t="s">
        <v>3092</v>
      </c>
      <c r="AE4" s="1317"/>
      <c r="AF4" s="1308" t="s">
        <v>7697</v>
      </c>
      <c r="AG4" s="1313"/>
      <c r="AH4" s="1310" t="s">
        <v>7949</v>
      </c>
      <c r="AI4" s="1310" t="s">
        <v>4966</v>
      </c>
      <c r="AJ4" s="1313"/>
      <c r="AK4" s="838" t="s">
        <v>7950</v>
      </c>
      <c r="AL4" s="1271"/>
      <c r="AM4" s="1308" t="s">
        <v>7951</v>
      </c>
      <c r="AN4" s="859" t="s">
        <v>7952</v>
      </c>
      <c r="AO4" s="859" t="s">
        <v>7953</v>
      </c>
      <c r="AP4" s="1308" t="s">
        <v>7910</v>
      </c>
      <c r="AQ4" s="1271"/>
      <c r="AR4" s="859" t="s">
        <v>7954</v>
      </c>
      <c r="AS4" s="1271"/>
      <c r="AT4" s="1308" t="s">
        <v>7917</v>
      </c>
      <c r="AU4" s="1308" t="s">
        <v>7955</v>
      </c>
      <c r="AV4" s="1271"/>
      <c r="AW4" s="1308" t="s">
        <v>7956</v>
      </c>
      <c r="AX4" s="1271"/>
      <c r="AY4" s="1271"/>
      <c r="AZ4" s="1308" t="s">
        <v>1576</v>
      </c>
      <c r="BA4" s="1310" t="s">
        <v>5191</v>
      </c>
      <c r="BB4" s="1308" t="s">
        <v>7957</v>
      </c>
      <c r="BC4" s="838" t="s">
        <v>7958</v>
      </c>
      <c r="BD4" s="1312" t="s">
        <v>7959</v>
      </c>
      <c r="BE4" s="1313"/>
      <c r="BF4" s="1271"/>
      <c r="BG4" s="1313"/>
      <c r="BH4" s="1313"/>
      <c r="BI4" s="1313"/>
      <c r="BJ4" s="1313"/>
      <c r="BK4" s="1313"/>
      <c r="BL4" s="1271"/>
      <c r="BM4" s="1313"/>
      <c r="BN4" s="1313"/>
      <c r="BO4" s="1313"/>
      <c r="BP4" s="1313"/>
      <c r="BQ4" s="1313"/>
      <c r="BR4" s="1313"/>
      <c r="BS4" s="1313"/>
      <c r="BT4" s="1313"/>
      <c r="BU4" s="1313"/>
      <c r="BV4" s="1271"/>
      <c r="BW4" s="1312" t="s">
        <v>5266</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6388</v>
      </c>
      <c r="B5" s="1101" t="s">
        <v>7960</v>
      </c>
      <c r="C5" s="1102" t="s">
        <v>332</v>
      </c>
      <c r="D5" s="1103" t="s">
        <v>439</v>
      </c>
      <c r="E5" s="1104" t="s">
        <v>1418</v>
      </c>
      <c r="F5" s="1105" t="s">
        <v>1200</v>
      </c>
      <c r="G5" s="1101" t="s">
        <v>5525</v>
      </c>
      <c r="H5" s="859" t="s">
        <v>7961</v>
      </c>
      <c r="I5" s="859" t="s">
        <v>7651</v>
      </c>
      <c r="J5" s="859"/>
      <c r="K5" s="1310" t="s">
        <v>7962</v>
      </c>
      <c r="L5" s="1312" t="s">
        <v>7963</v>
      </c>
      <c r="M5" s="859"/>
      <c r="N5" s="859"/>
      <c r="O5" s="838" t="s">
        <v>7964</v>
      </c>
      <c r="P5" s="859" t="s">
        <v>7965</v>
      </c>
      <c r="Q5" s="859" t="s">
        <v>7966</v>
      </c>
      <c r="R5" s="1312" t="s">
        <v>7967</v>
      </c>
      <c r="S5" s="859"/>
      <c r="T5" s="1310" t="s">
        <v>7968</v>
      </c>
      <c r="U5" s="1310" t="s">
        <v>7969</v>
      </c>
      <c r="V5" s="859"/>
      <c r="W5" s="859" t="s">
        <v>6429</v>
      </c>
      <c r="X5" s="859"/>
      <c r="Y5" s="859" t="s">
        <v>7970</v>
      </c>
      <c r="Z5" s="1310" t="s">
        <v>1138</v>
      </c>
      <c r="AA5" s="1317"/>
      <c r="AB5" s="1317"/>
      <c r="AC5" s="859" t="s">
        <v>7971</v>
      </c>
      <c r="AD5" s="1271"/>
      <c r="AE5" s="859"/>
      <c r="AF5" s="859" t="s">
        <v>7972</v>
      </c>
      <c r="AG5" s="859"/>
      <c r="AH5" s="859" t="s">
        <v>7973</v>
      </c>
      <c r="AI5" s="859" t="s">
        <v>2021</v>
      </c>
      <c r="AJ5" s="1271"/>
      <c r="AK5" s="859"/>
      <c r="AL5" s="859"/>
      <c r="AM5" s="859" t="s">
        <v>7974</v>
      </c>
      <c r="AN5" s="1271"/>
      <c r="AO5" s="1271"/>
      <c r="AP5" s="859" t="s">
        <v>7975</v>
      </c>
      <c r="AQ5" s="1310" t="s">
        <v>7976</v>
      </c>
      <c r="AR5" s="859" t="s">
        <v>7977</v>
      </c>
      <c r="AS5" s="859"/>
      <c r="AT5" s="859" t="s">
        <v>7978</v>
      </c>
      <c r="AU5" s="838" t="s">
        <v>7979</v>
      </c>
      <c r="AV5" s="859"/>
      <c r="AW5" s="1320" t="s">
        <v>7980</v>
      </c>
      <c r="AX5" s="114"/>
      <c r="AY5" s="114" t="s">
        <v>7981</v>
      </c>
      <c r="AZ5" s="859" t="s">
        <v>2937</v>
      </c>
      <c r="BA5" s="859"/>
      <c r="BB5" s="859" t="s">
        <v>7959</v>
      </c>
      <c r="BC5" s="1312" t="s">
        <v>7982</v>
      </c>
      <c r="BD5" s="859" t="s">
        <v>7983</v>
      </c>
      <c r="BE5" s="859"/>
      <c r="BF5" s="859"/>
      <c r="BG5" s="859" t="s">
        <v>7984</v>
      </c>
      <c r="BH5" s="859"/>
      <c r="BI5" s="859"/>
      <c r="BJ5" s="859"/>
      <c r="BK5" s="859" t="s">
        <v>7985</v>
      </c>
      <c r="BL5" s="859"/>
      <c r="BM5" s="859"/>
      <c r="BN5" s="859"/>
      <c r="BO5" s="859"/>
      <c r="BP5" s="859" t="s">
        <v>7986</v>
      </c>
      <c r="BQ5" s="1271"/>
      <c r="BR5" s="1271"/>
      <c r="BS5" s="1271"/>
      <c r="BT5" s="1271"/>
      <c r="BU5" s="1271"/>
      <c r="BV5" s="859"/>
      <c r="BW5" s="859" t="s">
        <v>6677</v>
      </c>
      <c r="BX5" s="859"/>
      <c r="BY5" s="859"/>
      <c r="BZ5" s="859"/>
      <c r="CA5" s="859"/>
      <c r="CB5" s="859" t="s">
        <v>2445</v>
      </c>
      <c r="CC5" s="859"/>
      <c r="CD5" s="859"/>
      <c r="CE5" s="859"/>
      <c r="CF5" s="859"/>
      <c r="CG5" s="859"/>
      <c r="CH5" s="859"/>
      <c r="CI5" s="859"/>
      <c r="CJ5" s="859"/>
      <c r="CK5" s="859"/>
      <c r="CL5" s="859"/>
      <c r="CM5" s="859"/>
      <c r="CN5" s="859"/>
      <c r="CO5" s="859"/>
      <c r="CP5" s="859"/>
      <c r="CQ5" s="859"/>
      <c r="CR5" s="859"/>
      <c r="CS5" s="859"/>
      <c r="CT5" s="114"/>
    </row>
    <row r="6">
      <c r="A6" s="1321" t="s">
        <v>6402</v>
      </c>
      <c r="B6" s="1101" t="s">
        <v>7987</v>
      </c>
      <c r="C6" s="1102" t="s">
        <v>987</v>
      </c>
      <c r="D6" s="1103" t="s">
        <v>333</v>
      </c>
      <c r="E6" s="1104" t="s">
        <v>332</v>
      </c>
      <c r="F6" s="1105" t="s">
        <v>6000</v>
      </c>
      <c r="G6" s="1101" t="s">
        <v>5748</v>
      </c>
      <c r="H6" s="1310" t="s">
        <v>7988</v>
      </c>
      <c r="I6" s="838" t="s">
        <v>7989</v>
      </c>
      <c r="J6" s="859"/>
      <c r="K6" s="1308" t="s">
        <v>7990</v>
      </c>
      <c r="L6" s="838" t="s">
        <v>7991</v>
      </c>
      <c r="M6" s="1271"/>
      <c r="N6" s="1271"/>
      <c r="O6" s="838" t="s">
        <v>7992</v>
      </c>
      <c r="P6" s="1271"/>
      <c r="Q6" s="859" t="s">
        <v>7993</v>
      </c>
      <c r="R6" s="1310" t="s">
        <v>7994</v>
      </c>
      <c r="S6" s="1271"/>
      <c r="T6" s="1308" t="s">
        <v>7995</v>
      </c>
      <c r="U6" s="1308" t="s">
        <v>671</v>
      </c>
      <c r="V6" s="859" t="s">
        <v>7996</v>
      </c>
      <c r="W6" s="1271"/>
      <c r="X6" s="1308" t="s">
        <v>5983</v>
      </c>
      <c r="Y6" s="1310" t="s">
        <v>2534</v>
      </c>
      <c r="Z6" s="1271"/>
      <c r="AA6" s="1271"/>
      <c r="AB6" s="1271"/>
      <c r="AC6" s="1271"/>
      <c r="AD6" s="859" t="s">
        <v>7997</v>
      </c>
      <c r="AE6" s="1317"/>
      <c r="AF6" s="838" t="s">
        <v>465</v>
      </c>
      <c r="AG6" s="1317"/>
      <c r="AH6" s="1271"/>
      <c r="AI6" s="1271"/>
      <c r="AJ6" s="1312" t="s">
        <v>2212</v>
      </c>
      <c r="AK6" s="1310" t="s">
        <v>5958</v>
      </c>
      <c r="AL6" s="1322" t="s">
        <v>7998</v>
      </c>
      <c r="AM6" s="1310" t="s">
        <v>7999</v>
      </c>
      <c r="AN6" s="1271"/>
      <c r="AO6" s="1271"/>
      <c r="AP6" s="859" t="s">
        <v>7910</v>
      </c>
      <c r="AQ6" s="859"/>
      <c r="AR6" s="1310" t="s">
        <v>8000</v>
      </c>
      <c r="AS6" s="1317"/>
      <c r="AT6" s="1312" t="s">
        <v>8001</v>
      </c>
      <c r="AU6" s="838" t="s">
        <v>8002</v>
      </c>
      <c r="AV6" s="1310" t="s">
        <v>8003</v>
      </c>
      <c r="AW6" s="1310" t="s">
        <v>8004</v>
      </c>
      <c r="AX6" s="1271"/>
      <c r="AY6" s="1271"/>
      <c r="AZ6" s="1312" t="s">
        <v>4575</v>
      </c>
      <c r="BA6" s="1317"/>
      <c r="BB6" s="1310" t="s">
        <v>8005</v>
      </c>
      <c r="BC6" s="1310" t="s">
        <v>8006</v>
      </c>
      <c r="BD6" s="1271"/>
      <c r="BE6" s="1271"/>
      <c r="BF6" s="1271"/>
      <c r="BG6" s="1323" t="s">
        <v>8007</v>
      </c>
      <c r="BH6" s="1212"/>
      <c r="BI6" s="1212"/>
      <c r="BJ6" s="1212"/>
      <c r="BK6" s="1323" t="s">
        <v>8008</v>
      </c>
      <c r="BL6" s="1212"/>
      <c r="BM6" s="1156" t="s">
        <v>8009</v>
      </c>
      <c r="BN6" s="1129" t="s">
        <v>8010</v>
      </c>
      <c r="BO6" s="1212"/>
      <c r="BP6" s="1212"/>
      <c r="BQ6" s="1324"/>
      <c r="BR6" s="1271"/>
      <c r="BS6" s="1312" t="s">
        <v>8011</v>
      </c>
      <c r="BT6" s="1271"/>
      <c r="BU6" s="1271"/>
      <c r="BV6" s="1271"/>
      <c r="BW6" s="1271"/>
      <c r="BX6" s="1271"/>
      <c r="BY6" s="1271"/>
      <c r="BZ6" s="1271"/>
      <c r="CA6" s="1271"/>
      <c r="CB6" s="1271"/>
      <c r="CC6" s="1310" t="s">
        <v>451</v>
      </c>
      <c r="CD6" s="1317"/>
      <c r="CE6" s="1325"/>
      <c r="CF6" s="1325"/>
      <c r="CG6" s="1326"/>
      <c r="CH6" s="1326"/>
      <c r="CI6" s="1325" t="s">
        <v>8012</v>
      </c>
      <c r="CJ6" s="1326"/>
      <c r="CK6" s="1326"/>
      <c r="CL6" s="1325" t="s">
        <v>5525</v>
      </c>
      <c r="CM6" s="1327" t="s">
        <v>2223</v>
      </c>
      <c r="CN6" s="1327" t="s">
        <v>3332</v>
      </c>
      <c r="CO6" s="1325"/>
      <c r="CP6" s="1325"/>
      <c r="CQ6" s="1325"/>
      <c r="CR6" s="1325"/>
      <c r="CS6" s="1327" t="s">
        <v>8013</v>
      </c>
      <c r="CT6" s="92"/>
    </row>
    <row r="7">
      <c r="A7" s="1328" t="s">
        <v>7201</v>
      </c>
      <c r="B7" s="1101" t="s">
        <v>8014</v>
      </c>
      <c r="C7" s="1102" t="s">
        <v>332</v>
      </c>
      <c r="D7" s="1103" t="s">
        <v>438</v>
      </c>
      <c r="E7" s="1104" t="s">
        <v>438</v>
      </c>
      <c r="F7" s="1105" t="s">
        <v>4910</v>
      </c>
      <c r="G7" s="1101" t="s">
        <v>2937</v>
      </c>
      <c r="H7" s="838" t="s">
        <v>8015</v>
      </c>
      <c r="I7" s="825" t="s">
        <v>8016</v>
      </c>
      <c r="J7" s="1329"/>
      <c r="K7" s="838" t="s">
        <v>8017</v>
      </c>
      <c r="L7" s="1330"/>
      <c r="M7" s="1308" t="s">
        <v>8018</v>
      </c>
      <c r="N7" s="1271"/>
      <c r="O7" s="1271"/>
      <c r="P7" s="1311" t="s">
        <v>8019</v>
      </c>
      <c r="Q7" s="1313"/>
      <c r="R7" s="859"/>
      <c r="S7" s="1271"/>
      <c r="T7" s="1271"/>
      <c r="U7" s="1311" t="s">
        <v>8020</v>
      </c>
      <c r="V7" s="1311"/>
      <c r="W7" s="1308" t="s">
        <v>2124</v>
      </c>
      <c r="X7" s="838" t="s">
        <v>2177</v>
      </c>
      <c r="Y7" s="838" t="s">
        <v>2073</v>
      </c>
      <c r="Z7" s="1308" t="s">
        <v>8021</v>
      </c>
      <c r="AA7" s="1317"/>
      <c r="AB7" s="1317"/>
      <c r="AC7" s="1311" t="s">
        <v>8022</v>
      </c>
      <c r="AD7" s="838" t="s">
        <v>4469</v>
      </c>
      <c r="AE7" s="1317"/>
      <c r="AF7" s="838" t="s">
        <v>8023</v>
      </c>
      <c r="AG7" s="1330"/>
      <c r="AH7" s="1311" t="s">
        <v>1894</v>
      </c>
      <c r="AI7" s="1311" t="s">
        <v>119</v>
      </c>
      <c r="AJ7" s="1311"/>
      <c r="AK7" s="859" t="s">
        <v>8024</v>
      </c>
      <c r="AL7" s="1311" t="s">
        <v>6159</v>
      </c>
      <c r="AM7" s="1331" t="s">
        <v>8025</v>
      </c>
      <c r="AN7" s="1308" t="s">
        <v>8026</v>
      </c>
      <c r="AO7" s="1310" t="s">
        <v>8027</v>
      </c>
      <c r="AP7" s="838" t="s">
        <v>8028</v>
      </c>
      <c r="AQ7" s="1317"/>
      <c r="AR7" s="838" t="s">
        <v>8029</v>
      </c>
      <c r="AS7" s="1317"/>
      <c r="AT7" s="1310" t="s">
        <v>7985</v>
      </c>
      <c r="AU7" s="838" t="s">
        <v>8030</v>
      </c>
      <c r="AV7" s="1317"/>
      <c r="AW7" s="1332" t="s">
        <v>8031</v>
      </c>
      <c r="AX7" s="1317"/>
      <c r="AY7" s="1310" t="s">
        <v>8032</v>
      </c>
      <c r="AZ7" s="838" t="s">
        <v>5044</v>
      </c>
      <c r="BA7" s="1317"/>
      <c r="BB7" s="838" t="s">
        <v>8033</v>
      </c>
      <c r="BC7" s="1332" t="s">
        <v>8034</v>
      </c>
      <c r="BD7" s="1308" t="s">
        <v>8035</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8036</v>
      </c>
      <c r="BZ7" s="1310" t="s">
        <v>8037</v>
      </c>
      <c r="CA7" s="1312" t="s">
        <v>1347</v>
      </c>
      <c r="CB7" s="1312" t="s">
        <v>8038</v>
      </c>
      <c r="CC7" s="1312" t="s">
        <v>477</v>
      </c>
      <c r="CD7" s="1334" t="s">
        <v>2512</v>
      </c>
      <c r="CE7" s="1313"/>
      <c r="CF7" s="1271"/>
      <c r="CG7" s="1313"/>
      <c r="CH7" s="1313"/>
      <c r="CI7" s="1313"/>
      <c r="CJ7" s="1313"/>
      <c r="CK7" s="1313"/>
      <c r="CL7" s="1313"/>
      <c r="CM7" s="1313"/>
      <c r="CN7" s="1271"/>
      <c r="CO7" s="1313"/>
      <c r="CP7" s="1313"/>
      <c r="CQ7" s="1313"/>
      <c r="CR7" s="1313"/>
      <c r="CS7" s="1313"/>
      <c r="CT7" s="859" t="s">
        <v>8039</v>
      </c>
    </row>
    <row r="8">
      <c r="A8" s="1335" t="s">
        <v>8040</v>
      </c>
      <c r="B8" s="1101" t="s">
        <v>8041</v>
      </c>
      <c r="C8" s="1102" t="s">
        <v>545</v>
      </c>
      <c r="D8" s="1103" t="s">
        <v>332</v>
      </c>
      <c r="E8" s="1104" t="s">
        <v>439</v>
      </c>
      <c r="F8" s="1105" t="s">
        <v>5707</v>
      </c>
      <c r="G8" s="1101" t="s">
        <v>7339</v>
      </c>
      <c r="H8" s="838" t="s">
        <v>8042</v>
      </c>
      <c r="I8" s="838" t="s">
        <v>8043</v>
      </c>
      <c r="J8" s="1317"/>
      <c r="K8" s="1271"/>
      <c r="L8" s="1313"/>
      <c r="M8" s="1271"/>
      <c r="N8" s="1271"/>
      <c r="O8" s="1271"/>
      <c r="P8" s="859" t="s">
        <v>8044</v>
      </c>
      <c r="Q8" s="1313"/>
      <c r="R8" s="1308" t="s">
        <v>8045</v>
      </c>
      <c r="S8" s="1271"/>
      <c r="T8" s="1271"/>
      <c r="U8" s="1331" t="s">
        <v>8046</v>
      </c>
      <c r="V8" s="1330"/>
      <c r="W8" s="1309" t="s">
        <v>784</v>
      </c>
      <c r="X8" s="1330" t="s">
        <v>3734</v>
      </c>
      <c r="Y8" s="1336" t="s">
        <v>4963</v>
      </c>
      <c r="Z8" s="1317"/>
      <c r="AA8" s="1317" t="s">
        <v>8047</v>
      </c>
      <c r="AB8" s="1330"/>
      <c r="AC8" s="1308" t="s">
        <v>8048</v>
      </c>
      <c r="AD8" s="838" t="s">
        <v>819</v>
      </c>
      <c r="AE8" s="1317"/>
      <c r="AF8" s="1317"/>
      <c r="AG8" s="1330"/>
      <c r="AH8" s="1313"/>
      <c r="AI8" s="1313"/>
      <c r="AJ8" s="1313"/>
      <c r="AK8" s="1311" t="s">
        <v>325</v>
      </c>
      <c r="AL8" s="859"/>
      <c r="AM8" s="1312" t="s">
        <v>8049</v>
      </c>
      <c r="AN8" s="1311" t="s">
        <v>8050</v>
      </c>
      <c r="AO8" s="1271"/>
      <c r="AP8" s="838" t="s">
        <v>8026</v>
      </c>
      <c r="AQ8" s="1317"/>
      <c r="AR8" s="1271"/>
      <c r="AS8" s="1271"/>
      <c r="AT8" s="838" t="s">
        <v>8051</v>
      </c>
      <c r="AU8" s="859"/>
      <c r="AV8" s="859"/>
      <c r="AW8" s="838" t="s">
        <v>8052</v>
      </c>
      <c r="AX8" s="1271"/>
      <c r="AY8" s="1271"/>
      <c r="AZ8" s="1271"/>
      <c r="BA8" s="1271"/>
      <c r="BB8" s="838" t="s">
        <v>8053</v>
      </c>
      <c r="BC8" s="1311" t="s">
        <v>8054</v>
      </c>
      <c r="BD8" s="1271"/>
      <c r="BE8" s="1313"/>
      <c r="BF8" s="1271"/>
      <c r="BG8" s="1213"/>
      <c r="BH8" s="1178" t="s">
        <v>8055</v>
      </c>
      <c r="BI8" s="1213"/>
      <c r="BJ8" s="1213"/>
      <c r="BK8" s="1213"/>
      <c r="BL8" s="1212"/>
      <c r="BM8" s="1213"/>
      <c r="BN8" s="1213"/>
      <c r="BO8" s="1213"/>
      <c r="BP8" s="1213"/>
      <c r="BQ8" s="1313"/>
      <c r="BR8" s="1313"/>
      <c r="BS8" s="1310" t="s">
        <v>8056</v>
      </c>
      <c r="BT8" s="1313"/>
      <c r="BU8" s="1313"/>
      <c r="BV8" s="1337" t="s">
        <v>1137</v>
      </c>
      <c r="BW8" s="1308" t="s">
        <v>3540</v>
      </c>
      <c r="BX8" s="1310" t="s">
        <v>2307</v>
      </c>
      <c r="BY8" s="1331" t="s">
        <v>3666</v>
      </c>
      <c r="BZ8" s="1317"/>
      <c r="CA8" s="1310" t="s">
        <v>1966</v>
      </c>
      <c r="CB8" s="1331" t="s">
        <v>2854</v>
      </c>
      <c r="CC8" s="1338" t="s">
        <v>3461</v>
      </c>
      <c r="CD8" s="1339"/>
      <c r="CE8" s="1340"/>
      <c r="CF8" s="1326"/>
      <c r="CG8" s="1340"/>
      <c r="CH8" s="1340"/>
      <c r="CI8" s="1340"/>
      <c r="CJ8" s="1340"/>
      <c r="CK8" s="1340"/>
      <c r="CL8" s="1340"/>
      <c r="CM8" s="1341" t="s">
        <v>3680</v>
      </c>
      <c r="CN8" s="1326"/>
      <c r="CO8" s="1340"/>
      <c r="CP8" s="1340"/>
      <c r="CQ8" s="1342" t="s">
        <v>8031</v>
      </c>
      <c r="CR8" s="1340"/>
      <c r="CS8" s="1340"/>
      <c r="CT8" s="1343"/>
    </row>
    <row r="9">
      <c r="A9" s="1344" t="s">
        <v>2867</v>
      </c>
      <c r="B9" s="1101" t="s">
        <v>8057</v>
      </c>
      <c r="C9" s="1102" t="s">
        <v>437</v>
      </c>
      <c r="D9" s="1103" t="s">
        <v>437</v>
      </c>
      <c r="E9" s="1104" t="s">
        <v>1418</v>
      </c>
      <c r="F9" s="1105" t="s">
        <v>334</v>
      </c>
      <c r="G9" s="1101" t="s">
        <v>4251</v>
      </c>
      <c r="H9" s="1345"/>
      <c r="I9" s="1345" t="s">
        <v>8058</v>
      </c>
      <c r="J9" s="1271"/>
      <c r="K9" s="859" t="s">
        <v>8059</v>
      </c>
      <c r="L9" s="838" t="s">
        <v>8060</v>
      </c>
      <c r="M9" s="859" t="s">
        <v>8061</v>
      </c>
      <c r="N9" s="1271"/>
      <c r="O9" s="859" t="s">
        <v>8062</v>
      </c>
      <c r="P9" s="859" t="s">
        <v>8063</v>
      </c>
      <c r="Q9" s="859" t="s">
        <v>8064</v>
      </c>
      <c r="R9" s="859" t="s">
        <v>8065</v>
      </c>
      <c r="S9" s="1310" t="s">
        <v>2905</v>
      </c>
      <c r="T9" s="1271"/>
      <c r="U9" s="859" t="s">
        <v>3884</v>
      </c>
      <c r="V9" s="1313"/>
      <c r="W9" s="859" t="s">
        <v>4919</v>
      </c>
      <c r="X9" s="838" t="s">
        <v>3569</v>
      </c>
      <c r="Y9" s="838" t="s">
        <v>3670</v>
      </c>
      <c r="Z9" s="1271"/>
      <c r="AA9" s="1312" t="s">
        <v>5604</v>
      </c>
      <c r="AB9" s="1313"/>
      <c r="AC9" s="859" t="s">
        <v>5692</v>
      </c>
      <c r="AD9" s="859" t="s">
        <v>1982</v>
      </c>
      <c r="AE9" s="859"/>
      <c r="AF9" s="859" t="s">
        <v>5550</v>
      </c>
      <c r="AG9" s="1313"/>
      <c r="AH9" s="1313"/>
      <c r="AI9" s="1313"/>
      <c r="AJ9" s="1313"/>
      <c r="AK9" s="1271"/>
      <c r="AL9" s="1271"/>
      <c r="AM9" s="1311" t="s">
        <v>8031</v>
      </c>
      <c r="AN9" s="1271"/>
      <c r="AO9" s="1271"/>
      <c r="AP9" s="859" t="s">
        <v>8066</v>
      </c>
      <c r="AQ9" s="859" t="s">
        <v>8066</v>
      </c>
      <c r="AR9" s="859" t="s">
        <v>8067</v>
      </c>
      <c r="AS9" s="859" t="s">
        <v>8068</v>
      </c>
      <c r="AT9" s="859" t="s">
        <v>8068</v>
      </c>
      <c r="AU9" s="1310" t="s">
        <v>8069</v>
      </c>
      <c r="AV9" s="859" t="s">
        <v>8051</v>
      </c>
      <c r="AW9" s="859" t="s">
        <v>8025</v>
      </c>
      <c r="AX9" s="1271"/>
      <c r="AY9" s="1312" t="s">
        <v>8070</v>
      </c>
      <c r="AZ9" s="859" t="s">
        <v>5077</v>
      </c>
      <c r="BA9" s="859"/>
      <c r="BB9" s="859" t="s">
        <v>8035</v>
      </c>
      <c r="BC9" s="1311" t="s">
        <v>8071</v>
      </c>
      <c r="BD9" s="1311" t="s">
        <v>8072</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3196</v>
      </c>
      <c r="BZ9" s="1271"/>
      <c r="CA9" s="1313"/>
      <c r="CB9" s="859" t="s">
        <v>3547</v>
      </c>
      <c r="CC9" s="1313"/>
      <c r="CD9" s="1313"/>
      <c r="CE9" s="1340"/>
      <c r="CF9" s="1326"/>
      <c r="CG9" s="1340"/>
      <c r="CH9" s="1340"/>
      <c r="CI9" s="1340"/>
      <c r="CJ9" s="1340"/>
      <c r="CK9" s="1340"/>
      <c r="CL9" s="1340"/>
      <c r="CM9" s="1340"/>
      <c r="CN9" s="1326"/>
      <c r="CO9" s="1340"/>
      <c r="CP9" s="1340"/>
      <c r="CQ9" s="1340"/>
      <c r="CR9" s="1340"/>
      <c r="CS9" s="1325" t="s">
        <v>8073</v>
      </c>
      <c r="CT9" s="1271"/>
    </row>
    <row r="10">
      <c r="A10" s="1347" t="s">
        <v>2144</v>
      </c>
      <c r="B10" s="1101" t="s">
        <v>8074</v>
      </c>
      <c r="C10" s="1102" t="s">
        <v>1418</v>
      </c>
      <c r="D10" s="1103" t="s">
        <v>437</v>
      </c>
      <c r="E10" s="1104" t="s">
        <v>437</v>
      </c>
      <c r="F10" s="1105" t="s">
        <v>332</v>
      </c>
      <c r="G10" s="1101" t="s">
        <v>4575</v>
      </c>
      <c r="H10" s="1345" t="s">
        <v>8075</v>
      </c>
      <c r="I10" s="1348" t="s">
        <v>2157</v>
      </c>
      <c r="J10" s="859" t="s">
        <v>8076</v>
      </c>
      <c r="K10" s="859" t="s">
        <v>8077</v>
      </c>
      <c r="L10" s="859" t="s">
        <v>8078</v>
      </c>
      <c r="M10" s="859" t="s">
        <v>8079</v>
      </c>
      <c r="N10" s="859" t="s">
        <v>8080</v>
      </c>
      <c r="O10" s="859" t="s">
        <v>8081</v>
      </c>
      <c r="P10" s="859" t="s">
        <v>8082</v>
      </c>
      <c r="Q10" s="859" t="s">
        <v>8083</v>
      </c>
      <c r="R10" s="859" t="s">
        <v>8084</v>
      </c>
      <c r="S10" s="1308" t="s">
        <v>8085</v>
      </c>
      <c r="T10" s="859" t="s">
        <v>8086</v>
      </c>
      <c r="U10" s="859" t="s">
        <v>8087</v>
      </c>
      <c r="V10" s="1308" t="s">
        <v>8088</v>
      </c>
      <c r="W10" s="859" t="s">
        <v>3883</v>
      </c>
      <c r="X10" s="859" t="s">
        <v>8089</v>
      </c>
      <c r="Y10" s="1311" t="s">
        <v>1982</v>
      </c>
      <c r="Z10" s="1271"/>
      <c r="AA10" s="1271"/>
      <c r="AB10" s="1313"/>
      <c r="AC10" s="1311" t="s">
        <v>8090</v>
      </c>
      <c r="AD10" s="1311" t="s">
        <v>5310</v>
      </c>
      <c r="AE10" s="1310" t="s">
        <v>2522</v>
      </c>
      <c r="AF10" s="1311" t="s">
        <v>8091</v>
      </c>
      <c r="AG10" s="859" t="s">
        <v>8092</v>
      </c>
      <c r="AH10" s="1313"/>
      <c r="AI10" s="1313"/>
      <c r="AJ10" s="1313"/>
      <c r="AK10" s="859" t="s">
        <v>6234</v>
      </c>
      <c r="AL10" s="859" t="s">
        <v>2749</v>
      </c>
      <c r="AM10" s="1271"/>
      <c r="AN10" s="1271"/>
      <c r="AO10" s="1271"/>
      <c r="AP10" s="1271"/>
      <c r="AQ10" s="1271"/>
      <c r="AR10" s="1271"/>
      <c r="AS10" s="1271"/>
      <c r="AT10" s="859" t="s">
        <v>8093</v>
      </c>
      <c r="AU10" s="859" t="s">
        <v>8035</v>
      </c>
      <c r="AV10" s="1271"/>
      <c r="AW10" s="859" t="s">
        <v>8033</v>
      </c>
      <c r="AX10" s="859" t="s">
        <v>8094</v>
      </c>
      <c r="AY10" s="1271"/>
      <c r="AZ10" s="859"/>
      <c r="BA10" s="859"/>
      <c r="BB10" s="1317"/>
      <c r="BC10" s="859" t="s">
        <v>8071</v>
      </c>
      <c r="BD10" s="859" t="s">
        <v>8095</v>
      </c>
      <c r="BE10" s="859"/>
      <c r="BF10" s="859" t="s">
        <v>8096</v>
      </c>
      <c r="BG10" s="1313"/>
      <c r="BH10" s="1313"/>
      <c r="BI10" s="1313"/>
      <c r="BJ10" s="1313"/>
      <c r="BK10" s="1313"/>
      <c r="BL10" s="1271"/>
      <c r="BM10" s="1313"/>
      <c r="BN10" s="1313"/>
      <c r="BO10" s="1313"/>
      <c r="BP10" s="1313"/>
      <c r="BQ10" s="1313"/>
      <c r="BR10" s="1313"/>
      <c r="BS10" s="1313"/>
      <c r="BT10" s="1313"/>
      <c r="BU10" s="1313"/>
      <c r="BV10" s="859"/>
      <c r="BW10" s="1311" t="s">
        <v>879</v>
      </c>
      <c r="BX10" s="1311" t="s">
        <v>2174</v>
      </c>
      <c r="BY10" s="1311" t="s">
        <v>5856</v>
      </c>
      <c r="BZ10" s="859"/>
      <c r="CA10" s="1311" t="s">
        <v>3438</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8097</v>
      </c>
    </row>
    <row r="11">
      <c r="A11" s="1350" t="s">
        <v>8098</v>
      </c>
      <c r="B11" s="1101" t="s">
        <v>8099</v>
      </c>
      <c r="C11" s="1102" t="s">
        <v>545</v>
      </c>
      <c r="D11" s="1103" t="s">
        <v>332</v>
      </c>
      <c r="E11" s="1104" t="s">
        <v>646</v>
      </c>
      <c r="F11" s="1105" t="s">
        <v>5707</v>
      </c>
      <c r="G11" s="1101" t="s">
        <v>5921</v>
      </c>
      <c r="H11" s="1345" t="s">
        <v>8100</v>
      </c>
      <c r="I11" s="1345" t="s">
        <v>8101</v>
      </c>
      <c r="J11" s="1271"/>
      <c r="K11" s="859" t="s">
        <v>8102</v>
      </c>
      <c r="L11" s="1313"/>
      <c r="M11" s="1271"/>
      <c r="N11" s="1271"/>
      <c r="O11" s="1271"/>
      <c r="P11" s="859" t="s">
        <v>8103</v>
      </c>
      <c r="Q11" s="1313"/>
      <c r="R11" s="1271"/>
      <c r="S11" s="1271"/>
      <c r="T11" s="859" t="s">
        <v>8104</v>
      </c>
      <c r="U11" s="859" t="s">
        <v>760</v>
      </c>
      <c r="V11" s="1313"/>
      <c r="W11" s="1271"/>
      <c r="X11" s="838" t="s">
        <v>145</v>
      </c>
      <c r="Y11" s="838" t="s">
        <v>4193</v>
      </c>
      <c r="Z11" s="1271"/>
      <c r="AA11" s="1310" t="s">
        <v>6065</v>
      </c>
      <c r="AB11" s="1313"/>
      <c r="AC11" s="838" t="s">
        <v>2213</v>
      </c>
      <c r="AD11" s="838" t="s">
        <v>2289</v>
      </c>
      <c r="AE11" s="838" t="s">
        <v>5941</v>
      </c>
      <c r="AF11" s="1271"/>
      <c r="AG11" s="1313"/>
      <c r="AH11" s="1313"/>
      <c r="AI11" s="1313"/>
      <c r="AJ11" s="1313"/>
      <c r="AK11" s="1313"/>
      <c r="AL11" s="1271"/>
      <c r="AM11" s="859" t="s">
        <v>7935</v>
      </c>
      <c r="AN11" s="1310" t="s">
        <v>8004</v>
      </c>
      <c r="AO11" s="1271"/>
      <c r="AP11" s="957" t="s">
        <v>7935</v>
      </c>
      <c r="AQ11" s="1308" t="s">
        <v>8105</v>
      </c>
      <c r="AR11" s="1308" t="s">
        <v>8095</v>
      </c>
      <c r="AS11" s="1271"/>
      <c r="AT11" s="838" t="s">
        <v>8106</v>
      </c>
      <c r="AU11" s="838" t="s">
        <v>8107</v>
      </c>
      <c r="AV11" s="1308" t="s">
        <v>8108</v>
      </c>
      <c r="AW11" s="838" t="s">
        <v>8066</v>
      </c>
      <c r="AX11" s="1310" t="s">
        <v>8109</v>
      </c>
      <c r="AY11" s="1271"/>
      <c r="AZ11" s="1271"/>
      <c r="BA11" s="1271"/>
      <c r="BB11" s="838" t="s">
        <v>8107</v>
      </c>
      <c r="BC11" s="1271"/>
      <c r="BD11" s="1310" t="s">
        <v>8110</v>
      </c>
      <c r="BE11" s="1351" t="s">
        <v>8111</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6407</v>
      </c>
      <c r="B12" s="1101" t="s">
        <v>8112</v>
      </c>
      <c r="C12" s="1102" t="s">
        <v>332</v>
      </c>
      <c r="D12" s="1103" t="s">
        <v>334</v>
      </c>
      <c r="E12" s="1104" t="s">
        <v>545</v>
      </c>
      <c r="F12" s="1105" t="s">
        <v>5707</v>
      </c>
      <c r="G12" s="1101" t="s">
        <v>4910</v>
      </c>
      <c r="H12" s="1355" t="str">
        <f>HYPERLINK("https://www.twitch.tv/videos/990301696","3:46.19")</f>
        <v>3:46.19</v>
      </c>
      <c r="I12" s="1345" t="s">
        <v>8113</v>
      </c>
      <c r="J12" s="859"/>
      <c r="K12" s="859" t="s">
        <v>8114</v>
      </c>
      <c r="L12" s="1313"/>
      <c r="M12" s="1356" t="str">
        <f>HYPERLINK("https://youtu.be/muKa7MrNAp8","2:59.41")</f>
        <v>2:59.41</v>
      </c>
      <c r="N12" s="1309"/>
      <c r="O12" s="114" t="s">
        <v>8115</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8116</v>
      </c>
      <c r="X12" s="859"/>
      <c r="Y12" s="859" t="s">
        <v>8117</v>
      </c>
      <c r="Z12" s="1271"/>
      <c r="AA12" s="1271"/>
      <c r="AB12" s="1313"/>
      <c r="AC12" s="1271"/>
      <c r="AD12" s="859" t="s">
        <v>193</v>
      </c>
      <c r="AE12" s="1271"/>
      <c r="AF12" s="1271"/>
      <c r="AG12" s="1313"/>
      <c r="AH12" s="859" t="s">
        <v>5893</v>
      </c>
      <c r="AI12" s="1311"/>
      <c r="AJ12" s="1311"/>
      <c r="AK12" s="1308" t="s">
        <v>8118</v>
      </c>
      <c r="AL12" s="1317"/>
      <c r="AM12" s="1311" t="s">
        <v>8066</v>
      </c>
      <c r="AN12" s="1271"/>
      <c r="AO12" s="1271"/>
      <c r="AP12" s="1271"/>
      <c r="AQ12" s="1271"/>
      <c r="AR12" s="1271"/>
      <c r="AS12" s="1271"/>
      <c r="AT12" s="859" t="s">
        <v>8119</v>
      </c>
      <c r="AU12" s="859" t="s">
        <v>8120</v>
      </c>
      <c r="AV12" s="1271"/>
      <c r="AW12" s="1271"/>
      <c r="AX12" s="1271"/>
      <c r="AY12" s="1271"/>
      <c r="AZ12" s="859" t="s">
        <v>2937</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3912</v>
      </c>
      <c r="B13" s="1101" t="s">
        <v>8121</v>
      </c>
      <c r="C13" s="1102" t="s">
        <v>1418</v>
      </c>
      <c r="D13" s="1103" t="s">
        <v>545</v>
      </c>
      <c r="E13" s="1104" t="s">
        <v>1418</v>
      </c>
      <c r="F13" s="1105" t="s">
        <v>545</v>
      </c>
      <c r="G13" s="1101" t="s">
        <v>3834</v>
      </c>
      <c r="H13" s="1345"/>
      <c r="I13" s="1345" t="s">
        <v>8122</v>
      </c>
      <c r="J13" s="859" t="s">
        <v>8123</v>
      </c>
      <c r="K13" s="859" t="s">
        <v>8124</v>
      </c>
      <c r="L13" s="1313"/>
      <c r="M13" s="859" t="s">
        <v>8125</v>
      </c>
      <c r="N13" s="859" t="s">
        <v>8126</v>
      </c>
      <c r="O13" s="1271"/>
      <c r="P13" s="859" t="s">
        <v>8127</v>
      </c>
      <c r="Q13" s="1313"/>
      <c r="R13" s="1311" t="s">
        <v>8128</v>
      </c>
      <c r="S13" s="859" t="s">
        <v>8129</v>
      </c>
      <c r="T13" s="859" t="s">
        <v>8008</v>
      </c>
      <c r="U13" s="859" t="s">
        <v>8130</v>
      </c>
      <c r="V13" s="859" t="s">
        <v>8131</v>
      </c>
      <c r="W13" s="859" t="s">
        <v>8132</v>
      </c>
      <c r="X13" s="859" t="s">
        <v>4834</v>
      </c>
      <c r="Y13" s="859" t="s">
        <v>377</v>
      </c>
      <c r="Z13" s="1311" t="s">
        <v>3299</v>
      </c>
      <c r="AA13" s="859" t="s">
        <v>8133</v>
      </c>
      <c r="AB13" s="1311"/>
      <c r="AC13" s="1311" t="s">
        <v>2209</v>
      </c>
      <c r="AD13" s="1311" t="s">
        <v>8134</v>
      </c>
      <c r="AE13" s="859" t="s">
        <v>5104</v>
      </c>
      <c r="AF13" s="859" t="s">
        <v>8135</v>
      </c>
      <c r="AG13" s="1313"/>
      <c r="AH13" s="1313"/>
      <c r="AI13" s="1313"/>
      <c r="AJ13" s="1313"/>
      <c r="AK13" s="1313"/>
      <c r="AL13" s="859" t="s">
        <v>5477</v>
      </c>
      <c r="AM13" s="1311" t="s">
        <v>8053</v>
      </c>
      <c r="AN13" s="1311" t="s">
        <v>8136</v>
      </c>
      <c r="AO13" s="1271"/>
      <c r="AP13" s="859" t="s">
        <v>8137</v>
      </c>
      <c r="AQ13" s="859" t="s">
        <v>7935</v>
      </c>
      <c r="AR13" s="1311" t="s">
        <v>8138</v>
      </c>
      <c r="AS13" s="859" t="s">
        <v>8139</v>
      </c>
      <c r="AT13" s="859" t="s">
        <v>8140</v>
      </c>
      <c r="AU13" s="859" t="s">
        <v>8141</v>
      </c>
      <c r="AV13" s="114" t="s">
        <v>8142</v>
      </c>
      <c r="AW13" s="859" t="s">
        <v>8143</v>
      </c>
      <c r="AX13" s="859" t="s">
        <v>8119</v>
      </c>
      <c r="AY13" s="1271"/>
      <c r="AZ13" s="1311" t="s">
        <v>1725</v>
      </c>
      <c r="BA13" s="859"/>
      <c r="BB13" s="1311" t="s">
        <v>8144</v>
      </c>
      <c r="BC13" s="1311" t="s">
        <v>8145</v>
      </c>
      <c r="BD13" s="859" t="s">
        <v>8146</v>
      </c>
      <c r="BE13" s="859"/>
      <c r="BF13" s="1271"/>
      <c r="BG13" s="1352"/>
      <c r="BH13" s="1352"/>
      <c r="BI13" s="1352"/>
      <c r="BJ13" s="1352"/>
      <c r="BK13" s="1352"/>
      <c r="BL13" s="1353"/>
      <c r="BM13" s="1352"/>
      <c r="BN13" s="1352"/>
      <c r="BO13" s="1352"/>
      <c r="BP13" s="1352"/>
      <c r="BQ13" s="1313"/>
      <c r="BR13" s="1313"/>
      <c r="BS13" s="1313"/>
      <c r="BT13" s="1313"/>
      <c r="BU13" s="1313"/>
      <c r="BV13" s="859" t="s">
        <v>8147</v>
      </c>
      <c r="BW13" s="1313"/>
      <c r="BX13" s="859" t="s">
        <v>4572</v>
      </c>
      <c r="BY13" s="859" t="s">
        <v>2950</v>
      </c>
      <c r="BZ13" s="1271"/>
      <c r="CA13" s="1313"/>
      <c r="CB13" s="859" t="s">
        <v>1665</v>
      </c>
      <c r="CC13" s="1313"/>
      <c r="CD13" s="1313"/>
      <c r="CE13" s="1340"/>
      <c r="CF13" s="1271"/>
      <c r="CG13" s="1313"/>
      <c r="CH13" s="1340"/>
      <c r="CI13" s="1340"/>
      <c r="CJ13" s="1325" t="s">
        <v>8148</v>
      </c>
      <c r="CK13" s="1325"/>
      <c r="CL13" s="1341" t="s">
        <v>6000</v>
      </c>
      <c r="CM13" s="1325" t="s">
        <v>8149</v>
      </c>
      <c r="CN13" s="1325" t="s">
        <v>5961</v>
      </c>
      <c r="CO13" s="1325" t="s">
        <v>1885</v>
      </c>
      <c r="CP13" s="1325" t="s">
        <v>8030</v>
      </c>
      <c r="CQ13" s="1325" t="s">
        <v>8027</v>
      </c>
      <c r="CR13" s="1340"/>
      <c r="CS13" s="1340"/>
      <c r="CT13" s="96"/>
    </row>
    <row r="14">
      <c r="A14" s="1366" t="s">
        <v>4805</v>
      </c>
      <c r="B14" s="1101" t="s">
        <v>8150</v>
      </c>
      <c r="C14" s="1102" t="s">
        <v>646</v>
      </c>
      <c r="D14" s="1103" t="s">
        <v>646</v>
      </c>
      <c r="E14" s="1104" t="s">
        <v>1418</v>
      </c>
      <c r="F14" s="1105" t="s">
        <v>3679</v>
      </c>
      <c r="G14" s="1101" t="s">
        <v>3983</v>
      </c>
      <c r="H14" s="1345"/>
      <c r="I14" s="1345" t="s">
        <v>8029</v>
      </c>
      <c r="J14" s="1271"/>
      <c r="K14" s="838" t="s">
        <v>8151</v>
      </c>
      <c r="L14" s="1313"/>
      <c r="M14" s="838" t="s">
        <v>8152</v>
      </c>
      <c r="N14" s="1271"/>
      <c r="O14" s="838" t="s">
        <v>8153</v>
      </c>
      <c r="P14" s="838" t="s">
        <v>8154</v>
      </c>
      <c r="Q14" s="1313"/>
      <c r="R14" s="1311" t="s">
        <v>8155</v>
      </c>
      <c r="S14" s="838" t="s">
        <v>8156</v>
      </c>
      <c r="T14" s="1271"/>
      <c r="U14" s="838" t="s">
        <v>8157</v>
      </c>
      <c r="V14" s="1317"/>
      <c r="W14" s="859" t="s">
        <v>5050</v>
      </c>
      <c r="X14" s="838" t="s">
        <v>3091</v>
      </c>
      <c r="Y14" s="1311" t="s">
        <v>2677</v>
      </c>
      <c r="Z14" s="1271"/>
      <c r="AA14" s="1271"/>
      <c r="AB14" s="1313"/>
      <c r="AC14" s="859" t="s">
        <v>8158</v>
      </c>
      <c r="AD14" s="825" t="s">
        <v>193</v>
      </c>
      <c r="AE14" s="1271"/>
      <c r="AF14" s="1271"/>
      <c r="AG14" s="1313"/>
      <c r="AH14" s="1311" t="s">
        <v>5328</v>
      </c>
      <c r="AI14" s="1313"/>
      <c r="AJ14" s="1313"/>
      <c r="AK14" s="1311" t="s">
        <v>4733</v>
      </c>
      <c r="AL14" s="859"/>
      <c r="AM14" s="838" t="s">
        <v>8050</v>
      </c>
      <c r="AN14" s="1271"/>
      <c r="AO14" s="1271"/>
      <c r="AP14" s="838" t="s">
        <v>8159</v>
      </c>
      <c r="AQ14" s="1271"/>
      <c r="AR14" s="1271"/>
      <c r="AS14" s="1271"/>
      <c r="AT14" s="859" t="s">
        <v>8160</v>
      </c>
      <c r="AU14" s="1271"/>
      <c r="AV14" s="1271"/>
      <c r="AW14" s="1271"/>
      <c r="AX14" s="1271"/>
      <c r="AY14" s="1271"/>
      <c r="AZ14" s="1310" t="s">
        <v>8161</v>
      </c>
      <c r="BA14" s="1317"/>
      <c r="BB14" s="838" t="s">
        <v>8162</v>
      </c>
      <c r="BC14" s="1331" t="s">
        <v>8145</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8163</v>
      </c>
      <c r="CF14" s="1327" t="s">
        <v>8164</v>
      </c>
      <c r="CG14" s="1367" t="s">
        <v>8165</v>
      </c>
      <c r="CH14" s="1340"/>
      <c r="CI14" s="1340"/>
      <c r="CJ14" s="1340"/>
      <c r="CK14" s="1340"/>
      <c r="CL14" s="1340"/>
      <c r="CM14" s="1340"/>
      <c r="CN14" s="1341" t="s">
        <v>5961</v>
      </c>
      <c r="CO14" s="1340"/>
      <c r="CP14" s="1340"/>
      <c r="CQ14" s="1340"/>
      <c r="CR14" s="1367" t="s">
        <v>7339</v>
      </c>
      <c r="CS14" s="1340"/>
      <c r="CT14" s="1313"/>
    </row>
    <row r="15">
      <c r="A15" s="1319" t="s">
        <v>1883</v>
      </c>
      <c r="B15" s="1101" t="s">
        <v>8166</v>
      </c>
      <c r="C15" s="1102" t="s">
        <v>646</v>
      </c>
      <c r="D15" s="1103" t="s">
        <v>545</v>
      </c>
      <c r="E15" s="1104" t="s">
        <v>545</v>
      </c>
      <c r="F15" s="1105" t="s">
        <v>438</v>
      </c>
      <c r="G15" s="1101" t="s">
        <v>4416</v>
      </c>
      <c r="H15" s="1345"/>
      <c r="I15" s="1345"/>
      <c r="J15" s="1271"/>
      <c r="K15" s="1271"/>
      <c r="L15" s="1313"/>
      <c r="M15" s="1311" t="s">
        <v>8167</v>
      </c>
      <c r="N15" s="1271"/>
      <c r="O15" s="1271"/>
      <c r="P15" s="1271"/>
      <c r="Q15" s="1312" t="s">
        <v>8168</v>
      </c>
      <c r="R15" s="1271"/>
      <c r="S15" s="1271"/>
      <c r="T15" s="1271"/>
      <c r="U15" s="1271"/>
      <c r="V15" s="1313"/>
      <c r="W15" s="1311" t="s">
        <v>6412</v>
      </c>
      <c r="X15" s="859"/>
      <c r="Y15" s="838" t="s">
        <v>1154</v>
      </c>
      <c r="Z15" s="1271"/>
      <c r="AA15" s="1271"/>
      <c r="AB15" s="1313"/>
      <c r="AC15" s="1311" t="s">
        <v>5452</v>
      </c>
      <c r="AD15" s="1310" t="s">
        <v>609</v>
      </c>
      <c r="AE15" s="1271"/>
      <c r="AF15" s="1271"/>
      <c r="AG15" s="1313"/>
      <c r="AH15" s="1313"/>
      <c r="AI15" s="1313"/>
      <c r="AJ15" s="1313"/>
      <c r="AK15" s="1313"/>
      <c r="AL15" s="1271"/>
      <c r="AM15" s="1271"/>
      <c r="AN15" s="1271"/>
      <c r="AO15" s="1271"/>
      <c r="AP15" s="1311" t="s">
        <v>8026</v>
      </c>
      <c r="AQ15" s="859"/>
      <c r="AR15" s="1311" t="s">
        <v>8169</v>
      </c>
      <c r="AS15" s="859"/>
      <c r="AT15" s="1271"/>
      <c r="AU15" s="1311" t="s">
        <v>8107</v>
      </c>
      <c r="AV15" s="859"/>
      <c r="AW15" s="1311" t="s">
        <v>8170</v>
      </c>
      <c r="AX15" s="1271"/>
      <c r="AY15" s="1271"/>
      <c r="AZ15" s="1271"/>
      <c r="BA15" s="1271"/>
      <c r="BB15" s="1312" t="s">
        <v>8171</v>
      </c>
      <c r="BC15" s="1308" t="s">
        <v>7933</v>
      </c>
      <c r="BD15" s="1271"/>
      <c r="BE15" s="1313"/>
      <c r="BF15" s="1271"/>
      <c r="BG15" s="1313"/>
      <c r="BH15" s="1313"/>
      <c r="BI15" s="1313"/>
      <c r="BJ15" s="1313"/>
      <c r="BK15" s="1313"/>
      <c r="BL15" s="1271"/>
      <c r="BM15" s="1312" t="s">
        <v>8172</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8173</v>
      </c>
      <c r="C16" s="1102" t="s">
        <v>334</v>
      </c>
      <c r="D16" s="1103" t="s">
        <v>545</v>
      </c>
      <c r="E16" s="1104" t="s">
        <v>1418</v>
      </c>
      <c r="F16" s="1105" t="s">
        <v>1201</v>
      </c>
      <c r="G16" s="1101" t="s">
        <v>4416</v>
      </c>
      <c r="H16" s="1369" t="s">
        <v>8174</v>
      </c>
      <c r="I16" s="1369" t="s">
        <v>8157</v>
      </c>
      <c r="J16" s="1312" t="s">
        <v>8175</v>
      </c>
      <c r="K16" s="1312" t="s">
        <v>8176</v>
      </c>
      <c r="L16" s="859" t="s">
        <v>8177</v>
      </c>
      <c r="M16" s="1271"/>
      <c r="N16" s="1312" t="s">
        <v>3597</v>
      </c>
      <c r="O16" s="1310" t="s">
        <v>8178</v>
      </c>
      <c r="P16" s="1271"/>
      <c r="Q16" s="859" t="s">
        <v>8179</v>
      </c>
      <c r="R16" s="859" t="s">
        <v>8180</v>
      </c>
      <c r="S16" s="1312" t="s">
        <v>8181</v>
      </c>
      <c r="T16" s="1312" t="s">
        <v>8182</v>
      </c>
      <c r="U16" s="859" t="s">
        <v>8183</v>
      </c>
      <c r="V16" s="859" t="s">
        <v>8184</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8185</v>
      </c>
      <c r="B17" s="1101" t="s">
        <v>8186</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8187</v>
      </c>
      <c r="X17" s="1310" t="s">
        <v>1739</v>
      </c>
      <c r="Y17" s="1271"/>
      <c r="Z17" s="1271"/>
      <c r="AA17" s="1271"/>
      <c r="AB17" s="1312" t="s">
        <v>8188</v>
      </c>
      <c r="AC17" s="1310" t="s">
        <v>2456</v>
      </c>
      <c r="AD17" s="838" t="s">
        <v>3164</v>
      </c>
      <c r="AE17" s="1317"/>
      <c r="AF17" s="1312" t="s">
        <v>8189</v>
      </c>
      <c r="AG17" s="1313"/>
      <c r="AH17" s="1312" t="s">
        <v>1700</v>
      </c>
      <c r="AI17" s="1312" t="s">
        <v>3025</v>
      </c>
      <c r="AJ17" s="1313"/>
      <c r="AK17" s="859" t="s">
        <v>4226</v>
      </c>
      <c r="AL17" s="1271"/>
      <c r="AM17" s="1271"/>
      <c r="AN17" s="1271"/>
      <c r="AO17" s="1271"/>
      <c r="AP17" s="838" t="s">
        <v>8190</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3395</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3981</v>
      </c>
      <c r="B18" s="1101" t="s">
        <v>8191</v>
      </c>
      <c r="C18" s="1102" t="s">
        <v>545</v>
      </c>
      <c r="D18" s="1103" t="s">
        <v>1418</v>
      </c>
      <c r="E18" s="1104" t="s">
        <v>545</v>
      </c>
      <c r="F18" s="1105" t="s">
        <v>437</v>
      </c>
      <c r="G18" s="1101" t="s">
        <v>2937</v>
      </c>
      <c r="H18" s="1345"/>
      <c r="I18" s="1345" t="s">
        <v>8192</v>
      </c>
      <c r="J18" s="859"/>
      <c r="K18" s="1311" t="s">
        <v>8193</v>
      </c>
      <c r="L18" s="1311"/>
      <c r="M18" s="1311" t="s">
        <v>8194</v>
      </c>
      <c r="N18" s="1271"/>
      <c r="O18" s="1311" t="s">
        <v>8195</v>
      </c>
      <c r="P18" s="1271"/>
      <c r="Q18" s="1313"/>
      <c r="R18" s="859" t="s">
        <v>8196</v>
      </c>
      <c r="S18" s="1309" t="s">
        <v>4016</v>
      </c>
      <c r="T18" s="1311" t="s">
        <v>8197</v>
      </c>
      <c r="U18" s="859" t="s">
        <v>3745</v>
      </c>
      <c r="V18" s="1311"/>
      <c r="W18" s="1311" t="s">
        <v>4438</v>
      </c>
      <c r="X18" s="859" t="s">
        <v>3684</v>
      </c>
      <c r="Y18" s="1311" t="s">
        <v>2829</v>
      </c>
      <c r="Z18" s="1271"/>
      <c r="AA18" s="1271"/>
      <c r="AB18" s="1313"/>
      <c r="AC18" s="1311" t="s">
        <v>8198</v>
      </c>
      <c r="AD18" s="859" t="s">
        <v>2036</v>
      </c>
      <c r="AE18" s="859"/>
      <c r="AF18" s="1311" t="s">
        <v>8199</v>
      </c>
      <c r="AG18" s="1312" t="s">
        <v>8200</v>
      </c>
      <c r="AH18" s="1308" t="s">
        <v>1335</v>
      </c>
      <c r="AI18" s="1313"/>
      <c r="AJ18" s="1313"/>
      <c r="AK18" s="1311" t="s">
        <v>707</v>
      </c>
      <c r="AL18" s="1271"/>
      <c r="AM18" s="1311" t="s">
        <v>8110</v>
      </c>
      <c r="AN18" s="1271"/>
      <c r="AO18" s="1271"/>
      <c r="AP18" s="859" t="s">
        <v>7952</v>
      </c>
      <c r="AQ18" s="859"/>
      <c r="AR18" s="859" t="s">
        <v>7978</v>
      </c>
      <c r="AS18" s="859" t="s">
        <v>8201</v>
      </c>
      <c r="AT18" s="859" t="s">
        <v>8202</v>
      </c>
      <c r="AU18" s="859" t="s">
        <v>8203</v>
      </c>
      <c r="AV18" s="859"/>
      <c r="AW18" s="1271"/>
      <c r="AX18" s="1271"/>
      <c r="AY18" s="1271"/>
      <c r="AZ18" s="1311" t="s">
        <v>3267</v>
      </c>
      <c r="BA18" s="859"/>
      <c r="BB18" s="1311" t="s">
        <v>8107</v>
      </c>
      <c r="BC18" s="1311" t="s">
        <v>8204</v>
      </c>
      <c r="BD18" s="1311" t="s">
        <v>8008</v>
      </c>
      <c r="BE18" s="1311"/>
      <c r="BF18" s="859"/>
      <c r="BG18" s="1313"/>
      <c r="BH18" s="1313"/>
      <c r="BI18" s="1313"/>
      <c r="BJ18" s="1313"/>
      <c r="BK18" s="1313"/>
      <c r="BL18" s="1271"/>
      <c r="BM18" s="1313"/>
      <c r="BN18" s="1311" t="s">
        <v>8205</v>
      </c>
      <c r="BO18" s="1311" t="s">
        <v>8206</v>
      </c>
      <c r="BP18" s="1311"/>
      <c r="BQ18" s="1313"/>
      <c r="BR18" s="1313"/>
      <c r="BS18" s="1313"/>
      <c r="BT18" s="1313"/>
      <c r="BU18" s="1313"/>
      <c r="BV18" s="1346" t="s">
        <v>2081</v>
      </c>
      <c r="BW18" s="1313"/>
      <c r="BX18" s="1271"/>
      <c r="BY18" s="859" t="s">
        <v>2185</v>
      </c>
      <c r="BZ18" s="1271"/>
      <c r="CA18" s="1313"/>
      <c r="CB18" s="859" t="s">
        <v>4567</v>
      </c>
      <c r="CC18" s="1311" t="s">
        <v>8207</v>
      </c>
      <c r="CD18" s="1311"/>
      <c r="CE18" s="1313"/>
      <c r="CF18" s="1271"/>
      <c r="CG18" s="1313"/>
      <c r="CH18" s="1313"/>
      <c r="CI18" s="1313"/>
      <c r="CJ18" s="1313"/>
      <c r="CK18" s="1313"/>
      <c r="CL18" s="1313"/>
      <c r="CM18" s="1311" t="s">
        <v>8208</v>
      </c>
      <c r="CN18" s="1311" t="s">
        <v>1806</v>
      </c>
      <c r="CO18" s="1311" t="s">
        <v>5062</v>
      </c>
      <c r="CP18" s="1311" t="s">
        <v>8209</v>
      </c>
      <c r="CQ18" s="859" t="s">
        <v>8210</v>
      </c>
      <c r="CR18" s="1311" t="s">
        <v>3124</v>
      </c>
      <c r="CS18" s="859" t="s">
        <v>8211</v>
      </c>
      <c r="CT18" s="96"/>
    </row>
    <row r="19">
      <c r="A19" s="1372" t="s">
        <v>4701</v>
      </c>
      <c r="B19" s="1101" t="s">
        <v>8212</v>
      </c>
      <c r="C19" s="1102" t="s">
        <v>1418</v>
      </c>
      <c r="D19" s="1103" t="s">
        <v>1418</v>
      </c>
      <c r="E19" s="1104" t="s">
        <v>1418</v>
      </c>
      <c r="F19" s="1105" t="s">
        <v>545</v>
      </c>
      <c r="G19" s="1101" t="s">
        <v>3332</v>
      </c>
      <c r="H19" s="1345"/>
      <c r="I19" s="1345" t="s">
        <v>8213</v>
      </c>
      <c r="J19" s="859"/>
      <c r="K19" s="859" t="s">
        <v>7174</v>
      </c>
      <c r="L19" s="1311"/>
      <c r="M19" s="1271"/>
      <c r="N19" s="1271"/>
      <c r="O19" s="1271"/>
      <c r="P19" s="1271"/>
      <c r="Q19" s="1313"/>
      <c r="R19" s="1311" t="s">
        <v>8214</v>
      </c>
      <c r="S19" s="1271"/>
      <c r="T19" s="1311" t="s">
        <v>8215</v>
      </c>
      <c r="U19" s="1311" t="s">
        <v>8216</v>
      </c>
      <c r="V19" s="1311" t="s">
        <v>8217</v>
      </c>
      <c r="W19" s="1311" t="s">
        <v>3498</v>
      </c>
      <c r="X19" s="859" t="s">
        <v>2577</v>
      </c>
      <c r="Y19" s="1311" t="s">
        <v>8218</v>
      </c>
      <c r="Z19" s="1271"/>
      <c r="AA19" s="1271"/>
      <c r="AB19" s="1313"/>
      <c r="AC19" s="838" t="s">
        <v>344</v>
      </c>
      <c r="AD19" s="1311" t="s">
        <v>3808</v>
      </c>
      <c r="AE19" s="859"/>
      <c r="AF19" s="1311" t="s">
        <v>8219</v>
      </c>
      <c r="AG19" s="1311"/>
      <c r="AH19" s="1311" t="s">
        <v>8220</v>
      </c>
      <c r="AI19" s="1313"/>
      <c r="AJ19" s="1313"/>
      <c r="AK19" s="1313"/>
      <c r="AL19" s="1271"/>
      <c r="AM19" s="1271"/>
      <c r="AN19" s="1271"/>
      <c r="AO19" s="1271"/>
      <c r="AP19" s="859" t="s">
        <v>7952</v>
      </c>
      <c r="AQ19" s="1271"/>
      <c r="AR19" s="859" t="s">
        <v>8221</v>
      </c>
      <c r="AS19" s="1271"/>
      <c r="AT19" s="1271"/>
      <c r="AU19" s="859" t="s">
        <v>8222</v>
      </c>
      <c r="AV19" s="859"/>
      <c r="AW19" s="859" t="s">
        <v>7983</v>
      </c>
      <c r="AX19" s="1271"/>
      <c r="AY19" s="1271"/>
      <c r="AZ19" s="1311" t="s">
        <v>2223</v>
      </c>
      <c r="BA19" s="859"/>
      <c r="BB19" s="1271"/>
      <c r="BC19" s="1311" t="s">
        <v>8223</v>
      </c>
      <c r="BD19" s="859" t="s">
        <v>8224</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4431</v>
      </c>
      <c r="B20" s="1101" t="s">
        <v>8225</v>
      </c>
      <c r="C20" s="1102" t="s">
        <v>1418</v>
      </c>
      <c r="D20" s="1103" t="s">
        <v>1418</v>
      </c>
      <c r="E20" s="1104" t="s">
        <v>1418</v>
      </c>
      <c r="F20" s="1105" t="s">
        <v>1418</v>
      </c>
      <c r="G20" s="1101" t="s">
        <v>3332</v>
      </c>
      <c r="H20" s="1345" t="s">
        <v>8226</v>
      </c>
      <c r="I20" s="1345" t="s">
        <v>8227</v>
      </c>
      <c r="J20" s="859" t="s">
        <v>8228</v>
      </c>
      <c r="K20" s="1345" t="s">
        <v>8229</v>
      </c>
      <c r="L20" s="859" t="s">
        <v>8230</v>
      </c>
      <c r="M20" s="859" t="s">
        <v>8015</v>
      </c>
      <c r="N20" s="859" t="s">
        <v>8231</v>
      </c>
      <c r="O20" s="859" t="s">
        <v>8232</v>
      </c>
      <c r="P20" s="859" t="s">
        <v>8233</v>
      </c>
      <c r="Q20" s="1313"/>
      <c r="R20" s="859" t="s">
        <v>8115</v>
      </c>
      <c r="S20" s="114" t="s">
        <v>8234</v>
      </c>
      <c r="T20" s="1271"/>
      <c r="U20" s="1373" t="s">
        <v>8235</v>
      </c>
      <c r="V20" s="859" t="s">
        <v>8236</v>
      </c>
      <c r="W20" s="1311" t="s">
        <v>8237</v>
      </c>
      <c r="X20" s="859" t="s">
        <v>8238</v>
      </c>
      <c r="Y20" s="859" t="s">
        <v>246</v>
      </c>
      <c r="Z20" s="1271"/>
      <c r="AA20" s="1271"/>
      <c r="AB20" s="1313"/>
      <c r="AC20" s="1311" t="s">
        <v>8239</v>
      </c>
      <c r="AD20" s="859" t="s">
        <v>4155</v>
      </c>
      <c r="AE20" s="1271"/>
      <c r="AF20" s="1271"/>
      <c r="AG20" s="1313"/>
      <c r="AH20" s="1313"/>
      <c r="AI20" s="1313"/>
      <c r="AJ20" s="1313"/>
      <c r="AK20" s="1313"/>
      <c r="AL20" s="1271"/>
      <c r="AM20" s="859"/>
      <c r="AN20" s="1271"/>
      <c r="AO20" s="1271"/>
      <c r="AP20" s="859" t="s">
        <v>8028</v>
      </c>
      <c r="AQ20" s="859" t="s">
        <v>8240</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6352</v>
      </c>
      <c r="B21" s="1101" t="s">
        <v>8241</v>
      </c>
      <c r="C21" s="1102" t="s">
        <v>1418</v>
      </c>
      <c r="D21" s="1103" t="s">
        <v>1418</v>
      </c>
      <c r="E21" s="1104" t="s">
        <v>1418</v>
      </c>
      <c r="F21" s="1105" t="s">
        <v>1418</v>
      </c>
      <c r="G21" s="1101" t="s">
        <v>5707</v>
      </c>
      <c r="H21" s="1345"/>
      <c r="I21" s="1345" t="s">
        <v>8242</v>
      </c>
      <c r="J21" s="859"/>
      <c r="K21" s="1311" t="s">
        <v>8243</v>
      </c>
      <c r="L21" s="1311"/>
      <c r="M21" s="859"/>
      <c r="N21" s="859"/>
      <c r="O21" s="1311" t="s">
        <v>8244</v>
      </c>
      <c r="P21" s="859"/>
      <c r="Q21" s="1313"/>
      <c r="R21" s="1271"/>
      <c r="S21" s="1271"/>
      <c r="T21" s="859"/>
      <c r="U21" s="1311" t="s">
        <v>8245</v>
      </c>
      <c r="V21" s="1311"/>
      <c r="W21" s="1311" t="s">
        <v>2297</v>
      </c>
      <c r="X21" s="859"/>
      <c r="Y21" s="1311" t="s">
        <v>3312</v>
      </c>
      <c r="Z21" s="859"/>
      <c r="AA21" s="859"/>
      <c r="AB21" s="1311"/>
      <c r="AC21" s="1311" t="s">
        <v>8246</v>
      </c>
      <c r="AD21" s="1311" t="s">
        <v>4798</v>
      </c>
      <c r="AE21" s="859"/>
      <c r="AF21" s="859"/>
      <c r="AG21" s="1311"/>
      <c r="AH21" s="1313"/>
      <c r="AI21" s="1313"/>
      <c r="AJ21" s="1313"/>
      <c r="AK21" s="1313"/>
      <c r="AL21" s="1271"/>
      <c r="AM21" s="1311" t="s">
        <v>8159</v>
      </c>
      <c r="AN21" s="1271"/>
      <c r="AO21" s="1271"/>
      <c r="AP21" s="1311" t="s">
        <v>8247</v>
      </c>
      <c r="AQ21" s="859"/>
      <c r="AR21" s="1311" t="s">
        <v>8248</v>
      </c>
      <c r="AS21" s="859"/>
      <c r="AT21" s="1311" t="s">
        <v>8249</v>
      </c>
      <c r="AU21" s="1311" t="s">
        <v>8250</v>
      </c>
      <c r="AV21" s="859"/>
      <c r="AW21" s="859"/>
      <c r="AX21" s="1271"/>
      <c r="AY21" s="1271"/>
      <c r="AZ21" s="1311" t="s">
        <v>5077</v>
      </c>
      <c r="BA21" s="859"/>
      <c r="BB21" s="1311" t="s">
        <v>7984</v>
      </c>
      <c r="BC21" s="1311" t="s">
        <v>8105</v>
      </c>
      <c r="BD21" s="1311" t="s">
        <v>8146</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7783</v>
      </c>
      <c r="B22" s="1101" t="s">
        <v>8251</v>
      </c>
      <c r="C22" s="1102" t="s">
        <v>1418</v>
      </c>
      <c r="D22" s="1103" t="s">
        <v>1418</v>
      </c>
      <c r="E22" s="1104" t="s">
        <v>545</v>
      </c>
      <c r="F22" s="1105" t="s">
        <v>437</v>
      </c>
      <c r="G22" s="1101" t="s">
        <v>5707</v>
      </c>
      <c r="H22" s="1345" t="s">
        <v>8252</v>
      </c>
      <c r="I22" s="1345"/>
      <c r="J22" s="1271"/>
      <c r="K22" s="1311" t="s">
        <v>8253</v>
      </c>
      <c r="L22" s="1311"/>
      <c r="M22" s="1271"/>
      <c r="N22" s="1271"/>
      <c r="O22" s="1271"/>
      <c r="P22" s="1271"/>
      <c r="Q22" s="1311" t="s">
        <v>8254</v>
      </c>
      <c r="R22" s="1311" t="s">
        <v>8255</v>
      </c>
      <c r="S22" s="1271"/>
      <c r="T22" s="1311" t="s">
        <v>8256</v>
      </c>
      <c r="U22" s="1375" t="s">
        <v>3075</v>
      </c>
      <c r="V22" s="1375"/>
      <c r="W22" s="1311" t="s">
        <v>369</v>
      </c>
      <c r="X22" s="859"/>
      <c r="Y22" s="1311" t="s">
        <v>4840</v>
      </c>
      <c r="Z22" s="1271"/>
      <c r="AA22" s="1271"/>
      <c r="AB22" s="1313"/>
      <c r="AC22" s="1311" t="s">
        <v>8257</v>
      </c>
      <c r="AD22" s="1311" t="s">
        <v>4045</v>
      </c>
      <c r="AE22" s="1317"/>
      <c r="AF22" s="838" t="s">
        <v>723</v>
      </c>
      <c r="AG22" s="1330"/>
      <c r="AH22" s="1311" t="s">
        <v>3325</v>
      </c>
      <c r="AI22" s="1311" t="s">
        <v>5481</v>
      </c>
      <c r="AJ22" s="1313"/>
      <c r="AK22" s="1313"/>
      <c r="AL22" s="1271"/>
      <c r="AM22" s="1271"/>
      <c r="AN22" s="1271"/>
      <c r="AO22" s="1271"/>
      <c r="AP22" s="1271"/>
      <c r="AQ22" s="1271"/>
      <c r="AR22" s="1271"/>
      <c r="AS22" s="1271"/>
      <c r="AT22" s="1271"/>
      <c r="AU22" s="1271"/>
      <c r="AV22" s="1271"/>
      <c r="AW22" s="1271"/>
      <c r="AX22" s="859"/>
      <c r="AY22" s="1311" t="s">
        <v>8145</v>
      </c>
      <c r="AZ22" s="1271"/>
      <c r="BA22" s="1271"/>
      <c r="BB22" s="1311" t="s">
        <v>8111</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8258</v>
      </c>
    </row>
    <row r="23">
      <c r="A23" s="1379" t="s">
        <v>7774</v>
      </c>
      <c r="B23" s="1101" t="s">
        <v>8259</v>
      </c>
      <c r="C23" s="1102" t="s">
        <v>1418</v>
      </c>
      <c r="D23" s="1103" t="s">
        <v>1418</v>
      </c>
      <c r="E23" s="1104" t="s">
        <v>1418</v>
      </c>
      <c r="F23" s="1105" t="s">
        <v>1418</v>
      </c>
      <c r="G23" s="1101" t="s">
        <v>220</v>
      </c>
      <c r="H23" s="1345"/>
      <c r="I23" s="1345" t="s">
        <v>8260</v>
      </c>
      <c r="J23" s="859"/>
      <c r="K23" s="859" t="s">
        <v>8261</v>
      </c>
      <c r="L23" s="1311"/>
      <c r="M23" s="1271"/>
      <c r="N23" s="1313" t="s">
        <v>8262</v>
      </c>
      <c r="O23" s="1271"/>
      <c r="P23" s="1271"/>
      <c r="Q23" s="1313"/>
      <c r="R23" s="1311" t="s">
        <v>8263</v>
      </c>
      <c r="S23" s="1271"/>
      <c r="T23" s="1311" t="s">
        <v>8264</v>
      </c>
      <c r="U23" s="1311" t="s">
        <v>8265</v>
      </c>
      <c r="V23" s="1311"/>
      <c r="W23" s="1311" t="s">
        <v>5216</v>
      </c>
      <c r="X23" s="859"/>
      <c r="Y23" s="1311" t="s">
        <v>1017</v>
      </c>
      <c r="Z23" s="1313" t="s">
        <v>8266</v>
      </c>
      <c r="AA23" s="1271"/>
      <c r="AB23" s="1313"/>
      <c r="AC23" s="859"/>
      <c r="AD23" s="1311" t="s">
        <v>1836</v>
      </c>
      <c r="AE23" s="859"/>
      <c r="AF23" s="859"/>
      <c r="AG23" s="1311"/>
      <c r="AH23" s="1311"/>
      <c r="AI23" s="1313" t="s">
        <v>8267</v>
      </c>
      <c r="AJ23" s="1313"/>
      <c r="AK23" s="1313"/>
      <c r="AL23" s="1271"/>
      <c r="AM23" s="1313" t="s">
        <v>8268</v>
      </c>
      <c r="AN23" s="1271"/>
      <c r="AO23" s="1271"/>
      <c r="AP23" s="859" t="s">
        <v>8269</v>
      </c>
      <c r="AQ23" s="1271"/>
      <c r="AR23" s="1313" t="s">
        <v>8270</v>
      </c>
      <c r="AS23" s="1271"/>
      <c r="AT23" s="1313" t="s">
        <v>8271</v>
      </c>
      <c r="AU23" s="859" t="s">
        <v>8272</v>
      </c>
      <c r="AV23" s="859"/>
      <c r="AW23" s="859" t="s">
        <v>8159</v>
      </c>
      <c r="AX23" s="1271"/>
      <c r="AY23" s="1313" t="s">
        <v>8163</v>
      </c>
      <c r="AZ23" s="859"/>
      <c r="BA23" s="859"/>
      <c r="BB23" s="1313" t="s">
        <v>8273</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8274</v>
      </c>
      <c r="C24" s="1102" t="s">
        <v>1418</v>
      </c>
      <c r="D24" s="1103" t="s">
        <v>545</v>
      </c>
      <c r="E24" s="1104" t="s">
        <v>437</v>
      </c>
      <c r="F24" s="1105" t="s">
        <v>438</v>
      </c>
      <c r="G24" s="1101" t="s">
        <v>5077</v>
      </c>
      <c r="H24" s="1355" t="s">
        <v>8275</v>
      </c>
      <c r="I24" s="1355" t="s">
        <v>5195</v>
      </c>
      <c r="J24" s="1317"/>
      <c r="K24" s="1311" t="s">
        <v>8276</v>
      </c>
      <c r="L24" s="1311"/>
      <c r="M24" s="859"/>
      <c r="N24" s="1311" t="s">
        <v>8277</v>
      </c>
      <c r="O24" s="1311" t="s">
        <v>8278</v>
      </c>
      <c r="P24" s="1311" t="s">
        <v>8279</v>
      </c>
      <c r="Q24" s="1311" t="s">
        <v>8280</v>
      </c>
      <c r="R24" s="1311" t="s">
        <v>8281</v>
      </c>
      <c r="S24" s="1311" t="s">
        <v>5215</v>
      </c>
      <c r="T24" s="1311" t="s">
        <v>8282</v>
      </c>
      <c r="U24" s="1311" t="s">
        <v>8283</v>
      </c>
      <c r="V24" s="1311"/>
      <c r="W24" s="1311" t="s">
        <v>5866</v>
      </c>
      <c r="X24" s="859"/>
      <c r="Y24" s="1271"/>
      <c r="Z24" s="1271"/>
      <c r="AA24" s="1271"/>
      <c r="AB24" s="1313"/>
      <c r="AC24" s="1311" t="s">
        <v>8284</v>
      </c>
      <c r="AD24" s="1311" t="s">
        <v>5699</v>
      </c>
      <c r="AE24" s="859"/>
      <c r="AF24" s="1311" t="s">
        <v>7400</v>
      </c>
      <c r="AG24" s="1311"/>
      <c r="AH24" s="1311" t="s">
        <v>3253</v>
      </c>
      <c r="AI24" s="1311"/>
      <c r="AJ24" s="1311"/>
      <c r="AK24" s="1313"/>
      <c r="AL24" s="1271"/>
      <c r="AM24" s="1311" t="s">
        <v>8285</v>
      </c>
      <c r="AN24" s="1311" t="s">
        <v>8120</v>
      </c>
      <c r="AO24" s="1311" t="s">
        <v>8051</v>
      </c>
      <c r="AP24" s="1311" t="s">
        <v>8286</v>
      </c>
      <c r="AQ24" s="859"/>
      <c r="AR24" s="1311" t="s">
        <v>8201</v>
      </c>
      <c r="AS24" s="859"/>
      <c r="AT24" s="1311" t="s">
        <v>8287</v>
      </c>
      <c r="AU24" s="1311" t="s">
        <v>8288</v>
      </c>
      <c r="AV24" s="859"/>
      <c r="AW24" s="1311" t="s">
        <v>8110</v>
      </c>
      <c r="AX24" s="859"/>
      <c r="AY24" s="1311" t="s">
        <v>8190</v>
      </c>
      <c r="AZ24" s="1271"/>
      <c r="BA24" s="1271"/>
      <c r="BB24" s="1311" t="s">
        <v>8136</v>
      </c>
      <c r="BC24" s="859" t="s">
        <v>8190</v>
      </c>
      <c r="BD24" s="1311" t="s">
        <v>8203</v>
      </c>
      <c r="BE24" s="1311"/>
      <c r="BF24" s="859"/>
      <c r="BG24" s="1381" t="s">
        <v>8289</v>
      </c>
      <c r="BH24" s="1382" t="s">
        <v>8290</v>
      </c>
      <c r="BI24" s="1213"/>
      <c r="BJ24" s="1213"/>
      <c r="BK24" s="1213"/>
      <c r="BL24" s="1213" t="s">
        <v>8291</v>
      </c>
      <c r="BM24" s="1213" t="s">
        <v>8292</v>
      </c>
      <c r="BN24" s="1213"/>
      <c r="BO24" s="1213"/>
      <c r="BP24" s="1213"/>
      <c r="BQ24" s="1313"/>
      <c r="BR24" s="1383" t="s">
        <v>8293</v>
      </c>
      <c r="BS24" s="1313"/>
      <c r="BT24" s="1313"/>
      <c r="BU24" s="1313"/>
      <c r="BV24" s="1384" t="s">
        <v>2066</v>
      </c>
      <c r="BW24" s="1311" t="s">
        <v>1778</v>
      </c>
      <c r="BX24" s="1311" t="s">
        <v>1628</v>
      </c>
      <c r="BY24" s="1308" t="s">
        <v>4877</v>
      </c>
      <c r="BZ24" s="1311" t="s">
        <v>2209</v>
      </c>
      <c r="CA24" s="1311" t="s">
        <v>5411</v>
      </c>
      <c r="CB24" s="1311" t="s">
        <v>2125</v>
      </c>
      <c r="CC24" s="1311" t="s">
        <v>8294</v>
      </c>
      <c r="CD24" s="1311"/>
      <c r="CE24" s="1342" t="s">
        <v>8223</v>
      </c>
      <c r="CF24" s="1342" t="s">
        <v>7922</v>
      </c>
      <c r="CG24" s="1342" t="s">
        <v>8295</v>
      </c>
      <c r="CH24" s="1342"/>
      <c r="CI24" s="1340"/>
      <c r="CJ24" s="1340"/>
      <c r="CK24" s="1340"/>
      <c r="CL24" s="1340"/>
      <c r="CM24" s="1340"/>
      <c r="CN24" s="1326"/>
      <c r="CO24" s="1340"/>
      <c r="CP24" s="1340"/>
      <c r="CQ24" s="1340"/>
      <c r="CR24" s="1340"/>
      <c r="CS24" s="1340"/>
      <c r="CT24" s="1385" t="s">
        <v>4794</v>
      </c>
    </row>
    <row r="25">
      <c r="A25" s="1335" t="s">
        <v>6395</v>
      </c>
      <c r="B25" s="1101" t="s">
        <v>441</v>
      </c>
      <c r="C25" s="1102" t="s">
        <v>1418</v>
      </c>
      <c r="D25" s="1103" t="s">
        <v>545</v>
      </c>
      <c r="E25" s="1104" t="s">
        <v>1418</v>
      </c>
      <c r="F25" s="1105" t="s">
        <v>332</v>
      </c>
      <c r="G25" s="1101" t="s">
        <v>3332</v>
      </c>
      <c r="H25" s="1345"/>
      <c r="I25" s="1345" t="s">
        <v>8296</v>
      </c>
      <c r="J25" s="859"/>
      <c r="K25" s="859" t="s">
        <v>8297</v>
      </c>
      <c r="L25" s="1310" t="s">
        <v>3723</v>
      </c>
      <c r="M25" s="1271"/>
      <c r="N25" s="1271"/>
      <c r="O25" s="1271"/>
      <c r="P25" s="859" t="s">
        <v>8298</v>
      </c>
      <c r="Q25" s="1313"/>
      <c r="R25" s="838" t="s">
        <v>8299</v>
      </c>
      <c r="S25" s="1271"/>
      <c r="T25" s="1271"/>
      <c r="U25" s="859" t="s">
        <v>751</v>
      </c>
      <c r="V25" s="1311"/>
      <c r="W25" s="1311" t="s">
        <v>4362</v>
      </c>
      <c r="X25" s="859" t="s">
        <v>3504</v>
      </c>
      <c r="Y25" s="838" t="s">
        <v>8300</v>
      </c>
      <c r="Z25" s="1271"/>
      <c r="AA25" s="1271"/>
      <c r="AB25" s="1313"/>
      <c r="AC25" s="1311" t="s">
        <v>8301</v>
      </c>
      <c r="AD25" s="1311" t="s">
        <v>8302</v>
      </c>
      <c r="AE25" s="859"/>
      <c r="AF25" s="1311" t="s">
        <v>8303</v>
      </c>
      <c r="AG25" s="1311"/>
      <c r="AH25" s="1311" t="s">
        <v>8304</v>
      </c>
      <c r="AI25" s="1313"/>
      <c r="AJ25" s="1313"/>
      <c r="AK25" s="1385" t="s">
        <v>3770</v>
      </c>
      <c r="AL25" s="1329"/>
      <c r="AM25" s="1271"/>
      <c r="AN25" s="1271"/>
      <c r="AO25" s="1271"/>
      <c r="AP25" s="1271"/>
      <c r="AQ25" s="1271"/>
      <c r="AR25" s="1311" t="s">
        <v>8305</v>
      </c>
      <c r="AS25" s="859"/>
      <c r="AT25" s="1271"/>
      <c r="AU25" s="1271"/>
      <c r="AV25" s="1271"/>
      <c r="AW25" s="1311" t="s">
        <v>7959</v>
      </c>
      <c r="AX25" s="1271"/>
      <c r="AY25" s="1271"/>
      <c r="AZ25" s="1271"/>
      <c r="BA25" s="1271"/>
      <c r="BB25" s="1311" t="s">
        <v>8035</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3983</v>
      </c>
      <c r="CN25" s="1311" t="s">
        <v>218</v>
      </c>
      <c r="CO25" s="1311" t="s">
        <v>5044</v>
      </c>
      <c r="CP25" s="1313"/>
      <c r="CQ25" s="1313"/>
      <c r="CR25" s="1313"/>
      <c r="CS25" s="1313"/>
      <c r="CT25" s="96"/>
    </row>
    <row r="26">
      <c r="A26" s="1370" t="s">
        <v>6403</v>
      </c>
      <c r="B26" s="1101" t="s">
        <v>3268</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8118</v>
      </c>
      <c r="Z26" s="1271"/>
      <c r="AA26" s="1271"/>
      <c r="AB26" s="1313"/>
      <c r="AC26" s="1312" t="s">
        <v>4673</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3887</v>
      </c>
      <c r="BW26" s="1313"/>
      <c r="BX26" s="1312" t="s">
        <v>1663</v>
      </c>
      <c r="BY26" s="1313"/>
      <c r="BZ26" s="1312" t="s">
        <v>8306</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7785</v>
      </c>
      <c r="B27" s="1101" t="s">
        <v>440</v>
      </c>
      <c r="C27" s="1102" t="s">
        <v>1418</v>
      </c>
      <c r="D27" s="1103" t="s">
        <v>1418</v>
      </c>
      <c r="E27" s="1104" t="s">
        <v>545</v>
      </c>
      <c r="F27" s="1105" t="s">
        <v>437</v>
      </c>
      <c r="G27" s="1101" t="s">
        <v>333</v>
      </c>
      <c r="H27" s="1345"/>
      <c r="I27" s="1345" t="s">
        <v>8307</v>
      </c>
      <c r="J27" s="1271"/>
      <c r="K27" s="859" t="s">
        <v>8308</v>
      </c>
      <c r="L27" s="1313"/>
      <c r="M27" s="1271"/>
      <c r="N27" s="1271"/>
      <c r="O27" s="1271"/>
      <c r="P27" s="859" t="s">
        <v>8309</v>
      </c>
      <c r="Q27" s="1313"/>
      <c r="R27" s="1271"/>
      <c r="S27" s="1271"/>
      <c r="T27" s="1271"/>
      <c r="U27" s="825" t="s">
        <v>8310</v>
      </c>
      <c r="V27" s="1313"/>
      <c r="W27" s="1271"/>
      <c r="X27" s="859" t="s">
        <v>6581</v>
      </c>
      <c r="Y27" s="838" t="s">
        <v>6673</v>
      </c>
      <c r="Z27" s="1271"/>
      <c r="AA27" s="859" t="s">
        <v>8311</v>
      </c>
      <c r="AB27" s="1313"/>
      <c r="AC27" s="859" t="s">
        <v>8312</v>
      </c>
      <c r="AD27" s="859" t="s">
        <v>1954</v>
      </c>
      <c r="AE27" s="1308" t="s">
        <v>5040</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3265</v>
      </c>
      <c r="B28" s="1101" t="s">
        <v>2146</v>
      </c>
      <c r="C28" s="1102" t="s">
        <v>545</v>
      </c>
      <c r="D28" s="1103" t="s">
        <v>1418</v>
      </c>
      <c r="E28" s="1104" t="s">
        <v>1418</v>
      </c>
      <c r="F28" s="1105" t="s">
        <v>437</v>
      </c>
      <c r="G28" s="1101" t="s">
        <v>220</v>
      </c>
      <c r="H28" s="1345"/>
      <c r="I28" s="1316" t="s">
        <v>8313</v>
      </c>
      <c r="J28" s="1271"/>
      <c r="K28" s="859" t="s">
        <v>8314</v>
      </c>
      <c r="L28" s="1313"/>
      <c r="M28" s="859" t="s">
        <v>8315</v>
      </c>
      <c r="N28" s="1271"/>
      <c r="O28" s="1271"/>
      <c r="P28" s="1311" t="s">
        <v>5769</v>
      </c>
      <c r="Q28" s="1313"/>
      <c r="R28" s="1271"/>
      <c r="S28" s="859" t="s">
        <v>3301</v>
      </c>
      <c r="T28" s="859"/>
      <c r="U28" s="1311" t="s">
        <v>3711</v>
      </c>
      <c r="V28" s="1313"/>
      <c r="W28" s="1271"/>
      <c r="X28" s="859" t="s">
        <v>8316</v>
      </c>
      <c r="Y28" s="859" t="s">
        <v>4996</v>
      </c>
      <c r="Z28" s="1271"/>
      <c r="AA28" s="859" t="s">
        <v>8317</v>
      </c>
      <c r="AB28" s="1313"/>
      <c r="AC28" s="859" t="s">
        <v>8318</v>
      </c>
      <c r="AD28" s="859" t="s">
        <v>5311</v>
      </c>
      <c r="AE28" s="859" t="s">
        <v>8319</v>
      </c>
      <c r="AF28" s="859" t="s">
        <v>7665</v>
      </c>
      <c r="AG28" s="1313"/>
      <c r="AH28" s="1313"/>
      <c r="AI28" s="1313"/>
      <c r="AJ28" s="1313"/>
      <c r="AK28" s="1313"/>
      <c r="AL28" s="1271"/>
      <c r="AM28" s="1271"/>
      <c r="AN28" s="859" t="s">
        <v>8320</v>
      </c>
      <c r="AO28" s="1311" t="s">
        <v>8321</v>
      </c>
      <c r="AP28" s="1271"/>
      <c r="AQ28" s="859" t="s">
        <v>8050</v>
      </c>
      <c r="AR28" s="1271"/>
      <c r="AS28" s="1271"/>
      <c r="AT28" s="1271"/>
      <c r="AU28" s="859" t="s">
        <v>8272</v>
      </c>
      <c r="AV28" s="1271"/>
      <c r="AW28" s="1271"/>
      <c r="AX28" s="1271"/>
      <c r="AY28" s="1271"/>
      <c r="AZ28" s="1271"/>
      <c r="BA28" s="1271"/>
      <c r="BB28" s="1271"/>
      <c r="BC28" s="1271"/>
      <c r="BD28" s="1271"/>
      <c r="BE28" s="1313"/>
      <c r="BF28" s="1271"/>
      <c r="BG28" s="1352"/>
      <c r="BH28" s="1352"/>
      <c r="BI28" s="1352"/>
      <c r="BJ28" s="1352"/>
      <c r="BK28" s="1352"/>
      <c r="BL28" s="1388" t="s">
        <v>8322</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4381</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9" t="s">
        <v>6465</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7203</v>
      </c>
      <c r="C30" s="1102" t="s">
        <v>1418</v>
      </c>
      <c r="D30" s="1103" t="s">
        <v>1418</v>
      </c>
      <c r="E30" s="1104" t="s">
        <v>1418</v>
      </c>
      <c r="F30" s="1105" t="s">
        <v>437</v>
      </c>
      <c r="G30" s="1101" t="s">
        <v>646</v>
      </c>
      <c r="H30" s="1345"/>
      <c r="I30" s="1345"/>
      <c r="J30" s="92"/>
      <c r="K30" s="92"/>
      <c r="L30" s="96"/>
      <c r="M30" s="92"/>
      <c r="N30" s="92"/>
      <c r="O30" s="92"/>
      <c r="P30" s="92"/>
      <c r="Q30" s="96"/>
      <c r="R30" s="114" t="s">
        <v>8323</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8324</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4859</v>
      </c>
      <c r="B31" s="1101" t="s">
        <v>1499</v>
      </c>
      <c r="C31" s="1102" t="s">
        <v>1418</v>
      </c>
      <c r="D31" s="1103" t="s">
        <v>1418</v>
      </c>
      <c r="E31" s="1104" t="s">
        <v>1418</v>
      </c>
      <c r="F31" s="1105" t="s">
        <v>1418</v>
      </c>
      <c r="G31" s="1101" t="s">
        <v>4416</v>
      </c>
      <c r="H31" s="1345"/>
      <c r="I31" s="1345" t="s">
        <v>6465</v>
      </c>
      <c r="J31" s="1271"/>
      <c r="K31" s="859" t="s">
        <v>8325</v>
      </c>
      <c r="L31" s="1313"/>
      <c r="M31" s="1271"/>
      <c r="N31" s="1271"/>
      <c r="O31" s="1271"/>
      <c r="P31" s="859" t="s">
        <v>8326</v>
      </c>
      <c r="Q31" s="1313"/>
      <c r="R31" s="1271"/>
      <c r="S31" s="1271"/>
      <c r="T31" s="859" t="s">
        <v>8327</v>
      </c>
      <c r="U31" s="859" t="s">
        <v>8328</v>
      </c>
      <c r="V31" s="1313"/>
      <c r="W31" s="859" t="s">
        <v>247</v>
      </c>
      <c r="X31" s="859" t="s">
        <v>8329</v>
      </c>
      <c r="Y31" s="859" t="s">
        <v>366</v>
      </c>
      <c r="Z31" s="1271"/>
      <c r="AA31" s="1271"/>
      <c r="AB31" s="1313"/>
      <c r="AC31" s="1271"/>
      <c r="AD31" s="1271"/>
      <c r="AE31" s="1271"/>
      <c r="AF31" s="1271"/>
      <c r="AG31" s="1313"/>
      <c r="AH31" s="1313"/>
      <c r="AI31" s="1313"/>
      <c r="AJ31" s="1313"/>
      <c r="AK31" s="1313"/>
      <c r="AL31" s="1271"/>
      <c r="AM31" s="1271"/>
      <c r="AN31" s="1271"/>
      <c r="AO31" s="1271"/>
      <c r="AP31" s="825" t="s">
        <v>8025</v>
      </c>
      <c r="AQ31" s="825"/>
      <c r="AR31" s="1271"/>
      <c r="AS31" s="859" t="s">
        <v>8202</v>
      </c>
      <c r="AT31" s="1271"/>
      <c r="AU31" s="859" t="s">
        <v>8305</v>
      </c>
      <c r="AV31" s="1271"/>
      <c r="AW31" s="1271"/>
      <c r="AX31" s="1271"/>
      <c r="AY31" s="1271"/>
      <c r="AZ31" s="859" t="s">
        <v>2401</v>
      </c>
      <c r="BA31" s="1271"/>
      <c r="BB31" s="825" t="s">
        <v>8330</v>
      </c>
      <c r="BC31" s="859" t="s">
        <v>7951</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4489</v>
      </c>
      <c r="B32" s="1101" t="s">
        <v>2034</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5846</v>
      </c>
      <c r="Z32" s="1271"/>
      <c r="AA32" s="1271"/>
      <c r="AB32" s="1313"/>
      <c r="AC32" s="1311" t="s">
        <v>8331</v>
      </c>
      <c r="AD32" s="859" t="s">
        <v>2119</v>
      </c>
      <c r="AE32" s="859"/>
      <c r="AF32" s="1311" t="s">
        <v>7593</v>
      </c>
      <c r="AG32" s="1311"/>
      <c r="AH32" s="1311" t="s">
        <v>4446</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8120</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4106</v>
      </c>
      <c r="BY32" s="1311" t="s">
        <v>4424</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5748</v>
      </c>
      <c r="C33" s="1102" t="s">
        <v>1418</v>
      </c>
      <c r="D33" s="1103" t="s">
        <v>1418</v>
      </c>
      <c r="E33" s="1104" t="s">
        <v>545</v>
      </c>
      <c r="F33" s="1105" t="s">
        <v>646</v>
      </c>
      <c r="G33" s="1101" t="s">
        <v>333</v>
      </c>
      <c r="H33" s="1345" t="s">
        <v>8332</v>
      </c>
      <c r="I33" s="1345"/>
      <c r="J33" s="1271"/>
      <c r="K33" s="1271"/>
      <c r="L33" s="1313"/>
      <c r="M33" s="1271"/>
      <c r="N33" s="1271"/>
      <c r="O33" s="1271"/>
      <c r="P33" s="1271"/>
      <c r="Q33" s="1313"/>
      <c r="R33" s="1271"/>
      <c r="S33" s="1271"/>
      <c r="T33" s="838" t="s">
        <v>8333</v>
      </c>
      <c r="U33" s="859" t="s">
        <v>8334</v>
      </c>
      <c r="V33" s="859" t="s">
        <v>8335</v>
      </c>
      <c r="W33" s="1271"/>
      <c r="X33" s="859" t="s">
        <v>8336</v>
      </c>
      <c r="Y33" s="859" t="s">
        <v>8337</v>
      </c>
      <c r="Z33" s="1271"/>
      <c r="AA33" s="1271"/>
      <c r="AB33" s="1313"/>
      <c r="AC33" s="838" t="s">
        <v>1651</v>
      </c>
      <c r="AD33" s="859" t="s">
        <v>5431</v>
      </c>
      <c r="AE33" s="1271"/>
      <c r="AF33" s="1271"/>
      <c r="AG33" s="1313"/>
      <c r="AH33" s="1313"/>
      <c r="AI33" s="1313"/>
      <c r="AJ33" s="1313"/>
      <c r="AK33" s="1313"/>
      <c r="AL33" s="1271"/>
      <c r="AM33" s="859" t="s">
        <v>8338</v>
      </c>
      <c r="AN33" s="1271"/>
      <c r="AO33" s="1271"/>
      <c r="AP33" s="859" t="s">
        <v>8007</v>
      </c>
      <c r="AQ33" s="1271"/>
      <c r="AR33" s="1271"/>
      <c r="AS33" s="1271"/>
      <c r="AT33" s="1271"/>
      <c r="AU33" s="859" t="s">
        <v>8068</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8339</v>
      </c>
      <c r="CF33" s="1271"/>
      <c r="CG33" s="1313"/>
      <c r="CH33" s="1313"/>
      <c r="CI33" s="1313"/>
      <c r="CJ33" s="1313"/>
      <c r="CK33" s="1313"/>
      <c r="CL33" s="1313"/>
      <c r="CM33" s="1313"/>
      <c r="CN33" s="1271"/>
      <c r="CO33" s="1313"/>
      <c r="CP33" s="1313"/>
      <c r="CQ33" s="1313"/>
      <c r="CR33" s="1313"/>
      <c r="CS33" s="1313"/>
      <c r="CT33" s="1313"/>
    </row>
    <row r="34">
      <c r="A34" s="1314" t="s">
        <v>8340</v>
      </c>
      <c r="B34" s="1101" t="s">
        <v>5525</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2307</v>
      </c>
      <c r="BY34" s="1331" t="s">
        <v>3713</v>
      </c>
      <c r="BZ34" s="1331" t="s">
        <v>8341</v>
      </c>
      <c r="CA34" s="1313"/>
      <c r="CB34" s="1331" t="s">
        <v>1080</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6400</v>
      </c>
      <c r="B35" s="1101" t="s">
        <v>2869</v>
      </c>
      <c r="C35" s="1102" t="s">
        <v>437</v>
      </c>
      <c r="D35" s="1103" t="s">
        <v>1418</v>
      </c>
      <c r="E35" s="1104" t="s">
        <v>1418</v>
      </c>
      <c r="F35" s="1105" t="s">
        <v>437</v>
      </c>
      <c r="G35" s="1101" t="s">
        <v>437</v>
      </c>
      <c r="H35" s="1103"/>
      <c r="I35" s="1345"/>
      <c r="J35" s="1271"/>
      <c r="K35" s="1271"/>
      <c r="L35" s="1313"/>
      <c r="M35" s="1271"/>
      <c r="N35" s="1271"/>
      <c r="O35" s="1312" t="s">
        <v>8342</v>
      </c>
      <c r="P35" s="1312" t="s">
        <v>8343</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3009</v>
      </c>
      <c r="B37" s="1101" t="s">
        <v>2761</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4628</v>
      </c>
      <c r="B39" s="1101" t="s">
        <v>3854</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8344</v>
      </c>
      <c r="B40" s="1101" t="s">
        <v>3332</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7975</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6392</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8345</v>
      </c>
      <c r="S41" s="1271"/>
      <c r="T41" s="1271"/>
      <c r="U41" s="859" t="s">
        <v>8346</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8347</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5981</v>
      </c>
      <c r="B43" s="1101" t="s">
        <v>219</v>
      </c>
      <c r="C43" s="1102" t="s">
        <v>1418</v>
      </c>
      <c r="D43" s="1103" t="s">
        <v>1418</v>
      </c>
      <c r="E43" s="1104" t="s">
        <v>1418</v>
      </c>
      <c r="F43" s="1105" t="s">
        <v>1418</v>
      </c>
      <c r="G43" s="1101" t="s">
        <v>439</v>
      </c>
      <c r="H43" s="1345"/>
      <c r="I43" s="1345"/>
      <c r="J43" s="1271"/>
      <c r="K43" s="859" t="s">
        <v>8348</v>
      </c>
      <c r="L43" s="1313"/>
      <c r="M43" s="1271"/>
      <c r="N43" s="1271"/>
      <c r="O43" s="1271"/>
      <c r="P43" s="1271"/>
      <c r="Q43" s="1313"/>
      <c r="R43" s="1271"/>
      <c r="S43" s="1271"/>
      <c r="T43" s="1271"/>
      <c r="U43" s="1271"/>
      <c r="V43" s="1313"/>
      <c r="W43" s="1311" t="s">
        <v>6254</v>
      </c>
      <c r="X43" s="859"/>
      <c r="Y43" s="1271"/>
      <c r="Z43" s="1271"/>
      <c r="AA43" s="1271"/>
      <c r="AB43" s="1313"/>
      <c r="AC43" s="1271"/>
      <c r="AD43" s="1311" t="s">
        <v>2988</v>
      </c>
      <c r="AE43" s="92"/>
      <c r="AF43" s="92"/>
      <c r="AG43" s="96"/>
      <c r="AH43" s="1313"/>
      <c r="AI43" s="1313"/>
      <c r="AJ43" s="1313"/>
      <c r="AK43" s="1313"/>
      <c r="AL43" s="1271"/>
      <c r="AM43" s="1271"/>
      <c r="AN43" s="1271"/>
      <c r="AO43" s="1271"/>
      <c r="AP43" s="1271"/>
      <c r="AQ43" s="1271"/>
      <c r="AR43" s="1271"/>
      <c r="AS43" s="1271"/>
      <c r="AT43" s="1271"/>
      <c r="AU43" s="859" t="s">
        <v>7978</v>
      </c>
      <c r="AV43" s="859"/>
      <c r="AW43" s="1271"/>
      <c r="AX43" s="1271"/>
      <c r="AY43" s="1271"/>
      <c r="AZ43" s="1271"/>
      <c r="BA43" s="1271"/>
      <c r="BB43" s="1271"/>
      <c r="BC43" s="859" t="s">
        <v>8066</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3524</v>
      </c>
      <c r="B44" s="1101" t="s">
        <v>4416</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6389</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8349</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8350</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4362</v>
      </c>
      <c r="X48" s="859"/>
      <c r="Y48" s="859" t="s">
        <v>3289</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4109</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8351</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8352</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8353</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4156</v>
      </c>
    </row>
    <row r="51">
      <c r="A51" s="1401" t="s">
        <v>6346</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8354</v>
      </c>
      <c r="S51" s="1271"/>
      <c r="T51" s="1271"/>
      <c r="U51" s="838" t="s">
        <v>8355</v>
      </c>
      <c r="V51" s="1313"/>
      <c r="W51" s="859" t="s">
        <v>8356</v>
      </c>
      <c r="X51" s="859" t="s">
        <v>8356</v>
      </c>
      <c r="Y51" s="1271"/>
      <c r="Z51" s="1271"/>
      <c r="AA51" s="1271"/>
      <c r="AB51" s="1313"/>
      <c r="AC51" s="1271"/>
      <c r="AD51" s="1271"/>
      <c r="AE51" s="1271"/>
      <c r="AF51" s="1271"/>
      <c r="AG51" s="1313"/>
      <c r="AH51" s="1313"/>
      <c r="AI51" s="1313"/>
      <c r="AJ51" s="1313"/>
      <c r="AK51" s="1313"/>
      <c r="AL51" s="1271"/>
      <c r="AM51" s="1271"/>
      <c r="AN51" s="1271"/>
      <c r="AO51" s="1271"/>
      <c r="AP51" s="859" t="s">
        <v>8357</v>
      </c>
      <c r="AQ51" s="838" t="s">
        <v>8358</v>
      </c>
      <c r="AR51" s="838" t="s">
        <v>8359</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8360</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3036</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7910</v>
      </c>
      <c r="BD53" s="1311" t="s">
        <v>8305</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8361</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3852</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8362</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8363</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8061</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8364</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8365</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6613</v>
      </c>
      <c r="Q1" s="29" t="s">
        <v>38</v>
      </c>
      <c r="T1" s="30" t="s">
        <v>39</v>
      </c>
      <c r="W1" s="32" t="s">
        <v>6845</v>
      </c>
      <c r="Z1" s="33" t="s">
        <v>6905</v>
      </c>
      <c r="AC1" s="34" t="s">
        <v>42</v>
      </c>
      <c r="AF1" s="1405"/>
      <c r="AG1" s="1405"/>
    </row>
    <row r="2" ht="38.25" customHeight="1">
      <c r="A2" s="35" t="s">
        <v>43</v>
      </c>
      <c r="B2" s="36" t="s">
        <v>44</v>
      </c>
      <c r="C2" s="36" t="s">
        <v>45</v>
      </c>
      <c r="F2" s="36" t="s">
        <v>8367</v>
      </c>
      <c r="H2" s="1406"/>
      <c r="I2" s="1406"/>
      <c r="J2" s="1406"/>
      <c r="K2" s="1305" t="s">
        <v>8368</v>
      </c>
      <c r="L2" s="1305" t="s">
        <v>8369</v>
      </c>
      <c r="M2" s="1305" t="s">
        <v>8370</v>
      </c>
      <c r="N2" s="1407" t="s">
        <v>54</v>
      </c>
      <c r="O2" s="1407"/>
      <c r="P2" s="1407"/>
      <c r="Q2" s="42" t="s">
        <v>48</v>
      </c>
      <c r="R2" s="42" t="s">
        <v>8371</v>
      </c>
      <c r="S2" s="42"/>
      <c r="T2" s="44" t="s">
        <v>50</v>
      </c>
      <c r="U2" s="44" t="s">
        <v>54</v>
      </c>
      <c r="V2" s="44" t="s">
        <v>62</v>
      </c>
      <c r="W2" s="45" t="s">
        <v>52</v>
      </c>
      <c r="X2" s="45"/>
      <c r="Y2" s="45"/>
      <c r="Z2" s="47" t="s">
        <v>51</v>
      </c>
      <c r="AA2" s="1408" t="s">
        <v>8372</v>
      </c>
      <c r="AB2" s="47"/>
      <c r="AC2" s="1409" t="s">
        <v>8373</v>
      </c>
      <c r="AD2" s="1409"/>
      <c r="AE2" s="1409"/>
      <c r="AF2" s="1410"/>
      <c r="AG2" s="1410"/>
    </row>
    <row r="3">
      <c r="A3" s="1411" t="s">
        <v>4207</v>
      </c>
      <c r="B3" s="1412" t="s">
        <v>3645</v>
      </c>
      <c r="C3" s="1413" t="s">
        <v>545</v>
      </c>
      <c r="D3" s="1414" t="s">
        <v>545</v>
      </c>
      <c r="E3" s="1415" t="s">
        <v>437</v>
      </c>
      <c r="F3" s="1416" t="s">
        <v>332</v>
      </c>
      <c r="G3" s="1412" t="s">
        <v>332</v>
      </c>
      <c r="H3" s="1330"/>
      <c r="I3" s="1417"/>
      <c r="J3" s="1418"/>
      <c r="K3" s="1419"/>
      <c r="L3" s="1271"/>
      <c r="M3" s="1271"/>
      <c r="N3" s="1271"/>
      <c r="O3" s="1313"/>
      <c r="P3" s="1313"/>
      <c r="Q3" s="1312" t="s">
        <v>6013</v>
      </c>
      <c r="R3" s="1317"/>
      <c r="S3" s="1317"/>
      <c r="T3" s="1378" t="s">
        <v>6840</v>
      </c>
      <c r="U3" s="1313"/>
      <c r="V3" s="1313"/>
      <c r="W3" s="1378" t="s">
        <v>8374</v>
      </c>
      <c r="X3" s="1313"/>
      <c r="Y3" s="1313"/>
      <c r="Z3" s="1420" t="s">
        <v>8375</v>
      </c>
      <c r="AA3" s="1313"/>
      <c r="AB3" s="1271"/>
      <c r="AC3" s="1313"/>
      <c r="AD3" s="1313"/>
      <c r="AE3" s="1313"/>
      <c r="AF3" s="1421"/>
      <c r="AG3" s="1421"/>
    </row>
    <row r="4">
      <c r="A4" s="1422" t="s">
        <v>5288</v>
      </c>
      <c r="B4" s="1412" t="s">
        <v>988</v>
      </c>
      <c r="C4" s="1413" t="s">
        <v>545</v>
      </c>
      <c r="D4" s="1414" t="s">
        <v>545</v>
      </c>
      <c r="E4" s="1415" t="s">
        <v>545</v>
      </c>
      <c r="F4" s="1416" t="s">
        <v>332</v>
      </c>
      <c r="G4" s="1412" t="s">
        <v>332</v>
      </c>
      <c r="H4" s="1313"/>
      <c r="I4" s="96"/>
      <c r="J4" s="92"/>
      <c r="K4" s="1271"/>
      <c r="L4" s="1271"/>
      <c r="M4" s="1271"/>
      <c r="N4" s="1271"/>
      <c r="O4" s="1313"/>
      <c r="P4" s="1313"/>
      <c r="Q4" s="1308" t="s">
        <v>5861</v>
      </c>
      <c r="R4" s="1271"/>
      <c r="S4" s="1271"/>
      <c r="T4" s="1310" t="s">
        <v>2109</v>
      </c>
      <c r="U4" s="1313"/>
      <c r="V4" s="1313"/>
      <c r="W4" s="1312" t="s">
        <v>8376</v>
      </c>
      <c r="X4" s="1313"/>
      <c r="Y4" s="1313"/>
      <c r="Z4" s="838" t="s">
        <v>1245</v>
      </c>
      <c r="AA4" s="1313"/>
      <c r="AB4" s="1271"/>
      <c r="AC4" s="1313"/>
      <c r="AD4" s="1313"/>
      <c r="AE4" s="1313"/>
      <c r="AF4" s="1421"/>
      <c r="AG4" s="1421"/>
    </row>
    <row r="5">
      <c r="A5" s="1411" t="s">
        <v>3981</v>
      </c>
      <c r="B5" s="1412" t="s">
        <v>333</v>
      </c>
      <c r="C5" s="1413" t="s">
        <v>1418</v>
      </c>
      <c r="D5" s="1414" t="s">
        <v>545</v>
      </c>
      <c r="E5" s="1415" t="s">
        <v>1418</v>
      </c>
      <c r="F5" s="1416" t="s">
        <v>646</v>
      </c>
      <c r="G5" s="1412" t="s">
        <v>439</v>
      </c>
      <c r="H5" s="1313"/>
      <c r="I5" s="96"/>
      <c r="J5" s="92"/>
      <c r="K5" s="1271"/>
      <c r="L5" s="1271"/>
      <c r="M5" s="1271"/>
      <c r="N5" s="1271"/>
      <c r="O5" s="1313"/>
      <c r="P5" s="1313"/>
      <c r="Q5" s="1310" t="s">
        <v>4549</v>
      </c>
      <c r="R5" s="1332" t="s">
        <v>1661</v>
      </c>
      <c r="S5" s="1271"/>
      <c r="T5" s="838" t="s">
        <v>1044</v>
      </c>
      <c r="U5" s="1313"/>
      <c r="V5" s="1313"/>
      <c r="W5" s="838" t="s">
        <v>8377</v>
      </c>
      <c r="X5" s="1313"/>
      <c r="Y5" s="1313"/>
      <c r="Z5" s="1311" t="s">
        <v>8378</v>
      </c>
      <c r="AA5" s="1313"/>
      <c r="AB5" s="1271"/>
      <c r="AC5" s="1313"/>
      <c r="AD5" s="1313"/>
      <c r="AE5" s="1313"/>
      <c r="AF5" s="1421"/>
      <c r="AG5" s="1421"/>
    </row>
    <row r="6">
      <c r="A6" s="1411" t="s">
        <v>2454</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7655</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8379</v>
      </c>
      <c r="S7" s="1271"/>
      <c r="T7" s="1313"/>
      <c r="U7" s="1313"/>
      <c r="V7" s="1313"/>
      <c r="W7" s="1271"/>
      <c r="X7" s="1313"/>
      <c r="Y7" s="1313"/>
      <c r="Z7" s="1312" t="s">
        <v>8380</v>
      </c>
      <c r="AA7" s="1312" t="s">
        <v>6190</v>
      </c>
      <c r="AB7" s="1271"/>
      <c r="AC7" s="1313"/>
      <c r="AD7" s="1313"/>
      <c r="AE7" s="1313"/>
      <c r="AF7" s="1421"/>
      <c r="AG7" s="1421"/>
    </row>
    <row r="8">
      <c r="A8" s="1276" t="s">
        <v>7777</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6729</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3272</v>
      </c>
      <c r="W9" s="1271"/>
      <c r="X9" s="1313"/>
      <c r="Y9" s="1313"/>
      <c r="Z9" s="1271"/>
      <c r="AA9" s="1313"/>
      <c r="AB9" s="1271"/>
      <c r="AC9" s="1310" t="s">
        <v>8381</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6760</v>
      </c>
      <c r="AD10" s="1313"/>
      <c r="AE10" s="1313"/>
      <c r="AF10" s="1421"/>
      <c r="AG10" s="1421"/>
    </row>
    <row r="11">
      <c r="A11" s="1276" t="s">
        <v>4489</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8382</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8383</v>
      </c>
      <c r="L12" s="1271"/>
      <c r="M12" s="1271"/>
      <c r="N12" s="1271"/>
      <c r="O12" s="1313"/>
      <c r="P12" s="1313"/>
      <c r="Q12" s="1313"/>
      <c r="R12" s="1271"/>
      <c r="S12" s="1271"/>
      <c r="T12" s="1313"/>
      <c r="U12" s="1313"/>
      <c r="V12" s="1313"/>
      <c r="W12" s="1312" t="s">
        <v>8376</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8384</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5550</v>
      </c>
      <c r="W14" s="1271"/>
      <c r="X14" s="1313"/>
      <c r="Y14" s="1313"/>
      <c r="Z14" s="1271"/>
      <c r="AA14" s="1313"/>
      <c r="AB14" s="1271"/>
      <c r="AC14" s="1313"/>
      <c r="AD14" s="1313"/>
      <c r="AE14" s="1313"/>
      <c r="AF14" s="1421"/>
      <c r="AG14" s="1421"/>
    </row>
    <row r="15">
      <c r="A15" s="1411" t="s">
        <v>8185</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6390</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5370</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3639</v>
      </c>
      <c r="R17" s="1317"/>
      <c r="S17" s="1317"/>
      <c r="T17" s="1385" t="s">
        <v>6514</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8385</v>
      </c>
      <c r="AD18" s="1313"/>
      <c r="AE18" s="1313"/>
      <c r="AF18" s="1421"/>
      <c r="AG18" s="1421"/>
    </row>
    <row r="19">
      <c r="A19" s="1168" t="s">
        <v>6342</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8386</v>
      </c>
      <c r="W19" s="1271"/>
      <c r="X19" s="1313"/>
      <c r="Y19" s="1313"/>
      <c r="Z19" s="1271"/>
      <c r="AA19" s="1313"/>
      <c r="AB19" s="1271"/>
      <c r="AC19" s="1313"/>
      <c r="AD19" s="1313"/>
      <c r="AE19" s="1313"/>
      <c r="AF19" s="1421"/>
      <c r="AG19" s="1421"/>
    </row>
    <row r="20">
      <c r="A20" s="1411" t="s">
        <v>8387</v>
      </c>
      <c r="B20" s="1412" t="s">
        <v>646</v>
      </c>
      <c r="C20" s="1413" t="s">
        <v>437</v>
      </c>
      <c r="D20" s="1414" t="s">
        <v>1418</v>
      </c>
      <c r="E20" s="1415" t="s">
        <v>1418</v>
      </c>
      <c r="F20" s="1416" t="s">
        <v>437</v>
      </c>
      <c r="G20" s="1412" t="s">
        <v>437</v>
      </c>
      <c r="H20" s="1313"/>
      <c r="I20" s="96"/>
      <c r="J20" s="92"/>
      <c r="K20" s="1312" t="s">
        <v>8388</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8389</v>
      </c>
      <c r="AD21" s="1313"/>
      <c r="AE21" s="1313"/>
      <c r="AF21" s="1421"/>
      <c r="AG21" s="1421"/>
    </row>
    <row r="22">
      <c r="A22" s="1411" t="s">
        <v>6379</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8390</v>
      </c>
      <c r="W23" s="1271"/>
      <c r="X23" s="1313"/>
      <c r="Y23" s="1313"/>
      <c r="Z23" s="1271"/>
      <c r="AA23" s="1313"/>
      <c r="AB23" s="1271"/>
      <c r="AC23" s="1313"/>
      <c r="AD23" s="1313"/>
      <c r="AE23" s="1313"/>
      <c r="AF23" s="1421"/>
      <c r="AG23" s="1421"/>
    </row>
    <row r="24">
      <c r="A24" s="1411" t="s">
        <v>2536</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8391</v>
      </c>
      <c r="V24" s="1313"/>
      <c r="W24" s="1271"/>
      <c r="X24" s="1313"/>
      <c r="Y24" s="1313"/>
      <c r="Z24" s="1271"/>
      <c r="AA24" s="1313"/>
      <c r="AB24" s="1271"/>
      <c r="AC24" s="1313"/>
      <c r="AD24" s="1313"/>
      <c r="AE24" s="1313"/>
      <c r="AF24" s="1421"/>
      <c r="AG24" s="1421"/>
    </row>
    <row r="25">
      <c r="A25" s="1276" t="s">
        <v>6172</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8392</v>
      </c>
      <c r="C1" s="1436" t="s">
        <v>8393</v>
      </c>
      <c r="D1" s="1437" t="s">
        <v>8394</v>
      </c>
      <c r="E1" s="1437" t="s">
        <v>7806</v>
      </c>
      <c r="F1" s="1437" t="s">
        <v>7807</v>
      </c>
      <c r="G1" s="1437" t="s">
        <v>8395</v>
      </c>
      <c r="H1" s="1438" t="s">
        <v>8396</v>
      </c>
      <c r="I1" s="1438" t="s">
        <v>8397</v>
      </c>
      <c r="J1" s="1439" t="s">
        <v>7818</v>
      </c>
      <c r="K1" s="1439" t="s">
        <v>8398</v>
      </c>
      <c r="L1" s="1439" t="s">
        <v>8399</v>
      </c>
      <c r="M1" s="1439" t="s">
        <v>8400</v>
      </c>
      <c r="N1" s="1439" t="s">
        <v>7881</v>
      </c>
      <c r="O1" s="1439" t="s">
        <v>8401</v>
      </c>
      <c r="P1" s="1439" t="s">
        <v>8402</v>
      </c>
      <c r="Q1" s="1440" t="s">
        <v>8403</v>
      </c>
      <c r="R1" s="1440" t="s">
        <v>7814</v>
      </c>
      <c r="S1" s="1440" t="s">
        <v>8404</v>
      </c>
      <c r="T1" s="1440" t="s">
        <v>8405</v>
      </c>
      <c r="U1" s="1440" t="s">
        <v>8406</v>
      </c>
      <c r="V1" s="1440" t="s">
        <v>8407</v>
      </c>
      <c r="W1" s="1441" t="s">
        <v>7808</v>
      </c>
      <c r="X1" s="1441" t="s">
        <v>7809</v>
      </c>
      <c r="Y1" s="1441" t="s">
        <v>8408</v>
      </c>
      <c r="Z1" s="1441" t="s">
        <v>8409</v>
      </c>
      <c r="AA1" s="1441" t="s">
        <v>7811</v>
      </c>
      <c r="AB1" s="1441" t="s">
        <v>8410</v>
      </c>
      <c r="AC1" s="1441" t="s">
        <v>8411</v>
      </c>
      <c r="AD1" s="1437" t="s">
        <v>8412</v>
      </c>
      <c r="AE1" s="1437" t="s">
        <v>8413</v>
      </c>
      <c r="AF1" s="1442" t="s">
        <v>7815</v>
      </c>
      <c r="AG1" s="1442" t="s">
        <v>8414</v>
      </c>
      <c r="AH1" s="1442" t="s">
        <v>8415</v>
      </c>
      <c r="AI1" s="1442" t="s">
        <v>7816</v>
      </c>
      <c r="AJ1" s="1442" t="s">
        <v>8416</v>
      </c>
      <c r="AK1" s="1442" t="s">
        <v>8417</v>
      </c>
      <c r="AL1" s="1442" t="s">
        <v>8418</v>
      </c>
      <c r="AM1" s="1443" t="s">
        <v>7817</v>
      </c>
      <c r="AN1" s="1443" t="s">
        <v>8419</v>
      </c>
      <c r="AO1" s="1443" t="s">
        <v>8420</v>
      </c>
      <c r="AP1" s="1443" t="s">
        <v>8421</v>
      </c>
      <c r="AQ1" s="1443" t="s">
        <v>8422</v>
      </c>
      <c r="AR1" s="1443" t="s">
        <v>8423</v>
      </c>
      <c r="AS1" s="1443" t="s">
        <v>8424</v>
      </c>
      <c r="AT1" s="1444" t="s">
        <v>8425</v>
      </c>
      <c r="AU1" s="1434" t="s">
        <v>8426</v>
      </c>
      <c r="AV1" s="1445" t="s">
        <v>8427</v>
      </c>
      <c r="AW1" s="1446" t="s">
        <v>8428</v>
      </c>
    </row>
    <row r="2" ht="15.75" customHeight="1">
      <c r="A2" s="1447" t="s">
        <v>8429</v>
      </c>
      <c r="B2" s="1448" t="s">
        <v>8430</v>
      </c>
      <c r="C2" s="1449" t="s">
        <v>8431</v>
      </c>
      <c r="D2" s="1450" t="s">
        <v>8432</v>
      </c>
      <c r="E2" s="1450" t="s">
        <v>8433</v>
      </c>
      <c r="F2" s="1451" t="s">
        <v>8434</v>
      </c>
      <c r="G2" s="1450" t="s">
        <v>8435</v>
      </c>
      <c r="H2" s="1452" t="s">
        <v>6069</v>
      </c>
      <c r="I2" s="1452" t="s">
        <v>3756</v>
      </c>
      <c r="J2" s="1453" t="s">
        <v>8436</v>
      </c>
      <c r="K2" s="1454" t="s">
        <v>4189</v>
      </c>
      <c r="L2" s="1454" t="s">
        <v>232</v>
      </c>
      <c r="M2" s="1455" t="s">
        <v>8437</v>
      </c>
      <c r="N2" s="1455" t="s">
        <v>4000</v>
      </c>
      <c r="O2" s="1455" t="s">
        <v>8438</v>
      </c>
      <c r="P2" s="1454" t="s">
        <v>1352</v>
      </c>
      <c r="Q2" s="1456" t="s">
        <v>8439</v>
      </c>
      <c r="R2" s="1457" t="s">
        <v>8440</v>
      </c>
      <c r="S2" s="1456" t="s">
        <v>816</v>
      </c>
      <c r="T2" s="1457" t="s">
        <v>8441</v>
      </c>
      <c r="U2" s="1456" t="s">
        <v>8442</v>
      </c>
      <c r="V2" s="1458">
        <v>58.55</v>
      </c>
      <c r="W2" s="1459" t="s">
        <v>8443</v>
      </c>
      <c r="X2" s="1460" t="s">
        <v>8444</v>
      </c>
      <c r="Y2" s="1460">
        <v>46.63</v>
      </c>
      <c r="Z2" s="1461" t="s">
        <v>8445</v>
      </c>
      <c r="AA2" s="1460" t="s">
        <v>3611</v>
      </c>
      <c r="AB2" s="1460" t="s">
        <v>8446</v>
      </c>
      <c r="AC2" s="1461" t="s">
        <v>4024</v>
      </c>
      <c r="AD2" s="1462" t="s">
        <v>8447</v>
      </c>
      <c r="AE2" s="1451" t="s">
        <v>4704</v>
      </c>
      <c r="AF2" s="1463" t="s">
        <v>8448</v>
      </c>
      <c r="AG2" s="1463" t="s">
        <v>8449</v>
      </c>
      <c r="AH2" s="1463" t="s">
        <v>3782</v>
      </c>
      <c r="AI2" s="1464" t="s">
        <v>8450</v>
      </c>
      <c r="AJ2" s="1464" t="s">
        <v>8451</v>
      </c>
      <c r="AK2" s="1464" t="s">
        <v>8452</v>
      </c>
      <c r="AL2" s="1465" t="s">
        <v>5517</v>
      </c>
      <c r="AM2" s="1466" t="s">
        <v>8453</v>
      </c>
      <c r="AN2" s="1467" t="s">
        <v>8454</v>
      </c>
      <c r="AO2" s="1468" t="s">
        <v>6283</v>
      </c>
      <c r="AP2" s="1469" t="s">
        <v>8455</v>
      </c>
      <c r="AQ2" s="1466" t="s">
        <v>8456</v>
      </c>
      <c r="AR2" s="1468" t="s">
        <v>416</v>
      </c>
      <c r="AS2" s="1466">
        <v>42.83</v>
      </c>
      <c r="AT2" s="1470" t="s">
        <v>8457</v>
      </c>
      <c r="AU2" s="1449" t="s">
        <v>8458</v>
      </c>
      <c r="AV2" s="1449" t="str">
        <f t="shared" ref="AV2:AV74" si="1">TEXT(AU2-C2,"m:ss")</f>
        <v>2:25</v>
      </c>
      <c r="AW2" s="1471"/>
    </row>
    <row r="3" ht="15.75" customHeight="1">
      <c r="A3" s="1472" t="s">
        <v>8459</v>
      </c>
      <c r="B3" s="1473" t="s">
        <v>8460</v>
      </c>
      <c r="C3" s="1474">
        <v>0.049427546296296296</v>
      </c>
      <c r="D3" s="1475" t="s">
        <v>8461</v>
      </c>
      <c r="E3" s="1475" t="s">
        <v>8462</v>
      </c>
      <c r="F3" s="1475" t="s">
        <v>8463</v>
      </c>
      <c r="G3" s="1475" t="s">
        <v>8464</v>
      </c>
      <c r="H3" s="1476" t="s">
        <v>8465</v>
      </c>
      <c r="I3" s="1476" t="s">
        <v>8466</v>
      </c>
      <c r="J3" s="1477" t="s">
        <v>8467</v>
      </c>
      <c r="K3" s="1477" t="s">
        <v>1094</v>
      </c>
      <c r="L3" s="1477" t="s">
        <v>2773</v>
      </c>
      <c r="M3" s="1477" t="s">
        <v>8468</v>
      </c>
      <c r="N3" s="1477" t="s">
        <v>2494</v>
      </c>
      <c r="O3" s="1477" t="s">
        <v>8469</v>
      </c>
      <c r="P3" s="1477" t="s">
        <v>5454</v>
      </c>
      <c r="Q3" s="1478" t="s">
        <v>8470</v>
      </c>
      <c r="R3" s="1478" t="s">
        <v>8471</v>
      </c>
      <c r="S3" s="1478" t="s">
        <v>8472</v>
      </c>
      <c r="T3" s="1478" t="s">
        <v>8473</v>
      </c>
      <c r="U3" s="1479" t="s">
        <v>7754</v>
      </c>
      <c r="V3" s="1478" t="s">
        <v>4100</v>
      </c>
      <c r="W3" s="1480" t="s">
        <v>4130</v>
      </c>
      <c r="X3" s="1481" t="s">
        <v>2565</v>
      </c>
      <c r="Y3" s="1481" t="s">
        <v>8474</v>
      </c>
      <c r="Z3" s="1481" t="s">
        <v>443</v>
      </c>
      <c r="AA3" s="1481" t="s">
        <v>8475</v>
      </c>
      <c r="AB3" s="1480" t="s">
        <v>2812</v>
      </c>
      <c r="AC3" s="1481" t="s">
        <v>4976</v>
      </c>
      <c r="AD3" s="1475" t="s">
        <v>8476</v>
      </c>
      <c r="AE3" s="1475" t="s">
        <v>6594</v>
      </c>
      <c r="AF3" s="1482" t="s">
        <v>8477</v>
      </c>
      <c r="AG3" s="1483" t="s">
        <v>3879</v>
      </c>
      <c r="AH3" s="1483" t="s">
        <v>2787</v>
      </c>
      <c r="AI3" s="1483" t="s">
        <v>7477</v>
      </c>
      <c r="AJ3" s="1482" t="s">
        <v>8478</v>
      </c>
      <c r="AK3" s="1483" t="s">
        <v>8479</v>
      </c>
      <c r="AL3" s="1483" t="s">
        <v>5977</v>
      </c>
      <c r="AM3" s="1484" t="s">
        <v>8480</v>
      </c>
      <c r="AN3" s="1484" t="s">
        <v>3293</v>
      </c>
      <c r="AO3" s="1485" t="s">
        <v>7644</v>
      </c>
      <c r="AP3" s="1485" t="s">
        <v>8481</v>
      </c>
      <c r="AQ3" s="1485" t="s">
        <v>8482</v>
      </c>
      <c r="AR3" s="1485" t="s">
        <v>3184</v>
      </c>
      <c r="AS3" s="1484" t="s">
        <v>5160</v>
      </c>
      <c r="AT3" s="1486" t="s">
        <v>3949</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6082</v>
      </c>
      <c r="L4" s="1493" t="s">
        <v>3769</v>
      </c>
      <c r="M4" s="1493" t="s">
        <v>8492</v>
      </c>
      <c r="N4" s="1493" t="s">
        <v>8453</v>
      </c>
      <c r="O4" s="1493" t="s">
        <v>8493</v>
      </c>
      <c r="P4" s="1493" t="s">
        <v>8494</v>
      </c>
      <c r="Q4" s="1494" t="s">
        <v>8495</v>
      </c>
      <c r="R4" s="1494" t="s">
        <v>8496</v>
      </c>
      <c r="S4" s="1494" t="s">
        <v>2258</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2670</v>
      </c>
      <c r="AG4" s="1497" t="s">
        <v>4600</v>
      </c>
      <c r="AH4" s="1497" t="s">
        <v>5162</v>
      </c>
      <c r="AI4" s="1497" t="s">
        <v>8507</v>
      </c>
      <c r="AJ4" s="1497" t="s">
        <v>8508</v>
      </c>
      <c r="AK4" s="1497" t="s">
        <v>8509</v>
      </c>
      <c r="AL4" s="1497" t="s">
        <v>8510</v>
      </c>
      <c r="AM4" s="1498" t="s">
        <v>8511</v>
      </c>
      <c r="AN4" s="1499" t="s">
        <v>8512</v>
      </c>
      <c r="AO4" s="1498" t="s">
        <v>8513</v>
      </c>
      <c r="AP4" s="1499" t="s">
        <v>8514</v>
      </c>
      <c r="AQ4" s="1498" t="s">
        <v>8515</v>
      </c>
      <c r="AR4" s="1498" t="s">
        <v>6418</v>
      </c>
      <c r="AS4" s="1498" t="s">
        <v>754</v>
      </c>
      <c r="AT4" s="1500" t="s">
        <v>8516</v>
      </c>
      <c r="AU4" s="1501" t="s">
        <v>8517</v>
      </c>
      <c r="AV4" s="1502" t="str">
        <f t="shared" si="1"/>
        <v>2:38</v>
      </c>
    </row>
    <row r="5" ht="15.75" customHeight="1">
      <c r="A5" s="1503" t="s">
        <v>1061</v>
      </c>
      <c r="B5" s="1504" t="s">
        <v>8430</v>
      </c>
      <c r="C5" s="1505">
        <v>0.04913194444444444</v>
      </c>
      <c r="D5" s="1506" t="s">
        <v>8432</v>
      </c>
      <c r="E5" s="1506" t="s">
        <v>8433</v>
      </c>
      <c r="F5" s="1507" t="s">
        <v>8518</v>
      </c>
      <c r="G5" s="1507" t="s">
        <v>8519</v>
      </c>
      <c r="H5" s="1506" t="s">
        <v>6069</v>
      </c>
      <c r="I5" s="1506" t="s">
        <v>3756</v>
      </c>
      <c r="J5" s="1507" t="s">
        <v>5483</v>
      </c>
      <c r="K5" s="1508" t="s">
        <v>2084</v>
      </c>
      <c r="L5" s="1507" t="s">
        <v>8520</v>
      </c>
      <c r="M5" s="1509" t="s">
        <v>8437</v>
      </c>
      <c r="N5" s="1509" t="s">
        <v>4000</v>
      </c>
      <c r="O5" s="1507" t="s">
        <v>8521</v>
      </c>
      <c r="P5" s="1508" t="s">
        <v>4171</v>
      </c>
      <c r="Q5" s="1509" t="s">
        <v>8439</v>
      </c>
      <c r="R5" s="1510" t="s">
        <v>8440</v>
      </c>
      <c r="S5" s="1509" t="s">
        <v>816</v>
      </c>
      <c r="T5" s="1507" t="s">
        <v>8522</v>
      </c>
      <c r="U5" s="1509" t="s">
        <v>8442</v>
      </c>
      <c r="V5" s="1508" t="s">
        <v>8523</v>
      </c>
      <c r="W5" s="1506" t="s">
        <v>8443</v>
      </c>
      <c r="X5" s="1507" t="s">
        <v>8524</v>
      </c>
      <c r="Y5" s="1507" t="s">
        <v>7424</v>
      </c>
      <c r="Z5" s="1507" t="s">
        <v>4978</v>
      </c>
      <c r="AA5" s="1511" t="s">
        <v>5473</v>
      </c>
      <c r="AB5" s="1507" t="s">
        <v>522</v>
      </c>
      <c r="AC5" s="1509" t="s">
        <v>4024</v>
      </c>
      <c r="AD5" s="1510" t="s">
        <v>8447</v>
      </c>
      <c r="AE5" s="1512" t="s">
        <v>8525</v>
      </c>
      <c r="AF5" s="1512" t="s">
        <v>8526</v>
      </c>
      <c r="AG5" s="1513" t="s">
        <v>2323</v>
      </c>
      <c r="AH5" s="1507" t="s">
        <v>8527</v>
      </c>
      <c r="AI5" s="1509" t="s">
        <v>8450</v>
      </c>
      <c r="AJ5" s="1513" t="s">
        <v>8528</v>
      </c>
      <c r="AK5" s="1509" t="s">
        <v>8452</v>
      </c>
      <c r="AL5" s="1510" t="s">
        <v>5517</v>
      </c>
      <c r="AM5" s="1510" t="s">
        <v>8453</v>
      </c>
      <c r="AN5" s="1507" t="s">
        <v>5233</v>
      </c>
      <c r="AO5" s="1514" t="s">
        <v>8529</v>
      </c>
      <c r="AP5" s="1511" t="s">
        <v>8530</v>
      </c>
      <c r="AQ5" s="1510" t="s">
        <v>8456</v>
      </c>
      <c r="AR5" s="1515" t="s">
        <v>8531</v>
      </c>
      <c r="AS5" s="1507" t="s">
        <v>4419</v>
      </c>
      <c r="AT5" s="1511" t="s">
        <v>8532</v>
      </c>
      <c r="AU5" s="1516" t="s">
        <v>8458</v>
      </c>
      <c r="AV5" s="1512" t="str">
        <f t="shared" si="1"/>
        <v>2:06</v>
      </c>
      <c r="AW5" s="1517" t="s">
        <v>8533</v>
      </c>
    </row>
    <row r="6" ht="15.75" customHeight="1">
      <c r="A6" s="1518" t="s">
        <v>435</v>
      </c>
      <c r="B6" s="1504" t="s">
        <v>8430</v>
      </c>
      <c r="C6" s="1505">
        <v>0.0493287037037037</v>
      </c>
      <c r="D6" s="1519" t="s">
        <v>8534</v>
      </c>
      <c r="E6" s="1520" t="s">
        <v>8535</v>
      </c>
      <c r="F6" s="1520" t="s">
        <v>8536</v>
      </c>
      <c r="G6" s="1520" t="s">
        <v>8537</v>
      </c>
      <c r="H6" s="1520" t="s">
        <v>8538</v>
      </c>
      <c r="I6" s="1514" t="s">
        <v>8539</v>
      </c>
      <c r="J6" s="1521" t="s">
        <v>8436</v>
      </c>
      <c r="K6" s="1520" t="s">
        <v>782</v>
      </c>
      <c r="L6" s="1520" t="s">
        <v>8540</v>
      </c>
      <c r="M6" s="1520" t="s">
        <v>8541</v>
      </c>
      <c r="N6" s="1520" t="s">
        <v>8542</v>
      </c>
      <c r="O6" s="1520" t="s">
        <v>8543</v>
      </c>
      <c r="P6" s="1521" t="s">
        <v>1352</v>
      </c>
      <c r="Q6" s="1508" t="s">
        <v>1567</v>
      </c>
      <c r="R6" s="1520" t="s">
        <v>4446</v>
      </c>
      <c r="S6" s="1520" t="s">
        <v>8436</v>
      </c>
      <c r="T6" s="1521" t="s">
        <v>8441</v>
      </c>
      <c r="U6" s="1508" t="s">
        <v>8455</v>
      </c>
      <c r="V6" s="1522" t="s">
        <v>8257</v>
      </c>
      <c r="W6" s="1520" t="s">
        <v>8544</v>
      </c>
      <c r="X6" s="1521" t="s">
        <v>8444</v>
      </c>
      <c r="Y6" s="1523">
        <v>46.72</v>
      </c>
      <c r="Z6" s="1523" t="s">
        <v>3599</v>
      </c>
      <c r="AA6" s="1521" t="s">
        <v>3611</v>
      </c>
      <c r="AB6" s="1521" t="s">
        <v>8446</v>
      </c>
      <c r="AC6" s="1520" t="s">
        <v>5435</v>
      </c>
      <c r="AD6" s="1520" t="s">
        <v>7350</v>
      </c>
      <c r="AE6" s="1524" t="s">
        <v>4704</v>
      </c>
      <c r="AF6" s="1523" t="s">
        <v>8545</v>
      </c>
      <c r="AG6" s="1522" t="s">
        <v>8546</v>
      </c>
      <c r="AH6" s="1521" t="s">
        <v>3782</v>
      </c>
      <c r="AI6" s="1520" t="s">
        <v>5834</v>
      </c>
      <c r="AJ6" s="1523" t="s">
        <v>8547</v>
      </c>
      <c r="AK6" s="1523" t="s">
        <v>5750</v>
      </c>
      <c r="AL6" s="1522" t="s">
        <v>6051</v>
      </c>
      <c r="AM6" s="1520" t="s">
        <v>8548</v>
      </c>
      <c r="AN6" s="1522" t="s">
        <v>3279</v>
      </c>
      <c r="AO6" s="1522" t="s">
        <v>2844</v>
      </c>
      <c r="AP6" s="1522" t="s">
        <v>8549</v>
      </c>
      <c r="AQ6" s="1512" t="s">
        <v>8550</v>
      </c>
      <c r="AR6" s="1522" t="s">
        <v>8551</v>
      </c>
      <c r="AS6" s="1522" t="s">
        <v>8552</v>
      </c>
      <c r="AT6" s="1522" t="s">
        <v>8553</v>
      </c>
      <c r="AU6" s="1525" t="s">
        <v>8554</v>
      </c>
      <c r="AV6" s="1512" t="str">
        <f t="shared" si="1"/>
        <v>2:15</v>
      </c>
      <c r="AW6" s="1517"/>
    </row>
    <row r="7" ht="15.75" customHeight="1">
      <c r="A7" s="1503" t="s">
        <v>6391</v>
      </c>
      <c r="B7" s="1504" t="s">
        <v>8430</v>
      </c>
      <c r="C7" s="1505">
        <v>0.049444444444444444</v>
      </c>
      <c r="D7" s="1507" t="s">
        <v>8555</v>
      </c>
      <c r="E7" s="1507" t="s">
        <v>8556</v>
      </c>
      <c r="F7" s="1514" t="s">
        <v>8557</v>
      </c>
      <c r="G7" s="1509" t="s">
        <v>8435</v>
      </c>
      <c r="H7" s="1514" t="s">
        <v>8558</v>
      </c>
      <c r="I7" s="1514" t="s">
        <v>2779</v>
      </c>
      <c r="J7" s="1507" t="s">
        <v>8559</v>
      </c>
      <c r="K7" s="1514" t="s">
        <v>3482</v>
      </c>
      <c r="L7" s="1514" t="s">
        <v>4173</v>
      </c>
      <c r="M7" s="1514" t="s">
        <v>6334</v>
      </c>
      <c r="N7" s="1507" t="s">
        <v>8560</v>
      </c>
      <c r="O7" s="1514" t="s">
        <v>8561</v>
      </c>
      <c r="P7" s="1512" t="s">
        <v>6937</v>
      </c>
      <c r="Q7" s="1507" t="s">
        <v>8562</v>
      </c>
      <c r="R7" s="1514" t="s">
        <v>7240</v>
      </c>
      <c r="S7" s="1514" t="s">
        <v>3388</v>
      </c>
      <c r="T7" s="1512" t="s">
        <v>4926</v>
      </c>
      <c r="U7" s="1514" t="s">
        <v>8563</v>
      </c>
      <c r="V7" s="1514" t="s">
        <v>5154</v>
      </c>
      <c r="W7" s="1526" t="s">
        <v>8564</v>
      </c>
      <c r="X7" s="1512" t="s">
        <v>8565</v>
      </c>
      <c r="Y7" s="1527" t="s">
        <v>8566</v>
      </c>
      <c r="Z7" s="1514" t="s">
        <v>7593</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7169</v>
      </c>
      <c r="AL7" s="1514" t="s">
        <v>8571</v>
      </c>
      <c r="AM7" s="1507" t="s">
        <v>4492</v>
      </c>
      <c r="AN7" s="1507" t="s">
        <v>2651</v>
      </c>
      <c r="AO7" s="1507" t="s">
        <v>5766</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1883</v>
      </c>
      <c r="B8" s="1504" t="s">
        <v>8430</v>
      </c>
      <c r="C8" s="1505">
        <v>0.04949074074074074</v>
      </c>
      <c r="D8" s="1527" t="s">
        <v>8578</v>
      </c>
      <c r="E8" s="1527" t="s">
        <v>8579</v>
      </c>
      <c r="F8" s="1527" t="s">
        <v>2127</v>
      </c>
      <c r="G8" s="1527" t="s">
        <v>8580</v>
      </c>
      <c r="H8" s="1507" t="s">
        <v>8581</v>
      </c>
      <c r="I8" s="1520">
        <v>47.34</v>
      </c>
      <c r="J8" s="1527" t="s">
        <v>648</v>
      </c>
      <c r="K8" s="1527" t="s">
        <v>8582</v>
      </c>
      <c r="L8" s="1527">
        <v>55.97</v>
      </c>
      <c r="M8" s="1527" t="s">
        <v>1973</v>
      </c>
      <c r="N8" s="1527" t="s">
        <v>8583</v>
      </c>
      <c r="O8" s="1532" t="s">
        <v>8438</v>
      </c>
      <c r="P8" s="1527">
        <v>47.49</v>
      </c>
      <c r="Q8" s="1527" t="s">
        <v>8584</v>
      </c>
      <c r="R8" s="1527" t="s">
        <v>1227</v>
      </c>
      <c r="S8" s="1533" t="s">
        <v>1903</v>
      </c>
      <c r="T8" s="1527" t="s">
        <v>8585</v>
      </c>
      <c r="U8" s="1507" t="s">
        <v>8586</v>
      </c>
      <c r="V8" s="1527">
        <v>59.32</v>
      </c>
      <c r="W8" s="1534" t="s">
        <v>8587</v>
      </c>
      <c r="X8" s="1527" t="s">
        <v>6863</v>
      </c>
      <c r="Y8" s="1527">
        <v>46.65</v>
      </c>
      <c r="Z8" s="1527" t="s">
        <v>8588</v>
      </c>
      <c r="AA8" s="1527" t="s">
        <v>2491</v>
      </c>
      <c r="AB8" s="1527" t="s">
        <v>8589</v>
      </c>
      <c r="AC8" s="1527">
        <v>47.89</v>
      </c>
      <c r="AD8" s="1527" t="s">
        <v>1902</v>
      </c>
      <c r="AE8" s="1527">
        <v>47.98</v>
      </c>
      <c r="AF8" s="1527" t="s">
        <v>8590</v>
      </c>
      <c r="AG8" s="1527" t="s">
        <v>8591</v>
      </c>
      <c r="AH8" s="1527">
        <v>57.45</v>
      </c>
      <c r="AI8" s="1523" t="s">
        <v>7111</v>
      </c>
      <c r="AJ8" s="1535" t="s">
        <v>8592</v>
      </c>
      <c r="AK8" s="1527" t="s">
        <v>5403</v>
      </c>
      <c r="AL8" s="1527">
        <v>56.23</v>
      </c>
      <c r="AM8" s="1534" t="s">
        <v>3904</v>
      </c>
      <c r="AN8" s="1534" t="s">
        <v>8593</v>
      </c>
      <c r="AO8" s="1527" t="s">
        <v>3208</v>
      </c>
      <c r="AP8" s="1527" t="s">
        <v>8594</v>
      </c>
      <c r="AQ8" s="1527" t="s">
        <v>8595</v>
      </c>
      <c r="AR8" s="1527" t="s">
        <v>4430</v>
      </c>
      <c r="AS8" s="1527">
        <v>46.19</v>
      </c>
      <c r="AT8" s="1536" t="s">
        <v>8457</v>
      </c>
      <c r="AU8" s="1527" t="s">
        <v>8596</v>
      </c>
      <c r="AV8" s="1512" t="str">
        <f t="shared" si="1"/>
        <v>1:52</v>
      </c>
      <c r="AW8" s="1531" t="s">
        <v>8597</v>
      </c>
    </row>
    <row r="9" ht="15.75" customHeight="1">
      <c r="A9" s="1518" t="s">
        <v>330</v>
      </c>
      <c r="B9" s="1504" t="s">
        <v>8430</v>
      </c>
      <c r="C9" s="1505">
        <v>0.04957175925925926</v>
      </c>
      <c r="D9" s="1537" t="s">
        <v>8598</v>
      </c>
      <c r="E9" s="1520" t="s">
        <v>8599</v>
      </c>
      <c r="F9" s="1538" t="s">
        <v>8434</v>
      </c>
      <c r="G9" s="1522" t="s">
        <v>8600</v>
      </c>
      <c r="H9" s="1539" t="s">
        <v>5340</v>
      </c>
      <c r="I9" s="1522" t="s">
        <v>1297</v>
      </c>
      <c r="J9" s="1540" t="s">
        <v>8601</v>
      </c>
      <c r="K9" s="1522" t="s">
        <v>6698</v>
      </c>
      <c r="L9" s="1521" t="s">
        <v>232</v>
      </c>
      <c r="M9" s="1540" t="s">
        <v>8602</v>
      </c>
      <c r="N9" s="1520" t="s">
        <v>8603</v>
      </c>
      <c r="O9" s="1540" t="s">
        <v>8604</v>
      </c>
      <c r="P9" s="1522" t="s">
        <v>6324</v>
      </c>
      <c r="Q9" s="1522" t="s">
        <v>8584</v>
      </c>
      <c r="R9" s="1522" t="s">
        <v>5545</v>
      </c>
      <c r="S9" s="1522" t="s">
        <v>2089</v>
      </c>
      <c r="T9" s="1522" t="s">
        <v>4009</v>
      </c>
      <c r="U9" s="1522" t="s">
        <v>8605</v>
      </c>
      <c r="V9" s="1423" t="s">
        <v>8606</v>
      </c>
      <c r="W9" s="1541" t="s">
        <v>8607</v>
      </c>
      <c r="X9" s="1522" t="s">
        <v>8608</v>
      </c>
      <c r="Y9" s="1521">
        <v>46.63</v>
      </c>
      <c r="Z9" s="1542" t="s">
        <v>306</v>
      </c>
      <c r="AA9" s="1520" t="s">
        <v>8609</v>
      </c>
      <c r="AB9" s="1521" t="s">
        <v>8446</v>
      </c>
      <c r="AC9" s="1522" t="s">
        <v>5433</v>
      </c>
      <c r="AD9" s="1522" t="s">
        <v>8610</v>
      </c>
      <c r="AE9" s="1523" t="s">
        <v>8611</v>
      </c>
      <c r="AF9" s="1520" t="s">
        <v>8612</v>
      </c>
      <c r="AG9" s="1527" t="s">
        <v>8613</v>
      </c>
      <c r="AH9" s="1522" t="s">
        <v>8527</v>
      </c>
      <c r="AI9" s="1423" t="s">
        <v>8614</v>
      </c>
      <c r="AJ9" s="1523" t="s">
        <v>8615</v>
      </c>
      <c r="AK9" s="1522" t="s">
        <v>1365</v>
      </c>
      <c r="AL9" s="1522" t="s">
        <v>5104</v>
      </c>
      <c r="AM9" s="1522" t="s">
        <v>4009</v>
      </c>
      <c r="AN9" s="1540" t="s">
        <v>8616</v>
      </c>
      <c r="AO9" s="1522" t="s">
        <v>8551</v>
      </c>
      <c r="AP9" s="1522" t="s">
        <v>8617</v>
      </c>
      <c r="AQ9" s="1522" t="s">
        <v>8618</v>
      </c>
      <c r="AR9" s="1522" t="s">
        <v>4576</v>
      </c>
      <c r="AS9" s="1522" t="s">
        <v>8619</v>
      </c>
      <c r="AT9" s="1516" t="s">
        <v>8620</v>
      </c>
      <c r="AU9" s="1543" t="s">
        <v>8621</v>
      </c>
      <c r="AV9" s="1512" t="str">
        <f t="shared" si="1"/>
        <v>2:59</v>
      </c>
      <c r="AW9" s="1544"/>
    </row>
    <row r="10">
      <c r="A10" s="1518" t="s">
        <v>6329</v>
      </c>
      <c r="B10" s="1545" t="s">
        <v>8430</v>
      </c>
      <c r="C10" s="1505">
        <v>0.04958333333333333</v>
      </c>
      <c r="D10" s="1423" t="s">
        <v>8622</v>
      </c>
      <c r="E10" s="1527" t="s">
        <v>6281</v>
      </c>
      <c r="F10" s="1527" t="s">
        <v>8623</v>
      </c>
      <c r="G10" s="1527" t="s">
        <v>8624</v>
      </c>
      <c r="H10" s="1534" t="s">
        <v>8625</v>
      </c>
      <c r="I10" s="1534" t="s">
        <v>5592</v>
      </c>
      <c r="J10" s="1534" t="s">
        <v>149</v>
      </c>
      <c r="K10" s="1534" t="s">
        <v>7340</v>
      </c>
      <c r="L10" s="1527">
        <v>56.42</v>
      </c>
      <c r="M10" s="1527" t="s">
        <v>5176</v>
      </c>
      <c r="N10" s="1527" t="s">
        <v>8626</v>
      </c>
      <c r="O10" s="1534" t="s">
        <v>8627</v>
      </c>
      <c r="P10" s="1534" t="s">
        <v>278</v>
      </c>
      <c r="Q10" s="1534" t="s">
        <v>8628</v>
      </c>
      <c r="R10" s="1527" t="s">
        <v>8629</v>
      </c>
      <c r="S10" s="1534" t="s">
        <v>8630</v>
      </c>
      <c r="T10" s="1534" t="s">
        <v>4946</v>
      </c>
      <c r="U10" s="1534" t="s">
        <v>8631</v>
      </c>
      <c r="V10" s="1527">
        <v>59.45</v>
      </c>
      <c r="W10" s="1534" t="s">
        <v>8632</v>
      </c>
      <c r="X10" s="1534" t="s">
        <v>8633</v>
      </c>
      <c r="Y10" s="1534" t="s">
        <v>5055</v>
      </c>
      <c r="Z10" s="1527" t="s">
        <v>4167</v>
      </c>
      <c r="AA10" s="1527" t="s">
        <v>8634</v>
      </c>
      <c r="AB10" s="1527" t="s">
        <v>4593</v>
      </c>
      <c r="AC10" s="1534" t="s">
        <v>4797</v>
      </c>
      <c r="AD10" s="1534" t="s">
        <v>8635</v>
      </c>
      <c r="AE10" s="1527">
        <v>47.89</v>
      </c>
      <c r="AF10" s="1527" t="s">
        <v>8636</v>
      </c>
      <c r="AG10" s="1524" t="s">
        <v>8449</v>
      </c>
      <c r="AH10" s="1527">
        <v>57.71</v>
      </c>
      <c r="AI10" s="1534" t="s">
        <v>2184</v>
      </c>
      <c r="AJ10" s="1527" t="s">
        <v>8592</v>
      </c>
      <c r="AK10" s="1534" t="s">
        <v>7177</v>
      </c>
      <c r="AL10" s="1527">
        <v>56.69</v>
      </c>
      <c r="AM10" s="1534" t="s">
        <v>8637</v>
      </c>
      <c r="AN10" s="1534" t="s">
        <v>4125</v>
      </c>
      <c r="AO10" s="1534" t="s">
        <v>2762</v>
      </c>
      <c r="AP10" s="1527" t="s">
        <v>8638</v>
      </c>
      <c r="AQ10" s="1534" t="s">
        <v>8639</v>
      </c>
      <c r="AR10" s="1534" t="s">
        <v>8640</v>
      </c>
      <c r="AS10" s="1527">
        <v>43.65</v>
      </c>
      <c r="AT10" s="1534" t="s">
        <v>8641</v>
      </c>
      <c r="AU10" s="1525" t="s">
        <v>8642</v>
      </c>
      <c r="AV10" s="1512" t="str">
        <f t="shared" si="1"/>
        <v>1:34</v>
      </c>
      <c r="AW10" s="1546" t="s">
        <v>8643</v>
      </c>
    </row>
    <row r="11">
      <c r="A11" s="1547" t="s">
        <v>911</v>
      </c>
      <c r="B11" s="1548" t="s">
        <v>8430</v>
      </c>
      <c r="C11" s="1505">
        <v>0.049652777777777775</v>
      </c>
      <c r="D11" s="1522" t="s">
        <v>8644</v>
      </c>
      <c r="E11" s="1522" t="s">
        <v>8645</v>
      </c>
      <c r="F11" s="1522" t="s">
        <v>8646</v>
      </c>
      <c r="G11" s="1523" t="s">
        <v>8647</v>
      </c>
      <c r="H11" s="1522" t="s">
        <v>7534</v>
      </c>
      <c r="I11" s="1522" t="s">
        <v>8362</v>
      </c>
      <c r="J11" s="1520" t="s">
        <v>8648</v>
      </c>
      <c r="K11" s="1522" t="s">
        <v>8649</v>
      </c>
      <c r="L11" s="1522" t="s">
        <v>3339</v>
      </c>
      <c r="M11" s="1522" t="s">
        <v>8650</v>
      </c>
      <c r="N11" s="1522" t="s">
        <v>8651</v>
      </c>
      <c r="O11" s="1522" t="s">
        <v>8652</v>
      </c>
      <c r="P11" s="1522" t="s">
        <v>5941</v>
      </c>
      <c r="Q11" s="1522" t="s">
        <v>4941</v>
      </c>
      <c r="R11" s="1522" t="s">
        <v>8653</v>
      </c>
      <c r="S11" s="1507" t="s">
        <v>2725</v>
      </c>
      <c r="T11" s="1522" t="s">
        <v>8654</v>
      </c>
      <c r="U11" s="1522" t="s">
        <v>8655</v>
      </c>
      <c r="V11" s="1522" t="s">
        <v>5337</v>
      </c>
      <c r="W11" s="1522" t="s">
        <v>1930</v>
      </c>
      <c r="X11" s="1507" t="s">
        <v>8656</v>
      </c>
      <c r="Y11" s="1522" t="s">
        <v>8657</v>
      </c>
      <c r="Z11" s="1532" t="s">
        <v>8445</v>
      </c>
      <c r="AA11" s="1507" t="s">
        <v>8658</v>
      </c>
      <c r="AB11" s="1522" t="s">
        <v>8659</v>
      </c>
      <c r="AC11" s="1522" t="s">
        <v>4939</v>
      </c>
      <c r="AD11" s="1522" t="s">
        <v>5596</v>
      </c>
      <c r="AE11" s="1523">
        <v>47.81</v>
      </c>
      <c r="AF11" s="1522" t="s">
        <v>8660</v>
      </c>
      <c r="AG11" s="1522" t="s">
        <v>8661</v>
      </c>
      <c r="AH11" s="1522" t="s">
        <v>748</v>
      </c>
      <c r="AI11" s="1522" t="s">
        <v>863</v>
      </c>
      <c r="AJ11" s="1522" t="s">
        <v>8662</v>
      </c>
      <c r="AK11" s="1522" t="s">
        <v>8473</v>
      </c>
      <c r="AL11" s="1522" t="s">
        <v>8663</v>
      </c>
      <c r="AM11" s="1522" t="s">
        <v>4492</v>
      </c>
      <c r="AN11" s="1532" t="s">
        <v>8454</v>
      </c>
      <c r="AO11" s="1532" t="s">
        <v>6283</v>
      </c>
      <c r="AP11" s="1522" t="s">
        <v>8664</v>
      </c>
      <c r="AQ11" s="1522" t="s">
        <v>3664</v>
      </c>
      <c r="AR11" s="1532" t="s">
        <v>416</v>
      </c>
      <c r="AS11" s="1522" t="s">
        <v>3242</v>
      </c>
      <c r="AT11" s="1522" t="s">
        <v>3573</v>
      </c>
      <c r="AU11" s="1543" t="s">
        <v>8665</v>
      </c>
      <c r="AV11" s="1512" t="str">
        <f t="shared" si="1"/>
        <v>2:27</v>
      </c>
      <c r="AW11" s="1549" t="s">
        <v>8666</v>
      </c>
    </row>
    <row r="12" ht="15.75" customHeight="1">
      <c r="A12" s="1550" t="s">
        <v>6388</v>
      </c>
      <c r="B12" s="1504" t="s">
        <v>8430</v>
      </c>
      <c r="C12" s="1505">
        <v>0.04967592592592593</v>
      </c>
      <c r="D12" s="1423" t="s">
        <v>8667</v>
      </c>
      <c r="E12" s="1514" t="s">
        <v>884</v>
      </c>
      <c r="F12" s="1514" t="s">
        <v>8668</v>
      </c>
      <c r="G12" s="1514" t="s">
        <v>8669</v>
      </c>
      <c r="H12" s="1423" t="s">
        <v>8670</v>
      </c>
      <c r="I12" s="1514" t="s">
        <v>8671</v>
      </c>
      <c r="J12" s="1514" t="s">
        <v>8672</v>
      </c>
      <c r="K12" s="1514" t="s">
        <v>6261</v>
      </c>
      <c r="L12" s="1514" t="s">
        <v>4425</v>
      </c>
      <c r="M12" s="1514" t="s">
        <v>8219</v>
      </c>
      <c r="N12" s="1514" t="s">
        <v>2180</v>
      </c>
      <c r="O12" s="1514" t="s">
        <v>3256</v>
      </c>
      <c r="P12" s="1514" t="s">
        <v>8671</v>
      </c>
      <c r="Q12" s="1514" t="s">
        <v>8673</v>
      </c>
      <c r="R12" s="1514" t="s">
        <v>1227</v>
      </c>
      <c r="S12" s="1551" t="s">
        <v>8674</v>
      </c>
      <c r="T12" s="1514" t="s">
        <v>4853</v>
      </c>
      <c r="U12" s="1514" t="s">
        <v>8675</v>
      </c>
      <c r="V12" s="1514" t="s">
        <v>8523</v>
      </c>
      <c r="W12" s="1514" t="s">
        <v>8676</v>
      </c>
      <c r="X12" s="1514" t="s">
        <v>960</v>
      </c>
      <c r="Y12" s="1514" t="s">
        <v>4311</v>
      </c>
      <c r="Z12" s="1514" t="s">
        <v>8677</v>
      </c>
      <c r="AA12" s="1514" t="s">
        <v>8678</v>
      </c>
      <c r="AB12" s="1514" t="s">
        <v>1911</v>
      </c>
      <c r="AC12" s="1514" t="s">
        <v>759</v>
      </c>
      <c r="AD12" s="1514" t="s">
        <v>8679</v>
      </c>
      <c r="AE12" s="1514" t="s">
        <v>6338</v>
      </c>
      <c r="AF12" s="1507" t="s">
        <v>8680</v>
      </c>
      <c r="AG12" s="1514" t="s">
        <v>8681</v>
      </c>
      <c r="AH12" s="1514" t="s">
        <v>4722</v>
      </c>
      <c r="AI12" s="1514" t="s">
        <v>2895</v>
      </c>
      <c r="AJ12" s="1514" t="s">
        <v>8528</v>
      </c>
      <c r="AK12" s="1514" t="s">
        <v>4175</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2639</v>
      </c>
      <c r="B13" s="1504" t="s">
        <v>8430</v>
      </c>
      <c r="C13" s="1553">
        <v>0.04971064814814815</v>
      </c>
      <c r="D13" s="1513" t="s">
        <v>8691</v>
      </c>
      <c r="E13" s="1554" t="s">
        <v>511</v>
      </c>
      <c r="F13" s="1554" t="s">
        <v>8692</v>
      </c>
      <c r="G13" s="1554" t="s">
        <v>8693</v>
      </c>
      <c r="H13" s="1507" t="s">
        <v>8694</v>
      </c>
      <c r="I13" s="1555" t="s">
        <v>5636</v>
      </c>
      <c r="J13" s="1556" t="s">
        <v>8695</v>
      </c>
      <c r="K13" s="1556" t="s">
        <v>4260</v>
      </c>
      <c r="L13" s="1556" t="s">
        <v>4654</v>
      </c>
      <c r="M13" s="1556" t="s">
        <v>8650</v>
      </c>
      <c r="N13" s="1556" t="s">
        <v>2622</v>
      </c>
      <c r="O13" s="1556" t="s">
        <v>8696</v>
      </c>
      <c r="P13" s="1556" t="s">
        <v>8697</v>
      </c>
      <c r="Q13" s="1507" t="s">
        <v>8698</v>
      </c>
      <c r="R13" s="1557" t="s">
        <v>8699</v>
      </c>
      <c r="S13" s="1507" t="s">
        <v>1903</v>
      </c>
      <c r="T13" s="1557" t="s">
        <v>8700</v>
      </c>
      <c r="U13" s="1507" t="s">
        <v>7229</v>
      </c>
      <c r="V13" s="1557" t="s">
        <v>3402</v>
      </c>
      <c r="W13" s="1558" t="s">
        <v>8701</v>
      </c>
      <c r="X13" s="1558" t="s">
        <v>4036</v>
      </c>
      <c r="Y13" s="1558" t="s">
        <v>6948</v>
      </c>
      <c r="Z13" s="1558" t="s">
        <v>8702</v>
      </c>
      <c r="AA13" s="1558" t="s">
        <v>8546</v>
      </c>
      <c r="AB13" s="1558" t="s">
        <v>4410</v>
      </c>
      <c r="AC13" s="1558" t="s">
        <v>1148</v>
      </c>
      <c r="AD13" s="1554" t="s">
        <v>8703</v>
      </c>
      <c r="AE13" s="1554" t="s">
        <v>5265</v>
      </c>
      <c r="AF13" s="1559" t="s">
        <v>8704</v>
      </c>
      <c r="AG13" s="1559" t="s">
        <v>7724</v>
      </c>
      <c r="AH13" s="1559" t="s">
        <v>5275</v>
      </c>
      <c r="AI13" s="1559" t="s">
        <v>8705</v>
      </c>
      <c r="AJ13" s="1559" t="s">
        <v>8706</v>
      </c>
      <c r="AK13" s="1559" t="s">
        <v>8707</v>
      </c>
      <c r="AL13" s="1559" t="s">
        <v>4068</v>
      </c>
      <c r="AM13" s="1560" t="s">
        <v>8708</v>
      </c>
      <c r="AN13" s="1561" t="s">
        <v>4654</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6172</v>
      </c>
      <c r="B14" s="1563" t="s">
        <v>8430</v>
      </c>
      <c r="C14" s="1505">
        <v>0.04982638888888889</v>
      </c>
      <c r="D14" s="1513" t="s">
        <v>8716</v>
      </c>
      <c r="E14" s="1513" t="s">
        <v>4745</v>
      </c>
      <c r="F14" s="1513" t="s">
        <v>8717</v>
      </c>
      <c r="G14" s="1513" t="s">
        <v>8718</v>
      </c>
      <c r="H14" s="1513" t="s">
        <v>8719</v>
      </c>
      <c r="I14" s="1513" t="s">
        <v>5617</v>
      </c>
      <c r="J14" s="1513" t="s">
        <v>8720</v>
      </c>
      <c r="K14" s="1423" t="s">
        <v>8721</v>
      </c>
      <c r="L14" s="1513" t="s">
        <v>8722</v>
      </c>
      <c r="M14" s="1513" t="s">
        <v>8723</v>
      </c>
      <c r="N14" s="1513" t="s">
        <v>2025</v>
      </c>
      <c r="O14" s="1513" t="s">
        <v>8724</v>
      </c>
      <c r="P14" s="1423" t="s">
        <v>4473</v>
      </c>
      <c r="Q14" s="1513" t="s">
        <v>8725</v>
      </c>
      <c r="R14" s="1513" t="s">
        <v>1942</v>
      </c>
      <c r="S14" s="1513" t="s">
        <v>3388</v>
      </c>
      <c r="T14" s="1513" t="s">
        <v>8726</v>
      </c>
      <c r="U14" s="1513" t="s">
        <v>8727</v>
      </c>
      <c r="V14" s="1513" t="s">
        <v>6580</v>
      </c>
      <c r="W14" s="1513" t="s">
        <v>5421</v>
      </c>
      <c r="X14" s="1513" t="s">
        <v>8449</v>
      </c>
      <c r="Y14" s="1513" t="s">
        <v>8539</v>
      </c>
      <c r="Z14" s="1513" t="s">
        <v>6706</v>
      </c>
      <c r="AA14" s="1564" t="s">
        <v>8728</v>
      </c>
      <c r="AB14" s="1513" t="s">
        <v>5723</v>
      </c>
      <c r="AC14" s="1513" t="s">
        <v>1031</v>
      </c>
      <c r="AD14" s="1513" t="s">
        <v>7379</v>
      </c>
      <c r="AE14" s="1513" t="s">
        <v>4879</v>
      </c>
      <c r="AF14" s="1513" t="s">
        <v>8729</v>
      </c>
      <c r="AG14" s="1513" t="s">
        <v>1530</v>
      </c>
      <c r="AH14" s="1423" t="s">
        <v>8730</v>
      </c>
      <c r="AI14" s="1513" t="s">
        <v>8097</v>
      </c>
      <c r="AJ14" s="1513" t="s">
        <v>8731</v>
      </c>
      <c r="AK14" s="1513" t="s">
        <v>8732</v>
      </c>
      <c r="AL14" s="1513" t="s">
        <v>4402</v>
      </c>
      <c r="AM14" s="1513" t="s">
        <v>3410</v>
      </c>
      <c r="AN14" s="1513" t="s">
        <v>8733</v>
      </c>
      <c r="AO14" s="1513" t="s">
        <v>8574</v>
      </c>
      <c r="AP14" s="1565" t="s">
        <v>8455</v>
      </c>
      <c r="AQ14" s="1513" t="s">
        <v>8734</v>
      </c>
      <c r="AR14" s="1513" t="s">
        <v>8735</v>
      </c>
      <c r="AS14" s="1513" t="s">
        <v>8736</v>
      </c>
      <c r="AT14" s="1513" t="s">
        <v>8737</v>
      </c>
      <c r="AU14" s="1566" t="s">
        <v>8738</v>
      </c>
      <c r="AV14" s="1512" t="str">
        <f t="shared" si="1"/>
        <v>2:18</v>
      </c>
      <c r="AW14" s="1567" t="s">
        <v>8739</v>
      </c>
    </row>
    <row r="15" ht="15.75" customHeight="1">
      <c r="A15" s="1503" t="s">
        <v>2012</v>
      </c>
      <c r="B15" s="1504" t="s">
        <v>8430</v>
      </c>
      <c r="C15" s="1505">
        <v>0.049895833333333334</v>
      </c>
      <c r="D15" s="1423" t="s">
        <v>8740</v>
      </c>
      <c r="E15" s="1568" t="s">
        <v>884</v>
      </c>
      <c r="F15" s="1554" t="s">
        <v>8741</v>
      </c>
      <c r="G15" s="1568" t="s">
        <v>8742</v>
      </c>
      <c r="H15" s="1569" t="s">
        <v>8743</v>
      </c>
      <c r="I15" s="1555" t="s">
        <v>5482</v>
      </c>
      <c r="J15" s="1556" t="s">
        <v>8744</v>
      </c>
      <c r="K15" s="1570" t="s">
        <v>8745</v>
      </c>
      <c r="L15" s="1556" t="s">
        <v>8746</v>
      </c>
      <c r="M15" s="1556" t="s">
        <v>4980</v>
      </c>
      <c r="N15" s="1556" t="s">
        <v>8747</v>
      </c>
      <c r="O15" s="1570" t="s">
        <v>8748</v>
      </c>
      <c r="P15" s="1423" t="s">
        <v>8749</v>
      </c>
      <c r="Q15" s="1557" t="s">
        <v>3465</v>
      </c>
      <c r="R15" s="1571" t="s">
        <v>8750</v>
      </c>
      <c r="S15" s="1571" t="s">
        <v>8751</v>
      </c>
      <c r="T15" s="1571" t="s">
        <v>8752</v>
      </c>
      <c r="U15" s="1571" t="s">
        <v>8753</v>
      </c>
      <c r="V15" s="1557" t="s">
        <v>4454</v>
      </c>
      <c r="W15" s="1558" t="s">
        <v>8754</v>
      </c>
      <c r="X15" s="1572" t="s">
        <v>8755</v>
      </c>
      <c r="Y15" s="1558" t="s">
        <v>8756</v>
      </c>
      <c r="Z15" s="1558" t="s">
        <v>8757</v>
      </c>
      <c r="AA15" s="1558" t="s">
        <v>3243</v>
      </c>
      <c r="AB15" s="1572" t="s">
        <v>7685</v>
      </c>
      <c r="AC15" s="1572" t="s">
        <v>1220</v>
      </c>
      <c r="AD15" s="1568" t="s">
        <v>8758</v>
      </c>
      <c r="AE15" s="1568" t="s">
        <v>8759</v>
      </c>
      <c r="AF15" s="1573" t="s">
        <v>8760</v>
      </c>
      <c r="AG15" s="1559" t="s">
        <v>8761</v>
      </c>
      <c r="AH15" s="1559" t="s">
        <v>8762</v>
      </c>
      <c r="AI15" s="1559" t="s">
        <v>8661</v>
      </c>
      <c r="AJ15" s="1573" t="s">
        <v>8763</v>
      </c>
      <c r="AK15" s="1573" t="s">
        <v>891</v>
      </c>
      <c r="AL15" s="1559" t="s">
        <v>8764</v>
      </c>
      <c r="AM15" s="1561" t="s">
        <v>8765</v>
      </c>
      <c r="AN15" s="1560" t="s">
        <v>3039</v>
      </c>
      <c r="AO15" s="1561" t="s">
        <v>8766</v>
      </c>
      <c r="AP15" s="1560" t="s">
        <v>5552</v>
      </c>
      <c r="AQ15" s="1561" t="s">
        <v>8767</v>
      </c>
      <c r="AR15" s="1560" t="s">
        <v>1163</v>
      </c>
      <c r="AS15" s="1560" t="s">
        <v>3961</v>
      </c>
      <c r="AT15" s="1570" t="s">
        <v>6301</v>
      </c>
      <c r="AU15" s="1574" t="s">
        <v>8768</v>
      </c>
      <c r="AV15" s="1512" t="str">
        <f t="shared" si="1"/>
        <v>2:22</v>
      </c>
      <c r="AW15" s="1544" t="s">
        <v>8769</v>
      </c>
    </row>
    <row r="16">
      <c r="A16" s="1550" t="s">
        <v>1552</v>
      </c>
      <c r="B16" s="1548" t="s">
        <v>8430</v>
      </c>
      <c r="C16" s="1505">
        <v>0.04991898148148148</v>
      </c>
      <c r="D16" s="1575" t="s">
        <v>8770</v>
      </c>
      <c r="E16" s="1576" t="s">
        <v>8771</v>
      </c>
      <c r="F16" s="1576" t="s">
        <v>8772</v>
      </c>
      <c r="G16" s="1576" t="s">
        <v>8773</v>
      </c>
      <c r="H16" s="1576" t="s">
        <v>8774</v>
      </c>
      <c r="I16" s="1576">
        <v>48.07</v>
      </c>
      <c r="J16" s="1576" t="s">
        <v>8775</v>
      </c>
      <c r="K16" s="1576" t="s">
        <v>1703</v>
      </c>
      <c r="L16" s="1576">
        <v>56.32</v>
      </c>
      <c r="M16" s="1576" t="s">
        <v>861</v>
      </c>
      <c r="N16" s="1576" t="s">
        <v>8776</v>
      </c>
      <c r="O16" s="1576" t="s">
        <v>8777</v>
      </c>
      <c r="P16" s="1576">
        <v>47.77</v>
      </c>
      <c r="Q16" s="1576" t="s">
        <v>8778</v>
      </c>
      <c r="R16" s="1576" t="s">
        <v>7265</v>
      </c>
      <c r="S16" s="1576" t="s">
        <v>8779</v>
      </c>
      <c r="T16" s="1576" t="s">
        <v>4538</v>
      </c>
      <c r="U16" s="1576" t="s">
        <v>8780</v>
      </c>
      <c r="V16" s="1576">
        <v>59.79</v>
      </c>
      <c r="W16" s="1576" t="s">
        <v>8781</v>
      </c>
      <c r="X16" s="1576" t="s">
        <v>2075</v>
      </c>
      <c r="Y16" s="1576">
        <v>47.0</v>
      </c>
      <c r="Z16" s="1576" t="s">
        <v>8782</v>
      </c>
      <c r="AA16" s="1576" t="s">
        <v>8783</v>
      </c>
      <c r="AB16" s="1576" t="s">
        <v>7233</v>
      </c>
      <c r="AC16" s="1576">
        <v>47.56</v>
      </c>
      <c r="AD16" s="1576" t="s">
        <v>8476</v>
      </c>
      <c r="AE16" s="1576">
        <v>47.95</v>
      </c>
      <c r="AF16" s="1576" t="s">
        <v>8784</v>
      </c>
      <c r="AG16" s="1576" t="s">
        <v>8785</v>
      </c>
      <c r="AH16" s="1576">
        <v>57.67</v>
      </c>
      <c r="AI16" s="1576" t="s">
        <v>960</v>
      </c>
      <c r="AJ16" s="1576" t="s">
        <v>8786</v>
      </c>
      <c r="AK16" s="1576" t="s">
        <v>7719</v>
      </c>
      <c r="AL16" s="1576">
        <v>56.37</v>
      </c>
      <c r="AM16" s="1576" t="s">
        <v>8787</v>
      </c>
      <c r="AN16" s="1576">
        <v>55.92</v>
      </c>
      <c r="AO16" s="1576" t="s">
        <v>4430</v>
      </c>
      <c r="AP16" s="1576" t="s">
        <v>8324</v>
      </c>
      <c r="AQ16" s="1576" t="s">
        <v>8788</v>
      </c>
      <c r="AR16" s="1576" t="s">
        <v>6417</v>
      </c>
      <c r="AS16" s="1576">
        <v>46.83</v>
      </c>
      <c r="AT16" s="1577" t="s">
        <v>8789</v>
      </c>
      <c r="AU16" s="1534" t="s">
        <v>8790</v>
      </c>
      <c r="AV16" s="1512" t="str">
        <f t="shared" si="1"/>
        <v>1:53</v>
      </c>
      <c r="AW16" s="1549" t="s">
        <v>8791</v>
      </c>
    </row>
    <row r="17">
      <c r="A17" s="1550" t="s">
        <v>2097</v>
      </c>
      <c r="B17" s="1548" t="s">
        <v>8430</v>
      </c>
      <c r="C17" s="1578">
        <v>0.049930555555555554</v>
      </c>
      <c r="D17" s="1579" t="s">
        <v>8792</v>
      </c>
      <c r="E17" s="1534" t="s">
        <v>8437</v>
      </c>
      <c r="F17" s="1534" t="s">
        <v>4254</v>
      </c>
      <c r="G17" s="1534" t="s">
        <v>8793</v>
      </c>
      <c r="H17" s="1534" t="s">
        <v>8794</v>
      </c>
      <c r="I17" s="1534" t="s">
        <v>5592</v>
      </c>
      <c r="J17" s="1534" t="s">
        <v>6179</v>
      </c>
      <c r="K17" s="1534" t="s">
        <v>8795</v>
      </c>
      <c r="L17" s="1534" t="s">
        <v>4068</v>
      </c>
      <c r="M17" s="1534" t="s">
        <v>1092</v>
      </c>
      <c r="N17" s="1534" t="s">
        <v>8796</v>
      </c>
      <c r="O17" s="1534" t="s">
        <v>799</v>
      </c>
      <c r="P17" s="1527">
        <v>47.54</v>
      </c>
      <c r="Q17" s="1580" t="s">
        <v>5599</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2749</v>
      </c>
      <c r="AJ17" s="1527" t="s">
        <v>8808</v>
      </c>
      <c r="AK17" s="1507" t="s">
        <v>8809</v>
      </c>
      <c r="AL17" s="1580">
        <v>55.92</v>
      </c>
      <c r="AM17" s="1580" t="s">
        <v>2791</v>
      </c>
      <c r="AN17" s="1507" t="s">
        <v>5640</v>
      </c>
      <c r="AO17" s="1580" t="s">
        <v>6691</v>
      </c>
      <c r="AP17" s="1580" t="s">
        <v>8810</v>
      </c>
      <c r="AQ17" s="1580" t="s">
        <v>7349</v>
      </c>
      <c r="AR17" s="1580" t="s">
        <v>6264</v>
      </c>
      <c r="AS17" s="1582">
        <v>42.83</v>
      </c>
      <c r="AT17" s="1527" t="s">
        <v>7902</v>
      </c>
      <c r="AU17" s="1543" t="s">
        <v>8811</v>
      </c>
      <c r="AV17" s="1512" t="str">
        <f t="shared" si="1"/>
        <v>4:29</v>
      </c>
      <c r="AW17" s="1549" t="s">
        <v>8812</v>
      </c>
    </row>
    <row r="18" ht="15.75" customHeight="1">
      <c r="A18" s="1550" t="s">
        <v>2255</v>
      </c>
      <c r="B18" s="1504" t="s">
        <v>8430</v>
      </c>
      <c r="C18" s="1505">
        <v>0.0499537037037037</v>
      </c>
      <c r="D18" s="1514" t="s">
        <v>8813</v>
      </c>
      <c r="E18" s="1514" t="s">
        <v>2699</v>
      </c>
      <c r="F18" s="1514" t="s">
        <v>8814</v>
      </c>
      <c r="G18" s="1507" t="s">
        <v>8815</v>
      </c>
      <c r="H18" s="1514" t="s">
        <v>8816</v>
      </c>
      <c r="I18" s="1583" t="s">
        <v>8759</v>
      </c>
      <c r="J18" s="1514" t="s">
        <v>1421</v>
      </c>
      <c r="K18" s="1514" t="s">
        <v>5145</v>
      </c>
      <c r="L18" s="1514" t="s">
        <v>8817</v>
      </c>
      <c r="M18" s="1514" t="s">
        <v>8818</v>
      </c>
      <c r="N18" s="1514" t="s">
        <v>8819</v>
      </c>
      <c r="O18" s="1514" t="s">
        <v>8820</v>
      </c>
      <c r="P18" s="1514" t="s">
        <v>8821</v>
      </c>
      <c r="Q18" s="1514" t="s">
        <v>4619</v>
      </c>
      <c r="R18" s="1557" t="s">
        <v>8822</v>
      </c>
      <c r="S18" s="1514" t="s">
        <v>4000</v>
      </c>
      <c r="T18" s="1514" t="s">
        <v>8656</v>
      </c>
      <c r="U18" s="1514" t="s">
        <v>8823</v>
      </c>
      <c r="V18" s="1514" t="s">
        <v>8824</v>
      </c>
      <c r="W18" s="1514" t="s">
        <v>8825</v>
      </c>
      <c r="X18" s="1514" t="s">
        <v>7686</v>
      </c>
      <c r="Y18" s="1514" t="s">
        <v>4267</v>
      </c>
      <c r="Z18" s="1514" t="s">
        <v>8826</v>
      </c>
      <c r="AA18" s="1514" t="s">
        <v>7686</v>
      </c>
      <c r="AB18" s="1514" t="s">
        <v>8651</v>
      </c>
      <c r="AC18" s="1514" t="s">
        <v>5563</v>
      </c>
      <c r="AD18" s="1514" t="s">
        <v>7737</v>
      </c>
      <c r="AE18" s="1514" t="s">
        <v>8827</v>
      </c>
      <c r="AF18" s="1514" t="s">
        <v>8828</v>
      </c>
      <c r="AG18" s="1514" t="s">
        <v>4985</v>
      </c>
      <c r="AH18" s="1514" t="s">
        <v>5179</v>
      </c>
      <c r="AI18" s="1514" t="s">
        <v>8829</v>
      </c>
      <c r="AJ18" s="1509" t="s">
        <v>8451</v>
      </c>
      <c r="AK18" s="1514" t="s">
        <v>2523</v>
      </c>
      <c r="AL18" s="1514" t="s">
        <v>8830</v>
      </c>
      <c r="AM18" s="1514" t="s">
        <v>8831</v>
      </c>
      <c r="AN18" s="1514" t="s">
        <v>556</v>
      </c>
      <c r="AO18" s="1514" t="s">
        <v>8832</v>
      </c>
      <c r="AP18" s="1514" t="s">
        <v>8833</v>
      </c>
      <c r="AQ18" s="1514" t="s">
        <v>4731</v>
      </c>
      <c r="AR18" s="1514" t="s">
        <v>6418</v>
      </c>
      <c r="AS18" s="1514" t="s">
        <v>8834</v>
      </c>
      <c r="AT18" s="1514" t="s">
        <v>2959</v>
      </c>
      <c r="AU18" s="1514" t="s">
        <v>8835</v>
      </c>
      <c r="AV18" s="1512" t="str">
        <f t="shared" si="1"/>
        <v>3:21</v>
      </c>
      <c r="AW18" s="1567" t="s">
        <v>8836</v>
      </c>
    </row>
    <row r="19" ht="15.75" customHeight="1">
      <c r="A19" s="1503" t="s">
        <v>8837</v>
      </c>
      <c r="B19" s="1504" t="s">
        <v>8430</v>
      </c>
      <c r="C19" s="1505">
        <v>0.049965277777777775</v>
      </c>
      <c r="D19" s="1423" t="s">
        <v>8838</v>
      </c>
      <c r="E19" s="1514" t="s">
        <v>4292</v>
      </c>
      <c r="F19" s="1514" t="s">
        <v>8839</v>
      </c>
      <c r="G19" s="1514" t="s">
        <v>8840</v>
      </c>
      <c r="H19" s="1512" t="s">
        <v>2279</v>
      </c>
      <c r="I19" s="1514" t="s">
        <v>1297</v>
      </c>
      <c r="J19" s="1514" t="s">
        <v>382</v>
      </c>
      <c r="K19" s="1514" t="s">
        <v>8841</v>
      </c>
      <c r="L19" s="1514" t="s">
        <v>5346</v>
      </c>
      <c r="M19" s="1514" t="s">
        <v>6334</v>
      </c>
      <c r="N19" s="1514" t="s">
        <v>8842</v>
      </c>
      <c r="O19" s="1514" t="s">
        <v>2568</v>
      </c>
      <c r="P19" s="1512" t="s">
        <v>5375</v>
      </c>
      <c r="Q19" s="1514" t="s">
        <v>8843</v>
      </c>
      <c r="R19" s="1514" t="s">
        <v>3221</v>
      </c>
      <c r="S19" s="1514" t="s">
        <v>7604</v>
      </c>
      <c r="T19" s="1514" t="s">
        <v>8188</v>
      </c>
      <c r="U19" s="1514" t="s">
        <v>8844</v>
      </c>
      <c r="V19" s="1514" t="s">
        <v>4957</v>
      </c>
      <c r="W19" s="1514" t="s">
        <v>8845</v>
      </c>
      <c r="X19" s="1512" t="s">
        <v>6697</v>
      </c>
      <c r="Y19" s="1512" t="s">
        <v>5467</v>
      </c>
      <c r="Z19" s="1514" t="s">
        <v>8846</v>
      </c>
      <c r="AA19" s="1514" t="s">
        <v>2323</v>
      </c>
      <c r="AB19" s="1514" t="s">
        <v>8847</v>
      </c>
      <c r="AC19" s="1514" t="s">
        <v>786</v>
      </c>
      <c r="AD19" s="1514" t="s">
        <v>5386</v>
      </c>
      <c r="AE19" s="1514" t="s">
        <v>8848</v>
      </c>
      <c r="AF19" s="1514" t="s">
        <v>872</v>
      </c>
      <c r="AG19" s="1514" t="s">
        <v>8849</v>
      </c>
      <c r="AH19" s="1514" t="s">
        <v>8850</v>
      </c>
      <c r="AI19" s="1514" t="s">
        <v>690</v>
      </c>
      <c r="AJ19" s="1512" t="s">
        <v>8851</v>
      </c>
      <c r="AK19" s="1559" t="s">
        <v>7515</v>
      </c>
      <c r="AL19" s="1514" t="s">
        <v>4611</v>
      </c>
      <c r="AM19" s="1514" t="s">
        <v>3611</v>
      </c>
      <c r="AN19" s="1512" t="s">
        <v>6051</v>
      </c>
      <c r="AO19" s="1512" t="s">
        <v>6418</v>
      </c>
      <c r="AP19" s="1512" t="s">
        <v>8852</v>
      </c>
      <c r="AQ19" s="1512" t="s">
        <v>8550</v>
      </c>
      <c r="AR19" s="1512" t="s">
        <v>491</v>
      </c>
      <c r="AS19" s="1512" t="s">
        <v>5650</v>
      </c>
      <c r="AT19" s="1512" t="s">
        <v>8729</v>
      </c>
      <c r="AU19" s="1514" t="s">
        <v>8853</v>
      </c>
      <c r="AV19" s="1512" t="str">
        <f t="shared" si="1"/>
        <v>3:46</v>
      </c>
      <c r="AW19" s="1584" t="s">
        <v>7981</v>
      </c>
    </row>
    <row r="20">
      <c r="A20" s="1550" t="s">
        <v>2032</v>
      </c>
      <c r="B20" s="1545" t="s">
        <v>8430</v>
      </c>
      <c r="C20" s="1585">
        <v>0.04990740740740741</v>
      </c>
      <c r="D20" s="1534" t="s">
        <v>8854</v>
      </c>
      <c r="E20" s="1534" t="s">
        <v>8855</v>
      </c>
      <c r="F20" s="1534" t="s">
        <v>8727</v>
      </c>
      <c r="G20" s="1534" t="s">
        <v>8856</v>
      </c>
      <c r="H20" s="1534" t="s">
        <v>8857</v>
      </c>
      <c r="I20" s="1534" t="s">
        <v>3714</v>
      </c>
      <c r="J20" s="1534" t="s">
        <v>8858</v>
      </c>
      <c r="K20" s="1586" t="s">
        <v>4189</v>
      </c>
      <c r="L20" s="1534" t="s">
        <v>8830</v>
      </c>
      <c r="M20" s="1534" t="s">
        <v>8859</v>
      </c>
      <c r="N20" s="1534" t="s">
        <v>7151</v>
      </c>
      <c r="O20" s="1534" t="s">
        <v>8860</v>
      </c>
      <c r="P20" s="1534" t="s">
        <v>6324</v>
      </c>
      <c r="Q20" s="1534" t="s">
        <v>8861</v>
      </c>
      <c r="R20" s="1534" t="s">
        <v>8797</v>
      </c>
      <c r="S20" s="1534" t="s">
        <v>8862</v>
      </c>
      <c r="T20" s="1534" t="s">
        <v>5680</v>
      </c>
      <c r="U20" s="1534" t="s">
        <v>8863</v>
      </c>
      <c r="V20" s="1534" t="s">
        <v>8864</v>
      </c>
      <c r="W20" s="1534" t="s">
        <v>5406</v>
      </c>
      <c r="X20" s="1534" t="s">
        <v>8865</v>
      </c>
      <c r="Y20" s="1534" t="s">
        <v>8566</v>
      </c>
      <c r="Z20" s="1534" t="s">
        <v>8866</v>
      </c>
      <c r="AA20" s="1534" t="s">
        <v>8803</v>
      </c>
      <c r="AB20" s="1534" t="s">
        <v>8804</v>
      </c>
      <c r="AC20" s="1534" t="s">
        <v>595</v>
      </c>
      <c r="AD20" s="1534" t="s">
        <v>8867</v>
      </c>
      <c r="AE20" s="1534" t="s">
        <v>5480</v>
      </c>
      <c r="AF20" s="1534" t="s">
        <v>8868</v>
      </c>
      <c r="AG20" s="1534" t="s">
        <v>8869</v>
      </c>
      <c r="AH20" s="1534" t="s">
        <v>2835</v>
      </c>
      <c r="AI20" s="1534" t="s">
        <v>8634</v>
      </c>
      <c r="AJ20" s="1534" t="s">
        <v>8870</v>
      </c>
      <c r="AK20" s="1534" t="s">
        <v>8871</v>
      </c>
      <c r="AL20" s="1534" t="s">
        <v>344</v>
      </c>
      <c r="AM20" s="1534" t="s">
        <v>2182</v>
      </c>
      <c r="AN20" s="1534" t="s">
        <v>232</v>
      </c>
      <c r="AO20" s="1534" t="s">
        <v>8872</v>
      </c>
      <c r="AP20" s="1534" t="s">
        <v>8873</v>
      </c>
      <c r="AQ20" s="1507" t="s">
        <v>7601</v>
      </c>
      <c r="AR20" s="1534" t="s">
        <v>2596</v>
      </c>
      <c r="AS20" s="1534" t="s">
        <v>925</v>
      </c>
      <c r="AT20" s="1534" t="s">
        <v>2435</v>
      </c>
      <c r="AU20" s="1514" t="s">
        <v>8874</v>
      </c>
      <c r="AV20" s="1512" t="str">
        <f t="shared" si="1"/>
        <v>2:24</v>
      </c>
      <c r="AW20" s="1584"/>
    </row>
    <row r="21" ht="15.75" customHeight="1">
      <c r="A21" s="1587" t="s">
        <v>6090</v>
      </c>
      <c r="B21" s="1504" t="s">
        <v>8430</v>
      </c>
      <c r="C21" s="1505">
        <v>0.05</v>
      </c>
      <c r="D21" s="1423" t="s">
        <v>8875</v>
      </c>
      <c r="E21" s="1514" t="s">
        <v>8219</v>
      </c>
      <c r="F21" s="1514" t="s">
        <v>8814</v>
      </c>
      <c r="G21" s="1512" t="s">
        <v>8876</v>
      </c>
      <c r="H21" s="1514" t="s">
        <v>8877</v>
      </c>
      <c r="I21" s="1512" t="s">
        <v>1920</v>
      </c>
      <c r="J21" s="1514" t="s">
        <v>2865</v>
      </c>
      <c r="K21" s="1514" t="s">
        <v>8878</v>
      </c>
      <c r="L21" s="1514" t="s">
        <v>3241</v>
      </c>
      <c r="M21" s="1514" t="s">
        <v>8879</v>
      </c>
      <c r="N21" s="1514" t="s">
        <v>8880</v>
      </c>
      <c r="O21" s="1514" t="s">
        <v>8800</v>
      </c>
      <c r="P21" s="1512" t="s">
        <v>3898</v>
      </c>
      <c r="Q21" s="1514" t="s">
        <v>8881</v>
      </c>
      <c r="R21" s="1514" t="s">
        <v>6622</v>
      </c>
      <c r="S21" s="1514" t="s">
        <v>6864</v>
      </c>
      <c r="T21" s="1514" t="s">
        <v>7267</v>
      </c>
      <c r="U21" s="1514" t="s">
        <v>8882</v>
      </c>
      <c r="V21" s="1514" t="s">
        <v>8883</v>
      </c>
      <c r="W21" s="1514" t="s">
        <v>8884</v>
      </c>
      <c r="X21" s="1514" t="s">
        <v>8885</v>
      </c>
      <c r="Y21" s="1514" t="s">
        <v>8886</v>
      </c>
      <c r="Z21" s="1514" t="s">
        <v>8887</v>
      </c>
      <c r="AA21" s="1514" t="s">
        <v>8888</v>
      </c>
      <c r="AB21" s="1514" t="s">
        <v>8889</v>
      </c>
      <c r="AC21" s="1512" t="s">
        <v>4898</v>
      </c>
      <c r="AD21" s="1514" t="s">
        <v>8890</v>
      </c>
      <c r="AE21" s="1512" t="s">
        <v>5454</v>
      </c>
      <c r="AF21" s="1588" t="s">
        <v>8448</v>
      </c>
      <c r="AG21" s="1514" t="s">
        <v>606</v>
      </c>
      <c r="AH21" s="1514" t="s">
        <v>6849</v>
      </c>
      <c r="AI21" s="1514" t="s">
        <v>309</v>
      </c>
      <c r="AJ21" s="1512" t="s">
        <v>8891</v>
      </c>
      <c r="AK21" s="1514" t="s">
        <v>8892</v>
      </c>
      <c r="AL21" s="1512" t="s">
        <v>3657</v>
      </c>
      <c r="AM21" s="1514" t="s">
        <v>1981</v>
      </c>
      <c r="AN21" s="1512" t="s">
        <v>2587</v>
      </c>
      <c r="AO21" s="1514" t="s">
        <v>3439</v>
      </c>
      <c r="AP21" s="1514" t="s">
        <v>8893</v>
      </c>
      <c r="AQ21" s="1512" t="s">
        <v>8894</v>
      </c>
      <c r="AR21" s="1514" t="s">
        <v>1670</v>
      </c>
      <c r="AS21" s="1512" t="s">
        <v>8736</v>
      </c>
      <c r="AT21" s="1514" t="s">
        <v>8895</v>
      </c>
      <c r="AU21" s="1514" t="s">
        <v>8896</v>
      </c>
      <c r="AV21" s="1512" t="str">
        <f t="shared" si="1"/>
        <v>1:53</v>
      </c>
      <c r="AW21" s="1584"/>
    </row>
    <row r="22" ht="15.75" customHeight="1">
      <c r="A22" s="1550" t="s">
        <v>2221</v>
      </c>
      <c r="B22" s="1589" t="s">
        <v>8460</v>
      </c>
      <c r="C22" s="1505">
        <v>0.05002314814814815</v>
      </c>
      <c r="D22" s="1590" t="s">
        <v>8897</v>
      </c>
      <c r="E22" s="1423" t="s">
        <v>8386</v>
      </c>
      <c r="F22" s="1423" t="s">
        <v>8898</v>
      </c>
      <c r="G22" s="1554" t="s">
        <v>8899</v>
      </c>
      <c r="H22" s="1591" t="s">
        <v>8465</v>
      </c>
      <c r="I22" s="1423" t="s">
        <v>6005</v>
      </c>
      <c r="J22" s="1423" t="s">
        <v>8900</v>
      </c>
      <c r="K22" s="1423" t="s">
        <v>8901</v>
      </c>
      <c r="L22" s="1592" t="s">
        <v>2773</v>
      </c>
      <c r="M22" s="1423" t="s">
        <v>8902</v>
      </c>
      <c r="N22" s="1556" t="s">
        <v>8903</v>
      </c>
      <c r="O22" s="1423" t="s">
        <v>8904</v>
      </c>
      <c r="P22" s="1556" t="s">
        <v>5433</v>
      </c>
      <c r="Q22" s="1423" t="s">
        <v>8905</v>
      </c>
      <c r="R22" s="1592" t="s">
        <v>8471</v>
      </c>
      <c r="S22" s="1557" t="s">
        <v>8906</v>
      </c>
      <c r="T22" s="1593" t="s">
        <v>8473</v>
      </c>
      <c r="U22" s="1557" t="s">
        <v>126</v>
      </c>
      <c r="V22" s="1423" t="s">
        <v>8023</v>
      </c>
      <c r="W22" s="1594" t="s">
        <v>4130</v>
      </c>
      <c r="X22" s="1423" t="s">
        <v>8907</v>
      </c>
      <c r="Y22" s="1592" t="s">
        <v>8474</v>
      </c>
      <c r="Z22" s="1592" t="s">
        <v>443</v>
      </c>
      <c r="AA22" s="1558" t="s">
        <v>4665</v>
      </c>
      <c r="AB22" s="1423" t="s">
        <v>3040</v>
      </c>
      <c r="AC22" s="1423" t="s">
        <v>412</v>
      </c>
      <c r="AD22" s="1423" t="s">
        <v>7737</v>
      </c>
      <c r="AE22" s="1595" t="s">
        <v>6594</v>
      </c>
      <c r="AF22" s="1515" t="s">
        <v>8908</v>
      </c>
      <c r="AG22" s="1592" t="s">
        <v>3879</v>
      </c>
      <c r="AH22" s="1423" t="s">
        <v>4915</v>
      </c>
      <c r="AI22" s="1596" t="s">
        <v>7477</v>
      </c>
      <c r="AJ22" s="1423" t="s">
        <v>8909</v>
      </c>
      <c r="AK22" s="1423" t="s">
        <v>1290</v>
      </c>
      <c r="AL22" s="1594" t="s">
        <v>5977</v>
      </c>
      <c r="AM22" s="1592" t="s">
        <v>8480</v>
      </c>
      <c r="AN22" s="1561" t="s">
        <v>8746</v>
      </c>
      <c r="AO22" s="1592" t="s">
        <v>7644</v>
      </c>
      <c r="AP22" s="1423" t="s">
        <v>8910</v>
      </c>
      <c r="AQ22" s="1597" t="s">
        <v>8482</v>
      </c>
      <c r="AR22" s="1423" t="s">
        <v>860</v>
      </c>
      <c r="AS22" s="1598" t="s">
        <v>5160</v>
      </c>
      <c r="AT22" s="1592" t="s">
        <v>3949</v>
      </c>
      <c r="AU22" s="1543" t="s">
        <v>8911</v>
      </c>
      <c r="AV22" s="1512" t="str">
        <f t="shared" si="1"/>
        <v>4:17</v>
      </c>
      <c r="AW22" s="1549" t="s">
        <v>8912</v>
      </c>
    </row>
    <row r="23">
      <c r="A23" s="1599" t="s">
        <v>3071</v>
      </c>
      <c r="B23" s="1600" t="s">
        <v>8430</v>
      </c>
      <c r="C23" s="1601">
        <v>0.05011574074074074</v>
      </c>
      <c r="D23" s="1602" t="s">
        <v>8913</v>
      </c>
      <c r="E23" s="1603" t="s">
        <v>7518</v>
      </c>
      <c r="F23" s="1602" t="s">
        <v>7254</v>
      </c>
      <c r="G23" s="1602" t="s">
        <v>8914</v>
      </c>
      <c r="H23" s="1604" t="s">
        <v>8915</v>
      </c>
      <c r="I23" s="1604" t="s">
        <v>1920</v>
      </c>
      <c r="J23" s="1605" t="s">
        <v>8916</v>
      </c>
      <c r="K23" s="1606" t="s">
        <v>8917</v>
      </c>
      <c r="L23" s="1607" t="s">
        <v>8918</v>
      </c>
      <c r="M23" s="1606" t="s">
        <v>8919</v>
      </c>
      <c r="N23" s="1606" t="s">
        <v>8920</v>
      </c>
      <c r="O23" s="1605" t="s">
        <v>8921</v>
      </c>
      <c r="P23" s="1607" t="s">
        <v>6338</v>
      </c>
      <c r="Q23" s="1608" t="s">
        <v>8922</v>
      </c>
      <c r="R23" s="1609" t="s">
        <v>5475</v>
      </c>
      <c r="S23" s="1610" t="s">
        <v>1053</v>
      </c>
      <c r="T23" s="1608" t="s">
        <v>1915</v>
      </c>
      <c r="U23" s="1611" t="s">
        <v>8923</v>
      </c>
      <c r="V23" s="1608" t="s">
        <v>3932</v>
      </c>
      <c r="W23" s="1612" t="s">
        <v>7431</v>
      </c>
      <c r="X23" s="1613" t="s">
        <v>8924</v>
      </c>
      <c r="Y23" s="1614" t="s">
        <v>6948</v>
      </c>
      <c r="Z23" s="1612" t="s">
        <v>224</v>
      </c>
      <c r="AA23" s="1613" t="s">
        <v>7387</v>
      </c>
      <c r="AB23" s="1615" t="s">
        <v>3160</v>
      </c>
      <c r="AC23" s="1616" t="s">
        <v>4797</v>
      </c>
      <c r="AD23" s="1603" t="s">
        <v>8925</v>
      </c>
      <c r="AE23" s="1617" t="s">
        <v>5480</v>
      </c>
      <c r="AF23" s="1618" t="s">
        <v>8926</v>
      </c>
      <c r="AG23" s="1619" t="s">
        <v>194</v>
      </c>
      <c r="AH23" s="1620" t="s">
        <v>8927</v>
      </c>
      <c r="AI23" s="1619" t="s">
        <v>8928</v>
      </c>
      <c r="AJ23" s="1621" t="s">
        <v>8929</v>
      </c>
      <c r="AK23" s="1619" t="s">
        <v>8930</v>
      </c>
      <c r="AL23" s="1622" t="s">
        <v>8850</v>
      </c>
      <c r="AM23" s="1623" t="s">
        <v>8480</v>
      </c>
      <c r="AN23" s="1624" t="s">
        <v>4587</v>
      </c>
      <c r="AO23" s="1625" t="s">
        <v>1476</v>
      </c>
      <c r="AP23" s="1626" t="s">
        <v>8931</v>
      </c>
      <c r="AQ23" s="1627" t="s">
        <v>8932</v>
      </c>
      <c r="AR23" s="1625" t="s">
        <v>8626</v>
      </c>
      <c r="AS23" s="1628" t="s">
        <v>8933</v>
      </c>
      <c r="AT23" s="1629" t="s">
        <v>1988</v>
      </c>
      <c r="AU23" s="1630" t="s">
        <v>8934</v>
      </c>
      <c r="AV23" s="1631" t="str">
        <f t="shared" si="1"/>
        <v>3:01</v>
      </c>
      <c r="AW23" s="1632"/>
    </row>
    <row r="24">
      <c r="A24" s="1550" t="s">
        <v>6393</v>
      </c>
      <c r="B24" s="1545" t="s">
        <v>8460</v>
      </c>
      <c r="C24" s="1505">
        <v>0.05016203703703704</v>
      </c>
      <c r="D24" s="1527" t="s">
        <v>8935</v>
      </c>
      <c r="E24" s="1633" t="s">
        <v>8462</v>
      </c>
      <c r="F24" s="1527" t="s">
        <v>8936</v>
      </c>
      <c r="G24" s="1527" t="s">
        <v>8937</v>
      </c>
      <c r="H24" s="1527" t="s">
        <v>8938</v>
      </c>
      <c r="I24" s="1527" t="s">
        <v>4927</v>
      </c>
      <c r="J24" s="1527" t="s">
        <v>4081</v>
      </c>
      <c r="K24" s="1527" t="s">
        <v>8939</v>
      </c>
      <c r="L24" s="1423" t="s">
        <v>5050</v>
      </c>
      <c r="M24" s="1592" t="s">
        <v>8468</v>
      </c>
      <c r="N24" s="1527" t="s">
        <v>8940</v>
      </c>
      <c r="O24" s="1527" t="s">
        <v>8941</v>
      </c>
      <c r="P24" s="1527" t="s">
        <v>5738</v>
      </c>
      <c r="Q24" s="1527" t="s">
        <v>2672</v>
      </c>
      <c r="R24" s="1527" t="s">
        <v>898</v>
      </c>
      <c r="S24" s="1527" t="s">
        <v>8942</v>
      </c>
      <c r="T24" s="1527" t="s">
        <v>1302</v>
      </c>
      <c r="U24" s="1527" t="s">
        <v>8943</v>
      </c>
      <c r="V24" s="1527" t="s">
        <v>8944</v>
      </c>
      <c r="W24" s="1527" t="s">
        <v>8945</v>
      </c>
      <c r="X24" s="1527" t="s">
        <v>1368</v>
      </c>
      <c r="Y24" s="1527" t="s">
        <v>1095</v>
      </c>
      <c r="Z24" s="1527" t="s">
        <v>8802</v>
      </c>
      <c r="AA24" s="1634" t="s">
        <v>8475</v>
      </c>
      <c r="AB24" s="1527" t="s">
        <v>8946</v>
      </c>
      <c r="AC24" s="1527" t="s">
        <v>4704</v>
      </c>
      <c r="AD24" s="1527" t="s">
        <v>8947</v>
      </c>
      <c r="AE24" s="1527" t="s">
        <v>4833</v>
      </c>
      <c r="AF24" s="1527" t="s">
        <v>5618</v>
      </c>
      <c r="AG24" s="1527" t="s">
        <v>8948</v>
      </c>
      <c r="AH24" s="1527" t="s">
        <v>4331</v>
      </c>
      <c r="AI24" s="1514" t="s">
        <v>4145</v>
      </c>
      <c r="AJ24" s="1527" t="s">
        <v>8949</v>
      </c>
      <c r="AK24" s="1527" t="s">
        <v>8950</v>
      </c>
      <c r="AL24" s="1527" t="s">
        <v>2506</v>
      </c>
      <c r="AM24" s="1527" t="s">
        <v>4005</v>
      </c>
      <c r="AN24" s="1527" t="s">
        <v>5839</v>
      </c>
      <c r="AO24" s="1527" t="s">
        <v>8951</v>
      </c>
      <c r="AP24" s="1527" t="s">
        <v>8952</v>
      </c>
      <c r="AQ24" s="1527" t="s">
        <v>3990</v>
      </c>
      <c r="AR24" s="1634" t="s">
        <v>3184</v>
      </c>
      <c r="AS24" s="1527" t="s">
        <v>754</v>
      </c>
      <c r="AT24" s="1527" t="s">
        <v>8953</v>
      </c>
      <c r="AU24" s="1514" t="s">
        <v>8954</v>
      </c>
      <c r="AV24" s="1512" t="str">
        <f t="shared" si="1"/>
        <v>3:20</v>
      </c>
      <c r="AW24" s="1635"/>
    </row>
    <row r="25" ht="15.75" customHeight="1">
      <c r="A25" s="1518" t="s">
        <v>1416</v>
      </c>
      <c r="B25" s="1504" t="s">
        <v>8430</v>
      </c>
      <c r="C25" s="1505">
        <v>0.05025462962962963</v>
      </c>
      <c r="D25" s="1423" t="s">
        <v>8955</v>
      </c>
      <c r="E25" s="1554" t="s">
        <v>8956</v>
      </c>
      <c r="F25" s="1568" t="s">
        <v>8957</v>
      </c>
      <c r="G25" s="1507" t="s">
        <v>8958</v>
      </c>
      <c r="H25" s="1555" t="s">
        <v>8959</v>
      </c>
      <c r="I25" s="1555" t="s">
        <v>1049</v>
      </c>
      <c r="J25" s="1556" t="s">
        <v>8582</v>
      </c>
      <c r="K25" s="1570" t="s">
        <v>8960</v>
      </c>
      <c r="L25" s="1570" t="s">
        <v>5100</v>
      </c>
      <c r="M25" s="1636" t="str">
        <f>HYPERLINK("https://youtu.be/teAIifUZjFw","1:14.18")</f>
        <v>1:14.18</v>
      </c>
      <c r="N25" s="1570" t="s">
        <v>3736</v>
      </c>
      <c r="O25" s="1570" t="s">
        <v>8961</v>
      </c>
      <c r="P25" s="1570" t="s">
        <v>2023</v>
      </c>
      <c r="Q25" s="1571" t="s">
        <v>8962</v>
      </c>
      <c r="R25" s="1557" t="s">
        <v>8963</v>
      </c>
      <c r="S25" s="1557" t="s">
        <v>5412</v>
      </c>
      <c r="T25" s="1637" t="str">
        <f>HYPERLINK("https://youtu.be/AiXricVH5ss","1:24.99")</f>
        <v>1:24.99</v>
      </c>
      <c r="U25" s="1638" t="str">
        <f>HYPERLINK("https://www.twitch.tv/videos/450151935","2:00.31")</f>
        <v>2:00.31</v>
      </c>
      <c r="V25" s="1557" t="s">
        <v>8964</v>
      </c>
      <c r="W25" s="1639" t="str">
        <f>HYPERLINK("https://youtu.be/eafNhBoXVWA","1:46.09")</f>
        <v>1:46.09</v>
      </c>
      <c r="X25" s="1572" t="s">
        <v>4471</v>
      </c>
      <c r="Y25" s="1572" t="s">
        <v>8671</v>
      </c>
      <c r="Z25" s="1572" t="s">
        <v>8965</v>
      </c>
      <c r="AA25" s="1558" t="s">
        <v>8613</v>
      </c>
      <c r="AB25" s="1572" t="s">
        <v>6976</v>
      </c>
      <c r="AC25" s="1572" t="s">
        <v>7569</v>
      </c>
      <c r="AD25" s="1640" t="str">
        <f>HYPERLINK("https://youtu.be/8FEcTKESSh0","1:49.80")</f>
        <v>1:49.80</v>
      </c>
      <c r="AE25" s="1554" t="s">
        <v>6338</v>
      </c>
      <c r="AF25" s="1573" t="s">
        <v>8966</v>
      </c>
      <c r="AG25" s="1573" t="s">
        <v>8967</v>
      </c>
      <c r="AH25" s="1573" t="s">
        <v>8968</v>
      </c>
      <c r="AI25" s="1573" t="s">
        <v>4006</v>
      </c>
      <c r="AJ25" s="1573" t="s">
        <v>8969</v>
      </c>
      <c r="AK25" s="1559" t="s">
        <v>8798</v>
      </c>
      <c r="AL25" s="1573" t="s">
        <v>8970</v>
      </c>
      <c r="AM25" s="1561" t="s">
        <v>8765</v>
      </c>
      <c r="AN25" s="1561" t="s">
        <v>8189</v>
      </c>
      <c r="AO25" s="1561" t="s">
        <v>8971</v>
      </c>
      <c r="AP25" s="1560" t="s">
        <v>8972</v>
      </c>
      <c r="AQ25" s="1560" t="s">
        <v>8973</v>
      </c>
      <c r="AR25" s="1561" t="s">
        <v>8974</v>
      </c>
      <c r="AS25" s="1560" t="s">
        <v>5510</v>
      </c>
      <c r="AT25" s="1636" t="str">
        <f>HYPERLINK("https://youtu.be/xDirVtS1AZ4?t=4416","2:27.45")</f>
        <v>2:27.45</v>
      </c>
      <c r="AU25" s="1574" t="s">
        <v>8975</v>
      </c>
      <c r="AV25" s="1512" t="str">
        <f t="shared" si="1"/>
        <v>2:34</v>
      </c>
      <c r="AW25" s="1544" t="s">
        <v>8976</v>
      </c>
    </row>
    <row r="26">
      <c r="A26" s="1550" t="s">
        <v>6379</v>
      </c>
      <c r="B26" s="1545" t="s">
        <v>8430</v>
      </c>
      <c r="C26" s="1505">
        <v>0.0502662037037037</v>
      </c>
      <c r="D26" s="1423" t="s">
        <v>8977</v>
      </c>
      <c r="E26" s="1514" t="s">
        <v>8602</v>
      </c>
      <c r="F26" s="1514" t="s">
        <v>8978</v>
      </c>
      <c r="G26" s="1514" t="s">
        <v>8979</v>
      </c>
      <c r="H26" s="1514" t="s">
        <v>8980</v>
      </c>
      <c r="I26" s="1423" t="s">
        <v>261</v>
      </c>
      <c r="J26" s="1423" t="s">
        <v>8981</v>
      </c>
      <c r="K26" s="1514" t="s">
        <v>8878</v>
      </c>
      <c r="L26" s="1514" t="s">
        <v>4068</v>
      </c>
      <c r="M26" s="1423" t="s">
        <v>2655</v>
      </c>
      <c r="N26" s="1514" t="s">
        <v>8982</v>
      </c>
      <c r="O26" s="1514" t="s">
        <v>8983</v>
      </c>
      <c r="P26" s="1423" t="s">
        <v>8984</v>
      </c>
      <c r="Q26" s="1514" t="s">
        <v>8985</v>
      </c>
      <c r="R26" s="1423" t="s">
        <v>8986</v>
      </c>
      <c r="S26" s="1514" t="s">
        <v>8987</v>
      </c>
      <c r="T26" s="1423" t="s">
        <v>8988</v>
      </c>
      <c r="U26" s="1514" t="s">
        <v>1033</v>
      </c>
      <c r="V26" s="1423" t="s">
        <v>4957</v>
      </c>
      <c r="W26" s="1423" t="s">
        <v>7117</v>
      </c>
      <c r="X26" s="1423" t="s">
        <v>6697</v>
      </c>
      <c r="Y26" s="1423" t="s">
        <v>969</v>
      </c>
      <c r="Z26" s="1423" t="s">
        <v>8989</v>
      </c>
      <c r="AA26" s="1514" t="s">
        <v>8990</v>
      </c>
      <c r="AB26" s="1423" t="s">
        <v>7568</v>
      </c>
      <c r="AC26" s="1514" t="s">
        <v>8991</v>
      </c>
      <c r="AD26" s="1423" t="s">
        <v>6088</v>
      </c>
      <c r="AE26" s="1514" t="s">
        <v>8992</v>
      </c>
      <c r="AF26" s="1514" t="s">
        <v>8993</v>
      </c>
      <c r="AG26" s="1423" t="s">
        <v>2062</v>
      </c>
      <c r="AH26" s="1423" t="s">
        <v>2593</v>
      </c>
      <c r="AI26" s="1514" t="s">
        <v>8994</v>
      </c>
      <c r="AJ26" s="1423" t="s">
        <v>8995</v>
      </c>
      <c r="AK26" s="1423" t="s">
        <v>8444</v>
      </c>
      <c r="AL26" s="1423" t="s">
        <v>4611</v>
      </c>
      <c r="AM26" s="1423" t="s">
        <v>8996</v>
      </c>
      <c r="AN26" s="1423" t="s">
        <v>4611</v>
      </c>
      <c r="AO26" s="1423" t="s">
        <v>1916</v>
      </c>
      <c r="AP26" s="1514" t="s">
        <v>8997</v>
      </c>
      <c r="AQ26" s="1423" t="s">
        <v>2183</v>
      </c>
      <c r="AR26" s="1514" t="s">
        <v>8306</v>
      </c>
      <c r="AS26" s="1423" t="s">
        <v>1829</v>
      </c>
      <c r="AT26" s="1514" t="s">
        <v>8998</v>
      </c>
      <c r="AU26" s="1514" t="s">
        <v>8999</v>
      </c>
      <c r="AV26" s="1512" t="str">
        <f t="shared" si="1"/>
        <v>2:28</v>
      </c>
      <c r="AW26" s="1546" t="s">
        <v>9000</v>
      </c>
    </row>
    <row r="27">
      <c r="A27" s="1550" t="s">
        <v>9001</v>
      </c>
      <c r="B27" s="1641" t="s">
        <v>8430</v>
      </c>
      <c r="C27" s="1505">
        <v>0.0503125</v>
      </c>
      <c r="D27" s="1423" t="s">
        <v>9002</v>
      </c>
      <c r="E27" s="1554" t="s">
        <v>9003</v>
      </c>
      <c r="F27" s="1554" t="s">
        <v>9004</v>
      </c>
      <c r="G27" s="1554" t="s">
        <v>8016</v>
      </c>
      <c r="H27" s="1642" t="s">
        <v>9005</v>
      </c>
      <c r="I27" s="1642" t="s">
        <v>6947</v>
      </c>
      <c r="J27" s="1556" t="s">
        <v>1912</v>
      </c>
      <c r="K27" s="1556" t="s">
        <v>5860</v>
      </c>
      <c r="L27" s="1556" t="s">
        <v>3469</v>
      </c>
      <c r="M27" s="1556" t="s">
        <v>9006</v>
      </c>
      <c r="N27" s="1556" t="s">
        <v>9007</v>
      </c>
      <c r="O27" s="1556" t="s">
        <v>4130</v>
      </c>
      <c r="P27" s="1556" t="s">
        <v>5127</v>
      </c>
      <c r="Q27" s="1557" t="s">
        <v>9008</v>
      </c>
      <c r="R27" s="1557" t="s">
        <v>9009</v>
      </c>
      <c r="S27" s="1557" t="s">
        <v>548</v>
      </c>
      <c r="T27" s="1557" t="s">
        <v>9010</v>
      </c>
      <c r="U27" s="1557" t="s">
        <v>9011</v>
      </c>
      <c r="V27" s="1557" t="s">
        <v>9012</v>
      </c>
      <c r="W27" s="1558" t="s">
        <v>9013</v>
      </c>
      <c r="X27" s="1558" t="s">
        <v>4471</v>
      </c>
      <c r="Y27" s="1558" t="s">
        <v>1548</v>
      </c>
      <c r="Z27" s="1558" t="s">
        <v>2428</v>
      </c>
      <c r="AA27" s="1558" t="s">
        <v>9014</v>
      </c>
      <c r="AB27" s="1558" t="s">
        <v>3766</v>
      </c>
      <c r="AC27" s="1558" t="s">
        <v>9015</v>
      </c>
      <c r="AD27" s="1554" t="s">
        <v>9016</v>
      </c>
      <c r="AE27" s="1554" t="s">
        <v>8827</v>
      </c>
      <c r="AF27" s="1559" t="s">
        <v>9017</v>
      </c>
      <c r="AG27" s="1559" t="s">
        <v>7763</v>
      </c>
      <c r="AH27" s="1559" t="s">
        <v>9018</v>
      </c>
      <c r="AI27" s="1559" t="s">
        <v>5085</v>
      </c>
      <c r="AJ27" s="1559" t="s">
        <v>9019</v>
      </c>
      <c r="AK27" s="1559" t="s">
        <v>9020</v>
      </c>
      <c r="AL27" s="1559" t="s">
        <v>8663</v>
      </c>
      <c r="AM27" s="1561" t="s">
        <v>8705</v>
      </c>
      <c r="AN27" s="1561" t="s">
        <v>9021</v>
      </c>
      <c r="AO27" s="1561" t="s">
        <v>3291</v>
      </c>
      <c r="AP27" s="1561" t="s">
        <v>9022</v>
      </c>
      <c r="AQ27" s="1561" t="s">
        <v>9023</v>
      </c>
      <c r="AR27" s="1561" t="s">
        <v>2893</v>
      </c>
      <c r="AS27" s="1561" t="s">
        <v>301</v>
      </c>
      <c r="AT27" s="1556" t="s">
        <v>9024</v>
      </c>
      <c r="AU27" s="1543" t="s">
        <v>9025</v>
      </c>
      <c r="AV27" s="1512" t="str">
        <f t="shared" si="1"/>
        <v>2:59</v>
      </c>
      <c r="AW27" s="1549" t="s">
        <v>9026</v>
      </c>
    </row>
    <row r="28" ht="15.75" customHeight="1">
      <c r="A28" s="1550" t="s">
        <v>2602</v>
      </c>
      <c r="B28" s="1548" t="s">
        <v>8460</v>
      </c>
      <c r="C28" s="1505">
        <v>0.050347222222222224</v>
      </c>
      <c r="D28" s="1423" t="s">
        <v>9027</v>
      </c>
      <c r="E28" s="1423" t="s">
        <v>9028</v>
      </c>
      <c r="F28" s="1423" t="s">
        <v>9029</v>
      </c>
      <c r="G28" s="1423" t="s">
        <v>9030</v>
      </c>
      <c r="H28" s="1423" t="s">
        <v>5840</v>
      </c>
      <c r="I28" s="1423" t="s">
        <v>696</v>
      </c>
      <c r="J28" s="1592" t="s">
        <v>8467</v>
      </c>
      <c r="K28" s="1592" t="s">
        <v>1094</v>
      </c>
      <c r="L28" s="1423" t="s">
        <v>9031</v>
      </c>
      <c r="M28" s="1556" t="s">
        <v>8919</v>
      </c>
      <c r="N28" s="1592" t="s">
        <v>2494</v>
      </c>
      <c r="O28" s="1423" t="s">
        <v>9032</v>
      </c>
      <c r="P28" s="1592" t="s">
        <v>5454</v>
      </c>
      <c r="Q28" s="1592" t="s">
        <v>8470</v>
      </c>
      <c r="R28" s="1423" t="s">
        <v>7206</v>
      </c>
      <c r="S28" s="1592" t="s">
        <v>8472</v>
      </c>
      <c r="T28" s="1423" t="s">
        <v>4571</v>
      </c>
      <c r="U28" s="1423" t="s">
        <v>9033</v>
      </c>
      <c r="V28" s="1592" t="s">
        <v>4100</v>
      </c>
      <c r="W28" s="1423" t="s">
        <v>6037</v>
      </c>
      <c r="X28" s="1423" t="s">
        <v>5680</v>
      </c>
      <c r="Y28" s="1423" t="s">
        <v>5563</v>
      </c>
      <c r="Z28" s="1423" t="s">
        <v>1132</v>
      </c>
      <c r="AA28" s="1423" t="s">
        <v>9034</v>
      </c>
      <c r="AB28" s="1423" t="s">
        <v>3274</v>
      </c>
      <c r="AC28" s="1423" t="s">
        <v>1904</v>
      </c>
      <c r="AD28" s="1423" t="s">
        <v>9035</v>
      </c>
      <c r="AE28" s="1423" t="s">
        <v>3235</v>
      </c>
      <c r="AF28" s="1423" t="s">
        <v>9036</v>
      </c>
      <c r="AG28" s="1423" t="s">
        <v>5561</v>
      </c>
      <c r="AH28" s="1423" t="s">
        <v>4599</v>
      </c>
      <c r="AI28" s="1423" t="s">
        <v>3373</v>
      </c>
      <c r="AJ28" s="1423" t="s">
        <v>9037</v>
      </c>
      <c r="AK28" s="1423" t="s">
        <v>2972</v>
      </c>
      <c r="AL28" s="1423" t="s">
        <v>9038</v>
      </c>
      <c r="AM28" s="1423" t="s">
        <v>9039</v>
      </c>
      <c r="AN28" s="1423" t="s">
        <v>4394</v>
      </c>
      <c r="AO28" s="1423" t="s">
        <v>7292</v>
      </c>
      <c r="AP28" s="1423" t="s">
        <v>9040</v>
      </c>
      <c r="AQ28" s="1423" t="s">
        <v>3658</v>
      </c>
      <c r="AR28" s="1423" t="s">
        <v>2893</v>
      </c>
      <c r="AS28" s="1423" t="s">
        <v>6565</v>
      </c>
      <c r="AT28" s="1423" t="s">
        <v>9041</v>
      </c>
      <c r="AU28" s="1559" t="s">
        <v>8483</v>
      </c>
      <c r="AV28" s="1512" t="str">
        <f t="shared" si="1"/>
        <v>2:37</v>
      </c>
      <c r="AW28" s="1643"/>
    </row>
    <row r="29" ht="15.75" customHeight="1">
      <c r="A29" s="1503" t="s">
        <v>9042</v>
      </c>
      <c r="B29" s="1563" t="s">
        <v>8460</v>
      </c>
      <c r="C29" s="1505">
        <v>0.05042824074074074</v>
      </c>
      <c r="D29" s="1423" t="s">
        <v>8716</v>
      </c>
      <c r="E29" s="1554" t="s">
        <v>6119</v>
      </c>
      <c r="F29" s="1554" t="s">
        <v>9043</v>
      </c>
      <c r="G29" s="1568" t="s">
        <v>9044</v>
      </c>
      <c r="H29" s="1555" t="s">
        <v>9045</v>
      </c>
      <c r="I29" s="1642" t="s">
        <v>3144</v>
      </c>
      <c r="J29" s="1556" t="s">
        <v>4766</v>
      </c>
      <c r="K29" s="1556" t="s">
        <v>8939</v>
      </c>
      <c r="L29" s="1556" t="s">
        <v>2469</v>
      </c>
      <c r="M29" s="1556" t="s">
        <v>2052</v>
      </c>
      <c r="N29" s="1556" t="s">
        <v>4176</v>
      </c>
      <c r="O29" s="1556" t="s">
        <v>9046</v>
      </c>
      <c r="P29" s="1570" t="s">
        <v>759</v>
      </c>
      <c r="Q29" s="1557" t="s">
        <v>9047</v>
      </c>
      <c r="R29" s="1557" t="s">
        <v>3388</v>
      </c>
      <c r="S29" s="1557" t="s">
        <v>7541</v>
      </c>
      <c r="T29" s="1571" t="s">
        <v>8634</v>
      </c>
      <c r="U29" s="1557" t="s">
        <v>8586</v>
      </c>
      <c r="V29" s="1571" t="s">
        <v>9048</v>
      </c>
      <c r="W29" s="1572" t="s">
        <v>7326</v>
      </c>
      <c r="X29" s="1644" t="s">
        <v>2565</v>
      </c>
      <c r="Y29" s="1572" t="s">
        <v>9049</v>
      </c>
      <c r="Z29" s="1558" t="s">
        <v>9050</v>
      </c>
      <c r="AA29" s="1572" t="s">
        <v>9051</v>
      </c>
      <c r="AB29" s="1423" t="s">
        <v>7392</v>
      </c>
      <c r="AC29" s="1572" t="s">
        <v>3588</v>
      </c>
      <c r="AD29" s="1595" t="s">
        <v>8476</v>
      </c>
      <c r="AE29" s="1554" t="s">
        <v>3235</v>
      </c>
      <c r="AF29" s="1559" t="s">
        <v>9052</v>
      </c>
      <c r="AG29" s="1573" t="s">
        <v>3878</v>
      </c>
      <c r="AH29" s="1573" t="s">
        <v>9053</v>
      </c>
      <c r="AI29" s="1512" t="s">
        <v>8990</v>
      </c>
      <c r="AJ29" s="1573" t="s">
        <v>9054</v>
      </c>
      <c r="AK29" s="1596" t="s">
        <v>8479</v>
      </c>
      <c r="AL29" s="1573" t="s">
        <v>3593</v>
      </c>
      <c r="AM29" s="1561" t="s">
        <v>9055</v>
      </c>
      <c r="AN29" s="1561" t="s">
        <v>5037</v>
      </c>
      <c r="AO29" s="1561" t="s">
        <v>2088</v>
      </c>
      <c r="AP29" s="1561" t="s">
        <v>9056</v>
      </c>
      <c r="AQ29" s="1560" t="s">
        <v>9057</v>
      </c>
      <c r="AR29" s="1560" t="s">
        <v>3637</v>
      </c>
      <c r="AS29" s="1560" t="s">
        <v>5175</v>
      </c>
      <c r="AT29" s="1556" t="s">
        <v>9058</v>
      </c>
      <c r="AU29" s="1543" t="s">
        <v>9059</v>
      </c>
      <c r="AV29" s="1512" t="str">
        <f t="shared" si="1"/>
        <v>2:55</v>
      </c>
      <c r="AW29" s="1645"/>
    </row>
    <row r="30" ht="15.75" customHeight="1">
      <c r="A30" s="1503" t="s">
        <v>4258</v>
      </c>
      <c r="B30" s="1504" t="s">
        <v>8430</v>
      </c>
      <c r="C30" s="1646">
        <v>0.05043981481481481</v>
      </c>
      <c r="D30" s="1423" t="s">
        <v>9060</v>
      </c>
      <c r="E30" s="1512" t="s">
        <v>7296</v>
      </c>
      <c r="F30" s="1512" t="s">
        <v>1575</v>
      </c>
      <c r="G30" s="1512" t="s">
        <v>9061</v>
      </c>
      <c r="H30" s="1512" t="s">
        <v>8625</v>
      </c>
      <c r="I30" s="1512" t="s">
        <v>4675</v>
      </c>
      <c r="J30" s="1512" t="s">
        <v>4481</v>
      </c>
      <c r="K30" s="1512" t="s">
        <v>8841</v>
      </c>
      <c r="L30" s="1512" t="s">
        <v>3806</v>
      </c>
      <c r="M30" s="1512" t="s">
        <v>9062</v>
      </c>
      <c r="N30" s="1512" t="s">
        <v>9063</v>
      </c>
      <c r="O30" s="1512" t="s">
        <v>9064</v>
      </c>
      <c r="P30" s="1512" t="s">
        <v>5265</v>
      </c>
      <c r="Q30" s="1512" t="s">
        <v>9065</v>
      </c>
      <c r="R30" s="1512" t="s">
        <v>9066</v>
      </c>
      <c r="S30" s="1512" t="s">
        <v>8862</v>
      </c>
      <c r="T30" s="1512" t="s">
        <v>9067</v>
      </c>
      <c r="U30" s="1512" t="s">
        <v>9068</v>
      </c>
      <c r="V30" s="1512" t="s">
        <v>2275</v>
      </c>
      <c r="W30" s="1512" t="s">
        <v>9069</v>
      </c>
      <c r="X30" s="1512" t="s">
        <v>9070</v>
      </c>
      <c r="Y30" s="1512" t="s">
        <v>8886</v>
      </c>
      <c r="Z30" s="1512" t="s">
        <v>1132</v>
      </c>
      <c r="AA30" s="1512" t="s">
        <v>3373</v>
      </c>
      <c r="AB30" s="1512" t="s">
        <v>4766</v>
      </c>
      <c r="AC30" s="1512" t="s">
        <v>7569</v>
      </c>
      <c r="AD30" s="1512" t="s">
        <v>6069</v>
      </c>
      <c r="AE30" s="1512" t="s">
        <v>5480</v>
      </c>
      <c r="AF30" s="1512" t="s">
        <v>9071</v>
      </c>
      <c r="AG30" s="1512" t="s">
        <v>6233</v>
      </c>
      <c r="AH30" s="1512" t="s">
        <v>4031</v>
      </c>
      <c r="AI30" s="1512" t="s">
        <v>5085</v>
      </c>
      <c r="AJ30" s="1512" t="s">
        <v>9072</v>
      </c>
      <c r="AK30" s="1512" t="s">
        <v>9073</v>
      </c>
      <c r="AL30" s="1512" t="s">
        <v>5795</v>
      </c>
      <c r="AM30" s="1512" t="s">
        <v>1232</v>
      </c>
      <c r="AN30" s="1512" t="s">
        <v>4179</v>
      </c>
      <c r="AO30" s="1512" t="s">
        <v>9074</v>
      </c>
      <c r="AP30" s="1647" t="str">
        <f>HYPERLINK("https://www.twitch.tv/videos/511415405","2:00.79")</f>
        <v>2:00.79</v>
      </c>
      <c r="AQ30" s="1512" t="s">
        <v>9075</v>
      </c>
      <c r="AR30" s="1512" t="s">
        <v>7292</v>
      </c>
      <c r="AS30" s="1512" t="s">
        <v>9076</v>
      </c>
      <c r="AT30" s="1512" t="s">
        <v>9077</v>
      </c>
      <c r="AU30" s="1512" t="s">
        <v>9078</v>
      </c>
      <c r="AV30" s="1512" t="str">
        <f t="shared" si="1"/>
        <v>2:36</v>
      </c>
      <c r="AW30" s="1531" t="s">
        <v>6465</v>
      </c>
    </row>
    <row r="31">
      <c r="A31" s="1550" t="s">
        <v>1198</v>
      </c>
      <c r="B31" s="1548" t="s">
        <v>8430</v>
      </c>
      <c r="C31" s="1505">
        <v>0.050486111111111114</v>
      </c>
      <c r="D31" s="1554" t="s">
        <v>9079</v>
      </c>
      <c r="E31" s="1554" t="s">
        <v>4217</v>
      </c>
      <c r="F31" s="1554" t="s">
        <v>9080</v>
      </c>
      <c r="G31" s="1554" t="s">
        <v>9081</v>
      </c>
      <c r="H31" s="1423" t="s">
        <v>9082</v>
      </c>
      <c r="I31" s="1642" t="s">
        <v>853</v>
      </c>
      <c r="J31" s="1556" t="s">
        <v>5611</v>
      </c>
      <c r="K31" s="1556" t="s">
        <v>7775</v>
      </c>
      <c r="L31" s="1556" t="s">
        <v>6286</v>
      </c>
      <c r="M31" s="1556" t="s">
        <v>4949</v>
      </c>
      <c r="N31" s="1556" t="s">
        <v>9083</v>
      </c>
      <c r="O31" s="1556" t="s">
        <v>9084</v>
      </c>
      <c r="P31" s="1556" t="s">
        <v>8759</v>
      </c>
      <c r="Q31" s="1557" t="s">
        <v>878</v>
      </c>
      <c r="R31" s="1557" t="s">
        <v>4713</v>
      </c>
      <c r="S31" s="1557" t="s">
        <v>8950</v>
      </c>
      <c r="T31" s="1557" t="s">
        <v>9085</v>
      </c>
      <c r="U31" s="1557" t="s">
        <v>9086</v>
      </c>
      <c r="V31" s="1557" t="s">
        <v>9087</v>
      </c>
      <c r="W31" s="1558" t="s">
        <v>9088</v>
      </c>
      <c r="X31" s="1558" t="s">
        <v>9089</v>
      </c>
      <c r="Y31" s="1558" t="s">
        <v>6909</v>
      </c>
      <c r="Z31" s="1558" t="s">
        <v>9090</v>
      </c>
      <c r="AA31" s="1514" t="s">
        <v>9091</v>
      </c>
      <c r="AB31" s="1558" t="s">
        <v>3356</v>
      </c>
      <c r="AC31" s="1558" t="s">
        <v>1049</v>
      </c>
      <c r="AD31" s="1554" t="s">
        <v>9092</v>
      </c>
      <c r="AE31" s="1554" t="s">
        <v>2179</v>
      </c>
      <c r="AF31" s="1559" t="s">
        <v>9093</v>
      </c>
      <c r="AG31" s="1559" t="s">
        <v>527</v>
      </c>
      <c r="AH31" s="1559" t="s">
        <v>9094</v>
      </c>
      <c r="AI31" s="1559" t="s">
        <v>2633</v>
      </c>
      <c r="AJ31" s="1559" t="s">
        <v>9095</v>
      </c>
      <c r="AK31" s="1559" t="s">
        <v>7367</v>
      </c>
      <c r="AL31" s="1559" t="s">
        <v>2708</v>
      </c>
      <c r="AM31" s="1561" t="s">
        <v>9096</v>
      </c>
      <c r="AN31" s="1561" t="s">
        <v>9031</v>
      </c>
      <c r="AO31" s="1561" t="s">
        <v>9097</v>
      </c>
      <c r="AP31" s="1561" t="s">
        <v>9098</v>
      </c>
      <c r="AQ31" s="1561" t="s">
        <v>9099</v>
      </c>
      <c r="AR31" s="1561" t="s">
        <v>1160</v>
      </c>
      <c r="AS31" s="1561" t="s">
        <v>1548</v>
      </c>
      <c r="AT31" s="1556" t="s">
        <v>9100</v>
      </c>
      <c r="AU31" s="1543" t="s">
        <v>9101</v>
      </c>
      <c r="AV31" s="1512" t="str">
        <f t="shared" si="1"/>
        <v>3:47</v>
      </c>
      <c r="AW31" s="1549"/>
    </row>
    <row r="32" ht="15.75" customHeight="1">
      <c r="A32" s="1550" t="s">
        <v>1631</v>
      </c>
      <c r="B32" s="1504" t="s">
        <v>8430</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6264</v>
      </c>
      <c r="K32" s="1556" t="s">
        <v>6416</v>
      </c>
      <c r="L32" s="1636" t="str">
        <f>HYPERLINK("https://www.youtube.com/watch?v=tJdjPKdAbw4","57.01")</f>
        <v>57.01</v>
      </c>
      <c r="M32" s="1570" t="s">
        <v>7240</v>
      </c>
      <c r="N32" s="1556" t="s">
        <v>2294</v>
      </c>
      <c r="O32" s="1570" t="s">
        <v>9105</v>
      </c>
      <c r="P32" s="1570" t="s">
        <v>278</v>
      </c>
      <c r="Q32" s="1571" t="s">
        <v>236</v>
      </c>
      <c r="R32" s="1571" t="s">
        <v>9106</v>
      </c>
      <c r="S32" s="1638" t="str">
        <f>HYPERLINK("https://www.youtube.com/watch?v=_3ms_ZhYFzo","1:18.01")</f>
        <v>1:18.01</v>
      </c>
      <c r="T32" s="1571" t="s">
        <v>6024</v>
      </c>
      <c r="U32" s="1638" t="str">
        <f>HYPERLINK("https://www.youtube.com/watch?v=ZOy_TI3Zw14","2:02.38")</f>
        <v>2:02.38</v>
      </c>
      <c r="V32" s="1571" t="s">
        <v>9087</v>
      </c>
      <c r="W32" s="1572" t="s">
        <v>3233</v>
      </c>
      <c r="X32" s="1572" t="s">
        <v>7367</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7569</v>
      </c>
      <c r="AD32" s="1640" t="str">
        <f>HYPERLINK("https://www.youtube.com/watch?v=ikF77QyREZg","1:50.30")</f>
        <v>1:50.30</v>
      </c>
      <c r="AE32" s="1568" t="s">
        <v>8759</v>
      </c>
      <c r="AF32" s="1573" t="s">
        <v>9107</v>
      </c>
      <c r="AG32" s="1649" t="str">
        <f>HYPERLINK("https://www.youtube.com/watch?v=KXwTRrVVluY","1:30.62")</f>
        <v>1:30.62</v>
      </c>
      <c r="AH32" s="1573" t="s">
        <v>2930</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5502</v>
      </c>
      <c r="AT32" s="1636" t="str">
        <f>HYPERLINK("https://www.youtube.com/watch?v=H67SXBLcISI","2:29.09")</f>
        <v>2:29.09</v>
      </c>
      <c r="AU32" s="1574" t="s">
        <v>9114</v>
      </c>
      <c r="AV32" s="1512" t="str">
        <f t="shared" si="1"/>
        <v>2:03</v>
      </c>
      <c r="AW32" s="1651" t="s">
        <v>9115</v>
      </c>
    </row>
    <row r="33">
      <c r="A33" s="1550" t="s">
        <v>2935</v>
      </c>
      <c r="B33" s="1548" t="s">
        <v>8460</v>
      </c>
      <c r="C33" s="1505">
        <v>0.050520833333333334</v>
      </c>
      <c r="D33" s="1554" t="s">
        <v>9116</v>
      </c>
      <c r="E33" s="1579" t="s">
        <v>4597</v>
      </c>
      <c r="F33" s="1579" t="s">
        <v>9117</v>
      </c>
      <c r="G33" s="1554" t="s">
        <v>9118</v>
      </c>
      <c r="H33" s="1579" t="s">
        <v>9119</v>
      </c>
      <c r="I33" s="1579" t="s">
        <v>2958</v>
      </c>
      <c r="J33" s="1556" t="s">
        <v>9120</v>
      </c>
      <c r="K33" s="1652" t="s">
        <v>9121</v>
      </c>
      <c r="L33" s="1556" t="s">
        <v>9122</v>
      </c>
      <c r="M33" s="1507" t="s">
        <v>5658</v>
      </c>
      <c r="N33" s="1556" t="s">
        <v>972</v>
      </c>
      <c r="O33" s="1556" t="s">
        <v>8961</v>
      </c>
      <c r="P33" s="1556" t="s">
        <v>412</v>
      </c>
      <c r="Q33" s="1529" t="str">
        <f>HYPERLINK("https://www.twitch.tv/planktonsecretformula/v/1588460220?sr=a", "2:12.43")</f>
        <v>2:12.43</v>
      </c>
      <c r="R33" s="1557" t="s">
        <v>9066</v>
      </c>
      <c r="S33" s="1557" t="s">
        <v>9123</v>
      </c>
      <c r="T33" s="1653" t="s">
        <v>9124</v>
      </c>
      <c r="U33" s="1579" t="s">
        <v>9125</v>
      </c>
      <c r="V33" s="1579" t="s">
        <v>9126</v>
      </c>
      <c r="W33" s="1564" t="s">
        <v>9127</v>
      </c>
      <c r="X33" s="1558" t="s">
        <v>944</v>
      </c>
      <c r="Y33" s="1558" t="s">
        <v>8821</v>
      </c>
      <c r="Z33" s="1558" t="s">
        <v>8583</v>
      </c>
      <c r="AA33" s="1514" t="s">
        <v>9128</v>
      </c>
      <c r="AB33" s="1558" t="s">
        <v>4126</v>
      </c>
      <c r="AC33" s="1558" t="s">
        <v>869</v>
      </c>
      <c r="AD33" s="1554" t="s">
        <v>3968</v>
      </c>
      <c r="AE33" s="1554" t="s">
        <v>5738</v>
      </c>
      <c r="AF33" s="1559" t="s">
        <v>9129</v>
      </c>
      <c r="AG33" s="1579" t="s">
        <v>4583</v>
      </c>
      <c r="AH33" s="1559" t="s">
        <v>9130</v>
      </c>
      <c r="AI33" s="1559" t="s">
        <v>6692</v>
      </c>
      <c r="AJ33" s="1559" t="s">
        <v>9131</v>
      </c>
      <c r="AK33" s="1559" t="s">
        <v>9132</v>
      </c>
      <c r="AL33" s="1559" t="s">
        <v>9133</v>
      </c>
      <c r="AM33" s="1561" t="s">
        <v>8634</v>
      </c>
      <c r="AN33" s="1561" t="s">
        <v>8762</v>
      </c>
      <c r="AO33" s="1561" t="s">
        <v>2893</v>
      </c>
      <c r="AP33" s="1592" t="s">
        <v>8481</v>
      </c>
      <c r="AQ33" s="1529" t="str">
        <f>HYPERLINK("https://www.twitch.tv/planktonsecretformula/v/1678454360?sr=a&amp;t=0s", "1:37.46")</f>
        <v>1:37.46</v>
      </c>
      <c r="AR33" s="1561" t="s">
        <v>9134</v>
      </c>
      <c r="AS33" s="1561" t="s">
        <v>717</v>
      </c>
      <c r="AT33" s="1556" t="s">
        <v>9135</v>
      </c>
      <c r="AU33" s="1543" t="s">
        <v>9136</v>
      </c>
      <c r="AV33" s="1512" t="str">
        <f t="shared" si="1"/>
        <v>4:40</v>
      </c>
      <c r="AW33" s="1549" t="s">
        <v>9137</v>
      </c>
    </row>
    <row r="34" ht="15.75" customHeight="1">
      <c r="A34" s="1587" t="s">
        <v>9138</v>
      </c>
      <c r="B34" s="1504" t="s">
        <v>8430</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3283</v>
      </c>
      <c r="N34" s="1556" t="s">
        <v>9148</v>
      </c>
      <c r="O34" s="1556" t="s">
        <v>9046</v>
      </c>
      <c r="P34" s="1556" t="s">
        <v>4797</v>
      </c>
      <c r="Q34" s="1557" t="s">
        <v>9149</v>
      </c>
      <c r="R34" s="1557" t="s">
        <v>2638</v>
      </c>
      <c r="S34" s="1557" t="s">
        <v>9150</v>
      </c>
      <c r="T34" s="1557" t="s">
        <v>9151</v>
      </c>
      <c r="U34" s="1557" t="s">
        <v>9152</v>
      </c>
      <c r="V34" s="1557" t="s">
        <v>8964</v>
      </c>
      <c r="W34" s="1558" t="s">
        <v>9153</v>
      </c>
      <c r="X34" s="1558" t="s">
        <v>9154</v>
      </c>
      <c r="Y34" s="1558" t="s">
        <v>9155</v>
      </c>
      <c r="Z34" s="1558" t="s">
        <v>1293</v>
      </c>
      <c r="AA34" s="1558" t="s">
        <v>9156</v>
      </c>
      <c r="AB34" s="1558" t="s">
        <v>6415</v>
      </c>
      <c r="AC34" s="1572" t="s">
        <v>6524</v>
      </c>
      <c r="AD34" s="1554" t="s">
        <v>9157</v>
      </c>
      <c r="AE34" s="1554" t="s">
        <v>8759</v>
      </c>
      <c r="AF34" s="1559" t="s">
        <v>9158</v>
      </c>
      <c r="AG34" s="1559" t="s">
        <v>9159</v>
      </c>
      <c r="AH34" s="1559" t="s">
        <v>5564</v>
      </c>
      <c r="AI34" s="1559" t="s">
        <v>9160</v>
      </c>
      <c r="AJ34" s="1559" t="s">
        <v>9161</v>
      </c>
      <c r="AK34" s="1559" t="s">
        <v>4471</v>
      </c>
      <c r="AL34" s="1559" t="s">
        <v>5603</v>
      </c>
      <c r="AM34" s="1561" t="s">
        <v>2075</v>
      </c>
      <c r="AN34" s="1561" t="s">
        <v>4618</v>
      </c>
      <c r="AO34" s="1561" t="s">
        <v>9162</v>
      </c>
      <c r="AP34" s="1561" t="s">
        <v>9163</v>
      </c>
      <c r="AQ34" s="1561" t="s">
        <v>9164</v>
      </c>
      <c r="AR34" s="1561" t="s">
        <v>8776</v>
      </c>
      <c r="AS34" s="1561" t="s">
        <v>969</v>
      </c>
      <c r="AT34" s="1556" t="s">
        <v>9165</v>
      </c>
      <c r="AU34" s="1543" t="s">
        <v>9166</v>
      </c>
      <c r="AV34" s="1512" t="str">
        <f t="shared" si="1"/>
        <v>2:07</v>
      </c>
      <c r="AW34" s="1645"/>
    </row>
    <row r="35">
      <c r="A35" s="1518" t="s">
        <v>644</v>
      </c>
      <c r="B35" s="1548" t="s">
        <v>8430</v>
      </c>
      <c r="C35" s="1505">
        <v>0.050555555555555555</v>
      </c>
      <c r="D35" s="1423" t="s">
        <v>9167</v>
      </c>
      <c r="E35" s="1423" t="s">
        <v>9168</v>
      </c>
      <c r="F35" s="1423" t="s">
        <v>9169</v>
      </c>
      <c r="G35" s="1423" t="s">
        <v>9170</v>
      </c>
      <c r="H35" s="1423" t="s">
        <v>9171</v>
      </c>
      <c r="I35" s="1423" t="s">
        <v>9172</v>
      </c>
      <c r="J35" s="1423" t="s">
        <v>1369</v>
      </c>
      <c r="K35" s="1423" t="s">
        <v>9173</v>
      </c>
      <c r="L35" s="1423" t="s">
        <v>4211</v>
      </c>
      <c r="M35" s="1423" t="s">
        <v>4156</v>
      </c>
      <c r="N35" s="1423" t="s">
        <v>9174</v>
      </c>
      <c r="O35" s="1423" t="s">
        <v>9175</v>
      </c>
      <c r="P35" s="1423" t="s">
        <v>9176</v>
      </c>
      <c r="Q35" s="1423" t="s">
        <v>9177</v>
      </c>
      <c r="R35" s="1423" t="s">
        <v>9178</v>
      </c>
      <c r="S35" s="1423" t="s">
        <v>9179</v>
      </c>
      <c r="T35" s="1423" t="s">
        <v>9020</v>
      </c>
      <c r="U35" s="1423" t="s">
        <v>9180</v>
      </c>
      <c r="V35" s="1423" t="s">
        <v>9181</v>
      </c>
      <c r="W35" s="1423" t="s">
        <v>4685</v>
      </c>
      <c r="X35" s="1423" t="s">
        <v>9182</v>
      </c>
      <c r="Y35" s="1423" t="s">
        <v>5055</v>
      </c>
      <c r="Z35" s="1423" t="s">
        <v>9183</v>
      </c>
      <c r="AA35" s="1423" t="s">
        <v>9184</v>
      </c>
      <c r="AB35" s="1423" t="s">
        <v>9185</v>
      </c>
      <c r="AC35" s="1423" t="s">
        <v>7569</v>
      </c>
      <c r="AD35" s="1423" t="s">
        <v>9186</v>
      </c>
      <c r="AE35" s="1423" t="s">
        <v>8611</v>
      </c>
      <c r="AF35" s="1423" t="s">
        <v>9187</v>
      </c>
      <c r="AG35" s="1423" t="s">
        <v>5051</v>
      </c>
      <c r="AH35" s="1423" t="s">
        <v>4442</v>
      </c>
      <c r="AI35" s="1423" t="s">
        <v>9188</v>
      </c>
      <c r="AJ35" s="1423" t="s">
        <v>9189</v>
      </c>
      <c r="AK35" s="1423" t="s">
        <v>1757</v>
      </c>
      <c r="AL35" s="1423" t="s">
        <v>9190</v>
      </c>
      <c r="AM35" s="1423" t="s">
        <v>3845</v>
      </c>
      <c r="AN35" s="1423" t="s">
        <v>4011</v>
      </c>
      <c r="AO35" s="1423" t="s">
        <v>6123</v>
      </c>
      <c r="AP35" s="1423" t="s">
        <v>9191</v>
      </c>
      <c r="AQ35" s="1423" t="s">
        <v>9192</v>
      </c>
      <c r="AR35" s="1423" t="s">
        <v>8709</v>
      </c>
      <c r="AS35" s="1423" t="s">
        <v>925</v>
      </c>
      <c r="AT35" s="1423" t="s">
        <v>3115</v>
      </c>
      <c r="AU35" s="1543" t="s">
        <v>9078</v>
      </c>
      <c r="AV35" s="1512" t="str">
        <f t="shared" si="1"/>
        <v>2:26</v>
      </c>
      <c r="AW35" s="1549" t="s">
        <v>9193</v>
      </c>
    </row>
    <row r="36" ht="15.75" customHeight="1">
      <c r="A36" s="1503" t="s">
        <v>738</v>
      </c>
      <c r="B36" s="1563" t="s">
        <v>8460</v>
      </c>
      <c r="C36" s="1505">
        <v>0.05056712962962963</v>
      </c>
      <c r="D36" s="1592" t="s">
        <v>8461</v>
      </c>
      <c r="E36" s="1568" t="s">
        <v>8956</v>
      </c>
      <c r="F36" s="1633" t="s">
        <v>8463</v>
      </c>
      <c r="G36" s="1514" t="s">
        <v>9194</v>
      </c>
      <c r="H36" s="1514" t="s">
        <v>9195</v>
      </c>
      <c r="I36" s="1633" t="s">
        <v>8466</v>
      </c>
      <c r="J36" s="1514" t="s">
        <v>1106</v>
      </c>
      <c r="K36" s="1514" t="s">
        <v>4853</v>
      </c>
      <c r="L36" s="1514" t="s">
        <v>2281</v>
      </c>
      <c r="M36" s="1514" t="s">
        <v>2199</v>
      </c>
      <c r="N36" s="1514" t="s">
        <v>8892</v>
      </c>
      <c r="O36" s="1514" t="s">
        <v>9196</v>
      </c>
      <c r="P36" s="1514" t="s">
        <v>3898</v>
      </c>
      <c r="Q36" s="1514" t="s">
        <v>9197</v>
      </c>
      <c r="R36" s="1514" t="s">
        <v>2955</v>
      </c>
      <c r="S36" s="1514" t="s">
        <v>9198</v>
      </c>
      <c r="T36" s="1514" t="s">
        <v>2352</v>
      </c>
      <c r="U36" s="1514" t="s">
        <v>8668</v>
      </c>
      <c r="V36" s="1514" t="s">
        <v>2702</v>
      </c>
      <c r="W36" s="1514" t="s">
        <v>9199</v>
      </c>
      <c r="X36" s="1514" t="s">
        <v>9200</v>
      </c>
      <c r="Y36" s="1514" t="s">
        <v>949</v>
      </c>
      <c r="Z36" s="1514" t="s">
        <v>8782</v>
      </c>
      <c r="AA36" s="1514" t="s">
        <v>7367</v>
      </c>
      <c r="AB36" s="1514" t="s">
        <v>9201</v>
      </c>
      <c r="AC36" s="1512" t="s">
        <v>535</v>
      </c>
      <c r="AD36" s="1514" t="s">
        <v>9202</v>
      </c>
      <c r="AE36" s="1514" t="s">
        <v>4833</v>
      </c>
      <c r="AF36" s="1514" t="s">
        <v>9203</v>
      </c>
      <c r="AG36" s="1514" t="s">
        <v>9020</v>
      </c>
      <c r="AH36" s="1633" t="s">
        <v>2787</v>
      </c>
      <c r="AI36" s="1514" t="s">
        <v>9204</v>
      </c>
      <c r="AJ36" s="1514" t="s">
        <v>9205</v>
      </c>
      <c r="AK36" s="1514" t="s">
        <v>5298</v>
      </c>
      <c r="AL36" s="1514" t="s">
        <v>4179</v>
      </c>
      <c r="AM36" s="1514" t="s">
        <v>3243</v>
      </c>
      <c r="AN36" s="1514" t="s">
        <v>344</v>
      </c>
      <c r="AO36" s="1514" t="s">
        <v>9206</v>
      </c>
      <c r="AP36" s="1514" t="s">
        <v>9207</v>
      </c>
      <c r="AQ36" s="1514" t="s">
        <v>7308</v>
      </c>
      <c r="AR36" s="1514" t="s">
        <v>2622</v>
      </c>
      <c r="AS36" s="1514" t="s">
        <v>4024</v>
      </c>
      <c r="AT36" s="1514" t="s">
        <v>9208</v>
      </c>
      <c r="AU36" s="1514" t="s">
        <v>8811</v>
      </c>
      <c r="AV36" s="1512" t="str">
        <f t="shared" si="1"/>
        <v>3:34</v>
      </c>
      <c r="AW36" s="1546" t="s">
        <v>9209</v>
      </c>
    </row>
    <row r="37" ht="15.75" customHeight="1">
      <c r="A37" s="1518" t="s">
        <v>644</v>
      </c>
      <c r="B37" s="1563" t="s">
        <v>8460</v>
      </c>
      <c r="C37" s="1646">
        <v>0.05056712962962963</v>
      </c>
      <c r="D37" s="1423" t="s">
        <v>9210</v>
      </c>
      <c r="E37" s="1512" t="s">
        <v>9211</v>
      </c>
      <c r="F37" s="1512" t="s">
        <v>8844</v>
      </c>
      <c r="G37" s="1512" t="s">
        <v>9212</v>
      </c>
      <c r="H37" s="1512" t="s">
        <v>4445</v>
      </c>
      <c r="I37" s="1512" t="s">
        <v>1184</v>
      </c>
      <c r="J37" s="1514" t="s">
        <v>3424</v>
      </c>
      <c r="K37" s="1514" t="s">
        <v>3424</v>
      </c>
      <c r="L37" s="1512" t="s">
        <v>9213</v>
      </c>
      <c r="M37" s="1512" t="s">
        <v>9214</v>
      </c>
      <c r="N37" s="1512" t="s">
        <v>8787</v>
      </c>
      <c r="O37" s="1633" t="s">
        <v>8469</v>
      </c>
      <c r="P37" s="1512" t="s">
        <v>6944</v>
      </c>
      <c r="Q37" s="1512" t="s">
        <v>787</v>
      </c>
      <c r="R37" s="1514" t="s">
        <v>3424</v>
      </c>
      <c r="S37" s="1512" t="s">
        <v>9215</v>
      </c>
      <c r="T37" s="1512" t="s">
        <v>781</v>
      </c>
      <c r="U37" s="1512" t="s">
        <v>9216</v>
      </c>
      <c r="V37" s="1512" t="s">
        <v>9217</v>
      </c>
      <c r="W37" s="1512" t="s">
        <v>9218</v>
      </c>
      <c r="X37" s="1512" t="s">
        <v>9014</v>
      </c>
      <c r="Y37" s="1512" t="s">
        <v>9015</v>
      </c>
      <c r="Z37" s="1512" t="s">
        <v>149</v>
      </c>
      <c r="AA37" s="1512" t="s">
        <v>9219</v>
      </c>
      <c r="AB37" s="1512" t="s">
        <v>8684</v>
      </c>
      <c r="AC37" s="1512" t="s">
        <v>4473</v>
      </c>
      <c r="AD37" s="1512" t="s">
        <v>2315</v>
      </c>
      <c r="AE37" s="1512" t="s">
        <v>9155</v>
      </c>
      <c r="AF37" s="1512" t="s">
        <v>9220</v>
      </c>
      <c r="AG37" s="1512" t="s">
        <v>9221</v>
      </c>
      <c r="AH37" s="1512" t="s">
        <v>4462</v>
      </c>
      <c r="AI37" s="1512" t="s">
        <v>3763</v>
      </c>
      <c r="AJ37" s="1512" t="s">
        <v>9222</v>
      </c>
      <c r="AK37" s="1512" t="s">
        <v>1163</v>
      </c>
      <c r="AL37" s="1512" t="s">
        <v>9018</v>
      </c>
      <c r="AM37" s="1512" t="s">
        <v>9223</v>
      </c>
      <c r="AN37" s="1514" t="s">
        <v>9224</v>
      </c>
      <c r="AO37" s="1514" t="s">
        <v>3424</v>
      </c>
      <c r="AP37" s="1512" t="s">
        <v>5286</v>
      </c>
      <c r="AQ37" s="1512" t="s">
        <v>250</v>
      </c>
      <c r="AR37" s="1512" t="s">
        <v>4942</v>
      </c>
      <c r="AS37" s="1512" t="s">
        <v>8474</v>
      </c>
      <c r="AT37" s="1512" t="s">
        <v>9225</v>
      </c>
      <c r="AU37" s="1514" t="s">
        <v>9226</v>
      </c>
      <c r="AV37" s="1512" t="str">
        <f t="shared" si="1"/>
        <v>3:07</v>
      </c>
      <c r="AW37" s="1584" t="s">
        <v>9227</v>
      </c>
    </row>
    <row r="38" ht="15.75" customHeight="1">
      <c r="A38" s="1503" t="s">
        <v>4207</v>
      </c>
      <c r="B38" s="1504" t="s">
        <v>8430</v>
      </c>
      <c r="C38" s="1646">
        <v>0.05060185185185185</v>
      </c>
      <c r="D38" s="1423" t="s">
        <v>9228</v>
      </c>
      <c r="E38" s="1568" t="s">
        <v>3219</v>
      </c>
      <c r="F38" s="1568" t="s">
        <v>5878</v>
      </c>
      <c r="G38" s="1568" t="s">
        <v>9229</v>
      </c>
      <c r="H38" s="1555" t="s">
        <v>9230</v>
      </c>
      <c r="I38" s="1555" t="s">
        <v>1072</v>
      </c>
      <c r="J38" s="1570" t="s">
        <v>8626</v>
      </c>
      <c r="K38" s="1570" t="s">
        <v>7775</v>
      </c>
      <c r="L38" s="1570" t="s">
        <v>5481</v>
      </c>
      <c r="M38" s="1570" t="s">
        <v>9231</v>
      </c>
      <c r="N38" s="1570" t="s">
        <v>5208</v>
      </c>
      <c r="O38" s="1570" t="s">
        <v>9232</v>
      </c>
      <c r="P38" s="1570" t="s">
        <v>8827</v>
      </c>
      <c r="Q38" s="1571" t="s">
        <v>3191</v>
      </c>
      <c r="R38" s="1571" t="s">
        <v>5430</v>
      </c>
      <c r="S38" s="1571" t="s">
        <v>6415</v>
      </c>
      <c r="T38" s="1571" t="s">
        <v>9233</v>
      </c>
      <c r="U38" s="1571" t="s">
        <v>5969</v>
      </c>
      <c r="V38" s="1571" t="s">
        <v>3932</v>
      </c>
      <c r="W38" s="1572" t="s">
        <v>9234</v>
      </c>
      <c r="X38" s="1572" t="s">
        <v>7766</v>
      </c>
      <c r="Y38" s="1572" t="s">
        <v>5012</v>
      </c>
      <c r="Z38" s="1572" t="s">
        <v>1912</v>
      </c>
      <c r="AA38" s="1572" t="s">
        <v>9235</v>
      </c>
      <c r="AB38" s="1572" t="s">
        <v>8684</v>
      </c>
      <c r="AC38" s="1572" t="s">
        <v>5482</v>
      </c>
      <c r="AD38" s="1568" t="s">
        <v>6319</v>
      </c>
      <c r="AE38" s="1568" t="s">
        <v>8821</v>
      </c>
      <c r="AF38" s="1573" t="s">
        <v>9236</v>
      </c>
      <c r="AG38" s="1573" t="s">
        <v>9159</v>
      </c>
      <c r="AH38" s="1573" t="s">
        <v>9237</v>
      </c>
      <c r="AI38" s="1573" t="s">
        <v>5477</v>
      </c>
      <c r="AJ38" s="1573" t="s">
        <v>9238</v>
      </c>
      <c r="AK38" s="1573" t="s">
        <v>9239</v>
      </c>
      <c r="AL38" s="1573" t="s">
        <v>9240</v>
      </c>
      <c r="AM38" s="1560" t="s">
        <v>9241</v>
      </c>
      <c r="AN38" s="1560" t="s">
        <v>9242</v>
      </c>
      <c r="AO38" s="1560" t="s">
        <v>9243</v>
      </c>
      <c r="AP38" s="1560" t="s">
        <v>9244</v>
      </c>
      <c r="AQ38" s="1560" t="s">
        <v>9099</v>
      </c>
      <c r="AR38" s="1560" t="s">
        <v>9245</v>
      </c>
      <c r="AS38" s="1560" t="s">
        <v>4311</v>
      </c>
      <c r="AT38" s="1570" t="s">
        <v>9246</v>
      </c>
      <c r="AU38" s="1574" t="s">
        <v>9247</v>
      </c>
      <c r="AV38" s="1512" t="str">
        <f t="shared" si="1"/>
        <v>1:56</v>
      </c>
      <c r="AW38" s="1645"/>
    </row>
    <row r="39" ht="15.75" customHeight="1">
      <c r="A39" s="1518" t="s">
        <v>827</v>
      </c>
      <c r="B39" s="1504" t="s">
        <v>8430</v>
      </c>
      <c r="C39" s="1505">
        <v>0.05061342592592592</v>
      </c>
      <c r="D39" s="1423" t="s">
        <v>9248</v>
      </c>
      <c r="E39" s="1514" t="s">
        <v>8602</v>
      </c>
      <c r="F39" s="1514" t="s">
        <v>5359</v>
      </c>
      <c r="G39" s="1512" t="s">
        <v>9249</v>
      </c>
      <c r="H39" s="1514" t="s">
        <v>9250</v>
      </c>
      <c r="I39" s="1514" t="s">
        <v>388</v>
      </c>
      <c r="J39" s="1514" t="s">
        <v>6694</v>
      </c>
      <c r="K39" s="1512" t="s">
        <v>8841</v>
      </c>
      <c r="L39" s="1514" t="s">
        <v>9251</v>
      </c>
      <c r="M39" s="1514" t="s">
        <v>9252</v>
      </c>
      <c r="N39" s="1514" t="s">
        <v>4318</v>
      </c>
      <c r="O39" s="1514" t="s">
        <v>9253</v>
      </c>
      <c r="P39" s="1514" t="s">
        <v>1586</v>
      </c>
      <c r="Q39" s="1654" t="s">
        <v>9254</v>
      </c>
      <c r="R39" s="1514" t="s">
        <v>9255</v>
      </c>
      <c r="S39" s="1512" t="s">
        <v>9256</v>
      </c>
      <c r="T39" s="1514" t="s">
        <v>8996</v>
      </c>
      <c r="U39" s="1514" t="s">
        <v>7137</v>
      </c>
      <c r="V39" s="1514" t="s">
        <v>2474</v>
      </c>
      <c r="W39" s="1655" t="str">
        <f>HYPERLINK("https://www.youtube.com/watch?v=nn1ub1z3NYM","1:45.96")</f>
        <v>1:45.96</v>
      </c>
      <c r="X39" s="1514" t="s">
        <v>5601</v>
      </c>
      <c r="Y39" s="1512" t="s">
        <v>5467</v>
      </c>
      <c r="Z39" s="1514" t="s">
        <v>1500</v>
      </c>
      <c r="AA39" s="1514" t="s">
        <v>9257</v>
      </c>
      <c r="AB39" s="1514" t="s">
        <v>9258</v>
      </c>
      <c r="AC39" s="1514" t="s">
        <v>1049</v>
      </c>
      <c r="AD39" s="1514" t="s">
        <v>9259</v>
      </c>
      <c r="AE39" s="1654" t="s">
        <v>4616</v>
      </c>
      <c r="AF39" s="1512" t="s">
        <v>9260</v>
      </c>
      <c r="AG39" s="1514" t="s">
        <v>2087</v>
      </c>
      <c r="AH39" s="1514" t="s">
        <v>2930</v>
      </c>
      <c r="AI39" s="1514" t="s">
        <v>9261</v>
      </c>
      <c r="AJ39" s="1512" t="s">
        <v>7990</v>
      </c>
      <c r="AK39" s="1514" t="s">
        <v>9262</v>
      </c>
      <c r="AL39" s="1512" t="s">
        <v>4268</v>
      </c>
      <c r="AM39" s="1512" t="s">
        <v>9263</v>
      </c>
      <c r="AN39" s="1512" t="s">
        <v>2506</v>
      </c>
      <c r="AO39" s="1514" t="s">
        <v>5158</v>
      </c>
      <c r="AP39" s="1514" t="s">
        <v>9264</v>
      </c>
      <c r="AQ39" s="1514" t="s">
        <v>9265</v>
      </c>
      <c r="AR39" s="1514" t="s">
        <v>1369</v>
      </c>
      <c r="AS39" s="1514" t="s">
        <v>9266</v>
      </c>
      <c r="AT39" s="1514" t="s">
        <v>9267</v>
      </c>
      <c r="AU39" s="1514" t="s">
        <v>9268</v>
      </c>
      <c r="AV39" s="1512" t="str">
        <f t="shared" si="1"/>
        <v>2:25</v>
      </c>
      <c r="AW39" s="1546"/>
    </row>
    <row r="40">
      <c r="A40" s="1518" t="s">
        <v>9269</v>
      </c>
      <c r="B40" s="1545" t="s">
        <v>8430</v>
      </c>
      <c r="C40" s="1505">
        <v>0.050625</v>
      </c>
      <c r="D40" s="1656" t="s">
        <v>9270</v>
      </c>
      <c r="E40" s="1514" t="s">
        <v>4660</v>
      </c>
      <c r="F40" s="1514" t="s">
        <v>9271</v>
      </c>
      <c r="G40" s="1514" t="s">
        <v>8856</v>
      </c>
      <c r="H40" s="1514" t="s">
        <v>1656</v>
      </c>
      <c r="I40" s="1514" t="s">
        <v>1904</v>
      </c>
      <c r="J40" s="1514" t="s">
        <v>9272</v>
      </c>
      <c r="K40" s="1514" t="s">
        <v>3528</v>
      </c>
      <c r="L40" s="1514" t="s">
        <v>9273</v>
      </c>
      <c r="M40" s="1514" t="s">
        <v>9274</v>
      </c>
      <c r="N40" s="1514" t="s">
        <v>9275</v>
      </c>
      <c r="O40" s="1514" t="s">
        <v>9276</v>
      </c>
      <c r="P40" s="1514" t="s">
        <v>9155</v>
      </c>
      <c r="Q40" s="1514" t="s">
        <v>4588</v>
      </c>
      <c r="R40" s="1514" t="s">
        <v>3894</v>
      </c>
      <c r="S40" s="1514" t="s">
        <v>2605</v>
      </c>
      <c r="T40" s="1514" t="s">
        <v>2352</v>
      </c>
      <c r="U40" s="1514" t="s">
        <v>9277</v>
      </c>
      <c r="V40" s="1514" t="s">
        <v>2170</v>
      </c>
      <c r="W40" s="1514" t="s">
        <v>7620</v>
      </c>
      <c r="X40" s="1514" t="s">
        <v>9278</v>
      </c>
      <c r="Y40" s="1514" t="s">
        <v>9279</v>
      </c>
      <c r="Z40" s="1514" t="s">
        <v>9280</v>
      </c>
      <c r="AA40" s="1514" t="s">
        <v>9281</v>
      </c>
      <c r="AB40" s="1514"/>
      <c r="AC40" s="1514" t="s">
        <v>9282</v>
      </c>
      <c r="AD40" s="1514" t="s">
        <v>9283</v>
      </c>
      <c r="AE40" s="1514" t="s">
        <v>4879</v>
      </c>
      <c r="AF40" s="1514" t="s">
        <v>9284</v>
      </c>
      <c r="AG40" s="1514" t="s">
        <v>9285</v>
      </c>
      <c r="AH40" s="1514" t="s">
        <v>9286</v>
      </c>
      <c r="AI40" s="1514" t="s">
        <v>727</v>
      </c>
      <c r="AJ40" s="1514" t="s">
        <v>9287</v>
      </c>
      <c r="AK40" s="1514" t="s">
        <v>9288</v>
      </c>
      <c r="AL40" s="1514" t="s">
        <v>8927</v>
      </c>
      <c r="AM40" s="1514" t="s">
        <v>9289</v>
      </c>
      <c r="AN40" s="1514" t="s">
        <v>8512</v>
      </c>
      <c r="AO40" s="1514" t="s">
        <v>9290</v>
      </c>
      <c r="AP40" s="1514" t="s">
        <v>9291</v>
      </c>
      <c r="AQ40" s="1514" t="s">
        <v>9292</v>
      </c>
      <c r="AR40" s="1514" t="s">
        <v>6420</v>
      </c>
      <c r="AS40" s="1514" t="s">
        <v>6042</v>
      </c>
      <c r="AT40" s="1514" t="s">
        <v>8088</v>
      </c>
      <c r="AU40" s="1514" t="s">
        <v>9293</v>
      </c>
      <c r="AV40" s="1512" t="str">
        <f t="shared" si="1"/>
        <v>2:05</v>
      </c>
      <c r="AW40" s="1584"/>
    </row>
    <row r="41">
      <c r="A41" s="1518" t="s">
        <v>9294</v>
      </c>
      <c r="B41" s="1548" t="s">
        <v>8430</v>
      </c>
      <c r="C41" s="1505">
        <v>0.0506712962962963</v>
      </c>
      <c r="D41" s="1656" t="s">
        <v>9295</v>
      </c>
      <c r="E41" s="1554" t="s">
        <v>3219</v>
      </c>
      <c r="F41" s="1554" t="s">
        <v>8727</v>
      </c>
      <c r="G41" s="1554" t="s">
        <v>9296</v>
      </c>
      <c r="H41" s="1642" t="s">
        <v>9297</v>
      </c>
      <c r="I41" s="1642" t="s">
        <v>9298</v>
      </c>
      <c r="J41" s="1556" t="s">
        <v>9299</v>
      </c>
      <c r="K41" s="1556" t="s">
        <v>6982</v>
      </c>
      <c r="L41" s="1556" t="s">
        <v>4361</v>
      </c>
      <c r="M41" s="1556" t="s">
        <v>6983</v>
      </c>
      <c r="N41" s="1556" t="s">
        <v>9300</v>
      </c>
      <c r="O41" s="1556" t="s">
        <v>2203</v>
      </c>
      <c r="P41" s="1556" t="s">
        <v>6947</v>
      </c>
      <c r="Q41" s="1557" t="s">
        <v>7699</v>
      </c>
      <c r="R41" s="1557" t="s">
        <v>9301</v>
      </c>
      <c r="S41" s="1557" t="s">
        <v>9302</v>
      </c>
      <c r="T41" s="1557" t="s">
        <v>9303</v>
      </c>
      <c r="U41" s="1557" t="s">
        <v>9304</v>
      </c>
      <c r="V41" s="1557" t="s">
        <v>9305</v>
      </c>
      <c r="W41" s="1558" t="s">
        <v>9306</v>
      </c>
      <c r="X41" s="1558" t="s">
        <v>9307</v>
      </c>
      <c r="Y41" s="1558" t="s">
        <v>6014</v>
      </c>
      <c r="Z41" s="1558" t="s">
        <v>9308</v>
      </c>
      <c r="AA41" s="1514" t="s">
        <v>1762</v>
      </c>
      <c r="AB41" s="1558" t="s">
        <v>9309</v>
      </c>
      <c r="AC41" s="1558" t="s">
        <v>7569</v>
      </c>
      <c r="AD41" s="1554" t="s">
        <v>9310</v>
      </c>
      <c r="AE41" s="1554" t="s">
        <v>535</v>
      </c>
      <c r="AF41" s="1559" t="s">
        <v>9311</v>
      </c>
      <c r="AG41" s="1559" t="s">
        <v>3878</v>
      </c>
      <c r="AH41" s="1559" t="s">
        <v>5179</v>
      </c>
      <c r="AI41" s="1559" t="s">
        <v>8928</v>
      </c>
      <c r="AJ41" s="1559" t="s">
        <v>9312</v>
      </c>
      <c r="AK41" s="1559" t="s">
        <v>401</v>
      </c>
      <c r="AL41" s="1559" t="s">
        <v>2577</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8430</v>
      </c>
      <c r="C42" s="1505">
        <v>0.05070601851851852</v>
      </c>
      <c r="D42" s="1423" t="s">
        <v>9319</v>
      </c>
      <c r="E42" s="1568" t="s">
        <v>3272</v>
      </c>
      <c r="F42" s="1568" t="s">
        <v>8664</v>
      </c>
      <c r="G42" s="1568" t="s">
        <v>9320</v>
      </c>
      <c r="H42" s="1555" t="s">
        <v>9321</v>
      </c>
      <c r="I42" s="1555" t="s">
        <v>388</v>
      </c>
      <c r="J42" s="1570" t="s">
        <v>2084</v>
      </c>
      <c r="K42" s="1570" t="s">
        <v>3505</v>
      </c>
      <c r="L42" s="1570" t="s">
        <v>5368</v>
      </c>
      <c r="M42" s="1570" t="s">
        <v>9322</v>
      </c>
      <c r="N42" s="1570" t="s">
        <v>9151</v>
      </c>
      <c r="O42" s="1570" t="s">
        <v>9323</v>
      </c>
      <c r="P42" s="1570" t="s">
        <v>5445</v>
      </c>
      <c r="Q42" s="1571" t="s">
        <v>9324</v>
      </c>
      <c r="R42" s="1571" t="s">
        <v>730</v>
      </c>
      <c r="S42" s="1571" t="s">
        <v>9290</v>
      </c>
      <c r="T42" s="1571" t="s">
        <v>9154</v>
      </c>
      <c r="U42" s="1571" t="s">
        <v>9325</v>
      </c>
      <c r="V42" s="1571" t="s">
        <v>2474</v>
      </c>
      <c r="W42" s="1572" t="s">
        <v>9326</v>
      </c>
      <c r="X42" s="1572" t="s">
        <v>8546</v>
      </c>
      <c r="Y42" s="1572" t="s">
        <v>9327</v>
      </c>
      <c r="Z42" s="1572" t="s">
        <v>8531</v>
      </c>
      <c r="AA42" s="1572" t="s">
        <v>9328</v>
      </c>
      <c r="AB42" s="1572" t="s">
        <v>2596</v>
      </c>
      <c r="AC42" s="1572" t="s">
        <v>2951</v>
      </c>
      <c r="AD42" s="1568" t="s">
        <v>9329</v>
      </c>
      <c r="AE42" s="1568" t="s">
        <v>6016</v>
      </c>
      <c r="AF42" s="1573" t="s">
        <v>8568</v>
      </c>
      <c r="AG42" s="1573" t="s">
        <v>9330</v>
      </c>
      <c r="AH42" s="1573" t="s">
        <v>2213</v>
      </c>
      <c r="AI42" s="1573" t="s">
        <v>6032</v>
      </c>
      <c r="AJ42" s="1573" t="s">
        <v>8899</v>
      </c>
      <c r="AK42" s="1573" t="s">
        <v>9331</v>
      </c>
      <c r="AL42" s="1573" t="s">
        <v>5335</v>
      </c>
      <c r="AM42" s="1560" t="s">
        <v>9182</v>
      </c>
      <c r="AN42" s="1560" t="s">
        <v>5335</v>
      </c>
      <c r="AO42" s="1560" t="s">
        <v>2294</v>
      </c>
      <c r="AP42" s="1560" t="s">
        <v>9332</v>
      </c>
      <c r="AQ42" s="1560" t="s">
        <v>9333</v>
      </c>
      <c r="AR42" s="1560" t="s">
        <v>9334</v>
      </c>
      <c r="AS42" s="1560" t="s">
        <v>4314</v>
      </c>
      <c r="AT42" s="1570" t="s">
        <v>9335</v>
      </c>
      <c r="AU42" s="1574" t="s">
        <v>9336</v>
      </c>
      <c r="AV42" s="1512" t="str">
        <f t="shared" si="1"/>
        <v>2:54</v>
      </c>
      <c r="AW42" s="1645"/>
    </row>
    <row r="43">
      <c r="A43" s="1550" t="s">
        <v>2818</v>
      </c>
      <c r="B43" s="1545" t="s">
        <v>8430</v>
      </c>
      <c r="C43" s="1505">
        <v>0.050826388888888886</v>
      </c>
      <c r="D43" s="1514" t="s">
        <v>9337</v>
      </c>
      <c r="E43" s="1514" t="s">
        <v>9338</v>
      </c>
      <c r="F43" s="1554" t="s">
        <v>9339</v>
      </c>
      <c r="G43" s="1514" t="s">
        <v>9340</v>
      </c>
      <c r="H43" s="1514" t="s">
        <v>6296</v>
      </c>
      <c r="I43" s="1514" t="s">
        <v>1359</v>
      </c>
      <c r="J43" s="1514" t="s">
        <v>9341</v>
      </c>
      <c r="K43" s="1514" t="s">
        <v>3855</v>
      </c>
      <c r="L43" s="1514" t="s">
        <v>9342</v>
      </c>
      <c r="M43" s="1514" t="s">
        <v>9343</v>
      </c>
      <c r="N43" s="1514" t="s">
        <v>7193</v>
      </c>
      <c r="O43" s="1514" t="s">
        <v>9344</v>
      </c>
      <c r="P43" s="1514" t="s">
        <v>8848</v>
      </c>
      <c r="Q43" s="1514" t="s">
        <v>9345</v>
      </c>
      <c r="R43" s="1514" t="s">
        <v>9346</v>
      </c>
      <c r="S43" s="1514" t="s">
        <v>9347</v>
      </c>
      <c r="T43" s="1514" t="s">
        <v>1789</v>
      </c>
      <c r="U43" s="1514" t="s">
        <v>9348</v>
      </c>
      <c r="V43" s="1514" t="s">
        <v>7027</v>
      </c>
      <c r="W43" s="1514" t="s">
        <v>5429</v>
      </c>
      <c r="X43" s="1514" t="s">
        <v>9349</v>
      </c>
      <c r="Y43" s="1514" t="s">
        <v>6938</v>
      </c>
      <c r="Z43" s="1514" t="s">
        <v>2035</v>
      </c>
      <c r="AA43" s="1558" t="s">
        <v>9350</v>
      </c>
      <c r="AB43" s="1514" t="s">
        <v>1912</v>
      </c>
      <c r="AC43" s="1514" t="s">
        <v>7569</v>
      </c>
      <c r="AD43" s="1514" t="s">
        <v>9351</v>
      </c>
      <c r="AE43" s="1514" t="s">
        <v>4879</v>
      </c>
      <c r="AF43" s="1514" t="s">
        <v>9352</v>
      </c>
      <c r="AG43" s="1514" t="s">
        <v>1178</v>
      </c>
      <c r="AH43" s="1514" t="s">
        <v>3826</v>
      </c>
      <c r="AI43" s="1514" t="s">
        <v>9353</v>
      </c>
      <c r="AJ43" s="1514" t="s">
        <v>9354</v>
      </c>
      <c r="AK43" s="1514" t="s">
        <v>9262</v>
      </c>
      <c r="AL43" s="1514" t="s">
        <v>4275</v>
      </c>
      <c r="AM43" s="1514" t="s">
        <v>9262</v>
      </c>
      <c r="AN43" s="1514" t="s">
        <v>8512</v>
      </c>
      <c r="AO43" s="1514" t="s">
        <v>7292</v>
      </c>
      <c r="AP43" s="1514" t="s">
        <v>9355</v>
      </c>
      <c r="AQ43" s="1514" t="s">
        <v>9356</v>
      </c>
      <c r="AR43" s="1514" t="s">
        <v>5092</v>
      </c>
      <c r="AS43" s="1514" t="s">
        <v>6004</v>
      </c>
      <c r="AT43" s="1514" t="s">
        <v>9357</v>
      </c>
      <c r="AU43" s="1514" t="s">
        <v>9358</v>
      </c>
      <c r="AV43" s="1512" t="str">
        <f t="shared" si="1"/>
        <v>2:25</v>
      </c>
      <c r="AW43" s="1584"/>
    </row>
    <row r="44" ht="15.75" customHeight="1">
      <c r="A44" s="1550" t="s">
        <v>4622</v>
      </c>
      <c r="B44" s="1504" t="s">
        <v>8430</v>
      </c>
      <c r="C44" s="1646">
        <v>0.050868055555555555</v>
      </c>
      <c r="D44" s="1423" t="s">
        <v>9359</v>
      </c>
      <c r="E44" s="1512" t="s">
        <v>7518</v>
      </c>
      <c r="F44" s="1512" t="s">
        <v>9360</v>
      </c>
      <c r="G44" s="1512" t="s">
        <v>9361</v>
      </c>
      <c r="H44" s="1512" t="s">
        <v>9195</v>
      </c>
      <c r="I44" s="1512" t="s">
        <v>1359</v>
      </c>
      <c r="J44" s="1512" t="s">
        <v>9315</v>
      </c>
      <c r="K44" s="1512" t="s">
        <v>8878</v>
      </c>
      <c r="L44" s="1512" t="s">
        <v>8730</v>
      </c>
      <c r="M44" s="1512" t="s">
        <v>5264</v>
      </c>
      <c r="N44" s="1512" t="s">
        <v>7948</v>
      </c>
      <c r="O44" s="1512" t="s">
        <v>9362</v>
      </c>
      <c r="P44" s="1512" t="s">
        <v>9363</v>
      </c>
      <c r="Q44" s="1512" t="s">
        <v>9364</v>
      </c>
      <c r="R44" s="1512" t="s">
        <v>7273</v>
      </c>
      <c r="S44" s="1512" t="s">
        <v>8712</v>
      </c>
      <c r="T44" s="1512" t="s">
        <v>4605</v>
      </c>
      <c r="U44" s="1512" t="s">
        <v>9365</v>
      </c>
      <c r="V44" s="1512" t="s">
        <v>8944</v>
      </c>
      <c r="W44" s="1512" t="s">
        <v>9366</v>
      </c>
      <c r="X44" s="1512" t="s">
        <v>8948</v>
      </c>
      <c r="Y44" s="1512" t="s">
        <v>3535</v>
      </c>
      <c r="Z44" s="1512" t="s">
        <v>9367</v>
      </c>
      <c r="AA44" s="1512" t="s">
        <v>9368</v>
      </c>
      <c r="AB44" s="1512" t="s">
        <v>1616</v>
      </c>
      <c r="AC44" s="1512" t="s">
        <v>2892</v>
      </c>
      <c r="AD44" s="1512" t="s">
        <v>9369</v>
      </c>
      <c r="AE44" s="1512" t="s">
        <v>617</v>
      </c>
      <c r="AF44" s="1512" t="s">
        <v>9370</v>
      </c>
      <c r="AG44" s="1512" t="s">
        <v>5804</v>
      </c>
      <c r="AH44" s="1512" t="s">
        <v>9371</v>
      </c>
      <c r="AI44" s="1512" t="s">
        <v>7388</v>
      </c>
      <c r="AJ44" s="1512" t="s">
        <v>9372</v>
      </c>
      <c r="AK44" s="1512" t="s">
        <v>5323</v>
      </c>
      <c r="AL44" s="1512" t="s">
        <v>9373</v>
      </c>
      <c r="AM44" s="1512" t="s">
        <v>9374</v>
      </c>
      <c r="AN44" s="1512" t="s">
        <v>3263</v>
      </c>
      <c r="AO44" s="1512" t="s">
        <v>8841</v>
      </c>
      <c r="AP44" s="1512" t="s">
        <v>9375</v>
      </c>
      <c r="AQ44" s="1512" t="s">
        <v>9376</v>
      </c>
      <c r="AR44" s="1512" t="s">
        <v>8721</v>
      </c>
      <c r="AS44" s="1512" t="s">
        <v>5040</v>
      </c>
      <c r="AT44" s="1512" t="s">
        <v>9377</v>
      </c>
      <c r="AU44" s="1512" t="s">
        <v>9378</v>
      </c>
      <c r="AV44" s="1512" t="str">
        <f t="shared" si="1"/>
        <v>2:44</v>
      </c>
      <c r="AW44" s="1531"/>
    </row>
    <row r="45" ht="15.75" customHeight="1">
      <c r="A45" s="1550" t="s">
        <v>1883</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2321</v>
      </c>
      <c r="M45" s="1512" t="s">
        <v>2638</v>
      </c>
      <c r="N45" s="1658" t="s">
        <v>8453</v>
      </c>
      <c r="O45" s="1512" t="s">
        <v>9381</v>
      </c>
      <c r="P45" s="1568" t="s">
        <v>636</v>
      </c>
      <c r="Q45" s="1659" t="s">
        <v>8495</v>
      </c>
      <c r="R45" s="1658" t="s">
        <v>8496</v>
      </c>
      <c r="S45" s="1512" t="s">
        <v>1163</v>
      </c>
      <c r="T45" s="1568" t="s">
        <v>7624</v>
      </c>
      <c r="U45" s="1659" t="s">
        <v>8498</v>
      </c>
      <c r="V45" s="1658" t="s">
        <v>8499</v>
      </c>
      <c r="W45" s="1512" t="s">
        <v>9382</v>
      </c>
      <c r="X45" s="1658" t="s">
        <v>8501</v>
      </c>
      <c r="Y45" s="1512" t="s">
        <v>5549</v>
      </c>
      <c r="Z45" s="1554" t="s">
        <v>9383</v>
      </c>
      <c r="AA45" s="1512" t="s">
        <v>2296</v>
      </c>
      <c r="AB45" s="1568" t="s">
        <v>9384</v>
      </c>
      <c r="AC45" s="1514" t="s">
        <v>9385</v>
      </c>
      <c r="AD45" s="1568" t="s">
        <v>9386</v>
      </c>
      <c r="AE45" s="1514" t="s">
        <v>9387</v>
      </c>
      <c r="AF45" s="1568" t="s">
        <v>9388</v>
      </c>
      <c r="AG45" s="1512" t="s">
        <v>6854</v>
      </c>
      <c r="AH45" s="1554" t="s">
        <v>9273</v>
      </c>
      <c r="AI45" s="1659" t="s">
        <v>8507</v>
      </c>
      <c r="AJ45" s="1568" t="s">
        <v>9389</v>
      </c>
      <c r="AK45" s="1512" t="s">
        <v>5723</v>
      </c>
      <c r="AL45" s="1658" t="s">
        <v>8510</v>
      </c>
      <c r="AM45" s="1512" t="s">
        <v>8803</v>
      </c>
      <c r="AN45" s="1568" t="s">
        <v>3927</v>
      </c>
      <c r="AO45" s="1514" t="s">
        <v>4771</v>
      </c>
      <c r="AP45" s="1554" t="s">
        <v>9390</v>
      </c>
      <c r="AQ45" s="1514" t="s">
        <v>9391</v>
      </c>
      <c r="AR45" s="1554" t="s">
        <v>9392</v>
      </c>
      <c r="AS45" s="1512" t="s">
        <v>902</v>
      </c>
      <c r="AT45" s="1658" t="s">
        <v>8516</v>
      </c>
      <c r="AU45" s="1514" t="s">
        <v>9393</v>
      </c>
      <c r="AV45" s="1512" t="str">
        <f t="shared" si="1"/>
        <v>2:24</v>
      </c>
      <c r="AW45" s="1546"/>
    </row>
    <row r="46">
      <c r="A46" s="1550" t="s">
        <v>2536</v>
      </c>
      <c r="B46" s="1589" t="s">
        <v>8460</v>
      </c>
      <c r="C46" s="1505">
        <v>0.05092592592592592</v>
      </c>
      <c r="D46" s="1423" t="s">
        <v>9394</v>
      </c>
      <c r="E46" s="1554" t="s">
        <v>9395</v>
      </c>
      <c r="F46" s="1554" t="s">
        <v>9396</v>
      </c>
      <c r="G46" s="1554" t="s">
        <v>9397</v>
      </c>
      <c r="H46" s="1642" t="s">
        <v>9398</v>
      </c>
      <c r="I46" s="1642" t="s">
        <v>2785</v>
      </c>
      <c r="J46" s="1556" t="s">
        <v>8585</v>
      </c>
      <c r="K46" s="1556" t="s">
        <v>3813</v>
      </c>
      <c r="L46" s="1556" t="s">
        <v>5628</v>
      </c>
      <c r="M46" s="1556" t="s">
        <v>2969</v>
      </c>
      <c r="N46" s="1556" t="s">
        <v>9223</v>
      </c>
      <c r="O46" s="1556" t="s">
        <v>9399</v>
      </c>
      <c r="P46" s="1556" t="s">
        <v>773</v>
      </c>
      <c r="Q46" s="1557" t="s">
        <v>7595</v>
      </c>
      <c r="R46" s="1557" t="s">
        <v>7319</v>
      </c>
      <c r="S46" s="1557" t="s">
        <v>6416</v>
      </c>
      <c r="T46" s="1557" t="s">
        <v>9400</v>
      </c>
      <c r="U46" s="1660" t="s">
        <v>7754</v>
      </c>
      <c r="V46" s="1557" t="s">
        <v>9401</v>
      </c>
      <c r="W46" s="1558" t="s">
        <v>6617</v>
      </c>
      <c r="X46" s="1558" t="s">
        <v>9402</v>
      </c>
      <c r="Y46" s="1558" t="s">
        <v>9403</v>
      </c>
      <c r="Z46" s="1558" t="s">
        <v>7541</v>
      </c>
      <c r="AA46" s="1558" t="s">
        <v>1939</v>
      </c>
      <c r="AB46" s="1558" t="s">
        <v>9404</v>
      </c>
      <c r="AC46" s="1558" t="s">
        <v>2386</v>
      </c>
      <c r="AD46" s="1554" t="s">
        <v>9405</v>
      </c>
      <c r="AE46" s="1554" t="s">
        <v>5185</v>
      </c>
      <c r="AF46" s="1559" t="s">
        <v>9406</v>
      </c>
      <c r="AG46" s="1559" t="s">
        <v>5296</v>
      </c>
      <c r="AH46" s="1559" t="s">
        <v>4462</v>
      </c>
      <c r="AI46" s="1559" t="s">
        <v>9407</v>
      </c>
      <c r="AJ46" s="1661" t="s">
        <v>8478</v>
      </c>
      <c r="AK46" s="1559" t="s">
        <v>1616</v>
      </c>
      <c r="AL46" s="1559" t="s">
        <v>5724</v>
      </c>
      <c r="AM46" s="1561" t="s">
        <v>4006</v>
      </c>
      <c r="AN46" s="1561" t="s">
        <v>3628</v>
      </c>
      <c r="AO46" s="1561" t="s">
        <v>2426</v>
      </c>
      <c r="AP46" s="1561" t="s">
        <v>9408</v>
      </c>
      <c r="AQ46" s="1561" t="s">
        <v>4346</v>
      </c>
      <c r="AR46" s="1561" t="s">
        <v>7585</v>
      </c>
      <c r="AS46" s="1561" t="s">
        <v>6324</v>
      </c>
      <c r="AT46" s="1556" t="s">
        <v>9409</v>
      </c>
      <c r="AU46" s="1662" t="s">
        <v>9410</v>
      </c>
      <c r="AV46" s="1512" t="str">
        <f t="shared" si="1"/>
        <v>4:25</v>
      </c>
      <c r="AW46" s="1544"/>
    </row>
    <row r="47" ht="15.75" customHeight="1">
      <c r="A47" s="1503" t="s">
        <v>4414</v>
      </c>
      <c r="B47" s="1563" t="s">
        <v>8460</v>
      </c>
      <c r="C47" s="1505">
        <v>0.05100810185185185</v>
      </c>
      <c r="D47" s="1423" t="s">
        <v>9411</v>
      </c>
      <c r="E47" s="1554" t="s">
        <v>9412</v>
      </c>
      <c r="F47" s="1554" t="s">
        <v>9413</v>
      </c>
      <c r="G47" s="1568" t="s">
        <v>9414</v>
      </c>
      <c r="H47" s="1642" t="s">
        <v>9415</v>
      </c>
      <c r="I47" s="1642" t="s">
        <v>1320</v>
      </c>
      <c r="J47" s="1556" t="s">
        <v>5092</v>
      </c>
      <c r="K47" s="1556" t="s">
        <v>9148</v>
      </c>
      <c r="L47" s="1556" t="s">
        <v>4390</v>
      </c>
      <c r="M47" s="1556" t="s">
        <v>1453</v>
      </c>
      <c r="N47" s="1556" t="s">
        <v>9416</v>
      </c>
      <c r="O47" s="1556" t="s">
        <v>8607</v>
      </c>
      <c r="P47" s="1556" t="s">
        <v>9417</v>
      </c>
      <c r="Q47" s="1557" t="s">
        <v>9418</v>
      </c>
      <c r="R47" s="1557" t="s">
        <v>3388</v>
      </c>
      <c r="S47" s="1557" t="s">
        <v>6976</v>
      </c>
      <c r="T47" s="1557" t="s">
        <v>9419</v>
      </c>
      <c r="U47" s="1557" t="s">
        <v>9420</v>
      </c>
      <c r="V47" s="1571" t="s">
        <v>1274</v>
      </c>
      <c r="W47" s="1558" t="s">
        <v>9421</v>
      </c>
      <c r="X47" s="1558" t="s">
        <v>9204</v>
      </c>
      <c r="Y47" s="1558" t="s">
        <v>3898</v>
      </c>
      <c r="Z47" s="1558" t="s">
        <v>7561</v>
      </c>
      <c r="AA47" s="1558" t="s">
        <v>1026</v>
      </c>
      <c r="AB47" s="1558" t="s">
        <v>3956</v>
      </c>
      <c r="AC47" s="1572" t="s">
        <v>6560</v>
      </c>
      <c r="AD47" s="1554" t="s">
        <v>9422</v>
      </c>
      <c r="AE47" s="1568" t="s">
        <v>4867</v>
      </c>
      <c r="AF47" s="1559" t="s">
        <v>9423</v>
      </c>
      <c r="AG47" s="1559" t="s">
        <v>9424</v>
      </c>
      <c r="AH47" s="1559" t="s">
        <v>9425</v>
      </c>
      <c r="AI47" s="1559" t="s">
        <v>8785</v>
      </c>
      <c r="AJ47" s="1559" t="s">
        <v>9426</v>
      </c>
      <c r="AK47" s="1559" t="s">
        <v>9427</v>
      </c>
      <c r="AL47" s="1559" t="s">
        <v>4562</v>
      </c>
      <c r="AM47" s="1561" t="s">
        <v>8924</v>
      </c>
      <c r="AN47" s="1561" t="s">
        <v>3195</v>
      </c>
      <c r="AO47" s="1561" t="s">
        <v>9428</v>
      </c>
      <c r="AP47" s="1561" t="s">
        <v>9429</v>
      </c>
      <c r="AQ47" s="1561" t="s">
        <v>4346</v>
      </c>
      <c r="AR47" s="1561" t="s">
        <v>9430</v>
      </c>
      <c r="AS47" s="1561" t="s">
        <v>4500</v>
      </c>
      <c r="AT47" s="1556" t="s">
        <v>9431</v>
      </c>
      <c r="AU47" s="1543" t="s">
        <v>9432</v>
      </c>
      <c r="AV47" s="1512" t="str">
        <f t="shared" si="1"/>
        <v>3:17</v>
      </c>
      <c r="AW47" s="1549" t="s">
        <v>9433</v>
      </c>
    </row>
    <row r="48" ht="15.75" customHeight="1">
      <c r="A48" s="1550" t="s">
        <v>985</v>
      </c>
      <c r="B48" s="1548" t="s">
        <v>8460</v>
      </c>
      <c r="C48" s="1505">
        <v>0.05112268518518519</v>
      </c>
      <c r="D48" s="1554" t="s">
        <v>9434</v>
      </c>
      <c r="E48" s="1554" t="s">
        <v>4633</v>
      </c>
      <c r="F48" s="1554" t="s">
        <v>9435</v>
      </c>
      <c r="G48" s="1554" t="s">
        <v>9436</v>
      </c>
      <c r="H48" s="1423" t="s">
        <v>9437</v>
      </c>
      <c r="I48" s="1642" t="s">
        <v>4927</v>
      </c>
      <c r="J48" s="1556" t="s">
        <v>4009</v>
      </c>
      <c r="K48" s="1556" t="s">
        <v>9438</v>
      </c>
      <c r="L48" s="1507" t="s">
        <v>3551</v>
      </c>
      <c r="M48" s="1556" t="s">
        <v>4446</v>
      </c>
      <c r="N48" s="1556" t="s">
        <v>9182</v>
      </c>
      <c r="O48" s="1556" t="s">
        <v>9439</v>
      </c>
      <c r="P48" s="1556" t="s">
        <v>1524</v>
      </c>
      <c r="Q48" s="1557" t="s">
        <v>9440</v>
      </c>
      <c r="R48" s="1663" t="s">
        <v>9441</v>
      </c>
      <c r="S48" s="1557" t="s">
        <v>416</v>
      </c>
      <c r="T48" s="1557" t="s">
        <v>9442</v>
      </c>
      <c r="U48" s="1557" t="s">
        <v>9443</v>
      </c>
      <c r="V48" s="1557" t="s">
        <v>9444</v>
      </c>
      <c r="W48" s="1558" t="s">
        <v>9445</v>
      </c>
      <c r="X48" s="1558" t="s">
        <v>9446</v>
      </c>
      <c r="Y48" s="1664" t="s">
        <v>902</v>
      </c>
      <c r="Z48" s="1558" t="s">
        <v>9447</v>
      </c>
      <c r="AA48" s="1514" t="s">
        <v>9448</v>
      </c>
      <c r="AB48" s="1558" t="s">
        <v>2844</v>
      </c>
      <c r="AC48" s="1644" t="s">
        <v>4976</v>
      </c>
      <c r="AD48" s="1554" t="s">
        <v>9449</v>
      </c>
      <c r="AE48" s="1554" t="s">
        <v>8506</v>
      </c>
      <c r="AF48" s="1559" t="s">
        <v>8624</v>
      </c>
      <c r="AG48" s="1559" t="s">
        <v>272</v>
      </c>
      <c r="AH48" s="1559" t="s">
        <v>464</v>
      </c>
      <c r="AI48" s="1559" t="s">
        <v>9450</v>
      </c>
      <c r="AJ48" s="1559" t="s">
        <v>9451</v>
      </c>
      <c r="AK48" s="1559" t="s">
        <v>4129</v>
      </c>
      <c r="AL48" s="1559" t="s">
        <v>9452</v>
      </c>
      <c r="AM48" s="1561" t="s">
        <v>9453</v>
      </c>
      <c r="AN48" s="1597" t="s">
        <v>3293</v>
      </c>
      <c r="AO48" s="1561" t="s">
        <v>6982</v>
      </c>
      <c r="AP48" s="1561" t="s">
        <v>9454</v>
      </c>
      <c r="AQ48" s="1561" t="s">
        <v>9455</v>
      </c>
      <c r="AR48" s="1561" t="s">
        <v>9456</v>
      </c>
      <c r="AS48" s="1561" t="s">
        <v>8362</v>
      </c>
      <c r="AT48" s="1556" t="s">
        <v>9457</v>
      </c>
      <c r="AU48" s="1543" t="s">
        <v>9458</v>
      </c>
      <c r="AV48" s="1512" t="str">
        <f t="shared" si="1"/>
        <v>4:57</v>
      </c>
      <c r="AW48" s="1645"/>
    </row>
    <row r="49">
      <c r="A49" s="1550" t="s">
        <v>2399</v>
      </c>
      <c r="B49" s="1545" t="s">
        <v>8460</v>
      </c>
      <c r="C49" s="1505">
        <v>0.05112268518518519</v>
      </c>
      <c r="D49" s="1514" t="s">
        <v>9459</v>
      </c>
      <c r="E49" s="1514" t="s">
        <v>4551</v>
      </c>
      <c r="F49" s="1514" t="s">
        <v>9460</v>
      </c>
      <c r="G49" s="1633" t="s">
        <v>8464</v>
      </c>
      <c r="H49" s="1423" t="s">
        <v>9461</v>
      </c>
      <c r="I49" s="1514" t="s">
        <v>765</v>
      </c>
      <c r="J49" s="1514" t="s">
        <v>6419</v>
      </c>
      <c r="K49" s="1514" t="s">
        <v>2495</v>
      </c>
      <c r="L49" s="1514" t="s">
        <v>1274</v>
      </c>
      <c r="M49" s="1514" t="s">
        <v>9462</v>
      </c>
      <c r="N49" s="1514" t="s">
        <v>9039</v>
      </c>
      <c r="O49" s="1514" t="s">
        <v>9463</v>
      </c>
      <c r="P49" s="1514" t="s">
        <v>3535</v>
      </c>
      <c r="Q49" s="1514" t="s">
        <v>9464</v>
      </c>
      <c r="R49" s="1514" t="s">
        <v>2233</v>
      </c>
      <c r="S49" s="1514" t="s">
        <v>3739</v>
      </c>
      <c r="T49" s="1514" t="s">
        <v>7766</v>
      </c>
      <c r="U49" s="1557" t="s">
        <v>8810</v>
      </c>
      <c r="V49" s="1514" t="s">
        <v>9465</v>
      </c>
      <c r="W49" s="1514" t="s">
        <v>9466</v>
      </c>
      <c r="X49" s="1514" t="s">
        <v>1486</v>
      </c>
      <c r="Y49" s="1514" t="s">
        <v>6944</v>
      </c>
      <c r="Z49" s="1514" t="s">
        <v>8672</v>
      </c>
      <c r="AA49" s="1558" t="s">
        <v>612</v>
      </c>
      <c r="AB49" s="1514" t="s">
        <v>9467</v>
      </c>
      <c r="AC49" s="1514" t="s">
        <v>5185</v>
      </c>
      <c r="AD49" s="1514" t="s">
        <v>8857</v>
      </c>
      <c r="AE49" s="1514" t="s">
        <v>3535</v>
      </c>
      <c r="AF49" s="1514" t="s">
        <v>9468</v>
      </c>
      <c r="AG49" s="1514" t="s">
        <v>9469</v>
      </c>
      <c r="AH49" s="1514" t="s">
        <v>2518</v>
      </c>
      <c r="AI49" s="1514" t="s">
        <v>5894</v>
      </c>
      <c r="AJ49" s="1514" t="s">
        <v>9470</v>
      </c>
      <c r="AK49" s="1514" t="s">
        <v>8951</v>
      </c>
      <c r="AL49" s="1514" t="s">
        <v>9471</v>
      </c>
      <c r="AM49" s="1514" t="s">
        <v>2633</v>
      </c>
      <c r="AN49" s="1514" t="s">
        <v>9472</v>
      </c>
      <c r="AO49" s="1514" t="s">
        <v>8582</v>
      </c>
      <c r="AP49" s="1514" t="s">
        <v>9473</v>
      </c>
      <c r="AQ49" s="1514" t="s">
        <v>9474</v>
      </c>
      <c r="AR49" s="1514" t="s">
        <v>2212</v>
      </c>
      <c r="AS49" s="1514" t="s">
        <v>6938</v>
      </c>
      <c r="AT49" s="1514" t="s">
        <v>9475</v>
      </c>
      <c r="AU49" s="1514" t="s">
        <v>9476</v>
      </c>
      <c r="AV49" s="1512" t="str">
        <f t="shared" si="1"/>
        <v>3:15</v>
      </c>
      <c r="AW49" s="1665"/>
    </row>
    <row r="50" ht="15.75" customHeight="1">
      <c r="A50" s="1503" t="s">
        <v>9477</v>
      </c>
      <c r="B50" s="1666" t="s">
        <v>8430</v>
      </c>
      <c r="C50" s="1505">
        <v>0.051180555555555556</v>
      </c>
      <c r="D50" s="1423" t="s">
        <v>9478</v>
      </c>
      <c r="E50" s="1514" t="s">
        <v>9479</v>
      </c>
      <c r="F50" s="1514" t="s">
        <v>4131</v>
      </c>
      <c r="G50" s="1514" t="s">
        <v>8104</v>
      </c>
      <c r="H50" s="1514" t="s">
        <v>9480</v>
      </c>
      <c r="I50" s="1514" t="s">
        <v>160</v>
      </c>
      <c r="J50" s="1514" t="s">
        <v>972</v>
      </c>
      <c r="K50" s="1514" t="s">
        <v>9007</v>
      </c>
      <c r="L50" s="1514" t="s">
        <v>8527</v>
      </c>
      <c r="M50" s="1514" t="s">
        <v>9481</v>
      </c>
      <c r="N50" s="1514" t="s">
        <v>9482</v>
      </c>
      <c r="O50" s="1514" t="s">
        <v>9483</v>
      </c>
      <c r="P50" s="1514" t="s">
        <v>5466</v>
      </c>
      <c r="Q50" s="1514" t="s">
        <v>7182</v>
      </c>
      <c r="R50" s="1514" t="s">
        <v>9484</v>
      </c>
      <c r="S50" s="1514" t="s">
        <v>8306</v>
      </c>
      <c r="T50" s="1512" t="s">
        <v>4177</v>
      </c>
      <c r="U50" s="1512" t="s">
        <v>9485</v>
      </c>
      <c r="V50" s="1514" t="s">
        <v>1823</v>
      </c>
      <c r="W50" s="1514" t="s">
        <v>9486</v>
      </c>
      <c r="X50" s="1514" t="s">
        <v>9487</v>
      </c>
      <c r="Y50" s="1514" t="s">
        <v>8848</v>
      </c>
      <c r="Z50" s="1514" t="s">
        <v>9488</v>
      </c>
      <c r="AA50" s="1514" t="s">
        <v>9489</v>
      </c>
      <c r="AB50" s="1514" t="s">
        <v>9490</v>
      </c>
      <c r="AC50" s="1514" t="s">
        <v>935</v>
      </c>
      <c r="AD50" s="1514" t="s">
        <v>9422</v>
      </c>
      <c r="AE50" s="1514" t="s">
        <v>3290</v>
      </c>
      <c r="AF50" s="1512" t="s">
        <v>9491</v>
      </c>
      <c r="AG50" s="1514" t="s">
        <v>387</v>
      </c>
      <c r="AH50" s="1514" t="s">
        <v>9492</v>
      </c>
      <c r="AI50" s="1514" t="s">
        <v>9493</v>
      </c>
      <c r="AJ50" s="1514" t="s">
        <v>9494</v>
      </c>
      <c r="AK50" s="1514" t="s">
        <v>9495</v>
      </c>
      <c r="AL50" s="1514" t="s">
        <v>9496</v>
      </c>
      <c r="AM50" s="1514" t="s">
        <v>7289</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3707</v>
      </c>
      <c r="B51" s="1657" t="s">
        <v>8430</v>
      </c>
      <c r="C51" s="1667">
        <v>0.05123738425925926</v>
      </c>
      <c r="D51" s="1554" t="s">
        <v>9503</v>
      </c>
      <c r="E51" s="1554" t="s">
        <v>3917</v>
      </c>
      <c r="F51" s="1554" t="s">
        <v>9504</v>
      </c>
      <c r="G51" s="1554" t="s">
        <v>8891</v>
      </c>
      <c r="H51" s="1642" t="s">
        <v>9505</v>
      </c>
      <c r="I51" s="1642" t="s">
        <v>9172</v>
      </c>
      <c r="J51" s="1556" t="s">
        <v>9148</v>
      </c>
      <c r="K51" s="1556" t="s">
        <v>6972</v>
      </c>
      <c r="L51" s="1556" t="s">
        <v>9506</v>
      </c>
      <c r="M51" s="1556" t="s">
        <v>8822</v>
      </c>
      <c r="N51" s="1668" t="s">
        <v>1162</v>
      </c>
      <c r="O51" s="1556" t="s">
        <v>3404</v>
      </c>
      <c r="P51" s="1556" t="s">
        <v>8567</v>
      </c>
      <c r="Q51" s="1557" t="s">
        <v>9507</v>
      </c>
      <c r="R51" s="1557" t="s">
        <v>9106</v>
      </c>
      <c r="S51" s="1557" t="s">
        <v>9508</v>
      </c>
      <c r="T51" s="1557" t="s">
        <v>9509</v>
      </c>
      <c r="U51" s="1557" t="s">
        <v>9510</v>
      </c>
      <c r="V51" s="1557" t="s">
        <v>4203</v>
      </c>
      <c r="W51" s="1558" t="s">
        <v>9511</v>
      </c>
      <c r="X51" s="1558" t="s">
        <v>9512</v>
      </c>
      <c r="Y51" s="1558" t="s">
        <v>9513</v>
      </c>
      <c r="Z51" s="1558" t="s">
        <v>1261</v>
      </c>
      <c r="AA51" s="1558" t="s">
        <v>8785</v>
      </c>
      <c r="AB51" s="1558" t="s">
        <v>9256</v>
      </c>
      <c r="AC51" s="1558" t="s">
        <v>483</v>
      </c>
      <c r="AD51" s="1554" t="s">
        <v>9514</v>
      </c>
      <c r="AE51" s="1554" t="s">
        <v>6338</v>
      </c>
      <c r="AF51" s="1559" t="s">
        <v>9515</v>
      </c>
      <c r="AG51" s="1559" t="s">
        <v>9516</v>
      </c>
      <c r="AH51" s="1559" t="s">
        <v>9517</v>
      </c>
      <c r="AI51" s="1559" t="s">
        <v>312</v>
      </c>
      <c r="AJ51" s="1559" t="s">
        <v>9518</v>
      </c>
      <c r="AK51" s="1516" t="s">
        <v>8994</v>
      </c>
      <c r="AL51" s="1559" t="s">
        <v>9031</v>
      </c>
      <c r="AM51" s="1561" t="s">
        <v>9519</v>
      </c>
      <c r="AN51" s="1561" t="s">
        <v>569</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4990</v>
      </c>
      <c r="I52" s="1512" t="s">
        <v>6337</v>
      </c>
      <c r="J52" s="1512" t="s">
        <v>9532</v>
      </c>
      <c r="K52" s="1512" t="s">
        <v>8831</v>
      </c>
      <c r="L52" s="1512" t="s">
        <v>3827</v>
      </c>
      <c r="M52" s="1512" t="s">
        <v>9301</v>
      </c>
      <c r="N52" s="1512" t="s">
        <v>9089</v>
      </c>
      <c r="O52" s="1512" t="s">
        <v>9533</v>
      </c>
      <c r="P52" s="1671" t="s">
        <v>8494</v>
      </c>
      <c r="Q52" s="1512" t="s">
        <v>9534</v>
      </c>
      <c r="R52" s="1512" t="s">
        <v>9535</v>
      </c>
      <c r="S52" s="1512" t="s">
        <v>1160</v>
      </c>
      <c r="T52" s="1512" t="s">
        <v>9536</v>
      </c>
      <c r="U52" s="1512" t="s">
        <v>1008</v>
      </c>
      <c r="V52" s="1512" t="s">
        <v>452</v>
      </c>
      <c r="W52" s="1512" t="s">
        <v>9537</v>
      </c>
      <c r="X52" s="1512" t="s">
        <v>309</v>
      </c>
      <c r="Y52" s="1512" t="s">
        <v>9538</v>
      </c>
      <c r="Z52" s="1512" t="s">
        <v>7294</v>
      </c>
      <c r="AA52" s="1512" t="s">
        <v>6032</v>
      </c>
      <c r="AB52" s="1512" t="s">
        <v>4430</v>
      </c>
      <c r="AC52" s="1512" t="s">
        <v>6005</v>
      </c>
      <c r="AD52" s="1512" t="s">
        <v>9539</v>
      </c>
      <c r="AE52" s="1671" t="s">
        <v>8506</v>
      </c>
      <c r="AF52" s="1671" t="s">
        <v>2670</v>
      </c>
      <c r="AG52" s="1512" t="s">
        <v>4541</v>
      </c>
      <c r="AH52" s="1512" t="s">
        <v>9540</v>
      </c>
      <c r="AI52" s="1512" t="s">
        <v>9541</v>
      </c>
      <c r="AJ52" s="1512" t="s">
        <v>9542</v>
      </c>
      <c r="AK52" s="1512" t="s">
        <v>5860</v>
      </c>
      <c r="AL52" s="1512" t="s">
        <v>6073</v>
      </c>
      <c r="AM52" s="1671" t="s">
        <v>8511</v>
      </c>
      <c r="AN52" s="1514" t="s">
        <v>2469</v>
      </c>
      <c r="AO52" s="1512" t="s">
        <v>4864</v>
      </c>
      <c r="AP52" s="1512" t="s">
        <v>9543</v>
      </c>
      <c r="AQ52" s="1512" t="s">
        <v>9544</v>
      </c>
      <c r="AR52" s="1512" t="s">
        <v>8960</v>
      </c>
      <c r="AS52" s="1512" t="s">
        <v>4435</v>
      </c>
      <c r="AT52" s="1512" t="s">
        <v>9545</v>
      </c>
      <c r="AU52" s="1512" t="s">
        <v>9546</v>
      </c>
      <c r="AV52" s="1512" t="str">
        <f t="shared" si="1"/>
        <v>3:15</v>
      </c>
      <c r="AW52" s="1584" t="s">
        <v>9547</v>
      </c>
    </row>
    <row r="53">
      <c r="A53" s="1550" t="s">
        <v>1804</v>
      </c>
      <c r="B53" s="1548" t="s">
        <v>8430</v>
      </c>
      <c r="C53" s="1505">
        <v>0.05133101851851852</v>
      </c>
      <c r="D53" s="1656" t="s">
        <v>9548</v>
      </c>
      <c r="E53" s="1554" t="s">
        <v>9549</v>
      </c>
      <c r="F53" s="1554" t="s">
        <v>9550</v>
      </c>
      <c r="G53" s="1554" t="s">
        <v>9551</v>
      </c>
      <c r="H53" s="1642" t="s">
        <v>9552</v>
      </c>
      <c r="I53" s="1642" t="s">
        <v>2951</v>
      </c>
      <c r="J53" s="1556" t="s">
        <v>1938</v>
      </c>
      <c r="K53" s="1556" t="s">
        <v>9553</v>
      </c>
      <c r="L53" s="1556" t="s">
        <v>4165</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5433</v>
      </c>
      <c r="Z53" s="1558" t="s">
        <v>1500</v>
      </c>
      <c r="AA53" s="1558" t="s">
        <v>9561</v>
      </c>
      <c r="AB53" s="1558" t="s">
        <v>6140</v>
      </c>
      <c r="AC53" s="1558" t="s">
        <v>261</v>
      </c>
      <c r="AD53" s="1554" t="s">
        <v>8877</v>
      </c>
      <c r="AE53" s="1554" t="s">
        <v>5433</v>
      </c>
      <c r="AF53" s="1559" t="s">
        <v>9562</v>
      </c>
      <c r="AG53" s="1559" t="s">
        <v>5678</v>
      </c>
      <c r="AH53" s="1559" t="s">
        <v>3995</v>
      </c>
      <c r="AI53" s="1559" t="s">
        <v>9563</v>
      </c>
      <c r="AJ53" s="1559" t="s">
        <v>9564</v>
      </c>
      <c r="AK53" s="1559" t="s">
        <v>9487</v>
      </c>
      <c r="AL53" s="1559" t="s">
        <v>3998</v>
      </c>
      <c r="AM53" s="1561" t="s">
        <v>9565</v>
      </c>
      <c r="AN53" s="1561" t="s">
        <v>4004</v>
      </c>
      <c r="AO53" s="1561" t="s">
        <v>9566</v>
      </c>
      <c r="AP53" s="1561" t="s">
        <v>9567</v>
      </c>
      <c r="AQ53" s="1561" t="s">
        <v>9164</v>
      </c>
      <c r="AR53" s="1561" t="s">
        <v>9568</v>
      </c>
      <c r="AS53" s="1561" t="s">
        <v>9569</v>
      </c>
      <c r="AT53" s="1556" t="s">
        <v>9570</v>
      </c>
      <c r="AU53" s="1543" t="s">
        <v>9571</v>
      </c>
      <c r="AV53" s="1512" t="str">
        <f t="shared" si="1"/>
        <v>1:34</v>
      </c>
      <c r="AW53" s="1645"/>
    </row>
    <row r="54">
      <c r="A54" s="1550" t="s">
        <v>2867</v>
      </c>
      <c r="B54" s="1548" t="s">
        <v>8430</v>
      </c>
      <c r="C54" s="1505">
        <v>0.05134259259259259</v>
      </c>
      <c r="D54" s="1554" t="s">
        <v>9572</v>
      </c>
      <c r="E54" s="1554" t="s">
        <v>6334</v>
      </c>
      <c r="F54" s="1554" t="s">
        <v>9573</v>
      </c>
      <c r="G54" s="1554" t="s">
        <v>9574</v>
      </c>
      <c r="H54" s="1554" t="s">
        <v>9575</v>
      </c>
      <c r="I54" s="1554" t="s">
        <v>1359</v>
      </c>
      <c r="J54" s="1556" t="s">
        <v>4946</v>
      </c>
      <c r="K54" s="1556" t="s">
        <v>7177</v>
      </c>
      <c r="L54" s="1556" t="s">
        <v>4776</v>
      </c>
      <c r="M54" s="1556" t="s">
        <v>3543</v>
      </c>
      <c r="N54" s="1556" t="s">
        <v>2000</v>
      </c>
      <c r="O54" s="1556" t="s">
        <v>9576</v>
      </c>
      <c r="P54" s="1556" t="s">
        <v>4498</v>
      </c>
      <c r="Q54" s="1557" t="s">
        <v>9577</v>
      </c>
      <c r="R54" s="1557" t="s">
        <v>2552</v>
      </c>
      <c r="S54" s="1557" t="s">
        <v>9578</v>
      </c>
      <c r="T54" s="1557" t="s">
        <v>9579</v>
      </c>
      <c r="U54" s="1557" t="s">
        <v>9443</v>
      </c>
      <c r="V54" s="1557" t="s">
        <v>9580</v>
      </c>
      <c r="W54" s="1558" t="s">
        <v>9581</v>
      </c>
      <c r="X54" s="1558" t="s">
        <v>8507</v>
      </c>
      <c r="Y54" s="1558" t="s">
        <v>9176</v>
      </c>
      <c r="Z54" s="1558" t="s">
        <v>2913</v>
      </c>
      <c r="AA54" s="1514" t="s">
        <v>590</v>
      </c>
      <c r="AB54" s="1558" t="s">
        <v>8872</v>
      </c>
      <c r="AC54" s="1558" t="s">
        <v>9049</v>
      </c>
      <c r="AD54" s="1554" t="s">
        <v>9582</v>
      </c>
      <c r="AE54" s="1554" t="s">
        <v>9583</v>
      </c>
      <c r="AF54" s="1559" t="s">
        <v>9584</v>
      </c>
      <c r="AG54" s="1559" t="s">
        <v>9585</v>
      </c>
      <c r="AH54" s="1559" t="s">
        <v>1830</v>
      </c>
      <c r="AI54" s="1559" t="s">
        <v>420</v>
      </c>
      <c r="AJ54" s="1559" t="s">
        <v>9586</v>
      </c>
      <c r="AK54" s="1559" t="s">
        <v>9587</v>
      </c>
      <c r="AL54" s="1559" t="s">
        <v>5576</v>
      </c>
      <c r="AM54" s="1561" t="s">
        <v>9588</v>
      </c>
      <c r="AN54" s="1561" t="s">
        <v>6286</v>
      </c>
      <c r="AO54" s="1561" t="s">
        <v>9589</v>
      </c>
      <c r="AP54" s="1561" t="s">
        <v>9590</v>
      </c>
      <c r="AQ54" s="1561" t="s">
        <v>9164</v>
      </c>
      <c r="AR54" s="1561" t="s">
        <v>9591</v>
      </c>
      <c r="AS54" s="1561" t="s">
        <v>1829</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3845</v>
      </c>
      <c r="L55" s="1673" t="s">
        <v>3769</v>
      </c>
      <c r="M55" s="1570" t="s">
        <v>5545</v>
      </c>
      <c r="N55" s="1570" t="s">
        <v>9599</v>
      </c>
      <c r="O55" s="1673" t="s">
        <v>8493</v>
      </c>
      <c r="P55" s="1570" t="s">
        <v>388</v>
      </c>
      <c r="Q55" s="1571" t="s">
        <v>9600</v>
      </c>
      <c r="R55" s="1571" t="s">
        <v>1622</v>
      </c>
      <c r="S55" s="1571" t="s">
        <v>9601</v>
      </c>
      <c r="T55" s="1674" t="s">
        <v>8497</v>
      </c>
      <c r="U55" s="1571" t="s">
        <v>9602</v>
      </c>
      <c r="V55" s="1571" t="s">
        <v>3997</v>
      </c>
      <c r="W55" s="1675" t="s">
        <v>8500</v>
      </c>
      <c r="X55" s="1572" t="s">
        <v>4284</v>
      </c>
      <c r="Y55" s="1572" t="s">
        <v>6337</v>
      </c>
      <c r="Z55" s="1572" t="s">
        <v>7552</v>
      </c>
      <c r="AA55" s="1572" t="s">
        <v>8994</v>
      </c>
      <c r="AB55" s="1675" t="s">
        <v>8504</v>
      </c>
      <c r="AC55" s="1572" t="s">
        <v>6430</v>
      </c>
      <c r="AD55" s="1561" t="s">
        <v>9603</v>
      </c>
      <c r="AE55" s="1568" t="s">
        <v>9604</v>
      </c>
      <c r="AF55" s="1573" t="s">
        <v>9605</v>
      </c>
      <c r="AG55" s="1573" t="s">
        <v>9606</v>
      </c>
      <c r="AH55" s="1573" t="s">
        <v>6020</v>
      </c>
      <c r="AI55" s="1573" t="s">
        <v>9607</v>
      </c>
      <c r="AJ55" s="1573" t="s">
        <v>9608</v>
      </c>
      <c r="AK55" s="1676" t="s">
        <v>8509</v>
      </c>
      <c r="AL55" s="1573" t="s">
        <v>1565</v>
      </c>
      <c r="AM55" s="1560" t="s">
        <v>9469</v>
      </c>
      <c r="AN55" s="1561" t="s">
        <v>4102</v>
      </c>
      <c r="AO55" s="1560" t="s">
        <v>9609</v>
      </c>
      <c r="AP55" s="1560" t="s">
        <v>9610</v>
      </c>
      <c r="AQ55" s="1560" t="s">
        <v>9611</v>
      </c>
      <c r="AR55" s="1560" t="s">
        <v>8522</v>
      </c>
      <c r="AS55" s="1560" t="s">
        <v>4616</v>
      </c>
      <c r="AT55" s="1570" t="s">
        <v>9612</v>
      </c>
      <c r="AU55" s="1574" t="s">
        <v>9613</v>
      </c>
      <c r="AV55" s="1512" t="str">
        <f t="shared" si="1"/>
        <v>1:58</v>
      </c>
      <c r="AW55" s="1645"/>
    </row>
    <row r="56" ht="15.75" customHeight="1">
      <c r="A56" s="1503" t="s">
        <v>3330</v>
      </c>
      <c r="B56" s="1504" t="s">
        <v>8430</v>
      </c>
      <c r="C56" s="1646">
        <v>0.05134259259259259</v>
      </c>
      <c r="D56" s="1423" t="s">
        <v>9614</v>
      </c>
      <c r="E56" s="1512" t="s">
        <v>9615</v>
      </c>
      <c r="F56" s="1512" t="s">
        <v>9616</v>
      </c>
      <c r="G56" s="1512" t="s">
        <v>7581</v>
      </c>
      <c r="H56" s="1512" t="s">
        <v>8668</v>
      </c>
      <c r="I56" s="1512" t="s">
        <v>6076</v>
      </c>
      <c r="J56" s="1512" t="s">
        <v>9617</v>
      </c>
      <c r="K56" s="1512" t="s">
        <v>3855</v>
      </c>
      <c r="L56" s="1512" t="s">
        <v>9618</v>
      </c>
      <c r="M56" s="1512" t="s">
        <v>9619</v>
      </c>
      <c r="N56" s="1512" t="s">
        <v>2749</v>
      </c>
      <c r="O56" s="1512" t="s">
        <v>9620</v>
      </c>
      <c r="P56" s="1512" t="s">
        <v>1086</v>
      </c>
      <c r="Q56" s="1512" t="s">
        <v>2459</v>
      </c>
      <c r="R56" s="1512" t="s">
        <v>9346</v>
      </c>
      <c r="S56" s="1512" t="s">
        <v>9215</v>
      </c>
      <c r="T56" s="1512" t="s">
        <v>9621</v>
      </c>
      <c r="U56" s="1512" t="s">
        <v>9622</v>
      </c>
      <c r="V56" s="1512" t="s">
        <v>4100</v>
      </c>
      <c r="W56" s="1512" t="s">
        <v>9623</v>
      </c>
      <c r="X56" s="1512" t="s">
        <v>9624</v>
      </c>
      <c r="Y56" s="1512" t="s">
        <v>388</v>
      </c>
      <c r="Z56" s="1512" t="s">
        <v>6976</v>
      </c>
      <c r="AA56" s="1512" t="s">
        <v>9159</v>
      </c>
      <c r="AB56" s="1512" t="s">
        <v>8551</v>
      </c>
      <c r="AC56" s="1512" t="s">
        <v>935</v>
      </c>
      <c r="AD56" s="1512" t="s">
        <v>9625</v>
      </c>
      <c r="AE56" s="1512" t="s">
        <v>388</v>
      </c>
      <c r="AF56" s="1512" t="s">
        <v>9626</v>
      </c>
      <c r="AG56" s="1512" t="s">
        <v>9627</v>
      </c>
      <c r="AH56" s="1512" t="s">
        <v>5155</v>
      </c>
      <c r="AI56" s="1512" t="s">
        <v>9628</v>
      </c>
      <c r="AJ56" s="1512" t="s">
        <v>9564</v>
      </c>
      <c r="AK56" s="1512" t="s">
        <v>7315</v>
      </c>
      <c r="AL56" s="1512" t="s">
        <v>3237</v>
      </c>
      <c r="AM56" s="1512" t="s">
        <v>4127</v>
      </c>
      <c r="AN56" s="1512" t="s">
        <v>9629</v>
      </c>
      <c r="AO56" s="1512" t="s">
        <v>6261</v>
      </c>
      <c r="AP56" s="1512" t="s">
        <v>9630</v>
      </c>
      <c r="AQ56" s="1512" t="s">
        <v>9631</v>
      </c>
      <c r="AR56" s="1512" t="s">
        <v>9632</v>
      </c>
      <c r="AS56" s="1560" t="s">
        <v>4406</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1049</v>
      </c>
      <c r="Q57" s="1514" t="s">
        <v>9440</v>
      </c>
      <c r="R57" s="1514" t="s">
        <v>9641</v>
      </c>
      <c r="S57" s="1514" t="s">
        <v>9642</v>
      </c>
      <c r="T57" s="1514" t="s">
        <v>3292</v>
      </c>
      <c r="U57" s="1514" t="s">
        <v>9360</v>
      </c>
      <c r="V57" s="1514" t="s">
        <v>5715</v>
      </c>
      <c r="W57" s="1514" t="s">
        <v>9643</v>
      </c>
      <c r="X57" s="1514" t="s">
        <v>627</v>
      </c>
      <c r="Y57" s="1514" t="s">
        <v>9644</v>
      </c>
      <c r="Z57" s="1514" t="s">
        <v>9645</v>
      </c>
      <c r="AA57" s="1677" t="s">
        <v>8503</v>
      </c>
      <c r="AB57" s="1514" t="s">
        <v>5833</v>
      </c>
      <c r="AC57" s="1514" t="s">
        <v>9646</v>
      </c>
      <c r="AD57" s="1514" t="s">
        <v>8794</v>
      </c>
      <c r="AE57" s="1514" t="s">
        <v>2558</v>
      </c>
      <c r="AF57" s="1514" t="s">
        <v>9647</v>
      </c>
      <c r="AG57" s="1659" t="s">
        <v>4600</v>
      </c>
      <c r="AH57" s="1659" t="s">
        <v>5162</v>
      </c>
      <c r="AI57" s="1514" t="s">
        <v>9648</v>
      </c>
      <c r="AJ57" s="1514" t="s">
        <v>9649</v>
      </c>
      <c r="AK57" s="1514" t="s">
        <v>7515</v>
      </c>
      <c r="AL57" s="1514" t="s">
        <v>3826</v>
      </c>
      <c r="AM57" s="1514" t="s">
        <v>9650</v>
      </c>
      <c r="AN57" s="1514" t="s">
        <v>3684</v>
      </c>
      <c r="AO57" s="1659" t="s">
        <v>8513</v>
      </c>
      <c r="AP57" s="1678" t="s">
        <v>8514</v>
      </c>
      <c r="AQ57" s="1514" t="s">
        <v>3315</v>
      </c>
      <c r="AR57" s="1514" t="s">
        <v>1618</v>
      </c>
      <c r="AS57" s="1514" t="s">
        <v>5127</v>
      </c>
      <c r="AT57" s="1514" t="s">
        <v>9651</v>
      </c>
      <c r="AU57" s="1514" t="s">
        <v>8811</v>
      </c>
      <c r="AV57" s="1512" t="str">
        <f t="shared" si="1"/>
        <v>2:22</v>
      </c>
      <c r="AW57" s="1546" t="s">
        <v>9652</v>
      </c>
    </row>
    <row r="58" ht="15.75" customHeight="1">
      <c r="A58" s="1550" t="s">
        <v>3981</v>
      </c>
      <c r="B58" s="1548" t="s">
        <v>8430</v>
      </c>
      <c r="C58" s="1505">
        <v>0.05153935185185185</v>
      </c>
      <c r="D58" s="1583" t="s">
        <v>9653</v>
      </c>
      <c r="E58" s="1583" t="s">
        <v>6623</v>
      </c>
      <c r="F58" s="1583" t="s">
        <v>9654</v>
      </c>
      <c r="G58" s="1583" t="s">
        <v>4872</v>
      </c>
      <c r="H58" s="1423" t="s">
        <v>9655</v>
      </c>
      <c r="I58" s="1583" t="s">
        <v>1359</v>
      </c>
      <c r="J58" s="1583" t="s">
        <v>9656</v>
      </c>
      <c r="K58" s="1583" t="s">
        <v>3575</v>
      </c>
      <c r="L58" s="1583" t="s">
        <v>4203</v>
      </c>
      <c r="M58" s="1583" t="s">
        <v>7109</v>
      </c>
      <c r="N58" s="1583" t="s">
        <v>9657</v>
      </c>
      <c r="O58" s="1583" t="s">
        <v>3761</v>
      </c>
      <c r="P58" s="1583" t="s">
        <v>6944</v>
      </c>
      <c r="Q58" s="1583" t="s">
        <v>9658</v>
      </c>
      <c r="R58" s="1583" t="s">
        <v>3388</v>
      </c>
      <c r="S58" s="1679" t="s">
        <v>9299</v>
      </c>
      <c r="T58" s="1583" t="s">
        <v>9109</v>
      </c>
      <c r="U58" s="1583" t="s">
        <v>9659</v>
      </c>
      <c r="V58" s="1583" t="s">
        <v>1786</v>
      </c>
      <c r="W58" s="1583" t="s">
        <v>9660</v>
      </c>
      <c r="X58" s="1583" t="s">
        <v>1675</v>
      </c>
      <c r="Y58" s="1583" t="s">
        <v>3588</v>
      </c>
      <c r="Z58" s="1583" t="s">
        <v>7285</v>
      </c>
      <c r="AA58" s="1583" t="s">
        <v>893</v>
      </c>
      <c r="AB58" s="1583" t="s">
        <v>9661</v>
      </c>
      <c r="AC58" s="1583" t="s">
        <v>9646</v>
      </c>
      <c r="AD58" s="1583" t="s">
        <v>9662</v>
      </c>
      <c r="AE58" s="1583" t="s">
        <v>4879</v>
      </c>
      <c r="AF58" s="1507" t="s">
        <v>9663</v>
      </c>
      <c r="AG58" s="1583" t="s">
        <v>9664</v>
      </c>
      <c r="AH58" s="1583" t="s">
        <v>9665</v>
      </c>
      <c r="AI58" s="1583" t="s">
        <v>9666</v>
      </c>
      <c r="AJ58" s="1583" t="s">
        <v>9667</v>
      </c>
      <c r="AK58" s="1583" t="s">
        <v>5051</v>
      </c>
      <c r="AL58" s="1583" t="s">
        <v>9471</v>
      </c>
      <c r="AM58" s="1583" t="s">
        <v>9648</v>
      </c>
      <c r="AN58" s="1583" t="s">
        <v>2547</v>
      </c>
      <c r="AO58" s="1583" t="s">
        <v>5591</v>
      </c>
      <c r="AP58" s="1679" t="s">
        <v>9408</v>
      </c>
      <c r="AQ58" s="1583" t="s">
        <v>9668</v>
      </c>
      <c r="AR58" s="1583" t="s">
        <v>4946</v>
      </c>
      <c r="AS58" s="1583" t="s">
        <v>9076</v>
      </c>
      <c r="AT58" s="1583" t="s">
        <v>9669</v>
      </c>
      <c r="AU58" s="1583" t="s">
        <v>9670</v>
      </c>
      <c r="AV58" s="1680" t="str">
        <f t="shared" si="1"/>
        <v>2:41</v>
      </c>
      <c r="AW58" s="1681" t="s">
        <v>9671</v>
      </c>
    </row>
    <row r="59" ht="15.75" customHeight="1">
      <c r="A59" s="1503" t="s">
        <v>1949</v>
      </c>
      <c r="B59" s="1504" t="s">
        <v>8430</v>
      </c>
      <c r="C59" s="1505">
        <v>0.05157407407407407</v>
      </c>
      <c r="D59" s="1423" t="s">
        <v>9672</v>
      </c>
      <c r="E59" s="1554" t="s">
        <v>9673</v>
      </c>
      <c r="F59" s="1554" t="s">
        <v>9674</v>
      </c>
      <c r="G59" s="1568" t="s">
        <v>9170</v>
      </c>
      <c r="H59" s="1555" t="s">
        <v>9675</v>
      </c>
      <c r="I59" s="1555" t="s">
        <v>2026</v>
      </c>
      <c r="J59" s="1570" t="s">
        <v>5403</v>
      </c>
      <c r="K59" s="1570" t="s">
        <v>3505</v>
      </c>
      <c r="L59" s="1570" t="s">
        <v>9676</v>
      </c>
      <c r="M59" s="1570" t="s">
        <v>9343</v>
      </c>
      <c r="N59" s="1570" t="s">
        <v>1230</v>
      </c>
      <c r="O59" s="1570" t="s">
        <v>9643</v>
      </c>
      <c r="P59" s="1570" t="s">
        <v>8657</v>
      </c>
      <c r="Q59" s="1571" t="s">
        <v>9677</v>
      </c>
      <c r="R59" s="1571" t="s">
        <v>9678</v>
      </c>
      <c r="S59" s="1571" t="s">
        <v>9679</v>
      </c>
      <c r="T59" s="1571" t="s">
        <v>7289</v>
      </c>
      <c r="U59" s="1571" t="s">
        <v>7223</v>
      </c>
      <c r="V59" s="1571" t="s">
        <v>5020</v>
      </c>
      <c r="W59" s="1572" t="s">
        <v>9680</v>
      </c>
      <c r="X59" s="1572" t="s">
        <v>9681</v>
      </c>
      <c r="Y59" s="1572" t="s">
        <v>9538</v>
      </c>
      <c r="Z59" s="1572" t="s">
        <v>8504</v>
      </c>
      <c r="AA59" s="1572" t="s">
        <v>5894</v>
      </c>
      <c r="AB59" s="1572" t="s">
        <v>5611</v>
      </c>
      <c r="AC59" s="1572" t="s">
        <v>6225</v>
      </c>
      <c r="AD59" s="1554" t="s">
        <v>9682</v>
      </c>
      <c r="AE59" s="1568" t="s">
        <v>5454</v>
      </c>
      <c r="AF59" s="1573" t="s">
        <v>9683</v>
      </c>
      <c r="AG59" s="1573" t="s">
        <v>9684</v>
      </c>
      <c r="AH59" s="1573" t="s">
        <v>9685</v>
      </c>
      <c r="AI59" s="1573" t="s">
        <v>1040</v>
      </c>
      <c r="AJ59" s="1573" t="s">
        <v>9686</v>
      </c>
      <c r="AK59" s="1559" t="s">
        <v>627</v>
      </c>
      <c r="AL59" s="1559" t="s">
        <v>9687</v>
      </c>
      <c r="AM59" s="1560" t="s">
        <v>3627</v>
      </c>
      <c r="AN59" s="1560" t="s">
        <v>9688</v>
      </c>
      <c r="AO59" s="1560" t="s">
        <v>9689</v>
      </c>
      <c r="AP59" s="1560" t="s">
        <v>9690</v>
      </c>
      <c r="AQ59" s="1560" t="s">
        <v>9691</v>
      </c>
      <c r="AR59" s="1561" t="s">
        <v>7775</v>
      </c>
      <c r="AS59" s="1560" t="s">
        <v>4406</v>
      </c>
      <c r="AT59" s="1570" t="s">
        <v>9692</v>
      </c>
      <c r="AU59" s="1574" t="s">
        <v>9693</v>
      </c>
      <c r="AV59" s="1512" t="str">
        <f t="shared" si="1"/>
        <v>4:40</v>
      </c>
      <c r="AW59" s="1645" t="s">
        <v>9694</v>
      </c>
    </row>
    <row r="60" ht="15.75" customHeight="1">
      <c r="A60" s="1550" t="s">
        <v>9695</v>
      </c>
      <c r="B60" s="1548" t="s">
        <v>8430</v>
      </c>
      <c r="C60" s="1505">
        <v>0.051631944444444446</v>
      </c>
      <c r="D60" s="1554" t="s">
        <v>9696</v>
      </c>
      <c r="E60" s="1554" t="s">
        <v>6479</v>
      </c>
      <c r="F60" s="1554" t="s">
        <v>8664</v>
      </c>
      <c r="G60" s="1554" t="s">
        <v>9697</v>
      </c>
      <c r="H60" s="1642" t="s">
        <v>9698</v>
      </c>
      <c r="I60" s="1642" t="s">
        <v>9699</v>
      </c>
      <c r="J60" s="1556" t="s">
        <v>9700</v>
      </c>
      <c r="K60" s="1556" t="s">
        <v>7515</v>
      </c>
      <c r="L60" s="1556" t="s">
        <v>4454</v>
      </c>
      <c r="M60" s="1556" t="s">
        <v>9701</v>
      </c>
      <c r="N60" s="1556" t="s">
        <v>6024</v>
      </c>
      <c r="O60" s="1556" t="s">
        <v>9702</v>
      </c>
      <c r="P60" s="1556" t="s">
        <v>6524</v>
      </c>
      <c r="Q60" s="1557" t="s">
        <v>9703</v>
      </c>
      <c r="R60" s="1557" t="s">
        <v>9535</v>
      </c>
      <c r="S60" s="1557" t="s">
        <v>5558</v>
      </c>
      <c r="T60" s="1557" t="s">
        <v>6063</v>
      </c>
      <c r="U60" s="1557" t="s">
        <v>9704</v>
      </c>
      <c r="V60" s="1557" t="s">
        <v>9705</v>
      </c>
      <c r="W60" s="1558" t="s">
        <v>9706</v>
      </c>
      <c r="X60" s="1558" t="s">
        <v>627</v>
      </c>
      <c r="Y60" s="1558" t="s">
        <v>5010</v>
      </c>
      <c r="Z60" s="1558" t="s">
        <v>9707</v>
      </c>
      <c r="AA60" s="1514" t="s">
        <v>9708</v>
      </c>
      <c r="AB60" s="1558" t="s">
        <v>9309</v>
      </c>
      <c r="AC60" s="1558" t="s">
        <v>4675</v>
      </c>
      <c r="AD60" s="1554" t="s">
        <v>9709</v>
      </c>
      <c r="AE60" s="1554" t="s">
        <v>8984</v>
      </c>
      <c r="AF60" s="1682" t="s">
        <v>9710</v>
      </c>
      <c r="AG60" s="1559" t="s">
        <v>6590</v>
      </c>
      <c r="AH60" s="1559" t="s">
        <v>9685</v>
      </c>
      <c r="AI60" s="1559" t="s">
        <v>4050</v>
      </c>
      <c r="AJ60" s="1559" t="s">
        <v>9711</v>
      </c>
      <c r="AK60" s="1559" t="s">
        <v>1521</v>
      </c>
      <c r="AL60" s="1559" t="s">
        <v>3435</v>
      </c>
      <c r="AM60" s="1561" t="s">
        <v>5894</v>
      </c>
      <c r="AN60" s="1561" t="s">
        <v>5576</v>
      </c>
      <c r="AO60" s="1561" t="s">
        <v>6418</v>
      </c>
      <c r="AP60" s="1561" t="s">
        <v>9712</v>
      </c>
      <c r="AQ60" s="1561" t="s">
        <v>3512</v>
      </c>
      <c r="AR60" s="1561" t="s">
        <v>9275</v>
      </c>
      <c r="AS60" s="1561" t="s">
        <v>4024</v>
      </c>
      <c r="AT60" s="1556" t="s">
        <v>9713</v>
      </c>
      <c r="AU60" s="1543" t="s">
        <v>9714</v>
      </c>
      <c r="AV60" s="1512" t="str">
        <f t="shared" si="1"/>
        <v>2:25</v>
      </c>
      <c r="AW60" s="1643" t="s">
        <v>9715</v>
      </c>
    </row>
    <row r="61" ht="15.75" customHeight="1">
      <c r="A61" s="1587" t="s">
        <v>9716</v>
      </c>
      <c r="B61" s="1504" t="s">
        <v>8430</v>
      </c>
      <c r="C61" s="1646">
        <v>0.051631944444444446</v>
      </c>
      <c r="D61" s="1423" t="s">
        <v>9717</v>
      </c>
      <c r="E61" s="1680" t="s">
        <v>9718</v>
      </c>
      <c r="F61" s="1680" t="s">
        <v>8514</v>
      </c>
      <c r="G61" s="1680" t="s">
        <v>9719</v>
      </c>
      <c r="H61" s="1680" t="s">
        <v>9720</v>
      </c>
      <c r="I61" s="1680" t="s">
        <v>9646</v>
      </c>
      <c r="J61" s="1680" t="s">
        <v>3506</v>
      </c>
      <c r="K61" s="1680" t="s">
        <v>9721</v>
      </c>
      <c r="L61" s="1680" t="s">
        <v>5295</v>
      </c>
      <c r="M61" s="1680" t="s">
        <v>712</v>
      </c>
      <c r="N61" s="1680" t="s">
        <v>9722</v>
      </c>
      <c r="O61" s="1680" t="s">
        <v>4685</v>
      </c>
      <c r="P61" s="1680" t="s">
        <v>8466</v>
      </c>
      <c r="Q61" s="1680" t="s">
        <v>9723</v>
      </c>
      <c r="R61" s="1680" t="s">
        <v>9724</v>
      </c>
      <c r="S61" s="1680" t="s">
        <v>9499</v>
      </c>
      <c r="T61" s="1680" t="s">
        <v>9565</v>
      </c>
      <c r="U61" s="1680" t="s">
        <v>9725</v>
      </c>
      <c r="V61" s="1680" t="s">
        <v>9726</v>
      </c>
      <c r="W61" s="1680" t="s">
        <v>9727</v>
      </c>
      <c r="X61" s="1680" t="s">
        <v>9648</v>
      </c>
      <c r="Y61" s="1680" t="s">
        <v>4675</v>
      </c>
      <c r="Z61" s="1680" t="s">
        <v>7214</v>
      </c>
      <c r="AA61" s="1680" t="s">
        <v>6233</v>
      </c>
      <c r="AB61" s="1680" t="s">
        <v>9728</v>
      </c>
      <c r="AC61" s="1680" t="s">
        <v>388</v>
      </c>
      <c r="AD61" s="1680" t="s">
        <v>5930</v>
      </c>
      <c r="AE61" s="1680" t="s">
        <v>2951</v>
      </c>
      <c r="AF61" s="1680" t="s">
        <v>9414</v>
      </c>
      <c r="AG61" s="1680" t="s">
        <v>9729</v>
      </c>
      <c r="AH61" s="1680" t="s">
        <v>5337</v>
      </c>
      <c r="AI61" s="1680" t="s">
        <v>4069</v>
      </c>
      <c r="AJ61" s="1680" t="s">
        <v>9730</v>
      </c>
      <c r="AK61" s="1680" t="s">
        <v>9561</v>
      </c>
      <c r="AL61" s="1680" t="s">
        <v>4479</v>
      </c>
      <c r="AM61" s="1680" t="s">
        <v>9731</v>
      </c>
      <c r="AN61" s="1680" t="s">
        <v>8267</v>
      </c>
      <c r="AO61" s="1680" t="s">
        <v>5078</v>
      </c>
      <c r="AP61" s="1680" t="s">
        <v>9732</v>
      </c>
      <c r="AQ61" s="1680" t="s">
        <v>3594</v>
      </c>
      <c r="AR61" s="1680" t="s">
        <v>9091</v>
      </c>
      <c r="AS61" s="1680" t="s">
        <v>4661</v>
      </c>
      <c r="AT61" s="1680" t="s">
        <v>9733</v>
      </c>
      <c r="AU61" s="1683" t="str">
        <f>HYPERLINK("https://splits.io/pc9","1:16:48")</f>
        <v>1:16:48</v>
      </c>
      <c r="AV61" s="1680" t="str">
        <f t="shared" si="1"/>
        <v>2:27</v>
      </c>
      <c r="AW61" s="1684" t="s">
        <v>9734</v>
      </c>
    </row>
    <row r="62" ht="15.75" customHeight="1">
      <c r="A62" s="1503" t="s">
        <v>5608</v>
      </c>
      <c r="B62" s="1504" t="s">
        <v>8430</v>
      </c>
      <c r="C62" s="1646">
        <v>0.051631944444444446</v>
      </c>
      <c r="D62" s="1423" t="s">
        <v>9735</v>
      </c>
      <c r="E62" s="1680" t="s">
        <v>6623</v>
      </c>
      <c r="F62" s="1680" t="s">
        <v>9736</v>
      </c>
      <c r="G62" s="1680" t="s">
        <v>5239</v>
      </c>
      <c r="H62" s="1680" t="s">
        <v>9321</v>
      </c>
      <c r="I62" s="1680" t="s">
        <v>4675</v>
      </c>
      <c r="J62" s="1680" t="s">
        <v>8654</v>
      </c>
      <c r="K62" s="1680" t="s">
        <v>8303</v>
      </c>
      <c r="L62" s="1680" t="s">
        <v>5692</v>
      </c>
      <c r="M62" s="1680" t="s">
        <v>864</v>
      </c>
      <c r="N62" s="1680" t="s">
        <v>9737</v>
      </c>
      <c r="O62" s="1680" t="s">
        <v>9533</v>
      </c>
      <c r="P62" s="1680" t="s">
        <v>9417</v>
      </c>
      <c r="Q62" s="1680" t="s">
        <v>9738</v>
      </c>
      <c r="R62" s="1680" t="s">
        <v>9678</v>
      </c>
      <c r="S62" s="1680" t="s">
        <v>7169</v>
      </c>
      <c r="T62" s="1680" t="s">
        <v>9739</v>
      </c>
      <c r="U62" s="1680" t="s">
        <v>9740</v>
      </c>
      <c r="V62" s="1680" t="s">
        <v>9741</v>
      </c>
      <c r="W62" s="1680" t="s">
        <v>9742</v>
      </c>
      <c r="X62" s="1680" t="s">
        <v>9743</v>
      </c>
      <c r="Y62" s="1680" t="s">
        <v>1166</v>
      </c>
      <c r="Z62" s="1680" t="s">
        <v>4766</v>
      </c>
      <c r="AA62" s="1680" t="s">
        <v>9744</v>
      </c>
      <c r="AB62" s="1680" t="s">
        <v>7242</v>
      </c>
      <c r="AC62" s="1680" t="s">
        <v>9745</v>
      </c>
      <c r="AD62" s="1680" t="s">
        <v>9746</v>
      </c>
      <c r="AE62" s="1583" t="s">
        <v>5433</v>
      </c>
      <c r="AF62" s="1680" t="s">
        <v>9747</v>
      </c>
      <c r="AG62" s="1680" t="s">
        <v>9748</v>
      </c>
      <c r="AH62" s="1680" t="s">
        <v>2209</v>
      </c>
      <c r="AI62" s="1680" t="s">
        <v>5163</v>
      </c>
      <c r="AJ62" s="1680" t="s">
        <v>8083</v>
      </c>
      <c r="AK62" s="1680" t="s">
        <v>1706</v>
      </c>
      <c r="AL62" s="1680" t="s">
        <v>5576</v>
      </c>
      <c r="AM62" s="1680" t="s">
        <v>9749</v>
      </c>
      <c r="AN62" s="1680" t="s">
        <v>9750</v>
      </c>
      <c r="AO62" s="1680" t="s">
        <v>8700</v>
      </c>
      <c r="AP62" s="1680" t="s">
        <v>9751</v>
      </c>
      <c r="AQ62" s="1680" t="s">
        <v>9752</v>
      </c>
      <c r="AR62" s="1680" t="s">
        <v>4752</v>
      </c>
      <c r="AS62" s="1680" t="s">
        <v>2917</v>
      </c>
      <c r="AT62" s="1680" t="s">
        <v>9753</v>
      </c>
      <c r="AU62" s="1680" t="s">
        <v>9754</v>
      </c>
      <c r="AV62" s="1680" t="str">
        <f t="shared" si="1"/>
        <v>3:33</v>
      </c>
      <c r="AW62" s="1684"/>
    </row>
    <row r="63" ht="15.75" customHeight="1">
      <c r="A63" s="1503" t="s">
        <v>4229</v>
      </c>
      <c r="B63" s="1504" t="s">
        <v>8430</v>
      </c>
      <c r="C63" s="1646">
        <v>0.05164351851851852</v>
      </c>
      <c r="D63" s="1423" t="s">
        <v>9755</v>
      </c>
      <c r="E63" s="1680" t="s">
        <v>8602</v>
      </c>
      <c r="F63" s="1680" t="s">
        <v>9756</v>
      </c>
      <c r="G63" s="1680" t="s">
        <v>8489</v>
      </c>
      <c r="H63" s="1680" t="s">
        <v>9757</v>
      </c>
      <c r="I63" s="1680" t="s">
        <v>1359</v>
      </c>
      <c r="J63" s="1680" t="s">
        <v>805</v>
      </c>
      <c r="K63" s="1680" t="s">
        <v>7158</v>
      </c>
      <c r="L63" s="1680" t="s">
        <v>3628</v>
      </c>
      <c r="M63" s="1680" t="s">
        <v>9701</v>
      </c>
      <c r="N63" s="1680" t="s">
        <v>8755</v>
      </c>
      <c r="O63" s="1680" t="s">
        <v>9421</v>
      </c>
      <c r="P63" s="1680" t="s">
        <v>5110</v>
      </c>
      <c r="Q63" s="1680" t="s">
        <v>9758</v>
      </c>
      <c r="R63" s="1680" t="s">
        <v>9759</v>
      </c>
      <c r="S63" s="1680" t="s">
        <v>9760</v>
      </c>
      <c r="T63" s="1680" t="s">
        <v>9761</v>
      </c>
      <c r="U63" s="1680" t="s">
        <v>9762</v>
      </c>
      <c r="V63" s="1680" t="s">
        <v>9763</v>
      </c>
      <c r="W63" s="1680" t="s">
        <v>9764</v>
      </c>
      <c r="X63" s="1680" t="s">
        <v>606</v>
      </c>
      <c r="Y63" s="1680" t="s">
        <v>9765</v>
      </c>
      <c r="Z63" s="1680" t="s">
        <v>7552</v>
      </c>
      <c r="AA63" s="1680" t="s">
        <v>5561</v>
      </c>
      <c r="AB63" s="1680" t="s">
        <v>6419</v>
      </c>
      <c r="AC63" s="1680" t="s">
        <v>6560</v>
      </c>
      <c r="AD63" s="1680" t="s">
        <v>9766</v>
      </c>
      <c r="AE63" s="1680" t="s">
        <v>1920</v>
      </c>
      <c r="AF63" s="1680" t="s">
        <v>9767</v>
      </c>
      <c r="AG63" s="1680" t="s">
        <v>526</v>
      </c>
      <c r="AH63" s="1680" t="s">
        <v>5337</v>
      </c>
      <c r="AI63" s="1680" t="s">
        <v>9768</v>
      </c>
      <c r="AJ63" s="1680" t="s">
        <v>9769</v>
      </c>
      <c r="AK63" s="1680" t="s">
        <v>9770</v>
      </c>
      <c r="AL63" s="1680" t="s">
        <v>5107</v>
      </c>
      <c r="AM63" s="1680" t="s">
        <v>9219</v>
      </c>
      <c r="AN63" s="1680" t="s">
        <v>8817</v>
      </c>
      <c r="AO63" s="1680" t="s">
        <v>8522</v>
      </c>
      <c r="AP63" s="1680" t="s">
        <v>9771</v>
      </c>
      <c r="AQ63" s="1680" t="s">
        <v>9772</v>
      </c>
      <c r="AR63" s="1680" t="s">
        <v>3528</v>
      </c>
      <c r="AS63" s="1680" t="s">
        <v>9773</v>
      </c>
      <c r="AT63" s="1680" t="s">
        <v>9562</v>
      </c>
      <c r="AU63" s="1680" t="s">
        <v>9774</v>
      </c>
      <c r="AV63" s="1680" t="str">
        <f t="shared" si="1"/>
        <v>3:13</v>
      </c>
      <c r="AW63" s="1684" t="s">
        <v>9775</v>
      </c>
    </row>
    <row r="64" ht="15.75" customHeight="1">
      <c r="A64" s="1518" t="s">
        <v>827</v>
      </c>
      <c r="B64" s="1670" t="s">
        <v>8485</v>
      </c>
      <c r="C64" s="1646">
        <v>0.05167824074074074</v>
      </c>
      <c r="D64" s="1423" t="s">
        <v>9776</v>
      </c>
      <c r="E64" s="1680" t="s">
        <v>9777</v>
      </c>
      <c r="F64" s="1680" t="s">
        <v>9778</v>
      </c>
      <c r="G64" s="1680" t="s">
        <v>9779</v>
      </c>
      <c r="H64" s="1680" t="s">
        <v>9780</v>
      </c>
      <c r="I64" s="1680" t="s">
        <v>1908</v>
      </c>
      <c r="J64" s="1680" t="s">
        <v>9639</v>
      </c>
      <c r="K64" s="1680" t="s">
        <v>8732</v>
      </c>
      <c r="L64" s="1680" t="s">
        <v>1823</v>
      </c>
      <c r="M64" s="1680" t="s">
        <v>7273</v>
      </c>
      <c r="N64" s="1680" t="s">
        <v>9781</v>
      </c>
      <c r="O64" s="1680" t="s">
        <v>9782</v>
      </c>
      <c r="P64" s="1680" t="s">
        <v>2409</v>
      </c>
      <c r="Q64" s="1680" t="s">
        <v>720</v>
      </c>
      <c r="R64" s="1680" t="s">
        <v>9783</v>
      </c>
      <c r="S64" s="1680" t="s">
        <v>9784</v>
      </c>
      <c r="T64" s="1680" t="s">
        <v>9785</v>
      </c>
      <c r="U64" s="1680" t="s">
        <v>9375</v>
      </c>
      <c r="V64" s="1680" t="s">
        <v>488</v>
      </c>
      <c r="W64" s="1680" t="s">
        <v>5762</v>
      </c>
      <c r="X64" s="1680" t="s">
        <v>9786</v>
      </c>
      <c r="Y64" s="1680" t="s">
        <v>869</v>
      </c>
      <c r="Z64" s="1680" t="s">
        <v>3956</v>
      </c>
      <c r="AA64" s="1680" t="s">
        <v>1619</v>
      </c>
      <c r="AB64" s="1680" t="s">
        <v>9787</v>
      </c>
      <c r="AC64" s="1680" t="s">
        <v>9788</v>
      </c>
      <c r="AD64" s="1583" t="s">
        <v>9789</v>
      </c>
      <c r="AE64" s="1680" t="s">
        <v>1934</v>
      </c>
      <c r="AF64" s="1680" t="s">
        <v>9260</v>
      </c>
      <c r="AG64" s="1680" t="s">
        <v>6701</v>
      </c>
      <c r="AH64" s="1680" t="s">
        <v>4454</v>
      </c>
      <c r="AI64" s="1680" t="s">
        <v>6185</v>
      </c>
      <c r="AJ64" s="1680" t="s">
        <v>9790</v>
      </c>
      <c r="AK64" s="1680" t="s">
        <v>4926</v>
      </c>
      <c r="AL64" s="1680" t="s">
        <v>5162</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4622</v>
      </c>
      <c r="B65" s="1563" t="s">
        <v>8460</v>
      </c>
      <c r="C65" s="1646">
        <v>0.05170138888888889</v>
      </c>
      <c r="D65" s="1423" t="s">
        <v>9800</v>
      </c>
      <c r="E65" s="1680" t="s">
        <v>4224</v>
      </c>
      <c r="F65" s="1680" t="s">
        <v>9365</v>
      </c>
      <c r="G65" s="1680" t="s">
        <v>8856</v>
      </c>
      <c r="H65" s="1680" t="s">
        <v>9801</v>
      </c>
      <c r="I65" s="1680" t="s">
        <v>9802</v>
      </c>
      <c r="J65" s="1680" t="s">
        <v>9380</v>
      </c>
      <c r="K65" s="1680" t="s">
        <v>8700</v>
      </c>
      <c r="L65" s="1680" t="s">
        <v>4027</v>
      </c>
      <c r="M65" s="1680" t="s">
        <v>7472</v>
      </c>
      <c r="N65" s="1680" t="s">
        <v>5940</v>
      </c>
      <c r="O65" s="1680" t="s">
        <v>9483</v>
      </c>
      <c r="P65" s="1680" t="s">
        <v>483</v>
      </c>
      <c r="Q65" s="1680" t="s">
        <v>2825</v>
      </c>
      <c r="R65" s="1680" t="s">
        <v>9803</v>
      </c>
      <c r="S65" s="1680" t="s">
        <v>9689</v>
      </c>
      <c r="T65" s="1680" t="s">
        <v>2749</v>
      </c>
      <c r="U65" s="1680" t="s">
        <v>9804</v>
      </c>
      <c r="V65" s="1680" t="s">
        <v>9805</v>
      </c>
      <c r="W65" s="1680" t="s">
        <v>9727</v>
      </c>
      <c r="X65" s="1680" t="s">
        <v>3627</v>
      </c>
      <c r="Y65" s="1680" t="s">
        <v>2386</v>
      </c>
      <c r="Z65" s="1680" t="s">
        <v>491</v>
      </c>
      <c r="AA65" s="1680" t="s">
        <v>627</v>
      </c>
      <c r="AB65" s="1680" t="s">
        <v>9806</v>
      </c>
      <c r="AC65" s="1680" t="s">
        <v>924</v>
      </c>
      <c r="AD65" s="1680" t="s">
        <v>9437</v>
      </c>
      <c r="AE65" s="1680" t="s">
        <v>679</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3250</v>
      </c>
      <c r="AQ65" s="1680" t="s">
        <v>9814</v>
      </c>
      <c r="AR65" s="1680" t="s">
        <v>9815</v>
      </c>
      <c r="AS65" s="1680" t="s">
        <v>6324</v>
      </c>
      <c r="AT65" s="1680" t="s">
        <v>9816</v>
      </c>
      <c r="AU65" s="1680" t="s">
        <v>9817</v>
      </c>
      <c r="AV65" s="1680" t="str">
        <f t="shared" si="1"/>
        <v>2:37</v>
      </c>
      <c r="AW65" s="1685" t="s">
        <v>9818</v>
      </c>
    </row>
    <row r="66" ht="15.75" customHeight="1">
      <c r="A66" s="1550" t="s">
        <v>5025</v>
      </c>
      <c r="B66" s="1545" t="s">
        <v>8460</v>
      </c>
      <c r="C66" s="1505">
        <v>0.05171296296296296</v>
      </c>
      <c r="D66" s="1656" t="s">
        <v>9819</v>
      </c>
      <c r="E66" s="1583" t="s">
        <v>9820</v>
      </c>
      <c r="F66" s="1583" t="s">
        <v>1469</v>
      </c>
      <c r="G66" s="1583" t="s">
        <v>9821</v>
      </c>
      <c r="H66" s="1583" t="s">
        <v>9822</v>
      </c>
      <c r="I66" s="1583" t="s">
        <v>9823</v>
      </c>
      <c r="J66" s="1583" t="s">
        <v>972</v>
      </c>
      <c r="K66" s="1583" t="s">
        <v>4853</v>
      </c>
      <c r="L66" s="1583" t="s">
        <v>1813</v>
      </c>
      <c r="M66" s="1686" t="s">
        <v>9824</v>
      </c>
      <c r="N66" s="1583" t="s">
        <v>9825</v>
      </c>
      <c r="O66" s="1583" t="s">
        <v>1780</v>
      </c>
      <c r="P66" s="1583" t="s">
        <v>5010</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1920</v>
      </c>
      <c r="AD66" s="1583" t="s">
        <v>9832</v>
      </c>
      <c r="AE66" s="1583" t="s">
        <v>3784</v>
      </c>
      <c r="AF66" s="1583" t="s">
        <v>9833</v>
      </c>
      <c r="AG66" s="1583" t="s">
        <v>526</v>
      </c>
      <c r="AH66" s="1583" t="s">
        <v>9834</v>
      </c>
      <c r="AI66" s="1583" t="s">
        <v>5365</v>
      </c>
      <c r="AJ66" s="1583" t="s">
        <v>9835</v>
      </c>
      <c r="AK66" s="1583" t="s">
        <v>9836</v>
      </c>
      <c r="AL66" s="1583" t="s">
        <v>1660</v>
      </c>
      <c r="AM66" s="1583" t="s">
        <v>9657</v>
      </c>
      <c r="AN66" s="1583" t="s">
        <v>9837</v>
      </c>
      <c r="AO66" s="1583" t="s">
        <v>2722</v>
      </c>
      <c r="AP66" s="1583" t="s">
        <v>1998</v>
      </c>
      <c r="AQ66" s="1583" t="s">
        <v>757</v>
      </c>
      <c r="AR66" s="1583" t="s">
        <v>9456</v>
      </c>
      <c r="AS66" s="1583" t="s">
        <v>6948</v>
      </c>
      <c r="AT66" s="1583" t="s">
        <v>9838</v>
      </c>
      <c r="AU66" s="1583" t="s">
        <v>9839</v>
      </c>
      <c r="AV66" s="1680" t="str">
        <f t="shared" si="1"/>
        <v>4:14</v>
      </c>
      <c r="AW66" s="1681" t="s">
        <v>9840</v>
      </c>
    </row>
    <row r="67" ht="15.75" customHeight="1">
      <c r="A67" s="1550" t="s">
        <v>2144</v>
      </c>
      <c r="B67" s="1666" t="s">
        <v>8460</v>
      </c>
      <c r="C67" s="1505">
        <v>0.05173611111111111</v>
      </c>
      <c r="D67" s="1423" t="s">
        <v>9841</v>
      </c>
      <c r="E67" s="1583" t="s">
        <v>9842</v>
      </c>
      <c r="F67" s="1583" t="s">
        <v>9843</v>
      </c>
      <c r="G67" s="1583" t="s">
        <v>9844</v>
      </c>
      <c r="H67" s="1583" t="s">
        <v>7406</v>
      </c>
      <c r="I67" s="1583" t="s">
        <v>496</v>
      </c>
      <c r="J67" s="1583" t="s">
        <v>8798</v>
      </c>
      <c r="K67" s="1583" t="s">
        <v>9845</v>
      </c>
      <c r="L67" s="1583" t="s">
        <v>7025</v>
      </c>
      <c r="M67" s="1583" t="s">
        <v>3546</v>
      </c>
      <c r="N67" s="1583" t="s">
        <v>9846</v>
      </c>
      <c r="O67" s="1583" t="s">
        <v>9847</v>
      </c>
      <c r="P67" s="1583" t="s">
        <v>3714</v>
      </c>
      <c r="Q67" s="1583" t="s">
        <v>9848</v>
      </c>
      <c r="R67" s="1583" t="s">
        <v>9783</v>
      </c>
      <c r="S67" s="1583" t="s">
        <v>5500</v>
      </c>
      <c r="T67" s="1583" t="s">
        <v>9849</v>
      </c>
      <c r="U67" s="1583" t="s">
        <v>9850</v>
      </c>
      <c r="V67" s="1583" t="s">
        <v>360</v>
      </c>
      <c r="W67" s="1583" t="s">
        <v>5565</v>
      </c>
      <c r="X67" s="1583" t="s">
        <v>9684</v>
      </c>
      <c r="Y67" s="1583" t="s">
        <v>1166</v>
      </c>
      <c r="Z67" s="1583" t="s">
        <v>9851</v>
      </c>
      <c r="AA67" s="1583" t="s">
        <v>6233</v>
      </c>
      <c r="AB67" s="1583" t="s">
        <v>6417</v>
      </c>
      <c r="AC67" s="1583" t="s">
        <v>160</v>
      </c>
      <c r="AD67" s="1583" t="s">
        <v>9709</v>
      </c>
      <c r="AE67" s="1583" t="s">
        <v>9144</v>
      </c>
      <c r="AF67" s="1583" t="s">
        <v>9158</v>
      </c>
      <c r="AG67" s="1583" t="s">
        <v>4837</v>
      </c>
      <c r="AH67" s="1583" t="s">
        <v>9852</v>
      </c>
      <c r="AI67" s="1583" t="s">
        <v>9853</v>
      </c>
      <c r="AJ67" s="1583" t="s">
        <v>9854</v>
      </c>
      <c r="AK67" s="1583" t="s">
        <v>8766</v>
      </c>
      <c r="AL67" s="1583" t="s">
        <v>9855</v>
      </c>
      <c r="AM67" s="1583" t="s">
        <v>2807</v>
      </c>
      <c r="AN67" s="1583" t="s">
        <v>5107</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8185</v>
      </c>
      <c r="B68" s="1548" t="s">
        <v>8485</v>
      </c>
      <c r="C68" s="1505">
        <v>0.051805555555555556</v>
      </c>
      <c r="D68" s="1583" t="s">
        <v>9862</v>
      </c>
      <c r="E68" s="1583" t="s">
        <v>9863</v>
      </c>
      <c r="F68" s="1423" t="s">
        <v>9864</v>
      </c>
      <c r="G68" s="1583" t="s">
        <v>9865</v>
      </c>
      <c r="H68" s="1523" t="s">
        <v>9866</v>
      </c>
      <c r="I68" s="1523">
        <v>49.81</v>
      </c>
      <c r="J68" s="1523" t="s">
        <v>9867</v>
      </c>
      <c r="K68" s="1523" t="s">
        <v>6075</v>
      </c>
      <c r="L68" s="1523">
        <v>59.57</v>
      </c>
      <c r="M68" s="1523" t="s">
        <v>9868</v>
      </c>
      <c r="N68" s="1523" t="s">
        <v>9869</v>
      </c>
      <c r="O68" s="1522" t="s">
        <v>7326</v>
      </c>
      <c r="P68" s="1522" t="s">
        <v>9870</v>
      </c>
      <c r="Q68" s="1522" t="s">
        <v>9871</v>
      </c>
      <c r="R68" s="1523" t="s">
        <v>9872</v>
      </c>
      <c r="S68" s="1523" t="s">
        <v>9499</v>
      </c>
      <c r="T68" s="1523" t="s">
        <v>9873</v>
      </c>
      <c r="U68" s="1523" t="s">
        <v>9874</v>
      </c>
      <c r="V68" s="1523" t="s">
        <v>4358</v>
      </c>
      <c r="W68" s="1523" t="s">
        <v>9875</v>
      </c>
      <c r="X68" s="1523" t="s">
        <v>9876</v>
      </c>
      <c r="Y68" s="1522" t="s">
        <v>9385</v>
      </c>
      <c r="Z68" s="1687" t="s">
        <v>8502</v>
      </c>
      <c r="AA68" s="1523" t="s">
        <v>197</v>
      </c>
      <c r="AB68" s="1522" t="s">
        <v>4260</v>
      </c>
      <c r="AC68" s="1523">
        <v>49.53</v>
      </c>
      <c r="AD68" s="1523" t="s">
        <v>1862</v>
      </c>
      <c r="AE68" s="1522" t="s">
        <v>9877</v>
      </c>
      <c r="AF68" s="1523" t="s">
        <v>8662</v>
      </c>
      <c r="AG68" s="1523" t="s">
        <v>9878</v>
      </c>
      <c r="AH68" s="1523">
        <v>59.93</v>
      </c>
      <c r="AI68" s="1523" t="s">
        <v>9879</v>
      </c>
      <c r="AJ68" s="1523" t="s">
        <v>9880</v>
      </c>
      <c r="AK68" s="1523" t="s">
        <v>5750</v>
      </c>
      <c r="AL68" s="1523">
        <v>59.13</v>
      </c>
      <c r="AM68" s="1523" t="s">
        <v>9815</v>
      </c>
      <c r="AN68" s="1523">
        <v>57.86</v>
      </c>
      <c r="AO68" s="1523" t="s">
        <v>7623</v>
      </c>
      <c r="AP68" s="1523" t="s">
        <v>9881</v>
      </c>
      <c r="AQ68" s="1523" t="s">
        <v>9391</v>
      </c>
      <c r="AR68" s="1523" t="s">
        <v>5974</v>
      </c>
      <c r="AS68" s="1523">
        <v>47.67</v>
      </c>
      <c r="AT68" s="1583" t="s">
        <v>9882</v>
      </c>
      <c r="AU68" s="1583" t="s">
        <v>9883</v>
      </c>
      <c r="AV68" s="1680" t="str">
        <f t="shared" si="1"/>
        <v>2:57</v>
      </c>
      <c r="AW68" s="1688" t="s">
        <v>9884</v>
      </c>
    </row>
    <row r="69">
      <c r="A69" s="1689" t="s">
        <v>1325</v>
      </c>
      <c r="B69" s="1545" t="s">
        <v>8460</v>
      </c>
      <c r="C69" s="1690">
        <v>0.05181712962962963</v>
      </c>
      <c r="D69" s="1507" t="s">
        <v>9885</v>
      </c>
      <c r="E69" s="1636" t="s">
        <v>9886</v>
      </c>
      <c r="F69" s="1507" t="s">
        <v>9887</v>
      </c>
      <c r="G69" s="1507" t="s">
        <v>9888</v>
      </c>
      <c r="H69" s="1507" t="s">
        <v>9889</v>
      </c>
      <c r="I69" s="1507" t="s">
        <v>4966</v>
      </c>
      <c r="J69" s="1507" t="s">
        <v>8783</v>
      </c>
      <c r="K69" s="1636" t="s">
        <v>9063</v>
      </c>
      <c r="L69" s="1507" t="s">
        <v>9852</v>
      </c>
      <c r="M69" s="1507" t="s">
        <v>1454</v>
      </c>
      <c r="N69" s="1636" t="s">
        <v>9353</v>
      </c>
      <c r="O69" s="1507" t="s">
        <v>7379</v>
      </c>
      <c r="P69" s="1507" t="s">
        <v>8991</v>
      </c>
      <c r="Q69" s="1507" t="s">
        <v>9890</v>
      </c>
      <c r="R69" s="1507" t="s">
        <v>3121</v>
      </c>
      <c r="S69" s="1636" t="s">
        <v>4861</v>
      </c>
      <c r="T69" s="1507" t="s">
        <v>9891</v>
      </c>
      <c r="U69" s="1636" t="s">
        <v>9892</v>
      </c>
      <c r="V69" s="1507" t="s">
        <v>9805</v>
      </c>
      <c r="W69" s="1507" t="s">
        <v>9893</v>
      </c>
      <c r="X69" s="1507" t="s">
        <v>9446</v>
      </c>
      <c r="Y69" s="1507" t="s">
        <v>9894</v>
      </c>
      <c r="Z69" s="1636" t="s">
        <v>6157</v>
      </c>
      <c r="AA69" s="1507" t="s">
        <v>886</v>
      </c>
      <c r="AB69" s="1507" t="s">
        <v>9895</v>
      </c>
      <c r="AC69" s="1507" t="s">
        <v>2026</v>
      </c>
      <c r="AD69" s="1507" t="s">
        <v>9896</v>
      </c>
      <c r="AE69" s="1636" t="s">
        <v>6524</v>
      </c>
      <c r="AF69" s="1507" t="s">
        <v>9562</v>
      </c>
      <c r="AG69" s="1507" t="s">
        <v>401</v>
      </c>
      <c r="AH69" s="1507" t="s">
        <v>9897</v>
      </c>
      <c r="AI69" s="1507" t="s">
        <v>244</v>
      </c>
      <c r="AJ69" s="1636" t="s">
        <v>9898</v>
      </c>
      <c r="AK69" s="1507" t="s">
        <v>9162</v>
      </c>
      <c r="AL69" s="1507" t="s">
        <v>4690</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3009</v>
      </c>
      <c r="B70" s="1563" t="s">
        <v>8460</v>
      </c>
      <c r="C70" s="1646">
        <v>0.051863425925925924</v>
      </c>
      <c r="D70" s="1423" t="s">
        <v>9907</v>
      </c>
      <c r="E70" s="1680" t="s">
        <v>6303</v>
      </c>
      <c r="F70" s="1680" t="s">
        <v>9908</v>
      </c>
      <c r="G70" s="1680" t="s">
        <v>9909</v>
      </c>
      <c r="H70" s="1680" t="s">
        <v>9910</v>
      </c>
      <c r="I70" s="1680" t="s">
        <v>2043</v>
      </c>
      <c r="J70" s="1680" t="s">
        <v>1757</v>
      </c>
      <c r="K70" s="1680" t="s">
        <v>1591</v>
      </c>
      <c r="L70" s="1680" t="s">
        <v>3017</v>
      </c>
      <c r="M70" s="1680" t="s">
        <v>9678</v>
      </c>
      <c r="N70" s="1680" t="s">
        <v>5051</v>
      </c>
      <c r="O70" s="1680" t="s">
        <v>9911</v>
      </c>
      <c r="P70" s="1680" t="s">
        <v>1234</v>
      </c>
      <c r="Q70" s="1680" t="s">
        <v>9912</v>
      </c>
      <c r="R70" s="1680" t="s">
        <v>9913</v>
      </c>
      <c r="S70" s="1680" t="s">
        <v>9914</v>
      </c>
      <c r="T70" s="1680" t="s">
        <v>9915</v>
      </c>
      <c r="U70" s="1680" t="s">
        <v>9916</v>
      </c>
      <c r="V70" s="1680" t="s">
        <v>9465</v>
      </c>
      <c r="W70" s="1680" t="s">
        <v>9917</v>
      </c>
      <c r="X70" s="1680" t="s">
        <v>9810</v>
      </c>
      <c r="Y70" s="1680" t="s">
        <v>3144</v>
      </c>
      <c r="Z70" s="1680" t="s">
        <v>9918</v>
      </c>
      <c r="AA70" s="1680" t="s">
        <v>9919</v>
      </c>
      <c r="AB70" s="1680" t="s">
        <v>8306</v>
      </c>
      <c r="AC70" s="1680" t="s">
        <v>924</v>
      </c>
      <c r="AD70" s="1680" t="s">
        <v>9920</v>
      </c>
      <c r="AE70" s="1680" t="s">
        <v>1184</v>
      </c>
      <c r="AF70" s="1680" t="s">
        <v>9921</v>
      </c>
      <c r="AG70" s="1680" t="s">
        <v>9922</v>
      </c>
      <c r="AH70" s="1680" t="s">
        <v>5295</v>
      </c>
      <c r="AI70" s="1680" t="s">
        <v>9853</v>
      </c>
      <c r="AJ70" s="1680" t="s">
        <v>9923</v>
      </c>
      <c r="AK70" s="1680" t="s">
        <v>1912</v>
      </c>
      <c r="AL70" s="1680" t="s">
        <v>9897</v>
      </c>
      <c r="AM70" s="1680" t="s">
        <v>9924</v>
      </c>
      <c r="AN70" s="1680" t="s">
        <v>9373</v>
      </c>
      <c r="AO70" s="1680" t="s">
        <v>8656</v>
      </c>
      <c r="AP70" s="1680" t="s">
        <v>9925</v>
      </c>
      <c r="AQ70" s="1680" t="s">
        <v>9926</v>
      </c>
      <c r="AR70" s="1680" t="s">
        <v>2184</v>
      </c>
      <c r="AS70" s="1680" t="s">
        <v>4743</v>
      </c>
      <c r="AT70" s="1680" t="s">
        <v>9927</v>
      </c>
      <c r="AU70" s="1680" t="s">
        <v>9928</v>
      </c>
      <c r="AV70" s="1680" t="str">
        <f t="shared" si="1"/>
        <v>2:06</v>
      </c>
      <c r="AW70" s="1681" t="s">
        <v>9929</v>
      </c>
    </row>
    <row r="71" ht="15.75" customHeight="1">
      <c r="A71" s="1503" t="s">
        <v>1128</v>
      </c>
      <c r="B71" s="1504" t="s">
        <v>8430</v>
      </c>
      <c r="C71" s="1646">
        <v>0.051875</v>
      </c>
      <c r="D71" s="1423" t="s">
        <v>9930</v>
      </c>
      <c r="E71" s="1680" t="s">
        <v>3284</v>
      </c>
      <c r="F71" s="1680" t="s">
        <v>9931</v>
      </c>
      <c r="G71" s="1680" t="s">
        <v>9932</v>
      </c>
      <c r="H71" s="1680" t="s">
        <v>9933</v>
      </c>
      <c r="I71" s="1680" t="s">
        <v>9934</v>
      </c>
      <c r="J71" s="1680" t="s">
        <v>2523</v>
      </c>
      <c r="K71" s="1680" t="s">
        <v>9935</v>
      </c>
      <c r="L71" s="1680" t="s">
        <v>8523</v>
      </c>
      <c r="M71" s="1680" t="s">
        <v>7490</v>
      </c>
      <c r="N71" s="1680" t="s">
        <v>9565</v>
      </c>
      <c r="O71" s="1680" t="s">
        <v>4468</v>
      </c>
      <c r="P71" s="1680" t="s">
        <v>1524</v>
      </c>
      <c r="Q71" s="1680" t="s">
        <v>9936</v>
      </c>
      <c r="R71" s="1680" t="s">
        <v>9178</v>
      </c>
      <c r="S71" s="1680" t="s">
        <v>4433</v>
      </c>
      <c r="T71" s="1680" t="s">
        <v>9937</v>
      </c>
      <c r="U71" s="1680" t="s">
        <v>9725</v>
      </c>
      <c r="V71" s="1680" t="s">
        <v>6320</v>
      </c>
      <c r="W71" s="1680" t="s">
        <v>4468</v>
      </c>
      <c r="X71" s="1680" t="s">
        <v>9353</v>
      </c>
      <c r="Y71" s="1680" t="s">
        <v>9387</v>
      </c>
      <c r="Z71" s="1680" t="s">
        <v>9938</v>
      </c>
      <c r="AA71" s="1680" t="s">
        <v>420</v>
      </c>
      <c r="AB71" s="1680" t="s">
        <v>621</v>
      </c>
      <c r="AC71" s="1680" t="s">
        <v>9939</v>
      </c>
      <c r="AD71" s="1680" t="s">
        <v>9766</v>
      </c>
      <c r="AE71" s="1680" t="s">
        <v>935</v>
      </c>
      <c r="AF71" s="1680" t="s">
        <v>9940</v>
      </c>
      <c r="AG71" s="1680" t="s">
        <v>9941</v>
      </c>
      <c r="AH71" s="1680" t="s">
        <v>9676</v>
      </c>
      <c r="AI71" s="1680" t="s">
        <v>9942</v>
      </c>
      <c r="AJ71" s="1680" t="s">
        <v>9943</v>
      </c>
      <c r="AK71" s="1680" t="s">
        <v>9944</v>
      </c>
      <c r="AL71" s="1680" t="s">
        <v>5564</v>
      </c>
      <c r="AM71" s="1680" t="s">
        <v>9945</v>
      </c>
      <c r="AN71" s="1680" t="s">
        <v>6144</v>
      </c>
      <c r="AO71" s="1583" t="s">
        <v>9523</v>
      </c>
      <c r="AP71" s="1680" t="s">
        <v>9946</v>
      </c>
      <c r="AQ71" s="1680" t="s">
        <v>9947</v>
      </c>
      <c r="AR71" s="1680" t="s">
        <v>9200</v>
      </c>
      <c r="AS71" s="1680" t="s">
        <v>9266</v>
      </c>
      <c r="AT71" s="1680" t="s">
        <v>9948</v>
      </c>
      <c r="AU71" s="1583" t="s">
        <v>9949</v>
      </c>
      <c r="AV71" s="1680" t="str">
        <f t="shared" si="1"/>
        <v>0:37</v>
      </c>
      <c r="AW71" s="1685" t="s">
        <v>9950</v>
      </c>
    </row>
    <row r="72">
      <c r="A72" s="1550" t="s">
        <v>7783</v>
      </c>
      <c r="B72" s="1545" t="s">
        <v>8430</v>
      </c>
      <c r="C72" s="1505">
        <v>0.05188657407407407</v>
      </c>
      <c r="D72" s="1583" t="s">
        <v>9951</v>
      </c>
      <c r="E72" s="1423" t="s">
        <v>861</v>
      </c>
      <c r="F72" s="1423" t="s">
        <v>9952</v>
      </c>
      <c r="G72" s="1423" t="s">
        <v>9953</v>
      </c>
      <c r="H72" s="1423" t="s">
        <v>9954</v>
      </c>
      <c r="I72" s="1423" t="s">
        <v>679</v>
      </c>
      <c r="J72" s="1423" t="s">
        <v>4129</v>
      </c>
      <c r="K72" s="1423" t="s">
        <v>9173</v>
      </c>
      <c r="L72" s="1423" t="s">
        <v>2701</v>
      </c>
      <c r="M72" s="1423" t="s">
        <v>9955</v>
      </c>
      <c r="N72" s="1423" t="s">
        <v>4006</v>
      </c>
      <c r="O72" s="1423" t="s">
        <v>9956</v>
      </c>
      <c r="P72" s="1423" t="s">
        <v>5112</v>
      </c>
      <c r="Q72" s="1423" t="s">
        <v>9957</v>
      </c>
      <c r="R72" s="1423" t="s">
        <v>5483</v>
      </c>
      <c r="S72" s="1423" t="s">
        <v>9958</v>
      </c>
      <c r="T72" s="1423" t="s">
        <v>8507</v>
      </c>
      <c r="U72" s="1423" t="s">
        <v>9959</v>
      </c>
      <c r="V72" s="1423" t="s">
        <v>5390</v>
      </c>
      <c r="W72" s="1423" t="s">
        <v>9960</v>
      </c>
      <c r="X72" s="1423" t="s">
        <v>9961</v>
      </c>
      <c r="Y72" s="1423" t="s">
        <v>9962</v>
      </c>
      <c r="Z72" s="1423" t="s">
        <v>9185</v>
      </c>
      <c r="AA72" s="1423" t="s">
        <v>5085</v>
      </c>
      <c r="AB72" s="1423" t="s">
        <v>688</v>
      </c>
      <c r="AC72" s="1423" t="s">
        <v>9963</v>
      </c>
      <c r="AD72" s="1423" t="s">
        <v>3174</v>
      </c>
      <c r="AE72" s="1423" t="s">
        <v>5738</v>
      </c>
      <c r="AF72" s="1423" t="s">
        <v>9964</v>
      </c>
      <c r="AG72" s="1423" t="s">
        <v>2439</v>
      </c>
      <c r="AH72" s="1423" t="s">
        <v>2701</v>
      </c>
      <c r="AI72" s="1423" t="s">
        <v>196</v>
      </c>
      <c r="AJ72" s="1423" t="s">
        <v>9965</v>
      </c>
      <c r="AK72" s="1423" t="s">
        <v>9192</v>
      </c>
      <c r="AL72" s="1423" t="s">
        <v>9638</v>
      </c>
      <c r="AM72" s="1423" t="s">
        <v>9160</v>
      </c>
      <c r="AN72" s="1423" t="s">
        <v>3540</v>
      </c>
      <c r="AO72" s="1423" t="s">
        <v>8649</v>
      </c>
      <c r="AP72" s="1423" t="s">
        <v>9590</v>
      </c>
      <c r="AQ72" s="1423" t="s">
        <v>9947</v>
      </c>
      <c r="AR72" s="1423" t="s">
        <v>9966</v>
      </c>
      <c r="AS72" s="1423" t="s">
        <v>6324</v>
      </c>
      <c r="AT72" s="1423" t="s">
        <v>9967</v>
      </c>
      <c r="AU72" s="1583" t="s">
        <v>9968</v>
      </c>
      <c r="AV72" s="1680" t="str">
        <f t="shared" si="1"/>
        <v>4:21</v>
      </c>
      <c r="AW72" s="1681" t="s">
        <v>9969</v>
      </c>
    </row>
    <row r="73" ht="15.75" customHeight="1">
      <c r="A73" s="1503" t="s">
        <v>4827</v>
      </c>
      <c r="B73" s="1670" t="s">
        <v>8485</v>
      </c>
      <c r="C73" s="1505">
        <v>0.051909722222222225</v>
      </c>
      <c r="D73" s="1692" t="s">
        <v>9970</v>
      </c>
      <c r="E73" s="1579" t="s">
        <v>2199</v>
      </c>
      <c r="F73" s="1579" t="s">
        <v>9971</v>
      </c>
      <c r="G73" s="1579" t="s">
        <v>9972</v>
      </c>
      <c r="H73" s="1579" t="s">
        <v>9973</v>
      </c>
      <c r="I73" s="1692">
        <v>49.97</v>
      </c>
      <c r="J73" s="1579" t="s">
        <v>2182</v>
      </c>
      <c r="K73" s="1579" t="s">
        <v>9974</v>
      </c>
      <c r="L73" s="1579" t="s">
        <v>9975</v>
      </c>
      <c r="M73" s="1579" t="s">
        <v>2955</v>
      </c>
      <c r="N73" s="1579" t="s">
        <v>4692</v>
      </c>
      <c r="O73" s="1579" t="s">
        <v>5756</v>
      </c>
      <c r="P73" s="1692">
        <v>48.99</v>
      </c>
      <c r="Q73" s="1579" t="s">
        <v>9976</v>
      </c>
      <c r="R73" s="1579" t="s">
        <v>5689</v>
      </c>
      <c r="S73" s="1579" t="s">
        <v>4198</v>
      </c>
      <c r="T73" s="1579" t="s">
        <v>9977</v>
      </c>
      <c r="U73" s="1579" t="s">
        <v>9978</v>
      </c>
      <c r="V73" s="1579" t="s">
        <v>2445</v>
      </c>
      <c r="W73" s="1579" t="s">
        <v>9979</v>
      </c>
      <c r="X73" s="1579" t="s">
        <v>9681</v>
      </c>
      <c r="Y73" s="1693">
        <v>47.93</v>
      </c>
      <c r="Z73" s="1579" t="s">
        <v>9980</v>
      </c>
      <c r="AA73" s="1579" t="s">
        <v>4985</v>
      </c>
      <c r="AB73" s="1579" t="s">
        <v>9661</v>
      </c>
      <c r="AC73" s="1687">
        <v>49.24</v>
      </c>
      <c r="AD73" s="1579" t="s">
        <v>9082</v>
      </c>
      <c r="AE73" s="1692">
        <v>49.87</v>
      </c>
      <c r="AF73" s="1579" t="s">
        <v>9981</v>
      </c>
      <c r="AG73" s="1579" t="s">
        <v>9982</v>
      </c>
      <c r="AH73" s="1692">
        <v>59.9</v>
      </c>
      <c r="AI73" s="1579" t="s">
        <v>9983</v>
      </c>
      <c r="AJ73" s="1694" t="s">
        <v>8508</v>
      </c>
      <c r="AK73" s="1579" t="s">
        <v>1953</v>
      </c>
      <c r="AL73" s="1692">
        <v>58.74</v>
      </c>
      <c r="AM73" s="1579" t="s">
        <v>2000</v>
      </c>
      <c r="AN73" s="1692">
        <v>57.51</v>
      </c>
      <c r="AO73" s="1579" t="s">
        <v>4815</v>
      </c>
      <c r="AP73" s="1579" t="s">
        <v>9984</v>
      </c>
      <c r="AQ73" s="1579" t="s">
        <v>3315</v>
      </c>
      <c r="AR73" s="1694" t="s">
        <v>6418</v>
      </c>
      <c r="AS73" s="1692">
        <v>47.44</v>
      </c>
      <c r="AT73" s="1579" t="s">
        <v>9985</v>
      </c>
      <c r="AU73" s="1583" t="s">
        <v>9986</v>
      </c>
      <c r="AV73" s="1680" t="str">
        <f t="shared" si="1"/>
        <v>2:59</v>
      </c>
      <c r="AW73" s="1681" t="s">
        <v>7758</v>
      </c>
    </row>
    <row r="74">
      <c r="A74" s="1550" t="s">
        <v>8349</v>
      </c>
      <c r="B74" s="1548" t="s">
        <v>8430</v>
      </c>
      <c r="C74" s="1505">
        <v>0.05193287037037037</v>
      </c>
      <c r="D74" s="1656" t="s">
        <v>9987</v>
      </c>
      <c r="E74" s="1583" t="s">
        <v>7518</v>
      </c>
      <c r="F74" s="1583" t="s">
        <v>9988</v>
      </c>
      <c r="G74" s="1583" t="s">
        <v>9989</v>
      </c>
      <c r="H74" s="1583" t="s">
        <v>9990</v>
      </c>
      <c r="I74" s="1583" t="s">
        <v>2409</v>
      </c>
      <c r="J74" s="1583" t="s">
        <v>4223</v>
      </c>
      <c r="K74" s="1583" t="s">
        <v>9111</v>
      </c>
      <c r="L74" s="1583"/>
      <c r="M74" s="1583" t="s">
        <v>7164</v>
      </c>
      <c r="N74" s="1583" t="s">
        <v>9334</v>
      </c>
      <c r="O74" s="1583" t="s">
        <v>8500</v>
      </c>
      <c r="P74" s="1583" t="s">
        <v>9583</v>
      </c>
      <c r="Q74" s="1583" t="s">
        <v>9991</v>
      </c>
      <c r="R74" s="1583" t="s">
        <v>9992</v>
      </c>
      <c r="S74" s="1583" t="s">
        <v>8872</v>
      </c>
      <c r="T74" s="1583" t="s">
        <v>9128</v>
      </c>
      <c r="U74" s="1583" t="s">
        <v>2260</v>
      </c>
      <c r="V74" s="1583" t="s">
        <v>8944</v>
      </c>
      <c r="W74" s="1583" t="s">
        <v>5756</v>
      </c>
      <c r="X74" s="1583" t="s">
        <v>627</v>
      </c>
      <c r="Y74" s="1583" t="s">
        <v>8886</v>
      </c>
      <c r="Z74" s="1583" t="s">
        <v>8531</v>
      </c>
      <c r="AA74" s="1583" t="s">
        <v>7636</v>
      </c>
      <c r="AB74" s="1583" t="s">
        <v>9591</v>
      </c>
      <c r="AC74" s="1583" t="s">
        <v>2892</v>
      </c>
      <c r="AD74" s="1583" t="s">
        <v>9993</v>
      </c>
      <c r="AE74" s="1583" t="s">
        <v>9994</v>
      </c>
      <c r="AF74" s="1583" t="s">
        <v>9995</v>
      </c>
      <c r="AG74" s="1583" t="s">
        <v>9729</v>
      </c>
      <c r="AH74" s="1583" t="s">
        <v>9996</v>
      </c>
      <c r="AI74" s="1583" t="s">
        <v>9997</v>
      </c>
      <c r="AJ74" s="1583" t="s">
        <v>9998</v>
      </c>
      <c r="AK74" s="1583" t="s">
        <v>9999</v>
      </c>
      <c r="AL74" s="1583" t="s">
        <v>3139</v>
      </c>
      <c r="AM74" s="1583" t="s">
        <v>10000</v>
      </c>
      <c r="AN74" s="1583" t="s">
        <v>3551</v>
      </c>
      <c r="AO74" s="1583" t="s">
        <v>10001</v>
      </c>
      <c r="AP74" s="1583" t="s">
        <v>10002</v>
      </c>
      <c r="AQ74" s="1583" t="s">
        <v>10003</v>
      </c>
      <c r="AR74" s="1583" t="s">
        <v>10004</v>
      </c>
      <c r="AS74" s="1583" t="s">
        <v>3756</v>
      </c>
      <c r="AT74" s="1583" t="s">
        <v>10005</v>
      </c>
      <c r="AU74" s="1583" t="s">
        <v>10006</v>
      </c>
      <c r="AV74" s="1680" t="str">
        <f t="shared" si="1"/>
        <v>4:12</v>
      </c>
      <c r="AW74" s="1685"/>
    </row>
    <row r="75">
      <c r="A75" s="1550" t="s">
        <v>6390</v>
      </c>
      <c r="B75" s="1545" t="s">
        <v>8430</v>
      </c>
      <c r="C75" s="1505">
        <v>0.05196759259259259</v>
      </c>
      <c r="D75" s="1423" t="s">
        <v>10007</v>
      </c>
      <c r="E75" s="1583" t="s">
        <v>10008</v>
      </c>
      <c r="F75" s="1583" t="s">
        <v>1299</v>
      </c>
      <c r="G75" s="1583" t="s">
        <v>10009</v>
      </c>
      <c r="H75" s="1423" t="s">
        <v>10010</v>
      </c>
      <c r="I75" s="1583" t="s">
        <v>9699</v>
      </c>
      <c r="J75" s="1583" t="s">
        <v>4005</v>
      </c>
      <c r="K75" s="1583" t="s">
        <v>9315</v>
      </c>
      <c r="L75" s="1583" t="s">
        <v>4869</v>
      </c>
      <c r="M75" s="1583" t="s">
        <v>3156</v>
      </c>
      <c r="N75" s="1583" t="s">
        <v>10011</v>
      </c>
      <c r="O75" s="1583" t="s">
        <v>10012</v>
      </c>
      <c r="P75" s="1583" t="s">
        <v>6594</v>
      </c>
      <c r="Q75" s="1583" t="s">
        <v>10013</v>
      </c>
      <c r="R75" s="1583" t="s">
        <v>3156</v>
      </c>
      <c r="S75" s="1507" t="s">
        <v>2338</v>
      </c>
      <c r="T75" s="1583" t="s">
        <v>9561</v>
      </c>
      <c r="U75" s="1583" t="s">
        <v>9725</v>
      </c>
      <c r="V75" s="1583" t="s">
        <v>9126</v>
      </c>
      <c r="W75" s="1583" t="s">
        <v>10014</v>
      </c>
      <c r="X75" s="1583" t="s">
        <v>9744</v>
      </c>
      <c r="Y75" s="1583" t="s">
        <v>595</v>
      </c>
      <c r="Z75" s="1583" t="s">
        <v>10015</v>
      </c>
      <c r="AA75" s="1583" t="s">
        <v>9219</v>
      </c>
      <c r="AB75" s="1583" t="s">
        <v>491</v>
      </c>
      <c r="AC75" s="1583" t="s">
        <v>1072</v>
      </c>
      <c r="AD75" s="1583" t="s">
        <v>8442</v>
      </c>
      <c r="AE75" s="1583" t="s">
        <v>8848</v>
      </c>
      <c r="AF75" s="1583" t="s">
        <v>10016</v>
      </c>
      <c r="AG75" s="1583" t="s">
        <v>3187</v>
      </c>
      <c r="AH75" s="1583" t="s">
        <v>4962</v>
      </c>
      <c r="AI75" s="1583" t="s">
        <v>6015</v>
      </c>
      <c r="AJ75" s="1583" t="s">
        <v>10017</v>
      </c>
      <c r="AK75" s="1583" t="s">
        <v>461</v>
      </c>
      <c r="AL75" s="1583" t="s">
        <v>2213</v>
      </c>
      <c r="AM75" s="1583" t="s">
        <v>3280</v>
      </c>
      <c r="AN75" s="1583" t="s">
        <v>653</v>
      </c>
      <c r="AO75" s="1583" t="s">
        <v>10018</v>
      </c>
      <c r="AP75" s="1583" t="s">
        <v>10013</v>
      </c>
      <c r="AQ75" s="1583" t="s">
        <v>10019</v>
      </c>
      <c r="AR75" s="1583" t="s">
        <v>4005</v>
      </c>
      <c r="AS75" s="1583" t="s">
        <v>902</v>
      </c>
      <c r="AT75" s="1583" t="s">
        <v>10020</v>
      </c>
      <c r="AU75" s="1583" t="s">
        <v>10021</v>
      </c>
      <c r="AV75" s="1583" t="s">
        <v>8290</v>
      </c>
      <c r="AW75" s="1688" t="s">
        <v>10022</v>
      </c>
    </row>
    <row r="76" ht="15.75" customHeight="1">
      <c r="A76" s="1587" t="s">
        <v>10023</v>
      </c>
      <c r="B76" s="1504" t="s">
        <v>8430</v>
      </c>
      <c r="C76" s="1646">
        <v>0.05199074074074074</v>
      </c>
      <c r="D76" s="1423" t="s">
        <v>10024</v>
      </c>
      <c r="E76" s="1680" t="s">
        <v>10025</v>
      </c>
      <c r="F76" s="1680" t="s">
        <v>10026</v>
      </c>
      <c r="G76" s="1680" t="s">
        <v>10027</v>
      </c>
      <c r="H76" s="1680" t="s">
        <v>7433</v>
      </c>
      <c r="I76" s="1680" t="s">
        <v>9538</v>
      </c>
      <c r="J76" s="1680" t="s">
        <v>10028</v>
      </c>
      <c r="K76" s="1680" t="s">
        <v>10029</v>
      </c>
      <c r="L76" s="1680" t="s">
        <v>3017</v>
      </c>
      <c r="M76" s="1680" t="s">
        <v>10030</v>
      </c>
      <c r="N76" s="1680" t="s">
        <v>9262</v>
      </c>
      <c r="O76" s="1680" t="s">
        <v>10031</v>
      </c>
      <c r="P76" s="1680" t="s">
        <v>2376</v>
      </c>
      <c r="Q76" s="1680" t="s">
        <v>5028</v>
      </c>
      <c r="R76" s="1680" t="s">
        <v>5231</v>
      </c>
      <c r="S76" s="1680" t="s">
        <v>4830</v>
      </c>
      <c r="T76" s="1680" t="s">
        <v>5678</v>
      </c>
      <c r="U76" s="1680" t="s">
        <v>10032</v>
      </c>
      <c r="V76" s="1680" t="s">
        <v>6320</v>
      </c>
      <c r="W76" s="1680" t="s">
        <v>7791</v>
      </c>
      <c r="X76" s="1680" t="s">
        <v>10033</v>
      </c>
      <c r="Y76" s="1680" t="s">
        <v>2026</v>
      </c>
      <c r="Z76" s="1680" t="s">
        <v>10034</v>
      </c>
      <c r="AA76" s="1680" t="s">
        <v>9681</v>
      </c>
      <c r="AB76" s="1680" t="s">
        <v>10035</v>
      </c>
      <c r="AC76" s="1680" t="s">
        <v>8506</v>
      </c>
      <c r="AD76" s="1680" t="s">
        <v>10036</v>
      </c>
      <c r="AE76" s="1680" t="s">
        <v>6560</v>
      </c>
      <c r="AF76" s="1680" t="s">
        <v>10037</v>
      </c>
      <c r="AG76" s="1680" t="s">
        <v>9944</v>
      </c>
      <c r="AH76" s="1680" t="s">
        <v>10038</v>
      </c>
      <c r="AI76" s="1680" t="s">
        <v>10039</v>
      </c>
      <c r="AJ76" s="1680" t="s">
        <v>10040</v>
      </c>
      <c r="AK76" s="1680" t="s">
        <v>810</v>
      </c>
      <c r="AL76" s="1680" t="s">
        <v>3263</v>
      </c>
      <c r="AM76" s="1680" t="s">
        <v>9450</v>
      </c>
      <c r="AN76" s="1680" t="s">
        <v>10041</v>
      </c>
      <c r="AO76" s="1583" t="s">
        <v>7393</v>
      </c>
      <c r="AP76" s="1583" t="s">
        <v>10042</v>
      </c>
      <c r="AQ76" s="1680" t="s">
        <v>5267</v>
      </c>
      <c r="AR76" s="1680" t="s">
        <v>10043</v>
      </c>
      <c r="AS76" s="1680" t="s">
        <v>1090</v>
      </c>
      <c r="AT76" s="1680" t="s">
        <v>9584</v>
      </c>
      <c r="AU76" s="1683" t="str">
        <f>HYPERLINK("https://splits.io/m3t","1:18:40")</f>
        <v>1:18:40</v>
      </c>
      <c r="AV76" s="1680" t="str">
        <f t="shared" ref="AV76:AV79" si="2">TEXT(AU76-C76,"m:ss")</f>
        <v>3:48</v>
      </c>
      <c r="AW76" s="1684" t="s">
        <v>10044</v>
      </c>
    </row>
    <row r="77" ht="15.75" customHeight="1">
      <c r="A77" s="1587" t="s">
        <v>10045</v>
      </c>
      <c r="B77" s="1504" t="s">
        <v>8430</v>
      </c>
      <c r="C77" s="1646">
        <v>0.052002314814814814</v>
      </c>
      <c r="D77" s="1423" t="s">
        <v>10046</v>
      </c>
      <c r="E77" s="1680" t="s">
        <v>8723</v>
      </c>
      <c r="F77" s="1680" t="s">
        <v>10047</v>
      </c>
      <c r="G77" s="1680" t="s">
        <v>10048</v>
      </c>
      <c r="H77" s="1680" t="s">
        <v>10049</v>
      </c>
      <c r="I77" s="1680" t="s">
        <v>3552</v>
      </c>
      <c r="J77" s="1680" t="s">
        <v>9148</v>
      </c>
      <c r="K77" s="1680" t="s">
        <v>4433</v>
      </c>
      <c r="L77" s="1680" t="s">
        <v>3498</v>
      </c>
      <c r="M77" s="1680" t="s">
        <v>9724</v>
      </c>
      <c r="N77" s="1680" t="s">
        <v>4471</v>
      </c>
      <c r="O77" s="1680" t="s">
        <v>10050</v>
      </c>
      <c r="P77" s="1680" t="s">
        <v>10051</v>
      </c>
      <c r="Q77" s="1680" t="s">
        <v>4810</v>
      </c>
      <c r="R77" s="1680" t="s">
        <v>1454</v>
      </c>
      <c r="S77" s="1680" t="s">
        <v>9233</v>
      </c>
      <c r="T77" s="1680" t="s">
        <v>527</v>
      </c>
      <c r="U77" s="1680" t="s">
        <v>1848</v>
      </c>
      <c r="V77" s="1680" t="s">
        <v>465</v>
      </c>
      <c r="W77" s="1680" t="s">
        <v>5596</v>
      </c>
      <c r="X77" s="1680" t="s">
        <v>9493</v>
      </c>
      <c r="Y77" s="1680" t="s">
        <v>2386</v>
      </c>
      <c r="Z77" s="1680" t="s">
        <v>5372</v>
      </c>
      <c r="AA77" s="1680" t="s">
        <v>9262</v>
      </c>
      <c r="AB77" s="1680" t="s">
        <v>10052</v>
      </c>
      <c r="AC77" s="1680" t="s">
        <v>2951</v>
      </c>
      <c r="AD77" s="1680" t="s">
        <v>10053</v>
      </c>
      <c r="AE77" s="1680" t="s">
        <v>5112</v>
      </c>
      <c r="AF77" s="1680" t="s">
        <v>10054</v>
      </c>
      <c r="AG77" s="1680" t="s">
        <v>10055</v>
      </c>
      <c r="AH77" s="1680" t="s">
        <v>2209</v>
      </c>
      <c r="AI77" s="1680" t="s">
        <v>10056</v>
      </c>
      <c r="AJ77" s="1680" t="s">
        <v>10057</v>
      </c>
      <c r="AK77" s="1680" t="s">
        <v>4583</v>
      </c>
      <c r="AL77" s="1680" t="s">
        <v>8850</v>
      </c>
      <c r="AM77" s="1680" t="s">
        <v>1459</v>
      </c>
      <c r="AN77" s="1680" t="s">
        <v>8606</v>
      </c>
      <c r="AO77" s="1680" t="s">
        <v>8939</v>
      </c>
      <c r="AP77" s="1680" t="s">
        <v>10058</v>
      </c>
      <c r="AQ77" s="1680" t="s">
        <v>10059</v>
      </c>
      <c r="AR77" s="1680" t="s">
        <v>9977</v>
      </c>
      <c r="AS77" s="1680" t="s">
        <v>10060</v>
      </c>
      <c r="AT77" s="1680" t="s">
        <v>10061</v>
      </c>
      <c r="AU77" s="1680" t="s">
        <v>10062</v>
      </c>
      <c r="AV77" s="1680" t="str">
        <f t="shared" si="2"/>
        <v>3:32</v>
      </c>
      <c r="AW77" s="1684" t="s">
        <v>10063</v>
      </c>
    </row>
    <row r="78" ht="15.75" customHeight="1">
      <c r="A78" s="1587" t="s">
        <v>10064</v>
      </c>
      <c r="B78" s="1563" t="s">
        <v>8460</v>
      </c>
      <c r="C78" s="1646">
        <v>0.05201388888888889</v>
      </c>
      <c r="D78" s="1423" t="s">
        <v>10065</v>
      </c>
      <c r="E78" s="1583" t="s">
        <v>10066</v>
      </c>
      <c r="F78" s="1680" t="s">
        <v>10067</v>
      </c>
      <c r="G78" s="1680" t="s">
        <v>10068</v>
      </c>
      <c r="H78" s="1680" t="s">
        <v>1653</v>
      </c>
      <c r="I78" s="1680" t="s">
        <v>10069</v>
      </c>
      <c r="J78" s="1680" t="s">
        <v>10070</v>
      </c>
      <c r="K78" s="1680" t="s">
        <v>4198</v>
      </c>
      <c r="L78" s="1680" t="s">
        <v>10071</v>
      </c>
      <c r="M78" s="1680" t="s">
        <v>10072</v>
      </c>
      <c r="N78" s="1680" t="s">
        <v>10073</v>
      </c>
      <c r="O78" s="1680" t="s">
        <v>10074</v>
      </c>
      <c r="P78" s="1680" t="s">
        <v>160</v>
      </c>
      <c r="Q78" s="1680" t="s">
        <v>10075</v>
      </c>
      <c r="R78" s="1680" t="s">
        <v>7319</v>
      </c>
      <c r="S78" s="1680" t="s">
        <v>10076</v>
      </c>
      <c r="T78" s="1680" t="s">
        <v>10077</v>
      </c>
      <c r="U78" s="1680" t="s">
        <v>10078</v>
      </c>
      <c r="V78" s="1680" t="s">
        <v>8023</v>
      </c>
      <c r="W78" s="1680" t="s">
        <v>10079</v>
      </c>
      <c r="X78" s="1680" t="s">
        <v>9493</v>
      </c>
      <c r="Y78" s="1680" t="s">
        <v>302</v>
      </c>
      <c r="Z78" s="1680" t="s">
        <v>2403</v>
      </c>
      <c r="AA78" s="1680" t="s">
        <v>5726</v>
      </c>
      <c r="AB78" s="1680" t="s">
        <v>8747</v>
      </c>
      <c r="AC78" s="1680" t="s">
        <v>853</v>
      </c>
      <c r="AD78" s="1680" t="s">
        <v>10080</v>
      </c>
      <c r="AE78" s="1680" t="s">
        <v>1166</v>
      </c>
      <c r="AF78" s="1680" t="s">
        <v>10081</v>
      </c>
      <c r="AG78" s="1680" t="s">
        <v>2807</v>
      </c>
      <c r="AH78" s="1680" t="s">
        <v>5943</v>
      </c>
      <c r="AI78" s="1680" t="s">
        <v>1571</v>
      </c>
      <c r="AJ78" s="1680" t="s">
        <v>10082</v>
      </c>
      <c r="AK78" s="1680" t="s">
        <v>3528</v>
      </c>
      <c r="AL78" s="1680" t="s">
        <v>3827</v>
      </c>
      <c r="AM78" s="1680" t="s">
        <v>927</v>
      </c>
      <c r="AN78" s="1680" t="s">
        <v>9812</v>
      </c>
      <c r="AO78" s="1680" t="s">
        <v>2212</v>
      </c>
      <c r="AP78" s="1680" t="s">
        <v>10083</v>
      </c>
      <c r="AQ78" s="1680" t="s">
        <v>1005</v>
      </c>
      <c r="AR78" s="1680" t="s">
        <v>8501</v>
      </c>
      <c r="AS78" s="1680" t="s">
        <v>9569</v>
      </c>
      <c r="AT78" s="1680" t="s">
        <v>10084</v>
      </c>
      <c r="AU78" s="1680" t="s">
        <v>10085</v>
      </c>
      <c r="AV78" s="1680" t="str">
        <f t="shared" si="2"/>
        <v>2:58</v>
      </c>
      <c r="AW78" s="1685" t="s">
        <v>10086</v>
      </c>
    </row>
    <row r="79" ht="15.75" customHeight="1">
      <c r="A79" s="1503" t="s">
        <v>6388</v>
      </c>
      <c r="B79" s="1563" t="s">
        <v>8460</v>
      </c>
      <c r="C79" s="1646">
        <v>0.05207175925925926</v>
      </c>
      <c r="D79" s="1423" t="s">
        <v>10087</v>
      </c>
      <c r="E79" s="1680" t="s">
        <v>10088</v>
      </c>
      <c r="F79" s="1680" t="s">
        <v>10089</v>
      </c>
      <c r="G79" s="1680" t="s">
        <v>10090</v>
      </c>
      <c r="H79" s="1680" t="s">
        <v>8898</v>
      </c>
      <c r="I79" s="1680" t="s">
        <v>4851</v>
      </c>
      <c r="J79" s="1680" t="s">
        <v>9055</v>
      </c>
      <c r="K79" s="1680" t="s">
        <v>9689</v>
      </c>
      <c r="L79" s="1680" t="s">
        <v>10091</v>
      </c>
      <c r="M79" s="1680" t="s">
        <v>2686</v>
      </c>
      <c r="N79" s="1680" t="s">
        <v>10092</v>
      </c>
      <c r="O79" s="1680" t="s">
        <v>10093</v>
      </c>
      <c r="P79" s="1680" t="s">
        <v>765</v>
      </c>
      <c r="Q79" s="1680" t="s">
        <v>10094</v>
      </c>
      <c r="R79" s="1680" t="s">
        <v>4863</v>
      </c>
      <c r="S79" s="1680" t="s">
        <v>5889</v>
      </c>
      <c r="T79" s="1680" t="s">
        <v>5678</v>
      </c>
      <c r="U79" s="1680" t="s">
        <v>10095</v>
      </c>
      <c r="V79" s="1680" t="s">
        <v>2445</v>
      </c>
      <c r="W79" s="1680" t="s">
        <v>8505</v>
      </c>
      <c r="X79" s="1680" t="s">
        <v>10096</v>
      </c>
      <c r="Y79" s="1680" t="s">
        <v>1320</v>
      </c>
      <c r="Z79" s="1680" t="s">
        <v>7264</v>
      </c>
      <c r="AA79" s="1680" t="s">
        <v>1485</v>
      </c>
      <c r="AB79" s="1680" t="s">
        <v>10097</v>
      </c>
      <c r="AC79" s="1680" t="s">
        <v>237</v>
      </c>
      <c r="AD79" s="1680" t="s">
        <v>4213</v>
      </c>
      <c r="AE79" s="1680" t="s">
        <v>6005</v>
      </c>
      <c r="AF79" s="1680" t="s">
        <v>10098</v>
      </c>
      <c r="AG79" s="1680" t="s">
        <v>9493</v>
      </c>
      <c r="AH79" s="1680" t="s">
        <v>7028</v>
      </c>
      <c r="AI79" s="1680" t="s">
        <v>9853</v>
      </c>
      <c r="AJ79" s="1680" t="s">
        <v>10099</v>
      </c>
      <c r="AK79" s="1680" t="s">
        <v>10100</v>
      </c>
      <c r="AL79" s="1680" t="s">
        <v>4277</v>
      </c>
      <c r="AM79" s="1680" t="s">
        <v>9607</v>
      </c>
      <c r="AN79" s="1680" t="s">
        <v>3827</v>
      </c>
      <c r="AO79" s="1680" t="s">
        <v>4198</v>
      </c>
      <c r="AP79" s="1680" t="s">
        <v>9345</v>
      </c>
      <c r="AQ79" s="1680" t="s">
        <v>10101</v>
      </c>
      <c r="AR79" s="1680" t="s">
        <v>1484</v>
      </c>
      <c r="AS79" s="1680" t="s">
        <v>6014</v>
      </c>
      <c r="AT79" s="1680" t="s">
        <v>7581</v>
      </c>
      <c r="AU79" s="1680" t="s">
        <v>10102</v>
      </c>
      <c r="AV79" s="1680" t="str">
        <f t="shared" si="2"/>
        <v>3:10</v>
      </c>
      <c r="AW79" s="1685" t="s">
        <v>10103</v>
      </c>
    </row>
    <row r="80">
      <c r="A80" s="1689" t="s">
        <v>3912</v>
      </c>
      <c r="B80" s="1670" t="s">
        <v>8485</v>
      </c>
      <c r="C80" s="1695">
        <v>0.052141203703703703</v>
      </c>
      <c r="D80" s="1423" t="s">
        <v>10104</v>
      </c>
      <c r="E80" s="1554" t="s">
        <v>2884</v>
      </c>
      <c r="F80" s="1554" t="s">
        <v>10105</v>
      </c>
      <c r="G80" s="1579" t="s">
        <v>10106</v>
      </c>
      <c r="H80" s="1579" t="s">
        <v>10107</v>
      </c>
      <c r="I80" s="1579" t="s">
        <v>2371</v>
      </c>
      <c r="J80" s="1579" t="s">
        <v>6860</v>
      </c>
      <c r="K80" s="1696" t="s">
        <v>6082</v>
      </c>
      <c r="L80" s="1697" t="s">
        <v>7025</v>
      </c>
      <c r="M80" s="1579" t="s">
        <v>10108</v>
      </c>
      <c r="N80" s="1579" t="s">
        <v>5678</v>
      </c>
      <c r="O80" s="1579" t="s">
        <v>5486</v>
      </c>
      <c r="P80" s="1579" t="s">
        <v>1920</v>
      </c>
      <c r="Q80" s="1579" t="s">
        <v>10109</v>
      </c>
      <c r="R80" s="1579" t="s">
        <v>10110</v>
      </c>
      <c r="S80" s="1698" t="s">
        <v>2258</v>
      </c>
      <c r="T80" s="1579" t="s">
        <v>8888</v>
      </c>
      <c r="U80" s="1579" t="s">
        <v>3465</v>
      </c>
      <c r="V80" s="1579" t="s">
        <v>10111</v>
      </c>
      <c r="W80" s="1579" t="s">
        <v>10112</v>
      </c>
      <c r="X80" s="1579" t="s">
        <v>4457</v>
      </c>
      <c r="Y80" s="1579" t="s">
        <v>3588</v>
      </c>
      <c r="Z80" s="1579" t="s">
        <v>4168</v>
      </c>
      <c r="AA80" s="1579" t="s">
        <v>401</v>
      </c>
      <c r="AB80" s="1579" t="s">
        <v>624</v>
      </c>
      <c r="AC80" s="1579" t="s">
        <v>6005</v>
      </c>
      <c r="AD80" s="1507" t="s">
        <v>8816</v>
      </c>
      <c r="AE80" s="1579" t="s">
        <v>479</v>
      </c>
      <c r="AF80" s="1579" t="s">
        <v>10113</v>
      </c>
      <c r="AG80" s="1579" t="s">
        <v>10114</v>
      </c>
      <c r="AH80" s="1579" t="s">
        <v>4528</v>
      </c>
      <c r="AI80" s="1579" t="s">
        <v>10115</v>
      </c>
      <c r="AJ80" s="1579" t="s">
        <v>10116</v>
      </c>
      <c r="AK80" s="1579" t="s">
        <v>10117</v>
      </c>
      <c r="AL80" s="1579" t="s">
        <v>5030</v>
      </c>
      <c r="AM80" s="1579" t="s">
        <v>9731</v>
      </c>
      <c r="AN80" s="1579" t="s">
        <v>4361</v>
      </c>
      <c r="AO80" s="1579" t="s">
        <v>8798</v>
      </c>
      <c r="AP80" s="1579" t="s">
        <v>10118</v>
      </c>
      <c r="AQ80" s="1696" t="s">
        <v>8515</v>
      </c>
      <c r="AR80" s="1579" t="s">
        <v>10119</v>
      </c>
      <c r="AS80" s="1694" t="s">
        <v>754</v>
      </c>
      <c r="AT80" s="1579" t="s">
        <v>10120</v>
      </c>
      <c r="AU80" s="1543" t="s">
        <v>10121</v>
      </c>
      <c r="AV80" s="1543" t="s">
        <v>10122</v>
      </c>
      <c r="AW80" s="1699" t="s">
        <v>10123</v>
      </c>
    </row>
    <row r="81">
      <c r="A81" s="1550" t="s">
        <v>3852</v>
      </c>
      <c r="B81" s="1548" t="s">
        <v>8430</v>
      </c>
      <c r="C81" s="1505">
        <v>0.0522337962962963</v>
      </c>
      <c r="D81" s="1656" t="s">
        <v>10124</v>
      </c>
      <c r="E81" s="1583" t="s">
        <v>10125</v>
      </c>
      <c r="F81" s="1583" t="s">
        <v>10126</v>
      </c>
      <c r="G81" s="1583" t="s">
        <v>10127</v>
      </c>
      <c r="H81" s="1583" t="s">
        <v>10128</v>
      </c>
      <c r="I81" s="1583" t="s">
        <v>141</v>
      </c>
      <c r="J81" s="1583" t="s">
        <v>8097</v>
      </c>
      <c r="K81" s="1583" t="s">
        <v>4433</v>
      </c>
      <c r="L81" s="1583" t="s">
        <v>6100</v>
      </c>
      <c r="M81" s="1583" t="s">
        <v>10129</v>
      </c>
      <c r="N81" s="1583" t="s">
        <v>10130</v>
      </c>
      <c r="O81" s="1583" t="s">
        <v>10131</v>
      </c>
      <c r="P81" s="1583" t="s">
        <v>5112</v>
      </c>
      <c r="Q81" s="1583" t="s">
        <v>4839</v>
      </c>
      <c r="R81" s="1583" t="s">
        <v>6080</v>
      </c>
      <c r="S81" s="1583" t="s">
        <v>606</v>
      </c>
      <c r="T81" s="1583" t="s">
        <v>9899</v>
      </c>
      <c r="U81" s="1583" t="s">
        <v>8843</v>
      </c>
      <c r="V81" s="1583" t="s">
        <v>10132</v>
      </c>
      <c r="W81" s="1583" t="s">
        <v>10133</v>
      </c>
      <c r="X81" s="1583" t="s">
        <v>3187</v>
      </c>
      <c r="Y81" s="1583" t="s">
        <v>759</v>
      </c>
      <c r="Z81" s="1583" t="s">
        <v>10134</v>
      </c>
      <c r="AA81" s="1423" t="s">
        <v>10135</v>
      </c>
      <c r="AB81" s="1583" t="s">
        <v>6972</v>
      </c>
      <c r="AC81" s="1583" t="s">
        <v>9877</v>
      </c>
      <c r="AD81" s="1583" t="s">
        <v>7430</v>
      </c>
      <c r="AE81" s="1583" t="s">
        <v>4867</v>
      </c>
      <c r="AF81" s="1515" t="s">
        <v>10136</v>
      </c>
      <c r="AG81" s="1583" t="s">
        <v>10137</v>
      </c>
      <c r="AH81" s="1583" t="s">
        <v>4984</v>
      </c>
      <c r="AI81" s="1583" t="s">
        <v>6585</v>
      </c>
      <c r="AJ81" s="1583" t="s">
        <v>10138</v>
      </c>
      <c r="AK81" s="1583" t="s">
        <v>10139</v>
      </c>
      <c r="AL81" s="1583" t="s">
        <v>9813</v>
      </c>
      <c r="AM81" s="1583" t="s">
        <v>10140</v>
      </c>
      <c r="AN81" s="1583" t="s">
        <v>1080</v>
      </c>
      <c r="AO81" s="1583" t="s">
        <v>6247</v>
      </c>
      <c r="AP81" s="1583" t="s">
        <v>5567</v>
      </c>
      <c r="AQ81" s="1583" t="s">
        <v>10141</v>
      </c>
      <c r="AR81" s="1583" t="s">
        <v>691</v>
      </c>
      <c r="AS81" s="1515" t="s">
        <v>2824</v>
      </c>
      <c r="AT81" s="1583" t="s">
        <v>10142</v>
      </c>
      <c r="AU81" s="1583" t="s">
        <v>10143</v>
      </c>
      <c r="AV81" s="1680" t="str">
        <f t="shared" ref="AV81:AV99" si="3">TEXT(AU81-C81,"m:ss")</f>
        <v>4:32</v>
      </c>
      <c r="AW81" s="1681" t="s">
        <v>10144</v>
      </c>
    </row>
    <row r="82">
      <c r="A82" s="1550" t="s">
        <v>5143</v>
      </c>
      <c r="B82" s="1545" t="s">
        <v>8460</v>
      </c>
      <c r="C82" s="1505">
        <v>0.05232638888888889</v>
      </c>
      <c r="D82" s="1656" t="s">
        <v>10145</v>
      </c>
      <c r="E82" s="1583" t="s">
        <v>1231</v>
      </c>
      <c r="F82" s="1583" t="s">
        <v>10146</v>
      </c>
      <c r="G82" s="1583" t="s">
        <v>10147</v>
      </c>
      <c r="H82" s="1583" t="s">
        <v>10148</v>
      </c>
      <c r="I82" s="1583" t="s">
        <v>1260</v>
      </c>
      <c r="J82" s="1583" t="s">
        <v>7719</v>
      </c>
      <c r="K82" s="1583" t="s">
        <v>9700</v>
      </c>
      <c r="L82" s="1583" t="s">
        <v>10149</v>
      </c>
      <c r="M82" s="1583" t="s">
        <v>7458</v>
      </c>
      <c r="N82" s="1583" t="s">
        <v>10150</v>
      </c>
      <c r="O82" s="1583" t="s">
        <v>10151</v>
      </c>
      <c r="P82" s="1583" t="s">
        <v>519</v>
      </c>
      <c r="Q82" s="1583" t="s">
        <v>9534</v>
      </c>
      <c r="R82" s="1583" t="s">
        <v>5292</v>
      </c>
      <c r="S82" s="1583" t="s">
        <v>9353</v>
      </c>
      <c r="T82" s="1583" t="s">
        <v>10152</v>
      </c>
      <c r="U82" s="1583" t="s">
        <v>10153</v>
      </c>
      <c r="V82" s="1583" t="s">
        <v>10154</v>
      </c>
      <c r="W82" s="1583" t="s">
        <v>6164</v>
      </c>
      <c r="X82" s="1583" t="s">
        <v>312</v>
      </c>
      <c r="Y82" s="1583" t="s">
        <v>6431</v>
      </c>
      <c r="Z82" s="1583" t="s">
        <v>782</v>
      </c>
      <c r="AA82" s="1680" t="s">
        <v>9353</v>
      </c>
      <c r="AB82" s="1583" t="s">
        <v>10155</v>
      </c>
      <c r="AC82" s="1583" t="s">
        <v>6076</v>
      </c>
      <c r="AD82" s="1583" t="s">
        <v>10156</v>
      </c>
      <c r="AE82" s="1583" t="s">
        <v>223</v>
      </c>
      <c r="AF82" s="1583" t="s">
        <v>8016</v>
      </c>
      <c r="AG82" s="1583" t="s">
        <v>3085</v>
      </c>
      <c r="AH82" s="1583" t="s">
        <v>1813</v>
      </c>
      <c r="AI82" s="1583" t="s">
        <v>419</v>
      </c>
      <c r="AJ82" s="1583" t="s">
        <v>10157</v>
      </c>
      <c r="AK82" s="1583" t="s">
        <v>10158</v>
      </c>
      <c r="AL82" s="1583" t="s">
        <v>9855</v>
      </c>
      <c r="AM82" s="1583" t="s">
        <v>2807</v>
      </c>
      <c r="AN82" s="1583" t="s">
        <v>5820</v>
      </c>
      <c r="AO82" s="1583" t="s">
        <v>3621</v>
      </c>
      <c r="AP82" s="1583" t="s">
        <v>10159</v>
      </c>
      <c r="AQ82" s="1583" t="s">
        <v>7457</v>
      </c>
      <c r="AR82" s="1583" t="s">
        <v>6075</v>
      </c>
      <c r="AS82" s="1583" t="s">
        <v>10160</v>
      </c>
      <c r="AT82" s="1583" t="s">
        <v>10161</v>
      </c>
      <c r="AU82" s="1583" t="s">
        <v>10162</v>
      </c>
      <c r="AV82" s="1680" t="str">
        <f t="shared" si="3"/>
        <v>3:48</v>
      </c>
      <c r="AW82" s="1685"/>
    </row>
    <row r="83" ht="15.75" customHeight="1">
      <c r="A83" s="1503" t="s">
        <v>10163</v>
      </c>
      <c r="B83" s="1504" t="s">
        <v>8430</v>
      </c>
      <c r="C83" s="1646">
        <v>0.05240740740740741</v>
      </c>
      <c r="D83" s="1423" t="s">
        <v>10164</v>
      </c>
      <c r="E83" s="1680" t="s">
        <v>1657</v>
      </c>
      <c r="F83" s="1680" t="s">
        <v>7709</v>
      </c>
      <c r="G83" s="1680" t="s">
        <v>9835</v>
      </c>
      <c r="H83" s="1680" t="s">
        <v>10165</v>
      </c>
      <c r="I83" s="1680" t="s">
        <v>10166</v>
      </c>
      <c r="J83" s="1680" t="s">
        <v>10167</v>
      </c>
      <c r="K83" s="1680" t="s">
        <v>10168</v>
      </c>
      <c r="L83" s="1680" t="s">
        <v>4462</v>
      </c>
      <c r="M83" s="1680" t="s">
        <v>3221</v>
      </c>
      <c r="N83" s="1680" t="s">
        <v>4763</v>
      </c>
      <c r="O83" s="1680" t="s">
        <v>10169</v>
      </c>
      <c r="P83" s="1680" t="s">
        <v>10170</v>
      </c>
      <c r="Q83" s="1680" t="s">
        <v>4232</v>
      </c>
      <c r="R83" s="1680" t="s">
        <v>2233</v>
      </c>
      <c r="S83" s="1680" t="s">
        <v>9609</v>
      </c>
      <c r="T83" s="1680" t="s">
        <v>4985</v>
      </c>
      <c r="U83" s="1680" t="s">
        <v>10171</v>
      </c>
      <c r="V83" s="1680" t="s">
        <v>10172</v>
      </c>
      <c r="W83" s="1680" t="s">
        <v>10173</v>
      </c>
      <c r="X83" s="1680" t="s">
        <v>10174</v>
      </c>
      <c r="Y83" s="1680" t="s">
        <v>6337</v>
      </c>
      <c r="Z83" s="1680" t="s">
        <v>10034</v>
      </c>
      <c r="AA83" s="1680" t="s">
        <v>1939</v>
      </c>
      <c r="AB83" s="1680" t="s">
        <v>10175</v>
      </c>
      <c r="AC83" s="1680" t="s">
        <v>1539</v>
      </c>
      <c r="AD83" s="1680" t="s">
        <v>10176</v>
      </c>
      <c r="AE83" s="1680" t="s">
        <v>1539</v>
      </c>
      <c r="AF83" s="1680" t="s">
        <v>10177</v>
      </c>
      <c r="AG83" s="1680" t="s">
        <v>9768</v>
      </c>
      <c r="AH83" s="1680" t="s">
        <v>2106</v>
      </c>
      <c r="AI83" s="1680" t="s">
        <v>3147</v>
      </c>
      <c r="AJ83" s="1680" t="s">
        <v>10178</v>
      </c>
      <c r="AK83" s="1680" t="s">
        <v>6973</v>
      </c>
      <c r="AL83" s="1680" t="s">
        <v>10179</v>
      </c>
      <c r="AM83" s="1680" t="s">
        <v>1190</v>
      </c>
      <c r="AN83" s="1680" t="s">
        <v>2885</v>
      </c>
      <c r="AO83" s="1680" t="s">
        <v>10180</v>
      </c>
      <c r="AP83" s="1680" t="s">
        <v>3560</v>
      </c>
      <c r="AQ83" s="1680" t="s">
        <v>10181</v>
      </c>
      <c r="AR83" s="1680" t="s">
        <v>10182</v>
      </c>
      <c r="AS83" s="1680" t="s">
        <v>9076</v>
      </c>
      <c r="AT83" s="1680" t="s">
        <v>9161</v>
      </c>
      <c r="AU83" s="1680" t="s">
        <v>10183</v>
      </c>
      <c r="AV83" s="1680" t="str">
        <f t="shared" si="3"/>
        <v>3:40</v>
      </c>
      <c r="AW83" s="1684" t="s">
        <v>10184</v>
      </c>
    </row>
    <row r="84" ht="15.75" customHeight="1">
      <c r="A84" s="1587" t="s">
        <v>10185</v>
      </c>
      <c r="B84" s="1504" t="s">
        <v>8430</v>
      </c>
      <c r="C84" s="1646">
        <v>0.05263888888888889</v>
      </c>
      <c r="D84" s="1423" t="s">
        <v>10186</v>
      </c>
      <c r="E84" s="1680" t="s">
        <v>9886</v>
      </c>
      <c r="F84" s="1680" t="s">
        <v>10187</v>
      </c>
      <c r="G84" s="1680" t="s">
        <v>10188</v>
      </c>
      <c r="H84" s="1680" t="s">
        <v>10189</v>
      </c>
      <c r="I84" s="1680" t="s">
        <v>10190</v>
      </c>
      <c r="J84" s="1680" t="s">
        <v>10191</v>
      </c>
      <c r="K84" s="1680" t="s">
        <v>4129</v>
      </c>
      <c r="L84" s="1680" t="s">
        <v>4203</v>
      </c>
      <c r="M84" s="1680" t="s">
        <v>9183</v>
      </c>
      <c r="N84" s="1680" t="s">
        <v>10192</v>
      </c>
      <c r="O84" s="1680" t="s">
        <v>8476</v>
      </c>
      <c r="P84" s="1680" t="s">
        <v>483</v>
      </c>
      <c r="Q84" s="1680" t="s">
        <v>10193</v>
      </c>
      <c r="R84" s="1680" t="s">
        <v>5483</v>
      </c>
      <c r="S84" s="1680" t="s">
        <v>1915</v>
      </c>
      <c r="T84" s="1680" t="s">
        <v>10194</v>
      </c>
      <c r="U84" s="1680" t="s">
        <v>10195</v>
      </c>
      <c r="V84" s="1680" t="s">
        <v>10196</v>
      </c>
      <c r="W84" s="1680" t="s">
        <v>10197</v>
      </c>
      <c r="X84" s="1680" t="s">
        <v>5652</v>
      </c>
      <c r="Y84" s="1680" t="s">
        <v>1539</v>
      </c>
      <c r="Z84" s="1680" t="s">
        <v>6419</v>
      </c>
      <c r="AA84" s="1583" t="s">
        <v>6243</v>
      </c>
      <c r="AB84" s="1680" t="s">
        <v>9074</v>
      </c>
      <c r="AC84" s="1680" t="s">
        <v>9894</v>
      </c>
      <c r="AD84" s="1680" t="s">
        <v>2922</v>
      </c>
      <c r="AE84" s="1680" t="s">
        <v>1072</v>
      </c>
      <c r="AF84" s="1680" t="s">
        <v>10198</v>
      </c>
      <c r="AG84" s="1680" t="s">
        <v>2709</v>
      </c>
      <c r="AH84" s="1680" t="s">
        <v>6580</v>
      </c>
      <c r="AI84" s="1680" t="s">
        <v>10199</v>
      </c>
      <c r="AJ84" s="1680" t="s">
        <v>10200</v>
      </c>
      <c r="AK84" s="1680" t="s">
        <v>9489</v>
      </c>
      <c r="AL84" s="1680" t="s">
        <v>10201</v>
      </c>
      <c r="AM84" s="1680" t="s">
        <v>10202</v>
      </c>
      <c r="AN84" s="1680" t="s">
        <v>3826</v>
      </c>
      <c r="AO84" s="1680" t="s">
        <v>8798</v>
      </c>
      <c r="AP84" s="1680" t="s">
        <v>10203</v>
      </c>
      <c r="AQ84" s="1680" t="s">
        <v>10204</v>
      </c>
      <c r="AR84" s="1680" t="s">
        <v>154</v>
      </c>
      <c r="AS84" s="1680" t="s">
        <v>1090</v>
      </c>
      <c r="AT84" s="1680" t="s">
        <v>10205</v>
      </c>
      <c r="AU84" s="1680" t="s">
        <v>10206</v>
      </c>
      <c r="AV84" s="1680" t="str">
        <f t="shared" si="3"/>
        <v>4:28</v>
      </c>
      <c r="AW84" s="1684" t="s">
        <v>10207</v>
      </c>
    </row>
    <row r="85">
      <c r="A85" s="1550" t="s">
        <v>3524</v>
      </c>
      <c r="B85" s="1657" t="s">
        <v>8485</v>
      </c>
      <c r="C85" s="1505">
        <v>0.052662037037037035</v>
      </c>
      <c r="D85" s="1423" t="s">
        <v>10208</v>
      </c>
      <c r="E85" s="1423" t="s">
        <v>531</v>
      </c>
      <c r="F85" s="1423" t="s">
        <v>10209</v>
      </c>
      <c r="G85" s="1423" t="s">
        <v>10210</v>
      </c>
      <c r="H85" s="1423" t="s">
        <v>8675</v>
      </c>
      <c r="I85" s="1423" t="s">
        <v>10211</v>
      </c>
      <c r="J85" s="1423" t="s">
        <v>156</v>
      </c>
      <c r="K85" s="1423" t="s">
        <v>10212</v>
      </c>
      <c r="L85" s="1423" t="s">
        <v>2702</v>
      </c>
      <c r="M85" s="1423" t="s">
        <v>268</v>
      </c>
      <c r="N85" s="1423" t="s">
        <v>8973</v>
      </c>
      <c r="O85" s="1423" t="s">
        <v>10213</v>
      </c>
      <c r="P85" s="1423" t="s">
        <v>2065</v>
      </c>
      <c r="Q85" s="1423" t="s">
        <v>3421</v>
      </c>
      <c r="R85" s="1423" t="s">
        <v>10214</v>
      </c>
      <c r="S85" s="1423" t="s">
        <v>10215</v>
      </c>
      <c r="T85" s="1423" t="s">
        <v>10216</v>
      </c>
      <c r="U85" s="1423" t="s">
        <v>10217</v>
      </c>
      <c r="V85" s="1423" t="s">
        <v>10218</v>
      </c>
      <c r="W85" s="1423" t="s">
        <v>10219</v>
      </c>
      <c r="X85" s="1423" t="s">
        <v>2674</v>
      </c>
      <c r="Y85" s="1423" t="s">
        <v>2839</v>
      </c>
      <c r="Z85" s="1423" t="s">
        <v>6179</v>
      </c>
      <c r="AA85" s="1583" t="s">
        <v>10220</v>
      </c>
      <c r="AB85" s="1423" t="s">
        <v>10221</v>
      </c>
      <c r="AC85" s="1423" t="s">
        <v>6430</v>
      </c>
      <c r="AD85" s="1700" t="s">
        <v>8505</v>
      </c>
      <c r="AE85" s="1423" t="s">
        <v>335</v>
      </c>
      <c r="AF85" s="1423" t="s">
        <v>10222</v>
      </c>
      <c r="AG85" s="1423" t="s">
        <v>7381</v>
      </c>
      <c r="AH85" s="1423" t="s">
        <v>3694</v>
      </c>
      <c r="AI85" s="1423" t="s">
        <v>10223</v>
      </c>
      <c r="AJ85" s="1423" t="s">
        <v>10224</v>
      </c>
      <c r="AK85" s="1423" t="s">
        <v>10225</v>
      </c>
      <c r="AL85" s="1423" t="s">
        <v>4599</v>
      </c>
      <c r="AM85" s="1423" t="s">
        <v>5595</v>
      </c>
      <c r="AN85" s="1700" t="s">
        <v>8512</v>
      </c>
      <c r="AO85" s="1423" t="s">
        <v>10226</v>
      </c>
      <c r="AP85" s="1423" t="s">
        <v>10227</v>
      </c>
      <c r="AQ85" s="1423" t="s">
        <v>10228</v>
      </c>
      <c r="AR85" s="1423" t="s">
        <v>5860</v>
      </c>
      <c r="AS85" s="1423" t="s">
        <v>6909</v>
      </c>
      <c r="AT85" s="1423" t="s">
        <v>10229</v>
      </c>
      <c r="AU85" s="1701" t="s">
        <v>10230</v>
      </c>
      <c r="AV85" s="1680" t="str">
        <f t="shared" si="3"/>
        <v>4:43</v>
      </c>
      <c r="AW85" s="1688" t="s">
        <v>10231</v>
      </c>
    </row>
    <row r="86" ht="15.75" customHeight="1">
      <c r="A86" s="1550" t="s">
        <v>10232</v>
      </c>
      <c r="B86" s="1545" t="s">
        <v>8430</v>
      </c>
      <c r="C86" s="1505">
        <v>0.05267361111111111</v>
      </c>
      <c r="D86" s="1656" t="s">
        <v>9572</v>
      </c>
      <c r="E86" s="1583" t="s">
        <v>861</v>
      </c>
      <c r="F86" s="1583" t="s">
        <v>7405</v>
      </c>
      <c r="G86" s="1583" t="s">
        <v>10233</v>
      </c>
      <c r="H86" s="1583" t="s">
        <v>10234</v>
      </c>
      <c r="I86" s="1583" t="s">
        <v>5560</v>
      </c>
      <c r="J86" s="1423" t="s">
        <v>10235</v>
      </c>
      <c r="K86" s="1583" t="s">
        <v>10236</v>
      </c>
      <c r="L86" s="1583" t="s">
        <v>3694</v>
      </c>
      <c r="M86" s="1583" t="s">
        <v>7363</v>
      </c>
      <c r="N86" s="1583" t="s">
        <v>10237</v>
      </c>
      <c r="O86" s="1583" t="s">
        <v>10238</v>
      </c>
      <c r="P86" s="1583" t="s">
        <v>9538</v>
      </c>
      <c r="Q86" s="1583" t="s">
        <v>10239</v>
      </c>
      <c r="R86" s="1583" t="s">
        <v>5529</v>
      </c>
      <c r="S86" s="1583" t="s">
        <v>7398</v>
      </c>
      <c r="T86" s="1583" t="s">
        <v>10240</v>
      </c>
      <c r="U86" s="1583" t="s">
        <v>10241</v>
      </c>
      <c r="V86" s="1583" t="s">
        <v>3932</v>
      </c>
      <c r="W86" s="1583" t="s">
        <v>10242</v>
      </c>
      <c r="X86" s="1583" t="s">
        <v>2439</v>
      </c>
      <c r="Y86" s="1583" t="s">
        <v>9144</v>
      </c>
      <c r="Z86" s="1583" t="s">
        <v>8626</v>
      </c>
      <c r="AA86" s="1583" t="s">
        <v>10243</v>
      </c>
      <c r="AB86" s="1583" t="s">
        <v>9760</v>
      </c>
      <c r="AC86" s="1583" t="s">
        <v>9015</v>
      </c>
      <c r="AD86" s="1583" t="s">
        <v>10244</v>
      </c>
      <c r="AE86" s="1583" t="s">
        <v>2409</v>
      </c>
      <c r="AF86" s="1583" t="s">
        <v>10245</v>
      </c>
      <c r="AG86" s="1583" t="s">
        <v>10246</v>
      </c>
      <c r="AH86" s="1583" t="s">
        <v>4203</v>
      </c>
      <c r="AI86" s="1583" t="s">
        <v>10247</v>
      </c>
      <c r="AJ86" s="1583" t="s">
        <v>10248</v>
      </c>
      <c r="AK86" s="1583" t="s">
        <v>1688</v>
      </c>
      <c r="AL86" s="1583" t="s">
        <v>2562</v>
      </c>
      <c r="AM86" s="1583" t="s">
        <v>1688</v>
      </c>
      <c r="AN86" s="1583" t="s">
        <v>2562</v>
      </c>
      <c r="AO86" s="1583" t="s">
        <v>5974</v>
      </c>
      <c r="AP86" s="1583" t="s">
        <v>10249</v>
      </c>
      <c r="AQ86" s="1583" t="s">
        <v>2162</v>
      </c>
      <c r="AR86" s="1583" t="s">
        <v>10059</v>
      </c>
      <c r="AS86" s="1583" t="s">
        <v>10250</v>
      </c>
      <c r="AT86" s="1583" t="s">
        <v>10251</v>
      </c>
      <c r="AU86" s="1583" t="s">
        <v>10252</v>
      </c>
      <c r="AV86" s="1680" t="str">
        <f t="shared" si="3"/>
        <v>5:58</v>
      </c>
      <c r="AW86" s="1681" t="s">
        <v>10253</v>
      </c>
    </row>
    <row r="87" ht="15.75" customHeight="1">
      <c r="A87" s="1503" t="s">
        <v>5880</v>
      </c>
      <c r="B87" s="1563" t="s">
        <v>8460</v>
      </c>
      <c r="C87" s="1646">
        <v>0.05275462962962963</v>
      </c>
      <c r="D87" s="1423" t="s">
        <v>10254</v>
      </c>
      <c r="E87" s="1680" t="s">
        <v>9595</v>
      </c>
      <c r="F87" s="1680" t="s">
        <v>10255</v>
      </c>
      <c r="G87" s="1680" t="s">
        <v>8662</v>
      </c>
      <c r="H87" s="1680" t="s">
        <v>7237</v>
      </c>
      <c r="I87" s="1680" t="s">
        <v>2274</v>
      </c>
      <c r="J87" s="1680" t="s">
        <v>4145</v>
      </c>
      <c r="K87" s="1680" t="s">
        <v>9914</v>
      </c>
      <c r="L87" s="1680" t="s">
        <v>5211</v>
      </c>
      <c r="M87" s="1680" t="s">
        <v>4128</v>
      </c>
      <c r="N87" s="1680" t="s">
        <v>10256</v>
      </c>
      <c r="O87" s="1680" t="s">
        <v>10257</v>
      </c>
      <c r="P87" s="1680" t="s">
        <v>6127</v>
      </c>
      <c r="Q87" s="1680" t="s">
        <v>10258</v>
      </c>
      <c r="R87" s="1680" t="s">
        <v>10259</v>
      </c>
      <c r="S87" s="1680" t="s">
        <v>8449</v>
      </c>
      <c r="T87" s="1680" t="s">
        <v>2567</v>
      </c>
      <c r="U87" s="1680" t="s">
        <v>498</v>
      </c>
      <c r="V87" s="1680" t="s">
        <v>4096</v>
      </c>
      <c r="W87" s="1680" t="s">
        <v>10260</v>
      </c>
      <c r="X87" s="1680" t="s">
        <v>10261</v>
      </c>
      <c r="Y87" s="1680" t="s">
        <v>5622</v>
      </c>
      <c r="Z87" s="1680" t="s">
        <v>8747</v>
      </c>
      <c r="AA87" s="1680" t="s">
        <v>10262</v>
      </c>
      <c r="AB87" s="1680" t="s">
        <v>491</v>
      </c>
      <c r="AC87" s="1680" t="s">
        <v>9788</v>
      </c>
      <c r="AD87" s="1680" t="s">
        <v>10263</v>
      </c>
      <c r="AE87" s="1680" t="s">
        <v>10264</v>
      </c>
      <c r="AF87" s="1680" t="s">
        <v>9312</v>
      </c>
      <c r="AG87" s="1680" t="s">
        <v>6855</v>
      </c>
      <c r="AH87" s="1680" t="s">
        <v>723</v>
      </c>
      <c r="AI87" s="1680" t="s">
        <v>5238</v>
      </c>
      <c r="AJ87" s="1680" t="s">
        <v>10265</v>
      </c>
      <c r="AK87" s="1680" t="s">
        <v>8871</v>
      </c>
      <c r="AL87" s="1680" t="s">
        <v>5302</v>
      </c>
      <c r="AM87" s="1680" t="s">
        <v>10266</v>
      </c>
      <c r="AN87" s="1680" t="s">
        <v>6294</v>
      </c>
      <c r="AO87" s="1680" t="s">
        <v>10267</v>
      </c>
      <c r="AP87" s="1680" t="s">
        <v>10268</v>
      </c>
      <c r="AQ87" s="1680" t="s">
        <v>10269</v>
      </c>
      <c r="AR87" s="1680" t="s">
        <v>9849</v>
      </c>
      <c r="AS87" s="1680" t="s">
        <v>8759</v>
      </c>
      <c r="AT87" s="1680" t="s">
        <v>10270</v>
      </c>
      <c r="AU87" s="1680" t="s">
        <v>10271</v>
      </c>
      <c r="AV87" s="1680" t="str">
        <f t="shared" si="3"/>
        <v>3:59</v>
      </c>
      <c r="AW87" s="1685" t="s">
        <v>10272</v>
      </c>
    </row>
    <row r="88" ht="15.75" customHeight="1">
      <c r="A88" s="1587" t="s">
        <v>10273</v>
      </c>
      <c r="B88" s="1670" t="s">
        <v>8485</v>
      </c>
      <c r="C88" s="1646">
        <v>0.05291666666666667</v>
      </c>
      <c r="D88" s="1423" t="s">
        <v>10274</v>
      </c>
      <c r="E88" s="1680" t="s">
        <v>10275</v>
      </c>
      <c r="F88" s="1680" t="s">
        <v>5729</v>
      </c>
      <c r="G88" s="1680" t="s">
        <v>9451</v>
      </c>
      <c r="H88" s="1680" t="s">
        <v>9780</v>
      </c>
      <c r="I88" s="1680" t="s">
        <v>2958</v>
      </c>
      <c r="J88" s="1680" t="s">
        <v>10276</v>
      </c>
      <c r="K88" s="1680" t="s">
        <v>5367</v>
      </c>
      <c r="L88" s="1680" t="s">
        <v>7697</v>
      </c>
      <c r="M88" s="1680" t="s">
        <v>10277</v>
      </c>
      <c r="N88" s="1680" t="s">
        <v>10278</v>
      </c>
      <c r="O88" s="1680" t="s">
        <v>10279</v>
      </c>
      <c r="P88" s="1680" t="s">
        <v>9646</v>
      </c>
      <c r="Q88" s="1680" t="s">
        <v>10280</v>
      </c>
      <c r="R88" s="1680" t="s">
        <v>9535</v>
      </c>
      <c r="S88" s="1680" t="s">
        <v>4538</v>
      </c>
      <c r="T88" s="1680" t="s">
        <v>8661</v>
      </c>
      <c r="U88" s="1680" t="s">
        <v>5400</v>
      </c>
      <c r="V88" s="1680" t="s">
        <v>1149</v>
      </c>
      <c r="W88" s="1680" t="s">
        <v>1902</v>
      </c>
      <c r="X88" s="1680" t="s">
        <v>3141</v>
      </c>
      <c r="Y88" s="1680" t="s">
        <v>658</v>
      </c>
      <c r="Z88" s="1680" t="s">
        <v>10281</v>
      </c>
      <c r="AA88" s="1583" t="s">
        <v>7631</v>
      </c>
      <c r="AB88" s="1680" t="s">
        <v>3575</v>
      </c>
      <c r="AC88" s="1680" t="s">
        <v>2386</v>
      </c>
      <c r="AD88" s="1680" t="s">
        <v>10282</v>
      </c>
      <c r="AE88" s="1680" t="s">
        <v>10283</v>
      </c>
      <c r="AF88" s="1680" t="s">
        <v>10284</v>
      </c>
      <c r="AG88" s="1680" t="s">
        <v>10285</v>
      </c>
      <c r="AH88" s="1680" t="s">
        <v>10286</v>
      </c>
      <c r="AI88" s="1680" t="s">
        <v>10287</v>
      </c>
      <c r="AJ88" s="1680" t="s">
        <v>10288</v>
      </c>
      <c r="AK88" s="1680" t="s">
        <v>10289</v>
      </c>
      <c r="AL88" s="1680" t="s">
        <v>1660</v>
      </c>
      <c r="AM88" s="1680" t="s">
        <v>3081</v>
      </c>
      <c r="AN88" s="1680" t="s">
        <v>10290</v>
      </c>
      <c r="AO88" s="1680" t="s">
        <v>10291</v>
      </c>
      <c r="AP88" s="1680" t="s">
        <v>3075</v>
      </c>
      <c r="AQ88" s="1680" t="s">
        <v>10292</v>
      </c>
      <c r="AR88" s="1680" t="s">
        <v>10194</v>
      </c>
      <c r="AS88" s="1680" t="s">
        <v>4285</v>
      </c>
      <c r="AT88" s="1680" t="s">
        <v>10293</v>
      </c>
      <c r="AU88" s="1680" t="s">
        <v>10294</v>
      </c>
      <c r="AV88" s="1680" t="str">
        <f t="shared" si="3"/>
        <v>2:38</v>
      </c>
      <c r="AW88" s="1685"/>
    </row>
    <row r="89" ht="15.75" customHeight="1">
      <c r="A89" s="1550" t="s">
        <v>6192</v>
      </c>
      <c r="B89" s="1548" t="s">
        <v>8430</v>
      </c>
      <c r="C89" s="1505">
        <v>0.05324074074074074</v>
      </c>
      <c r="D89" s="1423" t="s">
        <v>10295</v>
      </c>
      <c r="E89" s="1423" t="s">
        <v>10296</v>
      </c>
      <c r="F89" s="1423" t="s">
        <v>10297</v>
      </c>
      <c r="G89" s="1423" t="s">
        <v>9189</v>
      </c>
      <c r="H89" s="1423" t="s">
        <v>10298</v>
      </c>
      <c r="I89" s="1423" t="s">
        <v>6005</v>
      </c>
      <c r="J89" s="1423" t="s">
        <v>1789</v>
      </c>
      <c r="K89" s="1423" t="s">
        <v>4321</v>
      </c>
      <c r="L89" s="1423" t="s">
        <v>10299</v>
      </c>
      <c r="M89" s="1423" t="s">
        <v>10300</v>
      </c>
      <c r="N89" s="1423" t="s">
        <v>10301</v>
      </c>
      <c r="O89" s="1423" t="s">
        <v>10302</v>
      </c>
      <c r="P89" s="1423" t="s">
        <v>10303</v>
      </c>
      <c r="Q89" s="1423" t="s">
        <v>10304</v>
      </c>
      <c r="R89" s="1423" t="s">
        <v>8445</v>
      </c>
      <c r="S89" s="1423" t="s">
        <v>10174</v>
      </c>
      <c r="T89" s="1423" t="s">
        <v>10305</v>
      </c>
      <c r="U89" s="1423" t="s">
        <v>10306</v>
      </c>
      <c r="V89" s="1423" t="s">
        <v>2724</v>
      </c>
      <c r="W89" s="1423" t="s">
        <v>10307</v>
      </c>
      <c r="X89" s="1423" t="s">
        <v>10308</v>
      </c>
      <c r="Y89" s="1423" t="s">
        <v>5560</v>
      </c>
      <c r="Z89" s="1423" t="s">
        <v>4062</v>
      </c>
      <c r="AA89" s="1583" t="s">
        <v>10309</v>
      </c>
      <c r="AB89" s="1423" t="s">
        <v>9578</v>
      </c>
      <c r="AC89" s="1423" t="s">
        <v>5482</v>
      </c>
      <c r="AD89" s="1423" t="s">
        <v>10310</v>
      </c>
      <c r="AE89" s="1423" t="s">
        <v>9387</v>
      </c>
      <c r="AF89" s="1423" t="s">
        <v>10311</v>
      </c>
      <c r="AG89" s="1423" t="s">
        <v>10114</v>
      </c>
      <c r="AH89" s="1423" t="s">
        <v>5597</v>
      </c>
      <c r="AI89" s="1423" t="s">
        <v>10312</v>
      </c>
      <c r="AJ89" s="1423" t="s">
        <v>10313</v>
      </c>
      <c r="AK89" s="1583" t="s">
        <v>10314</v>
      </c>
      <c r="AL89" s="1423" t="s">
        <v>9897</v>
      </c>
      <c r="AM89" s="1423" t="s">
        <v>10315</v>
      </c>
      <c r="AN89" s="1423" t="s">
        <v>9726</v>
      </c>
      <c r="AO89" s="1423" t="s">
        <v>4571</v>
      </c>
      <c r="AP89" s="1423" t="s">
        <v>10316</v>
      </c>
      <c r="AQ89" s="1423" t="s">
        <v>10317</v>
      </c>
      <c r="AR89" s="1583" t="s">
        <v>3693</v>
      </c>
      <c r="AS89" s="1423" t="s">
        <v>10318</v>
      </c>
      <c r="AT89" s="1423" t="s">
        <v>10319</v>
      </c>
      <c r="AU89" s="1583" t="s">
        <v>10230</v>
      </c>
      <c r="AV89" s="1680" t="str">
        <f t="shared" si="3"/>
        <v>3:53</v>
      </c>
      <c r="AW89" s="1681" t="s">
        <v>10320</v>
      </c>
    </row>
    <row r="90">
      <c r="A90" s="1550" t="s">
        <v>4701</v>
      </c>
      <c r="B90" s="1545" t="s">
        <v>8485</v>
      </c>
      <c r="C90" s="1505">
        <v>0.05331018518518518</v>
      </c>
      <c r="D90" s="1583" t="s">
        <v>10321</v>
      </c>
      <c r="E90" s="1583" t="s">
        <v>7776</v>
      </c>
      <c r="F90" s="1583" t="s">
        <v>10089</v>
      </c>
      <c r="G90" s="1583" t="s">
        <v>10322</v>
      </c>
      <c r="H90" s="1423" t="s">
        <v>10323</v>
      </c>
      <c r="I90" s="1583" t="s">
        <v>10324</v>
      </c>
      <c r="J90" s="1583" t="s">
        <v>9825</v>
      </c>
      <c r="K90" s="1583" t="s">
        <v>8656</v>
      </c>
      <c r="L90" s="1583" t="s">
        <v>4093</v>
      </c>
      <c r="M90" s="1583" t="s">
        <v>10325</v>
      </c>
      <c r="N90" s="1583" t="s">
        <v>9607</v>
      </c>
      <c r="O90" s="1583" t="s">
        <v>10326</v>
      </c>
      <c r="P90" s="1583" t="s">
        <v>6076</v>
      </c>
      <c r="Q90" s="1583" t="s">
        <v>10327</v>
      </c>
      <c r="R90" s="1583" t="s">
        <v>2142</v>
      </c>
      <c r="S90" s="1583" t="s">
        <v>7647</v>
      </c>
      <c r="T90" s="1583" t="s">
        <v>7218</v>
      </c>
      <c r="U90" s="1583" t="s">
        <v>10328</v>
      </c>
      <c r="V90" s="1583" t="s">
        <v>9805</v>
      </c>
      <c r="W90" s="1583" t="s">
        <v>10329</v>
      </c>
      <c r="X90" s="1583" t="s">
        <v>6856</v>
      </c>
      <c r="Y90" s="1583" t="s">
        <v>5413</v>
      </c>
      <c r="Z90" s="1583" t="s">
        <v>9609</v>
      </c>
      <c r="AA90" s="1583" t="s">
        <v>10330</v>
      </c>
      <c r="AB90" s="1583" t="s">
        <v>3482</v>
      </c>
      <c r="AC90" s="1583" t="s">
        <v>10331</v>
      </c>
      <c r="AD90" s="1583" t="s">
        <v>10332</v>
      </c>
      <c r="AE90" s="1583" t="s">
        <v>5622</v>
      </c>
      <c r="AF90" s="1583" t="s">
        <v>10333</v>
      </c>
      <c r="AG90" s="1583" t="s">
        <v>10334</v>
      </c>
      <c r="AH90" s="1583" t="s">
        <v>10335</v>
      </c>
      <c r="AI90" s="1583" t="s">
        <v>10336</v>
      </c>
      <c r="AJ90" s="1583" t="s">
        <v>10337</v>
      </c>
      <c r="AK90" s="1583" t="s">
        <v>2184</v>
      </c>
      <c r="AL90" s="1583" t="s">
        <v>2153</v>
      </c>
      <c r="AM90" s="1583" t="s">
        <v>10338</v>
      </c>
      <c r="AN90" s="1583" t="s">
        <v>10339</v>
      </c>
      <c r="AO90" s="1583" t="s">
        <v>10340</v>
      </c>
      <c r="AP90" s="1583" t="s">
        <v>2680</v>
      </c>
      <c r="AQ90" s="1583" t="s">
        <v>10341</v>
      </c>
      <c r="AR90" s="1583" t="s">
        <v>1674</v>
      </c>
      <c r="AS90" s="1583" t="s">
        <v>902</v>
      </c>
      <c r="AT90" s="1583" t="s">
        <v>10342</v>
      </c>
      <c r="AU90" s="1583" t="s">
        <v>10343</v>
      </c>
      <c r="AV90" s="1680" t="str">
        <f t="shared" si="3"/>
        <v>4:18</v>
      </c>
      <c r="AW90" s="1685"/>
    </row>
    <row r="91" ht="15.75" customHeight="1">
      <c r="A91" s="1587" t="s">
        <v>10344</v>
      </c>
      <c r="B91" s="1670" t="s">
        <v>8485</v>
      </c>
      <c r="C91" s="1505">
        <v>0.05348379629629629</v>
      </c>
      <c r="D91" s="1423" t="s">
        <v>10345</v>
      </c>
      <c r="E91" s="1680" t="s">
        <v>10125</v>
      </c>
      <c r="F91" s="1680" t="s">
        <v>6293</v>
      </c>
      <c r="G91" s="1680" t="s">
        <v>10346</v>
      </c>
      <c r="H91" s="1680" t="s">
        <v>10347</v>
      </c>
      <c r="I91" s="1680" t="s">
        <v>2343</v>
      </c>
      <c r="J91" s="1680" t="s">
        <v>8988</v>
      </c>
      <c r="K91" s="1680" t="s">
        <v>8497</v>
      </c>
      <c r="L91" s="1680" t="s">
        <v>4761</v>
      </c>
      <c r="M91" s="1680" t="s">
        <v>8906</v>
      </c>
      <c r="N91" s="1680" t="s">
        <v>10348</v>
      </c>
      <c r="O91" s="1680" t="s">
        <v>4363</v>
      </c>
      <c r="P91" s="1680" t="s">
        <v>853</v>
      </c>
      <c r="Q91" s="1583" t="s">
        <v>10349</v>
      </c>
      <c r="R91" s="1680" t="s">
        <v>9872</v>
      </c>
      <c r="S91" s="1680" t="s">
        <v>9221</v>
      </c>
      <c r="T91" s="1680" t="s">
        <v>10096</v>
      </c>
      <c r="U91" s="1680" t="s">
        <v>10350</v>
      </c>
      <c r="V91" s="1680" t="s">
        <v>3302</v>
      </c>
      <c r="W91" s="1680" t="s">
        <v>3205</v>
      </c>
      <c r="X91" s="1680" t="s">
        <v>3022</v>
      </c>
      <c r="Y91" s="1680" t="s">
        <v>114</v>
      </c>
      <c r="Z91" s="1680" t="s">
        <v>8841</v>
      </c>
      <c r="AA91" s="1583" t="s">
        <v>10351</v>
      </c>
      <c r="AB91" s="1680" t="s">
        <v>9617</v>
      </c>
      <c r="AC91" s="1680" t="s">
        <v>1155</v>
      </c>
      <c r="AD91" s="1680" t="s">
        <v>10352</v>
      </c>
      <c r="AE91" s="1680" t="s">
        <v>584</v>
      </c>
      <c r="AF91" s="1583" t="s">
        <v>10353</v>
      </c>
      <c r="AG91" s="1680" t="s">
        <v>5664</v>
      </c>
      <c r="AH91" s="1680" t="s">
        <v>9087</v>
      </c>
      <c r="AI91" s="1680" t="s">
        <v>2592</v>
      </c>
      <c r="AJ91" s="1680" t="s">
        <v>10354</v>
      </c>
      <c r="AK91" s="1680" t="s">
        <v>8878</v>
      </c>
      <c r="AL91" s="1680" t="s">
        <v>10355</v>
      </c>
      <c r="AM91" s="1680" t="s">
        <v>8639</v>
      </c>
      <c r="AN91" s="1680" t="s">
        <v>9897</v>
      </c>
      <c r="AO91" s="1680" t="s">
        <v>8831</v>
      </c>
      <c r="AP91" s="1680" t="s">
        <v>10356</v>
      </c>
      <c r="AQ91" s="1680" t="s">
        <v>4459</v>
      </c>
      <c r="AR91" s="1680" t="s">
        <v>154</v>
      </c>
      <c r="AS91" s="1680" t="s">
        <v>8671</v>
      </c>
      <c r="AT91" s="1680" t="s">
        <v>4662</v>
      </c>
      <c r="AU91" s="1680" t="s">
        <v>10357</v>
      </c>
      <c r="AV91" s="1680" t="str">
        <f t="shared" si="3"/>
        <v>3:27</v>
      </c>
      <c r="AW91" s="1681" t="s">
        <v>10358</v>
      </c>
    </row>
    <row r="92">
      <c r="A92" s="1550" t="s">
        <v>5320</v>
      </c>
      <c r="B92" s="1548" t="s">
        <v>8430</v>
      </c>
      <c r="C92" s="1505">
        <v>0.05376157407407407</v>
      </c>
      <c r="D92" s="1583" t="s">
        <v>10359</v>
      </c>
      <c r="E92" s="1583" t="s">
        <v>10360</v>
      </c>
      <c r="F92" s="1583" t="s">
        <v>10361</v>
      </c>
      <c r="G92" s="1583" t="s">
        <v>10362</v>
      </c>
      <c r="H92" s="1702" t="s">
        <v>10363</v>
      </c>
      <c r="I92" s="1423" t="s">
        <v>237</v>
      </c>
      <c r="J92" s="1583" t="s">
        <v>9489</v>
      </c>
      <c r="K92" s="1583" t="s">
        <v>10364</v>
      </c>
      <c r="L92" s="1583" t="s">
        <v>2512</v>
      </c>
      <c r="M92" s="1583" t="s">
        <v>1328</v>
      </c>
      <c r="N92" s="1583" t="s">
        <v>10365</v>
      </c>
      <c r="O92" s="1583" t="s">
        <v>10366</v>
      </c>
      <c r="P92" s="1583" t="s">
        <v>949</v>
      </c>
      <c r="Q92" s="1583" t="s">
        <v>4383</v>
      </c>
      <c r="R92" s="1583" t="s">
        <v>10367</v>
      </c>
      <c r="S92" s="1703" t="s">
        <v>10368</v>
      </c>
      <c r="T92" s="1703" t="s">
        <v>9051</v>
      </c>
      <c r="U92" s="1583" t="s">
        <v>10369</v>
      </c>
      <c r="V92" s="1583" t="s">
        <v>10370</v>
      </c>
      <c r="W92" s="1583" t="s">
        <v>7615</v>
      </c>
      <c r="X92" s="1583" t="s">
        <v>10371</v>
      </c>
      <c r="Y92" s="1583" t="s">
        <v>2117</v>
      </c>
      <c r="Z92" s="1583" t="s">
        <v>9617</v>
      </c>
      <c r="AA92" s="1583" t="s">
        <v>10372</v>
      </c>
      <c r="AB92" s="1583" t="s">
        <v>10373</v>
      </c>
      <c r="AC92" s="1583" t="s">
        <v>7569</v>
      </c>
      <c r="AD92" s="1583" t="s">
        <v>5851</v>
      </c>
      <c r="AE92" s="1583" t="s">
        <v>2386</v>
      </c>
      <c r="AF92" s="1583" t="s">
        <v>7652</v>
      </c>
      <c r="AG92" s="1583" t="s">
        <v>10374</v>
      </c>
      <c r="AH92" s="1583" t="s">
        <v>9048</v>
      </c>
      <c r="AI92" s="1583" t="s">
        <v>7450</v>
      </c>
      <c r="AJ92" s="1583" t="s">
        <v>10375</v>
      </c>
      <c r="AK92" s="1583" t="s">
        <v>4752</v>
      </c>
      <c r="AL92" s="1583" t="s">
        <v>10376</v>
      </c>
      <c r="AM92" s="1583" t="s">
        <v>4764</v>
      </c>
      <c r="AN92" s="1583" t="s">
        <v>10377</v>
      </c>
      <c r="AO92" s="1583" t="s">
        <v>8444</v>
      </c>
      <c r="AP92" s="1583" t="s">
        <v>10378</v>
      </c>
      <c r="AQ92" s="1583" t="s">
        <v>10379</v>
      </c>
      <c r="AR92" s="1583" t="s">
        <v>5108</v>
      </c>
      <c r="AS92" s="1583" t="s">
        <v>8619</v>
      </c>
      <c r="AT92" s="1583" t="s">
        <v>10380</v>
      </c>
      <c r="AU92" s="1583" t="s">
        <v>10381</v>
      </c>
      <c r="AV92" s="1680" t="str">
        <f t="shared" si="3"/>
        <v>4:58</v>
      </c>
      <c r="AW92" s="1704"/>
    </row>
    <row r="93" ht="15.75" customHeight="1">
      <c r="A93" s="1587" t="s">
        <v>6341</v>
      </c>
      <c r="B93" s="1670" t="s">
        <v>8485</v>
      </c>
      <c r="C93" s="1646">
        <v>0.05386574074074074</v>
      </c>
      <c r="D93" s="1680" t="s">
        <v>10382</v>
      </c>
      <c r="E93" s="1680" t="s">
        <v>7197</v>
      </c>
      <c r="F93" s="1680" t="s">
        <v>10383</v>
      </c>
      <c r="G93" s="1680" t="s">
        <v>4328</v>
      </c>
      <c r="H93" s="1680" t="s">
        <v>10384</v>
      </c>
      <c r="I93" s="1680" t="s">
        <v>10324</v>
      </c>
      <c r="J93" s="1680" t="s">
        <v>10385</v>
      </c>
      <c r="K93" s="1680" t="s">
        <v>10386</v>
      </c>
      <c r="L93" s="1680" t="s">
        <v>1435</v>
      </c>
      <c r="M93" s="1680" t="s">
        <v>4508</v>
      </c>
      <c r="N93" s="1680" t="s">
        <v>7355</v>
      </c>
      <c r="O93" s="1680" t="s">
        <v>10387</v>
      </c>
      <c r="P93" s="1680" t="s">
        <v>6076</v>
      </c>
      <c r="Q93" s="1680" t="s">
        <v>10388</v>
      </c>
      <c r="R93" s="1680" t="s">
        <v>10389</v>
      </c>
      <c r="S93" s="1680" t="s">
        <v>10390</v>
      </c>
      <c r="T93" s="1680" t="s">
        <v>9599</v>
      </c>
      <c r="U93" s="1680" t="s">
        <v>10391</v>
      </c>
      <c r="V93" s="1680" t="s">
        <v>10392</v>
      </c>
      <c r="W93" s="1680" t="s">
        <v>10393</v>
      </c>
      <c r="X93" s="1680" t="s">
        <v>1400</v>
      </c>
      <c r="Y93" s="1680" t="s">
        <v>1808</v>
      </c>
      <c r="Z93" s="1680" t="s">
        <v>9063</v>
      </c>
      <c r="AA93" s="1423" t="s">
        <v>10394</v>
      </c>
      <c r="AB93" s="1680" t="s">
        <v>10395</v>
      </c>
      <c r="AC93" s="1680" t="s">
        <v>6939</v>
      </c>
      <c r="AD93" s="1680" t="s">
        <v>10396</v>
      </c>
      <c r="AE93" s="1680" t="s">
        <v>10397</v>
      </c>
      <c r="AF93" s="1680" t="s">
        <v>9943</v>
      </c>
      <c r="AG93" s="1680" t="s">
        <v>10398</v>
      </c>
      <c r="AH93" s="1680" t="s">
        <v>10399</v>
      </c>
      <c r="AI93" s="1680" t="s">
        <v>3553</v>
      </c>
      <c r="AJ93" s="1680" t="s">
        <v>10400</v>
      </c>
      <c r="AK93" s="1680" t="s">
        <v>3100</v>
      </c>
      <c r="AL93" s="1680" t="s">
        <v>4565</v>
      </c>
      <c r="AM93" s="1680" t="s">
        <v>9587</v>
      </c>
      <c r="AN93" s="1680" t="s">
        <v>9126</v>
      </c>
      <c r="AO93" s="1583" t="s">
        <v>9303</v>
      </c>
      <c r="AP93" s="1680" t="s">
        <v>10401</v>
      </c>
      <c r="AQ93" s="1680" t="s">
        <v>10402</v>
      </c>
      <c r="AR93" s="1680" t="s">
        <v>10403</v>
      </c>
      <c r="AS93" s="1680" t="s">
        <v>8848</v>
      </c>
      <c r="AT93" s="1680" t="s">
        <v>10404</v>
      </c>
      <c r="AU93" s="1680" t="s">
        <v>10343</v>
      </c>
      <c r="AV93" s="1680" t="str">
        <f t="shared" si="3"/>
        <v>3:30</v>
      </c>
      <c r="AW93" s="1685"/>
    </row>
    <row r="94">
      <c r="A94" s="1550" t="s">
        <v>5189</v>
      </c>
      <c r="B94" s="1548" t="s">
        <v>8485</v>
      </c>
      <c r="C94" s="1505">
        <v>0.05482638888888889</v>
      </c>
      <c r="D94" s="1656" t="s">
        <v>10405</v>
      </c>
      <c r="E94" s="1583" t="s">
        <v>9214</v>
      </c>
      <c r="F94" s="1583" t="s">
        <v>10406</v>
      </c>
      <c r="G94" s="1583" t="s">
        <v>10407</v>
      </c>
      <c r="H94" s="1583" t="s">
        <v>10408</v>
      </c>
      <c r="I94" s="1583" t="s">
        <v>10409</v>
      </c>
      <c r="J94" s="1583" t="s">
        <v>10410</v>
      </c>
      <c r="K94" s="1583" t="s">
        <v>9621</v>
      </c>
      <c r="L94" s="1583" t="s">
        <v>10411</v>
      </c>
      <c r="M94" s="1583" t="s">
        <v>1672</v>
      </c>
      <c r="N94" s="1583" t="s">
        <v>6252</v>
      </c>
      <c r="O94" s="1583" t="s">
        <v>10412</v>
      </c>
      <c r="P94" s="1583" t="s">
        <v>6337</v>
      </c>
      <c r="Q94" s="1583" t="s">
        <v>10413</v>
      </c>
      <c r="R94" s="1583" t="s">
        <v>8846</v>
      </c>
      <c r="S94" s="1583" t="s">
        <v>10414</v>
      </c>
      <c r="T94" s="1583" t="s">
        <v>10330</v>
      </c>
      <c r="U94" s="1583" t="s">
        <v>10415</v>
      </c>
      <c r="V94" s="1583" t="s">
        <v>928</v>
      </c>
      <c r="W94" s="1583" t="s">
        <v>10416</v>
      </c>
      <c r="X94" s="1583" t="s">
        <v>10417</v>
      </c>
      <c r="Y94" s="1583" t="s">
        <v>1763</v>
      </c>
      <c r="Z94" s="1583" t="s">
        <v>9639</v>
      </c>
      <c r="AA94" s="1583" t="s">
        <v>2415</v>
      </c>
      <c r="AB94" s="1583" t="s">
        <v>5291</v>
      </c>
      <c r="AC94" s="1583" t="s">
        <v>10418</v>
      </c>
      <c r="AD94" s="1583" t="s">
        <v>10419</v>
      </c>
      <c r="AE94" s="1583" t="s">
        <v>1539</v>
      </c>
      <c r="AF94" s="1583" t="s">
        <v>10420</v>
      </c>
      <c r="AG94" s="1583" t="s">
        <v>10421</v>
      </c>
      <c r="AH94" s="1583" t="s">
        <v>10422</v>
      </c>
      <c r="AI94" s="1583" t="s">
        <v>10423</v>
      </c>
      <c r="AJ94" s="1583" t="s">
        <v>10424</v>
      </c>
      <c r="AK94" s="1583" t="s">
        <v>244</v>
      </c>
      <c r="AL94" s="1583" t="s">
        <v>7025</v>
      </c>
      <c r="AM94" s="1583" t="s">
        <v>4332</v>
      </c>
      <c r="AN94" s="1583" t="s">
        <v>10425</v>
      </c>
      <c r="AO94" s="1583" t="s">
        <v>1789</v>
      </c>
      <c r="AP94" s="1583" t="s">
        <v>971</v>
      </c>
      <c r="AQ94" s="1583" t="s">
        <v>10426</v>
      </c>
      <c r="AR94" s="1583" t="s">
        <v>10427</v>
      </c>
      <c r="AS94" s="1583" t="s">
        <v>2179</v>
      </c>
      <c r="AT94" s="1583" t="s">
        <v>10428</v>
      </c>
      <c r="AU94" s="1583" t="s">
        <v>10429</v>
      </c>
      <c r="AV94" s="1680" t="str">
        <f t="shared" si="3"/>
        <v>3:40</v>
      </c>
      <c r="AW94" s="1681" t="s">
        <v>10430</v>
      </c>
    </row>
    <row r="95">
      <c r="A95" s="1550" t="s">
        <v>5370</v>
      </c>
      <c r="B95" s="1548" t="s">
        <v>8430</v>
      </c>
      <c r="C95" s="1505">
        <v>0.05482638888888889</v>
      </c>
      <c r="D95" s="1527" t="s">
        <v>10431</v>
      </c>
      <c r="E95" s="1527" t="s">
        <v>9062</v>
      </c>
      <c r="F95" s="1527" t="s">
        <v>10432</v>
      </c>
      <c r="G95" s="1527" t="s">
        <v>10433</v>
      </c>
      <c r="H95" s="1527" t="s">
        <v>10434</v>
      </c>
      <c r="I95" s="1527">
        <v>50.26</v>
      </c>
      <c r="J95" s="1527" t="s">
        <v>10410</v>
      </c>
      <c r="K95" s="1527" t="s">
        <v>10435</v>
      </c>
      <c r="L95" s="1527" t="s">
        <v>10436</v>
      </c>
      <c r="M95" s="1527" t="s">
        <v>2208</v>
      </c>
      <c r="N95" s="1527" t="s">
        <v>10437</v>
      </c>
      <c r="O95" s="1527" t="s">
        <v>10438</v>
      </c>
      <c r="P95" s="1527">
        <v>49.15</v>
      </c>
      <c r="Q95" s="1527" t="s">
        <v>10439</v>
      </c>
      <c r="R95" s="1527" t="s">
        <v>3353</v>
      </c>
      <c r="S95" s="1527" t="s">
        <v>10440</v>
      </c>
      <c r="T95" s="1527" t="s">
        <v>4985</v>
      </c>
      <c r="U95" s="1527" t="s">
        <v>10441</v>
      </c>
      <c r="V95" s="1527" t="s">
        <v>10442</v>
      </c>
      <c r="W95" s="1527" t="s">
        <v>10443</v>
      </c>
      <c r="X95" s="1527" t="s">
        <v>10444</v>
      </c>
      <c r="Y95" s="1527">
        <v>51.87</v>
      </c>
      <c r="Z95" s="1527" t="s">
        <v>6075</v>
      </c>
      <c r="AA95" s="1527" t="s">
        <v>6305</v>
      </c>
      <c r="AB95" s="1527" t="s">
        <v>1915</v>
      </c>
      <c r="AC95" s="1527">
        <v>49.75</v>
      </c>
      <c r="AD95" s="1527" t="s">
        <v>10445</v>
      </c>
      <c r="AE95" s="1527">
        <v>50.16</v>
      </c>
      <c r="AF95" s="1527" t="s">
        <v>10446</v>
      </c>
      <c r="AG95" s="1527" t="s">
        <v>10447</v>
      </c>
      <c r="AH95" s="1527" t="s">
        <v>6161</v>
      </c>
      <c r="AI95" s="1527" t="s">
        <v>1930</v>
      </c>
      <c r="AJ95" s="1527" t="s">
        <v>10448</v>
      </c>
      <c r="AK95" s="1527" t="s">
        <v>10365</v>
      </c>
      <c r="AL95" s="1527">
        <v>59.29</v>
      </c>
      <c r="AM95" s="1527" t="s">
        <v>4459</v>
      </c>
      <c r="AN95" s="1527" t="s">
        <v>622</v>
      </c>
      <c r="AO95" s="1527" t="s">
        <v>8907</v>
      </c>
      <c r="AP95" s="1527" t="s">
        <v>10449</v>
      </c>
      <c r="AQ95" s="1527" t="s">
        <v>10450</v>
      </c>
      <c r="AR95" s="1527" t="s">
        <v>7259</v>
      </c>
      <c r="AS95" s="1527">
        <v>47.7</v>
      </c>
      <c r="AT95" s="1527" t="s">
        <v>10451</v>
      </c>
      <c r="AU95" s="1534" t="s">
        <v>10452</v>
      </c>
      <c r="AV95" s="1680" t="str">
        <f t="shared" si="3"/>
        <v>5:51</v>
      </c>
      <c r="AW95" s="1688" t="s">
        <v>10453</v>
      </c>
    </row>
    <row r="96">
      <c r="A96" s="1550" t="s">
        <v>5442</v>
      </c>
      <c r="B96" s="1545" t="s">
        <v>8430</v>
      </c>
      <c r="C96" s="1505">
        <v>0.05559027777777778</v>
      </c>
      <c r="D96" s="1656" t="s">
        <v>10454</v>
      </c>
      <c r="E96" s="1583" t="s">
        <v>10455</v>
      </c>
      <c r="F96" s="1583" t="s">
        <v>10456</v>
      </c>
      <c r="G96" s="1583" t="s">
        <v>8101</v>
      </c>
      <c r="H96" s="1583" t="s">
        <v>5740</v>
      </c>
      <c r="I96" s="1583" t="s">
        <v>1917</v>
      </c>
      <c r="J96" s="1583" t="s">
        <v>10457</v>
      </c>
      <c r="K96" s="1583" t="s">
        <v>6079</v>
      </c>
      <c r="L96" s="1583" t="s">
        <v>8246</v>
      </c>
      <c r="M96" s="1583" t="s">
        <v>7264</v>
      </c>
      <c r="N96" s="1583" t="s">
        <v>10458</v>
      </c>
      <c r="O96" s="1583" t="s">
        <v>10459</v>
      </c>
      <c r="P96" s="1583" t="s">
        <v>291</v>
      </c>
      <c r="Q96" s="1583" t="s">
        <v>1754</v>
      </c>
      <c r="R96" s="1583" t="s">
        <v>10460</v>
      </c>
      <c r="S96" s="1583" t="s">
        <v>5180</v>
      </c>
      <c r="T96" s="1583" t="s">
        <v>10461</v>
      </c>
      <c r="U96" s="1583" t="s">
        <v>10462</v>
      </c>
      <c r="V96" s="1583" t="s">
        <v>6335</v>
      </c>
      <c r="W96" s="1583" t="s">
        <v>9195</v>
      </c>
      <c r="X96" s="1583" t="s">
        <v>10463</v>
      </c>
      <c r="Y96" s="1583" t="s">
        <v>99</v>
      </c>
      <c r="Z96" s="1583" t="s">
        <v>10464</v>
      </c>
      <c r="AA96" s="1583" t="s">
        <v>10223</v>
      </c>
      <c r="AB96" s="1583" t="s">
        <v>3505</v>
      </c>
      <c r="AC96" s="1583" t="s">
        <v>4675</v>
      </c>
      <c r="AD96" s="1583" t="s">
        <v>9460</v>
      </c>
      <c r="AE96" s="1583" t="s">
        <v>946</v>
      </c>
      <c r="AF96" s="1583" t="s">
        <v>10465</v>
      </c>
      <c r="AG96" s="1583" t="s">
        <v>10466</v>
      </c>
      <c r="AH96" s="1583" t="s">
        <v>8135</v>
      </c>
      <c r="AI96" s="1583" t="s">
        <v>10467</v>
      </c>
      <c r="AJ96" s="1583" t="s">
        <v>10468</v>
      </c>
      <c r="AK96" s="1583" t="s">
        <v>4502</v>
      </c>
      <c r="AL96" s="1583" t="s">
        <v>125</v>
      </c>
      <c r="AM96" s="1583" t="s">
        <v>10469</v>
      </c>
      <c r="AN96" s="1583" t="s">
        <v>10470</v>
      </c>
      <c r="AO96" s="1583" t="s">
        <v>1040</v>
      </c>
      <c r="AP96" s="1583" t="s">
        <v>10471</v>
      </c>
      <c r="AQ96" s="1583" t="s">
        <v>10472</v>
      </c>
      <c r="AR96" s="1583" t="s">
        <v>10473</v>
      </c>
      <c r="AS96" s="1583" t="s">
        <v>916</v>
      </c>
      <c r="AT96" s="1583" t="s">
        <v>10474</v>
      </c>
      <c r="AU96" s="1583" t="s">
        <v>10475</v>
      </c>
      <c r="AV96" s="1680" t="str">
        <f t="shared" si="3"/>
        <v>5:05</v>
      </c>
      <c r="AW96" s="1681" t="s">
        <v>10476</v>
      </c>
    </row>
    <row r="97">
      <c r="A97" s="1550" t="s">
        <v>4859</v>
      </c>
      <c r="B97" s="1545" t="s">
        <v>8460</v>
      </c>
      <c r="C97" s="1585">
        <v>0.05565972222222222</v>
      </c>
      <c r="D97" s="1583" t="s">
        <v>10477</v>
      </c>
      <c r="E97" s="1583" t="s">
        <v>3283</v>
      </c>
      <c r="F97" s="1583" t="s">
        <v>10478</v>
      </c>
      <c r="G97" s="1583" t="s">
        <v>10479</v>
      </c>
      <c r="H97" s="1423" t="s">
        <v>8952</v>
      </c>
      <c r="I97" s="1583" t="s">
        <v>3501</v>
      </c>
      <c r="J97" s="1583" t="s">
        <v>9204</v>
      </c>
      <c r="K97" s="1583" t="s">
        <v>805</v>
      </c>
      <c r="L97" s="1583" t="s">
        <v>10480</v>
      </c>
      <c r="M97" s="1583" t="s">
        <v>10481</v>
      </c>
      <c r="N97" s="1583" t="s">
        <v>6191</v>
      </c>
      <c r="O97" s="1583" t="s">
        <v>10482</v>
      </c>
      <c r="P97" s="1583" t="s">
        <v>9877</v>
      </c>
      <c r="Q97" s="1583" t="s">
        <v>10483</v>
      </c>
      <c r="R97" s="1583" t="s">
        <v>9641</v>
      </c>
      <c r="S97" s="1583" t="s">
        <v>419</v>
      </c>
      <c r="T97" s="1583" t="s">
        <v>10484</v>
      </c>
      <c r="U97" s="1583" t="s">
        <v>10485</v>
      </c>
      <c r="V97" s="1583" t="s">
        <v>10486</v>
      </c>
      <c r="W97" s="1583" t="s">
        <v>10487</v>
      </c>
      <c r="X97" s="1583" t="s">
        <v>10488</v>
      </c>
      <c r="Y97" s="1583" t="s">
        <v>2386</v>
      </c>
      <c r="Z97" s="1583" t="s">
        <v>5254</v>
      </c>
      <c r="AA97" s="1583" t="s">
        <v>9810</v>
      </c>
      <c r="AB97" s="1583" t="s">
        <v>10168</v>
      </c>
      <c r="AC97" s="1583" t="s">
        <v>9646</v>
      </c>
      <c r="AD97" s="1583" t="s">
        <v>10489</v>
      </c>
      <c r="AE97" s="1583" t="s">
        <v>10490</v>
      </c>
      <c r="AF97" s="1583" t="s">
        <v>10491</v>
      </c>
      <c r="AG97" s="1583" t="s">
        <v>10492</v>
      </c>
      <c r="AH97" s="1583" t="s">
        <v>10493</v>
      </c>
      <c r="AI97" s="1583" t="s">
        <v>10494</v>
      </c>
      <c r="AJ97" s="1583" t="s">
        <v>10495</v>
      </c>
      <c r="AK97" s="1583" t="s">
        <v>7218</v>
      </c>
      <c r="AL97" s="1583" t="s">
        <v>3719</v>
      </c>
      <c r="AM97" s="1583" t="s">
        <v>4764</v>
      </c>
      <c r="AN97" s="1583" t="s">
        <v>10496</v>
      </c>
      <c r="AO97" s="1583" t="s">
        <v>1981</v>
      </c>
      <c r="AP97" s="1583" t="s">
        <v>10497</v>
      </c>
      <c r="AQ97" s="1583" t="s">
        <v>10498</v>
      </c>
      <c r="AR97" s="1583" t="s">
        <v>10499</v>
      </c>
      <c r="AS97" s="1583" t="s">
        <v>2236</v>
      </c>
      <c r="AT97" s="1583" t="s">
        <v>10500</v>
      </c>
      <c r="AU97" s="1583" t="s">
        <v>10501</v>
      </c>
      <c r="AV97" s="1680" t="str">
        <f t="shared" si="3"/>
        <v>8:24</v>
      </c>
      <c r="AW97" s="1681" t="s">
        <v>9502</v>
      </c>
    </row>
    <row r="98">
      <c r="A98" s="1587" t="s">
        <v>10502</v>
      </c>
      <c r="B98" s="1563" t="s">
        <v>8460</v>
      </c>
      <c r="C98" s="1646">
        <v>0.057881944444444444</v>
      </c>
      <c r="D98" s="1583" t="s">
        <v>10503</v>
      </c>
      <c r="E98" s="1680" t="s">
        <v>10504</v>
      </c>
      <c r="F98" s="1583" t="s">
        <v>10505</v>
      </c>
      <c r="G98" s="1583" t="s">
        <v>10506</v>
      </c>
      <c r="H98" s="1680" t="s">
        <v>10507</v>
      </c>
      <c r="I98" s="1680" t="s">
        <v>1028</v>
      </c>
      <c r="J98" s="1680" t="s">
        <v>10508</v>
      </c>
      <c r="K98" s="1680" t="s">
        <v>3611</v>
      </c>
      <c r="L98" s="1680" t="s">
        <v>10509</v>
      </c>
      <c r="M98" s="1680" t="s">
        <v>6694</v>
      </c>
      <c r="N98" s="1680" t="s">
        <v>10510</v>
      </c>
      <c r="O98" s="1680" t="s">
        <v>10511</v>
      </c>
      <c r="P98" s="1680" t="s">
        <v>2358</v>
      </c>
      <c r="Q98" s="1680" t="s">
        <v>10512</v>
      </c>
      <c r="R98" s="1680" t="s">
        <v>10513</v>
      </c>
      <c r="S98" s="1680" t="s">
        <v>10514</v>
      </c>
      <c r="T98" s="1680" t="s">
        <v>1761</v>
      </c>
      <c r="U98" s="1680" t="s">
        <v>10515</v>
      </c>
      <c r="V98" s="1680" t="s">
        <v>10516</v>
      </c>
      <c r="W98" s="1680" t="s">
        <v>10517</v>
      </c>
      <c r="X98" s="1680" t="s">
        <v>10518</v>
      </c>
      <c r="Y98" s="1680" t="s">
        <v>2804</v>
      </c>
      <c r="Z98" s="1680" t="s">
        <v>10519</v>
      </c>
      <c r="AA98" s="1583" t="s">
        <v>10520</v>
      </c>
      <c r="AB98" s="1680" t="s">
        <v>8988</v>
      </c>
      <c r="AC98" s="1680" t="s">
        <v>3418</v>
      </c>
      <c r="AD98" s="1680" t="s">
        <v>5221</v>
      </c>
      <c r="AE98" s="1680" t="s">
        <v>2569</v>
      </c>
      <c r="AF98" s="1680" t="s">
        <v>10521</v>
      </c>
      <c r="AG98" s="1680" t="s">
        <v>5667</v>
      </c>
      <c r="AH98" s="1680" t="s">
        <v>10522</v>
      </c>
      <c r="AI98" s="1680" t="s">
        <v>4785</v>
      </c>
      <c r="AJ98" s="1680" t="s">
        <v>10523</v>
      </c>
      <c r="AK98" s="1680" t="s">
        <v>10524</v>
      </c>
      <c r="AL98" s="1680" t="s">
        <v>3909</v>
      </c>
      <c r="AM98" s="1680" t="s">
        <v>4794</v>
      </c>
      <c r="AN98" s="1680" t="s">
        <v>10525</v>
      </c>
      <c r="AO98" s="1680" t="s">
        <v>9878</v>
      </c>
      <c r="AP98" s="1680" t="s">
        <v>10526</v>
      </c>
      <c r="AQ98" s="1680" t="s">
        <v>7236</v>
      </c>
      <c r="AR98" s="1680" t="s">
        <v>10527</v>
      </c>
      <c r="AS98" s="1680" t="s">
        <v>617</v>
      </c>
      <c r="AT98" s="1680" t="s">
        <v>10528</v>
      </c>
      <c r="AU98" s="1680" t="s">
        <v>10529</v>
      </c>
      <c r="AV98" s="1680" t="str">
        <f t="shared" si="3"/>
        <v>2:11</v>
      </c>
      <c r="AW98" s="1685" t="s">
        <v>10530</v>
      </c>
    </row>
    <row r="99" ht="15.75" customHeight="1">
      <c r="A99" s="1550" t="s">
        <v>6146</v>
      </c>
      <c r="B99" s="1563" t="s">
        <v>8460</v>
      </c>
      <c r="C99" s="1505">
        <v>0.06635416666666667</v>
      </c>
      <c r="D99" s="1423" t="s">
        <v>10531</v>
      </c>
      <c r="E99" s="1423" t="s">
        <v>8303</v>
      </c>
      <c r="F99" s="1423" t="s">
        <v>10532</v>
      </c>
      <c r="G99" s="1423" t="s">
        <v>10533</v>
      </c>
      <c r="H99" s="1423" t="s">
        <v>10534</v>
      </c>
      <c r="I99" s="1423" t="s">
        <v>3427</v>
      </c>
      <c r="J99" s="1423" t="s">
        <v>10535</v>
      </c>
      <c r="K99" s="1423" t="s">
        <v>3879</v>
      </c>
      <c r="L99" s="1423" t="s">
        <v>7265</v>
      </c>
      <c r="M99" s="1423" t="s">
        <v>863</v>
      </c>
      <c r="N99" s="1423" t="s">
        <v>10536</v>
      </c>
      <c r="O99" s="1423" t="s">
        <v>10537</v>
      </c>
      <c r="P99" s="1423" t="s">
        <v>5136</v>
      </c>
      <c r="Q99" s="1423" t="s">
        <v>10538</v>
      </c>
      <c r="R99" s="1423" t="s">
        <v>4517</v>
      </c>
      <c r="S99" s="1423" t="s">
        <v>10539</v>
      </c>
      <c r="T99" s="1423" t="s">
        <v>10416</v>
      </c>
      <c r="U99" s="1423" t="s">
        <v>10540</v>
      </c>
      <c r="V99" s="1423" t="s">
        <v>7776</v>
      </c>
      <c r="W99" s="1423" t="s">
        <v>10541</v>
      </c>
      <c r="X99" s="1423" t="s">
        <v>10542</v>
      </c>
      <c r="Y99" s="1423" t="s">
        <v>756</v>
      </c>
      <c r="Z99" s="1423" t="s">
        <v>10543</v>
      </c>
      <c r="AA99" s="1680"/>
      <c r="AB99" s="1423" t="s">
        <v>10544</v>
      </c>
      <c r="AC99" s="1423" t="s">
        <v>882</v>
      </c>
      <c r="AD99" s="1423" t="s">
        <v>10545</v>
      </c>
      <c r="AE99" s="1423" t="s">
        <v>10546</v>
      </c>
      <c r="AF99" s="1423" t="s">
        <v>10547</v>
      </c>
      <c r="AG99" s="1423" t="s">
        <v>10548</v>
      </c>
      <c r="AH99" s="1423" t="s">
        <v>4104</v>
      </c>
      <c r="AI99" s="1423" t="s">
        <v>10549</v>
      </c>
      <c r="AJ99" s="1423" t="s">
        <v>10550</v>
      </c>
      <c r="AK99" s="1423" t="s">
        <v>10551</v>
      </c>
      <c r="AL99" s="1423" t="s">
        <v>10552</v>
      </c>
      <c r="AM99" s="1423" t="s">
        <v>10553</v>
      </c>
      <c r="AN99" s="1423" t="s">
        <v>9067</v>
      </c>
      <c r="AO99" s="1423" t="s">
        <v>2322</v>
      </c>
      <c r="AP99" s="1423" t="s">
        <v>10554</v>
      </c>
      <c r="AQ99" s="1423" t="s">
        <v>129</v>
      </c>
      <c r="AR99" s="1423" t="s">
        <v>10555</v>
      </c>
      <c r="AS99" s="1423" t="s">
        <v>4011</v>
      </c>
      <c r="AT99" s="1423" t="s">
        <v>10556</v>
      </c>
      <c r="AU99" s="1566" t="s">
        <v>10557</v>
      </c>
      <c r="AV99" s="1680" t="str">
        <f t="shared" si="3"/>
        <v>9:53</v>
      </c>
      <c r="AW99" s="1688" t="s">
        <v>10558</v>
      </c>
    </row>
    <row r="100">
      <c r="A100" s="1550" t="s">
        <v>4628</v>
      </c>
      <c r="B100" s="1548" t="s">
        <v>8460</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6379</v>
      </c>
      <c r="B101" s="1545" t="s">
        <v>8460</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8392</v>
      </c>
      <c r="C1" s="1436" t="s">
        <v>8393</v>
      </c>
      <c r="D1" s="1735" t="s">
        <v>10559</v>
      </c>
      <c r="E1" s="1736" t="s">
        <v>6613</v>
      </c>
      <c r="F1" s="1737" t="s">
        <v>6905</v>
      </c>
      <c r="G1" s="1738" t="s">
        <v>38</v>
      </c>
      <c r="H1" s="1739" t="s">
        <v>36</v>
      </c>
      <c r="I1" s="1735" t="s">
        <v>10560</v>
      </c>
      <c r="J1" s="1740" t="s">
        <v>39</v>
      </c>
      <c r="K1" s="1741" t="s">
        <v>6845</v>
      </c>
      <c r="L1" s="1444" t="s">
        <v>8425</v>
      </c>
      <c r="M1" s="1742" t="s">
        <v>8426</v>
      </c>
      <c r="N1" s="1743" t="s">
        <v>8427</v>
      </c>
      <c r="O1" s="1434" t="s">
        <v>8428</v>
      </c>
    </row>
    <row r="2" ht="15.75" customHeight="1">
      <c r="A2" s="1447" t="s">
        <v>8429</v>
      </c>
      <c r="B2" s="1744" t="s">
        <v>8430</v>
      </c>
      <c r="C2" s="1745">
        <v>0.04982638888888889</v>
      </c>
      <c r="D2" s="1462" t="s">
        <v>10561</v>
      </c>
      <c r="E2" s="1746" t="s">
        <v>10562</v>
      </c>
      <c r="F2" s="1747" t="s">
        <v>10563</v>
      </c>
      <c r="G2" s="1748" t="s">
        <v>10564</v>
      </c>
      <c r="H2" s="1749" t="s">
        <v>10565</v>
      </c>
      <c r="I2" s="1750" t="s">
        <v>10566</v>
      </c>
      <c r="J2" s="1751" t="s">
        <v>10567</v>
      </c>
      <c r="K2" s="1752" t="s">
        <v>10568</v>
      </c>
      <c r="L2" s="1753" t="s">
        <v>8620</v>
      </c>
      <c r="M2" s="1745">
        <v>0.050590277777777776</v>
      </c>
      <c r="N2" s="1754" t="str">
        <f t="shared" ref="N2:N39" si="1">TEXT(M2-C2, "m:ss")</f>
        <v>1:06</v>
      </c>
      <c r="O2" s="1471"/>
    </row>
    <row r="3" ht="15.75" customHeight="1">
      <c r="A3" s="1472" t="s">
        <v>8459</v>
      </c>
      <c r="B3" s="1755" t="s">
        <v>8460</v>
      </c>
      <c r="C3" s="1756">
        <v>0.051458333333333335</v>
      </c>
      <c r="D3" s="1475" t="s">
        <v>10569</v>
      </c>
      <c r="E3" s="1757" t="s">
        <v>5796</v>
      </c>
      <c r="F3" s="1477" t="s">
        <v>10570</v>
      </c>
      <c r="G3" s="1478" t="s">
        <v>10571</v>
      </c>
      <c r="H3" s="1481" t="s">
        <v>10572</v>
      </c>
      <c r="I3" s="1475" t="s">
        <v>10573</v>
      </c>
      <c r="J3" s="1483" t="s">
        <v>10574</v>
      </c>
      <c r="K3" s="1485" t="s">
        <v>10575</v>
      </c>
      <c r="L3" s="1486" t="s">
        <v>9058</v>
      </c>
      <c r="M3" s="1756">
        <v>0.05236111111111111</v>
      </c>
      <c r="N3" s="1758" t="str">
        <f t="shared" si="1"/>
        <v>1:18</v>
      </c>
    </row>
    <row r="4" ht="15.75" customHeight="1">
      <c r="A4" s="1488" t="s">
        <v>8484</v>
      </c>
      <c r="B4" s="1759" t="s">
        <v>8485</v>
      </c>
      <c r="C4" s="1760">
        <f>C24</f>
        <v>0.05158564815</v>
      </c>
      <c r="D4" s="1491" t="s">
        <v>10576</v>
      </c>
      <c r="E4" s="1761" t="s">
        <v>10577</v>
      </c>
      <c r="F4" s="1493" t="s">
        <v>10578</v>
      </c>
      <c r="G4" s="1494" t="s">
        <v>10579</v>
      </c>
      <c r="H4" s="1495" t="s">
        <v>10580</v>
      </c>
      <c r="I4" s="1491" t="s">
        <v>10581</v>
      </c>
      <c r="J4" s="1497" t="s">
        <v>10582</v>
      </c>
      <c r="K4" s="1498" t="s">
        <v>10583</v>
      </c>
      <c r="L4" s="1500" t="s">
        <v>8516</v>
      </c>
      <c r="M4" s="1762">
        <f>M24</f>
        <v>0.0521412037</v>
      </c>
      <c r="N4" s="1762" t="str">
        <f t="shared" si="1"/>
        <v>0:48</v>
      </c>
    </row>
    <row r="5" ht="15.75" customHeight="1">
      <c r="A5" s="1689" t="s">
        <v>1061</v>
      </c>
      <c r="B5" s="1666" t="s">
        <v>8430</v>
      </c>
      <c r="C5" s="1763">
        <v>0.04997685185185185</v>
      </c>
      <c r="D5" s="1764" t="s">
        <v>10561</v>
      </c>
      <c r="E5" s="1528" t="s">
        <v>10584</v>
      </c>
      <c r="F5" s="1764" t="s">
        <v>10563</v>
      </c>
      <c r="G5" s="1764" t="s">
        <v>10564</v>
      </c>
      <c r="H5" s="1765" t="s">
        <v>10585</v>
      </c>
      <c r="I5" s="1525" t="s">
        <v>10586</v>
      </c>
      <c r="J5" s="1525" t="s">
        <v>10587</v>
      </c>
      <c r="K5" s="1764" t="s">
        <v>10568</v>
      </c>
      <c r="L5" s="1525" t="s">
        <v>2072</v>
      </c>
      <c r="M5" s="1565" t="s">
        <v>8458</v>
      </c>
      <c r="N5" s="1766" t="str">
        <f t="shared" si="1"/>
        <v>0:53</v>
      </c>
      <c r="O5" s="1525" t="s">
        <v>10588</v>
      </c>
    </row>
    <row r="6" ht="15.75" customHeight="1">
      <c r="A6" s="1767" t="s">
        <v>435</v>
      </c>
      <c r="B6" s="1504" t="s">
        <v>8430</v>
      </c>
      <c r="C6" s="1768">
        <v>0.04998842592592593</v>
      </c>
      <c r="D6" s="1525" t="s">
        <v>10589</v>
      </c>
      <c r="E6" s="1769" t="s">
        <v>10562</v>
      </c>
      <c r="F6" s="1525" t="s">
        <v>10590</v>
      </c>
      <c r="G6" s="1525" t="s">
        <v>10591</v>
      </c>
      <c r="H6" s="1565" t="s">
        <v>10565</v>
      </c>
      <c r="I6" s="1525" t="s">
        <v>10592</v>
      </c>
      <c r="J6" s="1565" t="s">
        <v>10567</v>
      </c>
      <c r="K6" s="1525" t="s">
        <v>10593</v>
      </c>
      <c r="L6" s="1525" t="s">
        <v>8553</v>
      </c>
      <c r="M6" s="1525" t="s">
        <v>8554</v>
      </c>
      <c r="N6" s="1770" t="str">
        <f t="shared" si="1"/>
        <v>1:18</v>
      </c>
      <c r="O6" s="1525" t="s">
        <v>10594</v>
      </c>
    </row>
    <row r="7" ht="15.75" customHeight="1">
      <c r="A7" s="1720" t="s">
        <v>1883</v>
      </c>
      <c r="B7" s="1504" t="s">
        <v>8430</v>
      </c>
      <c r="C7" s="1763">
        <v>0.050150462962962966</v>
      </c>
      <c r="D7" s="1525" t="s">
        <v>10595</v>
      </c>
      <c r="E7" s="1525" t="s">
        <v>10596</v>
      </c>
      <c r="F7" s="1525" t="s">
        <v>10597</v>
      </c>
      <c r="G7" s="1525" t="s">
        <v>10598</v>
      </c>
      <c r="H7" s="1525" t="s">
        <v>10599</v>
      </c>
      <c r="I7" s="1525" t="s">
        <v>10600</v>
      </c>
      <c r="J7" s="1525" t="s">
        <v>10601</v>
      </c>
      <c r="K7" s="1525" t="s">
        <v>10602</v>
      </c>
      <c r="L7" s="1525" t="s">
        <v>10603</v>
      </c>
      <c r="M7" s="1771">
        <v>0.05077546296296296</v>
      </c>
      <c r="N7" s="1770" t="str">
        <f t="shared" si="1"/>
        <v>0:54</v>
      </c>
      <c r="O7" s="1525" t="s">
        <v>10594</v>
      </c>
    </row>
    <row r="8" ht="15.75" customHeight="1">
      <c r="A8" s="1767" t="s">
        <v>6329</v>
      </c>
      <c r="B8" s="1589" t="s">
        <v>8430</v>
      </c>
      <c r="C8" s="1772">
        <v>0.05025462962962963</v>
      </c>
      <c r="D8" s="1711" t="s">
        <v>10604</v>
      </c>
      <c r="E8" s="1526" t="s">
        <v>10605</v>
      </c>
      <c r="F8" s="1525" t="s">
        <v>10606</v>
      </c>
      <c r="G8" s="1525" t="s">
        <v>10607</v>
      </c>
      <c r="H8" s="1525" t="s">
        <v>10608</v>
      </c>
      <c r="I8" s="1525" t="s">
        <v>10388</v>
      </c>
      <c r="J8" s="1525" t="s">
        <v>10609</v>
      </c>
      <c r="K8" s="1525" t="s">
        <v>10610</v>
      </c>
      <c r="L8" s="1525" t="s">
        <v>8641</v>
      </c>
      <c r="M8" s="1771" t="s">
        <v>8642</v>
      </c>
      <c r="N8" s="1770" t="str">
        <f t="shared" si="1"/>
        <v>0:36</v>
      </c>
      <c r="O8" s="1525"/>
    </row>
    <row r="9" ht="15.75" customHeight="1">
      <c r="A9" s="1720" t="s">
        <v>6391</v>
      </c>
      <c r="B9" s="1504" t="s">
        <v>8430</v>
      </c>
      <c r="C9" s="1772">
        <v>0.050416666666666665</v>
      </c>
      <c r="D9" s="1525" t="s">
        <v>10611</v>
      </c>
      <c r="E9" s="1526" t="s">
        <v>10612</v>
      </c>
      <c r="F9" s="1528" t="s">
        <v>10613</v>
      </c>
      <c r="G9" s="1528" t="s">
        <v>10614</v>
      </c>
      <c r="H9" s="1525" t="s">
        <v>10615</v>
      </c>
      <c r="I9" s="1565" t="s">
        <v>10566</v>
      </c>
      <c r="J9" s="1525" t="s">
        <v>10616</v>
      </c>
      <c r="K9" s="1525" t="s">
        <v>10617</v>
      </c>
      <c r="L9" s="1528" t="s">
        <v>10603</v>
      </c>
      <c r="M9" s="1771">
        <v>0.0512037037037037</v>
      </c>
      <c r="N9" s="1770" t="str">
        <f t="shared" si="1"/>
        <v>1:08</v>
      </c>
      <c r="O9" s="1525" t="s">
        <v>10594</v>
      </c>
    </row>
    <row r="10">
      <c r="A10" s="1773" t="s">
        <v>911</v>
      </c>
      <c r="B10" s="1774" t="s">
        <v>8430</v>
      </c>
      <c r="C10" s="1772">
        <v>0.05047453703703704</v>
      </c>
      <c r="D10" s="1635" t="s">
        <v>10618</v>
      </c>
      <c r="E10" s="1526" t="s">
        <v>10619</v>
      </c>
      <c r="F10" s="1765" t="s">
        <v>10620</v>
      </c>
      <c r="G10" s="1525" t="s">
        <v>10621</v>
      </c>
      <c r="H10" s="1525" t="s">
        <v>10622</v>
      </c>
      <c r="I10" s="1525" t="s">
        <v>10623</v>
      </c>
      <c r="J10" s="1525" t="s">
        <v>10624</v>
      </c>
      <c r="K10" s="1525" t="s">
        <v>10625</v>
      </c>
      <c r="L10" s="1525" t="s">
        <v>3573</v>
      </c>
      <c r="M10" s="1771">
        <v>0.051076388888888886</v>
      </c>
      <c r="N10" s="1770" t="str">
        <f t="shared" si="1"/>
        <v>0:52</v>
      </c>
      <c r="O10" s="1525" t="s">
        <v>10626</v>
      </c>
    </row>
    <row r="11" ht="15.75" customHeight="1">
      <c r="A11" s="1689" t="s">
        <v>1552</v>
      </c>
      <c r="B11" s="1448" t="s">
        <v>8430</v>
      </c>
      <c r="C11" s="1772">
        <v>0.05061342592592592</v>
      </c>
      <c r="D11" s="1775" t="s">
        <v>10627</v>
      </c>
      <c r="E11" s="1526" t="s">
        <v>10628</v>
      </c>
      <c r="F11" s="1776" t="s">
        <v>10629</v>
      </c>
      <c r="G11" s="1525" t="s">
        <v>10630</v>
      </c>
      <c r="H11" s="1776" t="s">
        <v>10631</v>
      </c>
      <c r="I11" s="1776" t="s">
        <v>10632</v>
      </c>
      <c r="J11" s="1525" t="s">
        <v>10633</v>
      </c>
      <c r="K11" s="1525" t="s">
        <v>10634</v>
      </c>
      <c r="L11" s="1525" t="s">
        <v>3511</v>
      </c>
      <c r="M11" s="1771">
        <v>0.05122685185185185</v>
      </c>
      <c r="N11" s="1770" t="str">
        <f t="shared" si="1"/>
        <v>0:53</v>
      </c>
      <c r="O11" s="1525" t="s">
        <v>10635</v>
      </c>
    </row>
    <row r="12" ht="15.75" customHeight="1">
      <c r="A12" s="1725" t="s">
        <v>2012</v>
      </c>
      <c r="B12" s="1504" t="s">
        <v>8430</v>
      </c>
      <c r="C12" s="1768">
        <v>0.05061342592592592</v>
      </c>
      <c r="D12" s="1635" t="s">
        <v>10636</v>
      </c>
      <c r="E12" s="1777" t="s">
        <v>10637</v>
      </c>
      <c r="F12" s="1525" t="s">
        <v>10638</v>
      </c>
      <c r="G12" s="1525" t="s">
        <v>10639</v>
      </c>
      <c r="H12" s="1525" t="s">
        <v>10640</v>
      </c>
      <c r="I12" s="1525" t="s">
        <v>10641</v>
      </c>
      <c r="J12" s="1525" t="s">
        <v>10642</v>
      </c>
      <c r="K12" s="1525" t="s">
        <v>10643</v>
      </c>
      <c r="L12" s="1525" t="s">
        <v>6301</v>
      </c>
      <c r="M12" s="1771">
        <v>0.05153935185185185</v>
      </c>
      <c r="N12" s="1770" t="str">
        <f t="shared" si="1"/>
        <v>1:20</v>
      </c>
      <c r="O12" s="1525" t="s">
        <v>10594</v>
      </c>
    </row>
    <row r="13" ht="15.75" customHeight="1">
      <c r="A13" s="1767" t="s">
        <v>330</v>
      </c>
      <c r="B13" s="1504" t="s">
        <v>8430</v>
      </c>
      <c r="C13" s="1768">
        <v>0.05068287037037037</v>
      </c>
      <c r="D13" s="1525" t="s">
        <v>10644</v>
      </c>
      <c r="E13" s="1777" t="s">
        <v>10645</v>
      </c>
      <c r="F13" s="1525" t="s">
        <v>10646</v>
      </c>
      <c r="G13" s="1525" t="s">
        <v>10647</v>
      </c>
      <c r="H13" s="1525" t="s">
        <v>10648</v>
      </c>
      <c r="I13" s="1525" t="s">
        <v>6262</v>
      </c>
      <c r="J13" s="1525" t="s">
        <v>10649</v>
      </c>
      <c r="K13" s="1525" t="s">
        <v>10650</v>
      </c>
      <c r="L13" s="1778" t="s">
        <v>8620</v>
      </c>
      <c r="M13" s="1771">
        <v>0.05164351851851852</v>
      </c>
      <c r="N13" s="1770" t="str">
        <f t="shared" si="1"/>
        <v>1:23</v>
      </c>
      <c r="O13" s="1525" t="s">
        <v>10594</v>
      </c>
    </row>
    <row r="14">
      <c r="A14" s="1779" t="s">
        <v>3071</v>
      </c>
      <c r="B14" s="1780" t="s">
        <v>8430</v>
      </c>
      <c r="C14" s="1768">
        <v>0.05074791666666666</v>
      </c>
      <c r="D14" s="1781" t="s">
        <v>10651</v>
      </c>
      <c r="E14" s="1782" t="s">
        <v>5002</v>
      </c>
      <c r="F14" s="1765" t="s">
        <v>10652</v>
      </c>
      <c r="G14" s="1765" t="s">
        <v>10653</v>
      </c>
      <c r="H14" s="1765" t="s">
        <v>10654</v>
      </c>
      <c r="I14" s="1765" t="s">
        <v>10655</v>
      </c>
      <c r="J14" s="1765" t="s">
        <v>10656</v>
      </c>
      <c r="K14" s="1765" t="s">
        <v>10657</v>
      </c>
      <c r="L14" s="1765" t="s">
        <v>1988</v>
      </c>
      <c r="M14" s="1771">
        <v>0.052210648148148145</v>
      </c>
      <c r="N14" s="1771" t="str">
        <f t="shared" si="1"/>
        <v>2:06</v>
      </c>
      <c r="O14" s="1525"/>
    </row>
    <row r="15" ht="15.75" customHeight="1">
      <c r="A15" s="1783" t="s">
        <v>2639</v>
      </c>
      <c r="B15" s="1504" t="s">
        <v>8430</v>
      </c>
      <c r="C15" s="1784">
        <v>0.05103009259259259</v>
      </c>
      <c r="D15" s="1525" t="s">
        <v>10658</v>
      </c>
      <c r="E15" s="1777" t="s">
        <v>10198</v>
      </c>
      <c r="F15" s="1525" t="s">
        <v>10659</v>
      </c>
      <c r="G15" s="1525" t="s">
        <v>10660</v>
      </c>
      <c r="H15" s="1765" t="s">
        <v>10661</v>
      </c>
      <c r="I15" s="1525" t="s">
        <v>10662</v>
      </c>
      <c r="J15" s="1525" t="s">
        <v>10663</v>
      </c>
      <c r="K15" s="1525" t="s">
        <v>10664</v>
      </c>
      <c r="L15" s="1525" t="s">
        <v>10665</v>
      </c>
      <c r="M15" s="1771">
        <v>0.051909722222222225</v>
      </c>
      <c r="N15" s="1770" t="str">
        <f t="shared" si="1"/>
        <v>1:16</v>
      </c>
      <c r="O15" s="1525" t="s">
        <v>10594</v>
      </c>
    </row>
    <row r="16" ht="15.75" customHeight="1">
      <c r="A16" s="1707" t="s">
        <v>2255</v>
      </c>
      <c r="B16" s="1589" t="s">
        <v>8430</v>
      </c>
      <c r="C16" s="1768">
        <v>0.051145833333333335</v>
      </c>
      <c r="D16" s="1635" t="s">
        <v>10666</v>
      </c>
      <c r="E16" s="1526" t="s">
        <v>10667</v>
      </c>
      <c r="F16" s="1525" t="s">
        <v>10668</v>
      </c>
      <c r="G16" s="1525" t="s">
        <v>10669</v>
      </c>
      <c r="H16" s="1525" t="s">
        <v>10670</v>
      </c>
      <c r="I16" s="1525" t="s">
        <v>10671</v>
      </c>
      <c r="J16" s="1525" t="s">
        <v>10672</v>
      </c>
      <c r="K16" s="1525" t="s">
        <v>10673</v>
      </c>
      <c r="L16" s="1525" t="s">
        <v>2959</v>
      </c>
      <c r="M16" s="1771">
        <v>0.05228009259259259</v>
      </c>
      <c r="N16" s="1770" t="str">
        <f t="shared" si="1"/>
        <v>1:38</v>
      </c>
      <c r="O16" s="1525" t="s">
        <v>10674</v>
      </c>
    </row>
    <row r="17" ht="15.75" customHeight="1">
      <c r="A17" s="1767" t="s">
        <v>1416</v>
      </c>
      <c r="B17" s="1504" t="s">
        <v>8430</v>
      </c>
      <c r="C17" s="1768">
        <v>0.05122685185185185</v>
      </c>
      <c r="D17" s="1525" t="s">
        <v>10675</v>
      </c>
      <c r="E17" s="1777" t="s">
        <v>8489</v>
      </c>
      <c r="F17" s="1525" t="s">
        <v>10676</v>
      </c>
      <c r="G17" s="1525" t="s">
        <v>10677</v>
      </c>
      <c r="H17" s="1525" t="s">
        <v>10564</v>
      </c>
      <c r="I17" s="1525" t="s">
        <v>8435</v>
      </c>
      <c r="J17" s="1525" t="s">
        <v>10678</v>
      </c>
      <c r="K17" s="1525" t="s">
        <v>10679</v>
      </c>
      <c r="L17" s="1525" t="s">
        <v>10680</v>
      </c>
      <c r="M17" s="1771">
        <v>0.052037037037037034</v>
      </c>
      <c r="N17" s="1770" t="str">
        <f t="shared" si="1"/>
        <v>1:10</v>
      </c>
      <c r="O17" s="1525" t="s">
        <v>10594</v>
      </c>
    </row>
    <row r="18" ht="15.75" customHeight="1">
      <c r="A18" s="1707" t="s">
        <v>1723</v>
      </c>
      <c r="B18" s="1589" t="s">
        <v>8430</v>
      </c>
      <c r="C18" s="1768">
        <v>0.05122685185185185</v>
      </c>
      <c r="D18" s="1711" t="s">
        <v>10681</v>
      </c>
      <c r="E18" s="1526" t="s">
        <v>10682</v>
      </c>
      <c r="F18" s="1525" t="s">
        <v>10683</v>
      </c>
      <c r="G18" s="1525" t="s">
        <v>10684</v>
      </c>
      <c r="H18" s="1525" t="s">
        <v>10685</v>
      </c>
      <c r="I18" s="1525" t="s">
        <v>10686</v>
      </c>
      <c r="J18" s="1525" t="s">
        <v>10687</v>
      </c>
      <c r="K18" s="1525" t="s">
        <v>10688</v>
      </c>
      <c r="L18" s="1525" t="s">
        <v>5874</v>
      </c>
      <c r="M18" s="1771">
        <v>0.05224537037037037</v>
      </c>
      <c r="N18" s="1770" t="str">
        <f t="shared" si="1"/>
        <v>1:28</v>
      </c>
      <c r="O18" s="1525" t="s">
        <v>10689</v>
      </c>
    </row>
    <row r="19" ht="15.75" customHeight="1">
      <c r="A19" s="1707" t="s">
        <v>6379</v>
      </c>
      <c r="B19" s="1589" t="s">
        <v>8430</v>
      </c>
      <c r="C19" s="1768">
        <v>0.05133101851851852</v>
      </c>
      <c r="D19" s="1525" t="s">
        <v>10690</v>
      </c>
      <c r="E19" s="1526" t="s">
        <v>10691</v>
      </c>
      <c r="F19" s="1525" t="s">
        <v>10692</v>
      </c>
      <c r="G19" s="1528" t="s">
        <v>10693</v>
      </c>
      <c r="H19" s="1528" t="s">
        <v>10694</v>
      </c>
      <c r="I19" s="1525" t="s">
        <v>10695</v>
      </c>
      <c r="J19" s="1525" t="s">
        <v>10696</v>
      </c>
      <c r="K19" s="1525" t="s">
        <v>10697</v>
      </c>
      <c r="L19" s="1525" t="s">
        <v>10698</v>
      </c>
      <c r="M19" s="1771">
        <v>0.05197916666666667</v>
      </c>
      <c r="N19" s="1770" t="str">
        <f t="shared" si="1"/>
        <v>0:56</v>
      </c>
      <c r="O19" s="1525" t="s">
        <v>10699</v>
      </c>
    </row>
    <row r="20" ht="15.75" customHeight="1">
      <c r="A20" s="1707" t="s">
        <v>2221</v>
      </c>
      <c r="B20" s="1666" t="s">
        <v>8460</v>
      </c>
      <c r="C20" s="1772">
        <v>0.05137731481481481</v>
      </c>
      <c r="D20" s="1711" t="s">
        <v>10700</v>
      </c>
      <c r="E20" s="1785" t="s">
        <v>10701</v>
      </c>
      <c r="F20" s="1785" t="s">
        <v>10702</v>
      </c>
      <c r="G20" s="1785" t="s">
        <v>10703</v>
      </c>
      <c r="H20" s="1785" t="s">
        <v>10704</v>
      </c>
      <c r="I20" s="1785" t="s">
        <v>10705</v>
      </c>
      <c r="J20" s="1785" t="s">
        <v>10706</v>
      </c>
      <c r="K20" s="1525" t="s">
        <v>10707</v>
      </c>
      <c r="L20" s="1786" t="s">
        <v>3949</v>
      </c>
      <c r="M20" s="1771">
        <v>0.05299768518518518</v>
      </c>
      <c r="N20" s="1770" t="str">
        <f t="shared" si="1"/>
        <v>2:20</v>
      </c>
      <c r="O20" s="1525" t="s">
        <v>10594</v>
      </c>
    </row>
    <row r="21" ht="15.75" customHeight="1">
      <c r="A21" s="1720" t="s">
        <v>8837</v>
      </c>
      <c r="B21" s="1504" t="s">
        <v>8430</v>
      </c>
      <c r="C21" s="1772">
        <v>0.05144675925925926</v>
      </c>
      <c r="D21" s="1525" t="s">
        <v>10708</v>
      </c>
      <c r="E21" s="1777" t="s">
        <v>10709</v>
      </c>
      <c r="F21" s="1525" t="s">
        <v>10710</v>
      </c>
      <c r="G21" s="1525" t="s">
        <v>10711</v>
      </c>
      <c r="H21" s="1525" t="s">
        <v>10712</v>
      </c>
      <c r="I21" s="1525" t="s">
        <v>10713</v>
      </c>
      <c r="J21" s="1525" t="s">
        <v>10714</v>
      </c>
      <c r="K21" s="1525" t="s">
        <v>10715</v>
      </c>
      <c r="L21" s="1787" t="s">
        <v>8729</v>
      </c>
      <c r="M21" s="1771">
        <v>0.05258101851851852</v>
      </c>
      <c r="N21" s="1770" t="str">
        <f t="shared" si="1"/>
        <v>1:38</v>
      </c>
      <c r="O21" s="1525" t="s">
        <v>10594</v>
      </c>
    </row>
    <row r="22" ht="15.75" customHeight="1">
      <c r="A22" s="1707" t="s">
        <v>9042</v>
      </c>
      <c r="B22" s="1589" t="s">
        <v>8460</v>
      </c>
      <c r="C22" s="1768">
        <v>0.05146990740740741</v>
      </c>
      <c r="D22" s="1785" t="s">
        <v>10569</v>
      </c>
      <c r="E22" s="1526" t="s">
        <v>10027</v>
      </c>
      <c r="F22" s="1526" t="s">
        <v>10570</v>
      </c>
      <c r="G22" s="1526" t="s">
        <v>10571</v>
      </c>
      <c r="H22" s="1526" t="s">
        <v>10572</v>
      </c>
      <c r="I22" s="1525" t="s">
        <v>10716</v>
      </c>
      <c r="J22" s="1635" t="s">
        <v>10574</v>
      </c>
      <c r="K22" s="1785" t="s">
        <v>10575</v>
      </c>
      <c r="L22" s="1635" t="s">
        <v>9058</v>
      </c>
      <c r="M22" s="1788">
        <v>0.05236111111111111</v>
      </c>
      <c r="N22" s="1770" t="str">
        <f t="shared" si="1"/>
        <v>1:17</v>
      </c>
      <c r="O22" s="1525" t="s">
        <v>10594</v>
      </c>
    </row>
    <row r="23" ht="15.75" customHeight="1">
      <c r="A23" s="1767" t="s">
        <v>827</v>
      </c>
      <c r="B23" s="1504" t="s">
        <v>8430</v>
      </c>
      <c r="C23" s="1772">
        <v>0.051550925925925924</v>
      </c>
      <c r="D23" s="1525" t="s">
        <v>10717</v>
      </c>
      <c r="E23" s="1777" t="s">
        <v>9995</v>
      </c>
      <c r="F23" s="1525" t="s">
        <v>10718</v>
      </c>
      <c r="G23" s="1525" t="s">
        <v>10719</v>
      </c>
      <c r="H23" s="1525" t="s">
        <v>10720</v>
      </c>
      <c r="I23" s="1525" t="s">
        <v>10721</v>
      </c>
      <c r="J23" s="1525" t="s">
        <v>10722</v>
      </c>
      <c r="K23" s="1525" t="s">
        <v>10723</v>
      </c>
      <c r="L23" s="1787" t="s">
        <v>10724</v>
      </c>
      <c r="M23" s="1771">
        <v>0.05229166666666667</v>
      </c>
      <c r="N23" s="1770" t="str">
        <f t="shared" si="1"/>
        <v>1:04</v>
      </c>
      <c r="O23" s="1525" t="s">
        <v>10594</v>
      </c>
    </row>
    <row r="24">
      <c r="A24" s="1779" t="s">
        <v>1883</v>
      </c>
      <c r="B24" s="1666" t="s">
        <v>8485</v>
      </c>
      <c r="C24" s="1768">
        <v>0.05158564814814815</v>
      </c>
      <c r="D24" s="1789" t="s">
        <v>10576</v>
      </c>
      <c r="E24" s="1790" t="s">
        <v>10577</v>
      </c>
      <c r="F24" s="1789" t="s">
        <v>10578</v>
      </c>
      <c r="G24" s="1789" t="s">
        <v>10579</v>
      </c>
      <c r="H24" s="1789" t="s">
        <v>10580</v>
      </c>
      <c r="I24" s="1789" t="s">
        <v>10581</v>
      </c>
      <c r="J24" s="1789" t="s">
        <v>10582</v>
      </c>
      <c r="K24" s="1789" t="s">
        <v>10583</v>
      </c>
      <c r="L24" s="1789" t="s">
        <v>8516</v>
      </c>
      <c r="M24" s="1791">
        <v>0.052141203703703703</v>
      </c>
      <c r="N24" s="1770" t="str">
        <f t="shared" si="1"/>
        <v>0:48</v>
      </c>
      <c r="O24" s="1525" t="s">
        <v>10725</v>
      </c>
    </row>
    <row r="25" ht="15.75" customHeight="1">
      <c r="A25" s="1689" t="s">
        <v>2818</v>
      </c>
      <c r="B25" s="1589" t="s">
        <v>8430</v>
      </c>
      <c r="C25" s="1772">
        <v>0.051706365740740744</v>
      </c>
      <c r="D25" s="1635" t="s">
        <v>10726</v>
      </c>
      <c r="E25" s="1526" t="s">
        <v>10727</v>
      </c>
      <c r="F25" s="1525" t="s">
        <v>10728</v>
      </c>
      <c r="G25" s="1525" t="s">
        <v>10729</v>
      </c>
      <c r="H25" s="1525" t="s">
        <v>10730</v>
      </c>
      <c r="I25" s="1525" t="s">
        <v>10731</v>
      </c>
      <c r="J25" s="1525" t="s">
        <v>10732</v>
      </c>
      <c r="K25" s="1525" t="s">
        <v>10733</v>
      </c>
      <c r="L25" s="1525" t="s">
        <v>9357</v>
      </c>
      <c r="M25" s="1771">
        <v>0.0525</v>
      </c>
      <c r="N25" s="1771" t="str">
        <f t="shared" si="1"/>
        <v>1:09</v>
      </c>
      <c r="O25" s="1525"/>
    </row>
    <row r="26" ht="15.75" customHeight="1">
      <c r="A26" s="1792" t="s">
        <v>2097</v>
      </c>
      <c r="B26" s="1657" t="s">
        <v>8430</v>
      </c>
      <c r="C26" s="1772">
        <v>0.05171296296296296</v>
      </c>
      <c r="D26" s="1793" t="s">
        <v>10734</v>
      </c>
      <c r="E26" s="1793" t="s">
        <v>10735</v>
      </c>
      <c r="F26" s="1793" t="s">
        <v>10736</v>
      </c>
      <c r="G26" s="1793" t="s">
        <v>10737</v>
      </c>
      <c r="H26" s="1635" t="s">
        <v>10738</v>
      </c>
      <c r="I26" s="1793" t="s">
        <v>10739</v>
      </c>
      <c r="J26" s="1635" t="s">
        <v>10740</v>
      </c>
      <c r="K26" s="1793" t="s">
        <v>10741</v>
      </c>
      <c r="L26" s="1635" t="s">
        <v>7902</v>
      </c>
      <c r="M26" s="1771">
        <v>0.054375</v>
      </c>
      <c r="N26" s="1770" t="str">
        <f t="shared" si="1"/>
        <v>3:50</v>
      </c>
      <c r="O26" s="1525" t="s">
        <v>10742</v>
      </c>
    </row>
    <row r="27" ht="15.75" customHeight="1">
      <c r="A27" s="1707" t="s">
        <v>2935</v>
      </c>
      <c r="B27" s="1589" t="s">
        <v>8430</v>
      </c>
      <c r="C27" s="1768">
        <v>0.05180160879629629</v>
      </c>
      <c r="D27" s="1635" t="s">
        <v>10743</v>
      </c>
      <c r="E27" s="1526" t="s">
        <v>10744</v>
      </c>
      <c r="F27" s="1525" t="s">
        <v>10745</v>
      </c>
      <c r="G27" s="1525" t="s">
        <v>10746</v>
      </c>
      <c r="H27" s="1525" t="s">
        <v>10747</v>
      </c>
      <c r="I27" s="1525" t="s">
        <v>10748</v>
      </c>
      <c r="J27" s="1525" t="s">
        <v>10749</v>
      </c>
      <c r="K27" s="1525" t="s">
        <v>10750</v>
      </c>
      <c r="L27" s="1525" t="s">
        <v>10751</v>
      </c>
      <c r="M27" s="1771">
        <v>0.05303240740740741</v>
      </c>
      <c r="N27" s="1770" t="str">
        <f t="shared" si="1"/>
        <v>1:46</v>
      </c>
      <c r="O27" s="1525"/>
    </row>
    <row r="28" ht="15.75" customHeight="1">
      <c r="A28" s="1689" t="s">
        <v>1256</v>
      </c>
      <c r="B28" s="1666" t="s">
        <v>8485</v>
      </c>
      <c r="C28" s="1772">
        <v>0.052088194444444444</v>
      </c>
      <c r="D28" s="1635" t="s">
        <v>10752</v>
      </c>
      <c r="E28" s="1526" t="s">
        <v>10753</v>
      </c>
      <c r="F28" s="1525" t="s">
        <v>10754</v>
      </c>
      <c r="G28" s="1525" t="s">
        <v>10755</v>
      </c>
      <c r="H28" s="1525" t="s">
        <v>10756</v>
      </c>
      <c r="I28" s="1525" t="s">
        <v>10757</v>
      </c>
      <c r="J28" s="1525" t="s">
        <v>10758</v>
      </c>
      <c r="K28" s="1525" t="s">
        <v>10759</v>
      </c>
      <c r="L28" s="1525" t="s">
        <v>9651</v>
      </c>
      <c r="M28" s="1771">
        <v>0.053043981481481484</v>
      </c>
      <c r="N28" s="1770" t="str">
        <f t="shared" si="1"/>
        <v>1:23</v>
      </c>
      <c r="O28" s="1525" t="s">
        <v>10594</v>
      </c>
    </row>
    <row r="29" ht="15.75" customHeight="1">
      <c r="A29" s="1689" t="s">
        <v>2536</v>
      </c>
      <c r="B29" s="1589" t="s">
        <v>8460</v>
      </c>
      <c r="C29" s="1772">
        <v>0.05215277777777778</v>
      </c>
      <c r="D29" s="1525" t="s">
        <v>10760</v>
      </c>
      <c r="E29" s="1525" t="s">
        <v>5796</v>
      </c>
      <c r="F29" s="1525" t="s">
        <v>10761</v>
      </c>
      <c r="G29" s="1525" t="s">
        <v>10762</v>
      </c>
      <c r="H29" s="1525" t="s">
        <v>10763</v>
      </c>
      <c r="I29" s="1525" t="s">
        <v>10628</v>
      </c>
      <c r="J29" s="1525" t="s">
        <v>10764</v>
      </c>
      <c r="K29" s="1525" t="s">
        <v>10765</v>
      </c>
      <c r="L29" s="1525" t="s">
        <v>9409</v>
      </c>
      <c r="M29" s="1771">
        <v>0.05399305555555556</v>
      </c>
      <c r="N29" s="1770" t="str">
        <f t="shared" si="1"/>
        <v>2:39</v>
      </c>
      <c r="O29" s="1525" t="s">
        <v>10766</v>
      </c>
    </row>
    <row r="30" ht="15.75" customHeight="1">
      <c r="A30" s="1707" t="s">
        <v>2867</v>
      </c>
      <c r="B30" s="1589" t="s">
        <v>8430</v>
      </c>
      <c r="C30" s="1794">
        <v>0.05216435185185185</v>
      </c>
      <c r="D30" s="1525" t="s">
        <v>10767</v>
      </c>
      <c r="E30" s="1526" t="s">
        <v>10768</v>
      </c>
      <c r="F30" s="1525" t="s">
        <v>10769</v>
      </c>
      <c r="G30" s="1525" t="s">
        <v>10770</v>
      </c>
      <c r="H30" s="1525" t="s">
        <v>10771</v>
      </c>
      <c r="I30" s="1525" t="s">
        <v>10772</v>
      </c>
      <c r="J30" s="1525" t="s">
        <v>10773</v>
      </c>
      <c r="K30" s="1525" t="s">
        <v>10774</v>
      </c>
      <c r="L30" s="1525" t="s">
        <v>10775</v>
      </c>
      <c r="M30" s="1795">
        <v>0.05337962962962963</v>
      </c>
      <c r="N30" s="1770" t="str">
        <f t="shared" si="1"/>
        <v>1:45</v>
      </c>
      <c r="O30" s="1525" t="s">
        <v>10776</v>
      </c>
    </row>
    <row r="31" ht="15.75" customHeight="1">
      <c r="A31" s="1689" t="s">
        <v>738</v>
      </c>
      <c r="B31" s="1589" t="s">
        <v>8460</v>
      </c>
      <c r="C31" s="1772">
        <v>0.05224537037037037</v>
      </c>
      <c r="D31" s="1525" t="s">
        <v>10777</v>
      </c>
      <c r="E31" s="1796" t="s">
        <v>10778</v>
      </c>
      <c r="F31" s="1525" t="s">
        <v>10779</v>
      </c>
      <c r="G31" s="1525" t="s">
        <v>10780</v>
      </c>
      <c r="H31" s="1525" t="s">
        <v>10781</v>
      </c>
      <c r="I31" s="1525" t="s">
        <v>10573</v>
      </c>
      <c r="J31" s="1525" t="s">
        <v>10782</v>
      </c>
      <c r="K31" s="1528" t="s">
        <v>10783</v>
      </c>
      <c r="L31" s="1525" t="s">
        <v>10784</v>
      </c>
      <c r="M31" s="1771">
        <v>0.053043981481481484</v>
      </c>
      <c r="N31" s="1770" t="str">
        <f t="shared" si="1"/>
        <v>1:09</v>
      </c>
      <c r="O31" s="1525" t="s">
        <v>10785</v>
      </c>
    </row>
    <row r="32" ht="15.75" customHeight="1">
      <c r="A32" s="1707" t="s">
        <v>2935</v>
      </c>
      <c r="B32" s="1666" t="s">
        <v>8460</v>
      </c>
      <c r="C32" s="1768">
        <v>0.052316898148148154</v>
      </c>
      <c r="D32" s="1635" t="s">
        <v>10786</v>
      </c>
      <c r="E32" s="1526" t="s">
        <v>10787</v>
      </c>
      <c r="F32" s="1525" t="s">
        <v>10788</v>
      </c>
      <c r="G32" s="1525" t="s">
        <v>10789</v>
      </c>
      <c r="H32" s="1525" t="s">
        <v>10790</v>
      </c>
      <c r="I32" s="1525" t="s">
        <v>10791</v>
      </c>
      <c r="J32" s="1525" t="s">
        <v>10792</v>
      </c>
      <c r="K32" s="1525" t="s">
        <v>10793</v>
      </c>
      <c r="L32" s="1525" t="s">
        <v>9135</v>
      </c>
      <c r="M32" s="1771">
        <v>0.0537625</v>
      </c>
      <c r="N32" s="1770" t="str">
        <f t="shared" si="1"/>
        <v>2:05</v>
      </c>
      <c r="O32" s="1525" t="s">
        <v>10594</v>
      </c>
    </row>
    <row r="33" ht="15.75" customHeight="1">
      <c r="A33" s="1689" t="s">
        <v>3981</v>
      </c>
      <c r="B33" s="1589" t="s">
        <v>8430</v>
      </c>
      <c r="C33" s="1772">
        <v>0.05238425925925926</v>
      </c>
      <c r="D33" s="1711" t="s">
        <v>10794</v>
      </c>
      <c r="E33" s="1526" t="s">
        <v>10768</v>
      </c>
      <c r="F33" s="1525" t="s">
        <v>10795</v>
      </c>
      <c r="G33" s="1797" t="s">
        <v>10796</v>
      </c>
      <c r="H33" s="1525" t="s">
        <v>10797</v>
      </c>
      <c r="I33" s="1525" t="s">
        <v>10798</v>
      </c>
      <c r="J33" s="1525" t="s">
        <v>10799</v>
      </c>
      <c r="K33" s="1525" t="s">
        <v>10800</v>
      </c>
      <c r="L33" s="1525" t="s">
        <v>9669</v>
      </c>
      <c r="M33" s="1771">
        <v>0.05340277777777778</v>
      </c>
      <c r="N33" s="1770" t="str">
        <f t="shared" si="1"/>
        <v>1:28</v>
      </c>
      <c r="O33" s="1525" t="s">
        <v>10801</v>
      </c>
    </row>
    <row r="34" ht="15.75" customHeight="1">
      <c r="A34" s="1707" t="s">
        <v>9695</v>
      </c>
      <c r="B34" s="1589" t="s">
        <v>8430</v>
      </c>
      <c r="C34" s="1768">
        <v>0.05268518518518518</v>
      </c>
      <c r="D34" s="1635" t="s">
        <v>10802</v>
      </c>
      <c r="E34" s="1526" t="s">
        <v>10803</v>
      </c>
      <c r="F34" s="1525" t="s">
        <v>10804</v>
      </c>
      <c r="G34" s="1525" t="s">
        <v>10805</v>
      </c>
      <c r="H34" s="1525" t="s">
        <v>10806</v>
      </c>
      <c r="I34" s="1525" t="s">
        <v>10807</v>
      </c>
      <c r="J34" s="1525" t="s">
        <v>10808</v>
      </c>
      <c r="K34" s="1525" t="s">
        <v>10809</v>
      </c>
      <c r="L34" s="1525" t="s">
        <v>9713</v>
      </c>
      <c r="M34" s="1771">
        <v>0.05331018518518518</v>
      </c>
      <c r="N34" s="1770" t="str">
        <f t="shared" si="1"/>
        <v>0:54</v>
      </c>
      <c r="O34" s="1525" t="s">
        <v>10810</v>
      </c>
    </row>
    <row r="35" ht="15.75" customHeight="1">
      <c r="A35" s="1798" t="s">
        <v>3707</v>
      </c>
      <c r="B35" s="1774" t="s">
        <v>8430</v>
      </c>
      <c r="C35" s="1768">
        <v>0.05270034722222223</v>
      </c>
      <c r="D35" s="1711" t="s">
        <v>10811</v>
      </c>
      <c r="E35" s="1526" t="s">
        <v>10812</v>
      </c>
      <c r="F35" s="1525" t="s">
        <v>10813</v>
      </c>
      <c r="G35" s="1525" t="s">
        <v>10814</v>
      </c>
      <c r="H35" s="1525" t="s">
        <v>10815</v>
      </c>
      <c r="I35" s="1525" t="s">
        <v>10816</v>
      </c>
      <c r="J35" s="1525" t="s">
        <v>10817</v>
      </c>
      <c r="K35" s="1525" t="s">
        <v>10818</v>
      </c>
      <c r="L35" s="1525" t="s">
        <v>10819</v>
      </c>
      <c r="M35" s="1771">
        <v>0.05425925925925926</v>
      </c>
      <c r="N35" s="1770" t="str">
        <f t="shared" si="1"/>
        <v>2:15</v>
      </c>
      <c r="O35" s="1525" t="s">
        <v>10594</v>
      </c>
    </row>
    <row r="36">
      <c r="A36" s="1799" t="s">
        <v>3389</v>
      </c>
      <c r="B36" s="1774" t="s">
        <v>8430</v>
      </c>
      <c r="C36" s="1768">
        <v>0.053009259259259256</v>
      </c>
      <c r="D36" s="1711" t="s">
        <v>10820</v>
      </c>
      <c r="E36" s="1526" t="s">
        <v>10821</v>
      </c>
      <c r="F36" s="1525" t="s">
        <v>10822</v>
      </c>
      <c r="G36" s="1525" t="s">
        <v>10823</v>
      </c>
      <c r="H36" s="1525" t="s">
        <v>10824</v>
      </c>
      <c r="I36" s="1525" t="s">
        <v>10825</v>
      </c>
      <c r="J36" s="1525" t="s">
        <v>10826</v>
      </c>
      <c r="K36" s="1525" t="s">
        <v>10827</v>
      </c>
      <c r="L36" s="1525" t="s">
        <v>10828</v>
      </c>
      <c r="M36" s="1771">
        <v>0.05372685185185185</v>
      </c>
      <c r="N36" s="1770" t="str">
        <f t="shared" si="1"/>
        <v>1:02</v>
      </c>
      <c r="O36" s="1525" t="s">
        <v>10594</v>
      </c>
    </row>
    <row r="37" ht="15.75" customHeight="1">
      <c r="A37" s="1689" t="s">
        <v>6390</v>
      </c>
      <c r="B37" s="1589" t="s">
        <v>8430</v>
      </c>
      <c r="C37" s="1772">
        <v>0.05340277777777778</v>
      </c>
      <c r="D37" s="1635" t="s">
        <v>10829</v>
      </c>
      <c r="E37" s="1526" t="s">
        <v>10830</v>
      </c>
      <c r="F37" s="1525" t="s">
        <v>10831</v>
      </c>
      <c r="G37" s="1525" t="s">
        <v>10832</v>
      </c>
      <c r="H37" s="1525" t="s">
        <v>10833</v>
      </c>
      <c r="I37" s="1525" t="s">
        <v>10834</v>
      </c>
      <c r="J37" s="1525" t="s">
        <v>10835</v>
      </c>
      <c r="K37" s="1525" t="s">
        <v>10836</v>
      </c>
      <c r="L37" s="1525" t="s">
        <v>10837</v>
      </c>
      <c r="M37" s="1771">
        <v>0.05466435185185185</v>
      </c>
      <c r="N37" s="1770" t="str">
        <f t="shared" si="1"/>
        <v>1:49</v>
      </c>
      <c r="O37" s="1525" t="s">
        <v>10838</v>
      </c>
    </row>
    <row r="38" ht="15.75" customHeight="1">
      <c r="A38" s="1689" t="s">
        <v>985</v>
      </c>
      <c r="B38" s="1755" t="s">
        <v>8460</v>
      </c>
      <c r="C38" s="1772">
        <v>0.05378472222222222</v>
      </c>
      <c r="D38" s="1635" t="s">
        <v>10839</v>
      </c>
      <c r="E38" s="1526" t="s">
        <v>10840</v>
      </c>
      <c r="F38" s="1525" t="s">
        <v>10841</v>
      </c>
      <c r="G38" s="1525" t="s">
        <v>10842</v>
      </c>
      <c r="H38" s="1525" t="s">
        <v>10843</v>
      </c>
      <c r="I38" s="1525" t="s">
        <v>8016</v>
      </c>
      <c r="J38" s="1525" t="s">
        <v>10844</v>
      </c>
      <c r="K38" s="1525" t="s">
        <v>10845</v>
      </c>
      <c r="L38" s="1525" t="s">
        <v>9457</v>
      </c>
      <c r="M38" s="1771">
        <v>0.054560185185185184</v>
      </c>
      <c r="N38" s="1770" t="str">
        <f t="shared" si="1"/>
        <v>1:07</v>
      </c>
      <c r="O38" s="1525"/>
    </row>
    <row r="39" ht="15.75" customHeight="1">
      <c r="A39" s="1689" t="s">
        <v>4859</v>
      </c>
      <c r="B39" s="1666" t="s">
        <v>8460</v>
      </c>
      <c r="C39" s="1772">
        <v>0.05748842592592593</v>
      </c>
      <c r="D39" s="1635" t="s">
        <v>10846</v>
      </c>
      <c r="E39" s="1526" t="s">
        <v>10847</v>
      </c>
      <c r="F39" s="1525" t="s">
        <v>10848</v>
      </c>
      <c r="G39" s="1525" t="s">
        <v>10849</v>
      </c>
      <c r="H39" s="1525" t="s">
        <v>10850</v>
      </c>
      <c r="I39" s="1525" t="s">
        <v>10851</v>
      </c>
      <c r="J39" s="1525" t="s">
        <v>10852</v>
      </c>
      <c r="K39" s="1525" t="s">
        <v>10853</v>
      </c>
      <c r="L39" s="1525" t="s">
        <v>10500</v>
      </c>
      <c r="M39" s="1771">
        <v>0.06149305555555556</v>
      </c>
      <c r="N39" s="1770" t="str">
        <f t="shared" si="1"/>
        <v>5:46</v>
      </c>
      <c r="O39" s="1525" t="s">
        <v>10594</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8392</v>
      </c>
      <c r="C1" s="1823" t="s">
        <v>10559</v>
      </c>
      <c r="D1" s="1824" t="s">
        <v>6613</v>
      </c>
      <c r="E1" s="1825" t="s">
        <v>6905</v>
      </c>
      <c r="F1" s="1826" t="s">
        <v>38</v>
      </c>
      <c r="G1" s="1827" t="s">
        <v>36</v>
      </c>
      <c r="H1" s="1823" t="s">
        <v>10560</v>
      </c>
      <c r="I1" s="1828" t="s">
        <v>39</v>
      </c>
      <c r="J1" s="1829" t="s">
        <v>6845</v>
      </c>
      <c r="K1" s="1434" t="s">
        <v>8426</v>
      </c>
      <c r="L1" s="1434" t="s">
        <v>8428</v>
      </c>
    </row>
    <row r="2" ht="15.75" customHeight="1">
      <c r="A2" s="1447" t="s">
        <v>8429</v>
      </c>
      <c r="B2" s="1744" t="s">
        <v>8430</v>
      </c>
      <c r="C2" s="1462" t="s">
        <v>10561</v>
      </c>
      <c r="D2" s="1452" t="s">
        <v>10854</v>
      </c>
      <c r="E2" s="1830" t="s">
        <v>10855</v>
      </c>
      <c r="F2" s="1831" t="s">
        <v>10856</v>
      </c>
      <c r="G2" s="1832" t="s">
        <v>10857</v>
      </c>
      <c r="H2" s="1462" t="s">
        <v>10858</v>
      </c>
      <c r="I2" s="1833" t="s">
        <v>10859</v>
      </c>
      <c r="J2" s="1752" t="s">
        <v>10860</v>
      </c>
      <c r="K2" s="1834" t="s">
        <v>8458</v>
      </c>
      <c r="L2" s="1835"/>
    </row>
    <row r="3" ht="15.75" customHeight="1">
      <c r="A3" s="1472" t="s">
        <v>8459</v>
      </c>
      <c r="B3" s="1755" t="s">
        <v>8460</v>
      </c>
      <c r="C3" s="1475" t="s">
        <v>10760</v>
      </c>
      <c r="D3" s="1476" t="s">
        <v>10861</v>
      </c>
      <c r="E3" s="1477" t="s">
        <v>10862</v>
      </c>
      <c r="F3" s="1478" t="s">
        <v>10863</v>
      </c>
      <c r="G3" s="1481" t="s">
        <v>10864</v>
      </c>
      <c r="H3" s="1475" t="s">
        <v>10865</v>
      </c>
      <c r="I3" s="1483" t="s">
        <v>10866</v>
      </c>
      <c r="J3" s="1485" t="s">
        <v>10867</v>
      </c>
      <c r="K3" s="1756">
        <v>0.053043981481481484</v>
      </c>
    </row>
    <row r="4" ht="15.75" customHeight="1">
      <c r="A4" s="1488" t="s">
        <v>8484</v>
      </c>
      <c r="B4" s="1759" t="s">
        <v>8485</v>
      </c>
      <c r="C4" s="1491" t="s">
        <v>10752</v>
      </c>
      <c r="D4" s="1492" t="s">
        <v>10868</v>
      </c>
      <c r="E4" s="1493" t="s">
        <v>10869</v>
      </c>
      <c r="F4" s="1494" t="s">
        <v>10870</v>
      </c>
      <c r="G4" s="1495" t="s">
        <v>10871</v>
      </c>
      <c r="H4" s="1491" t="s">
        <v>10872</v>
      </c>
      <c r="I4" s="1497" t="s">
        <v>10873</v>
      </c>
      <c r="J4" s="1498" t="s">
        <v>10874</v>
      </c>
      <c r="K4" s="1760">
        <v>0.053043981481481484</v>
      </c>
    </row>
    <row r="5" ht="15.75" customHeight="1">
      <c r="A5" s="1689" t="s">
        <v>1061</v>
      </c>
      <c r="B5" s="1589" t="s">
        <v>8430</v>
      </c>
      <c r="C5" s="1764" t="s">
        <v>10561</v>
      </c>
      <c r="D5" s="1764" t="s">
        <v>10854</v>
      </c>
      <c r="E5" s="1764" t="s">
        <v>10855</v>
      </c>
      <c r="F5" s="1764" t="s">
        <v>10856</v>
      </c>
      <c r="G5" s="1764" t="s">
        <v>10857</v>
      </c>
      <c r="H5" s="1764" t="s">
        <v>10858</v>
      </c>
      <c r="I5" s="1764" t="s">
        <v>10859</v>
      </c>
      <c r="J5" s="1764" t="s">
        <v>10860</v>
      </c>
      <c r="K5" s="1836" t="s">
        <v>8458</v>
      </c>
      <c r="L5" s="1525" t="s">
        <v>10875</v>
      </c>
    </row>
    <row r="6" ht="15.75" customHeight="1">
      <c r="A6" s="1837" t="s">
        <v>6329</v>
      </c>
      <c r="B6" s="1589" t="s">
        <v>8430</v>
      </c>
      <c r="C6" s="1697" t="s">
        <v>10604</v>
      </c>
      <c r="D6" s="1525" t="s">
        <v>10876</v>
      </c>
      <c r="E6" s="1525" t="s">
        <v>10877</v>
      </c>
      <c r="F6" s="1525" t="s">
        <v>10878</v>
      </c>
      <c r="G6" s="1525" t="s">
        <v>10879</v>
      </c>
      <c r="H6" s="1525" t="s">
        <v>10880</v>
      </c>
      <c r="I6" s="1525" t="s">
        <v>10881</v>
      </c>
      <c r="J6" s="1525" t="s">
        <v>10882</v>
      </c>
      <c r="K6" s="1525" t="s">
        <v>8642</v>
      </c>
      <c r="L6" s="1525"/>
    </row>
    <row r="7" ht="15.75" customHeight="1">
      <c r="A7" s="1720" t="s">
        <v>1883</v>
      </c>
      <c r="B7" s="1838" t="s">
        <v>8430</v>
      </c>
      <c r="C7" s="1525" t="s">
        <v>10595</v>
      </c>
      <c r="D7" s="1525" t="s">
        <v>10883</v>
      </c>
      <c r="E7" s="1765" t="s">
        <v>10884</v>
      </c>
      <c r="F7" s="1528" t="s">
        <v>10885</v>
      </c>
      <c r="G7" s="1839" t="s">
        <v>10886</v>
      </c>
      <c r="H7" s="1839" t="s">
        <v>10887</v>
      </c>
      <c r="I7" s="1525" t="s">
        <v>10888</v>
      </c>
      <c r="J7" s="1840" t="s">
        <v>10889</v>
      </c>
      <c r="K7" s="1840" t="s">
        <v>8596</v>
      </c>
      <c r="L7" s="1525" t="s">
        <v>10890</v>
      </c>
    </row>
    <row r="8" ht="15.75" customHeight="1">
      <c r="A8" s="1767" t="s">
        <v>435</v>
      </c>
      <c r="B8" s="1504" t="s">
        <v>8430</v>
      </c>
      <c r="C8" s="1697" t="s">
        <v>10589</v>
      </c>
      <c r="D8" s="1525" t="s">
        <v>10891</v>
      </c>
      <c r="E8" s="1525" t="s">
        <v>10892</v>
      </c>
      <c r="F8" s="1525" t="s">
        <v>10893</v>
      </c>
      <c r="G8" s="1525" t="s">
        <v>10894</v>
      </c>
      <c r="H8" s="1525" t="s">
        <v>10895</v>
      </c>
      <c r="I8" s="1525" t="s">
        <v>10896</v>
      </c>
      <c r="J8" s="1525" t="s">
        <v>10897</v>
      </c>
      <c r="K8" s="1525" t="s">
        <v>8554</v>
      </c>
      <c r="L8" s="1525"/>
    </row>
    <row r="9" ht="15.75" customHeight="1">
      <c r="A9" s="1720" t="s">
        <v>6391</v>
      </c>
      <c r="B9" s="1504" t="s">
        <v>8430</v>
      </c>
      <c r="C9" s="1525" t="s">
        <v>10898</v>
      </c>
      <c r="D9" s="1525" t="s">
        <v>10899</v>
      </c>
      <c r="E9" s="1525" t="s">
        <v>10900</v>
      </c>
      <c r="F9" s="1528" t="s">
        <v>10901</v>
      </c>
      <c r="G9" s="1528" t="s">
        <v>10902</v>
      </c>
      <c r="H9" s="1841" t="s">
        <v>10903</v>
      </c>
      <c r="I9" s="1528" t="s">
        <v>10904</v>
      </c>
      <c r="J9" s="1528" t="s">
        <v>10905</v>
      </c>
      <c r="K9" s="1525" t="s">
        <v>8576</v>
      </c>
      <c r="L9" s="1525"/>
    </row>
    <row r="10" ht="15.75" customHeight="1">
      <c r="A10" s="1689" t="s">
        <v>1552</v>
      </c>
      <c r="B10" s="1589" t="s">
        <v>8430</v>
      </c>
      <c r="C10" s="1842" t="s">
        <v>10627</v>
      </c>
      <c r="D10" s="1776" t="s">
        <v>10906</v>
      </c>
      <c r="E10" s="1776" t="s">
        <v>10907</v>
      </c>
      <c r="F10" s="1525" t="s">
        <v>10908</v>
      </c>
      <c r="G10" s="1797" t="s">
        <v>10909</v>
      </c>
      <c r="H10" s="1797" t="s">
        <v>10910</v>
      </c>
      <c r="I10" s="1797" t="s">
        <v>10911</v>
      </c>
      <c r="J10" s="1797" t="s">
        <v>10912</v>
      </c>
      <c r="K10" s="1797" t="s">
        <v>8790</v>
      </c>
      <c r="L10" s="1525" t="s">
        <v>10913</v>
      </c>
    </row>
    <row r="11" ht="15.75" customHeight="1">
      <c r="A11" s="1707" t="s">
        <v>911</v>
      </c>
      <c r="B11" s="1666" t="s">
        <v>8430</v>
      </c>
      <c r="C11" s="1843" t="s">
        <v>10618</v>
      </c>
      <c r="D11" s="1525" t="s">
        <v>10914</v>
      </c>
      <c r="E11" s="1525" t="s">
        <v>10915</v>
      </c>
      <c r="F11" s="1525" t="s">
        <v>10916</v>
      </c>
      <c r="G11" s="1525" t="s">
        <v>10917</v>
      </c>
      <c r="H11" s="1525" t="s">
        <v>10918</v>
      </c>
      <c r="I11" s="1525" t="s">
        <v>10919</v>
      </c>
      <c r="J11" s="1525" t="s">
        <v>10920</v>
      </c>
      <c r="K11" s="1525" t="s">
        <v>8665</v>
      </c>
      <c r="L11" s="1525" t="s">
        <v>10921</v>
      </c>
    </row>
    <row r="12" ht="15.75" customHeight="1">
      <c r="A12" s="1725" t="s">
        <v>2012</v>
      </c>
      <c r="B12" s="1504" t="s">
        <v>8430</v>
      </c>
      <c r="C12" s="1842" t="s">
        <v>10636</v>
      </c>
      <c r="D12" s="1525" t="s">
        <v>10922</v>
      </c>
      <c r="E12" s="1525" t="s">
        <v>10923</v>
      </c>
      <c r="F12" s="1525" t="s">
        <v>10924</v>
      </c>
      <c r="G12" s="1525" t="s">
        <v>10925</v>
      </c>
      <c r="H12" s="1525" t="s">
        <v>10926</v>
      </c>
      <c r="I12" s="1525" t="s">
        <v>10927</v>
      </c>
      <c r="J12" s="1525" t="s">
        <v>10928</v>
      </c>
      <c r="K12" s="1525" t="s">
        <v>8768</v>
      </c>
      <c r="L12" s="1525"/>
    </row>
    <row r="13" ht="15.75" customHeight="1">
      <c r="A13" s="1767" t="s">
        <v>330</v>
      </c>
      <c r="B13" s="1504" t="s">
        <v>8430</v>
      </c>
      <c r="C13" s="1525" t="s">
        <v>10929</v>
      </c>
      <c r="D13" s="1525" t="s">
        <v>10930</v>
      </c>
      <c r="E13" s="1525" t="s">
        <v>10931</v>
      </c>
      <c r="F13" s="1525" t="s">
        <v>10932</v>
      </c>
      <c r="G13" s="1525" t="s">
        <v>10933</v>
      </c>
      <c r="H13" s="1525" t="s">
        <v>10934</v>
      </c>
      <c r="I13" s="1525" t="s">
        <v>10935</v>
      </c>
      <c r="J13" s="1525" t="s">
        <v>10936</v>
      </c>
      <c r="K13" s="1525" t="s">
        <v>8621</v>
      </c>
      <c r="L13" s="1525"/>
    </row>
    <row r="14" ht="16.5" customHeight="1">
      <c r="A14" s="1783" t="s">
        <v>2639</v>
      </c>
      <c r="B14" s="1504" t="s">
        <v>8430</v>
      </c>
      <c r="C14" s="1525" t="s">
        <v>10658</v>
      </c>
      <c r="D14" s="1525" t="s">
        <v>10937</v>
      </c>
      <c r="E14" s="1525" t="s">
        <v>10938</v>
      </c>
      <c r="F14" s="1525" t="s">
        <v>10939</v>
      </c>
      <c r="G14" s="1525" t="s">
        <v>10940</v>
      </c>
      <c r="H14" s="1525" t="s">
        <v>10941</v>
      </c>
      <c r="I14" s="1525" t="s">
        <v>10942</v>
      </c>
      <c r="J14" s="1525" t="s">
        <v>10943</v>
      </c>
      <c r="K14" s="1525" t="s">
        <v>10944</v>
      </c>
      <c r="L14" s="1525" t="s">
        <v>10945</v>
      </c>
    </row>
    <row r="15" ht="15.0" customHeight="1">
      <c r="A15" s="1792" t="s">
        <v>1631</v>
      </c>
      <c r="B15" s="1657" t="s">
        <v>8430</v>
      </c>
      <c r="C15" s="1843" t="s">
        <v>10946</v>
      </c>
      <c r="D15" s="1525" t="s">
        <v>10947</v>
      </c>
      <c r="E15" s="1525" t="s">
        <v>10948</v>
      </c>
      <c r="F15" s="1525" t="s">
        <v>10949</v>
      </c>
      <c r="G15" s="1525" t="s">
        <v>10950</v>
      </c>
      <c r="H15" s="1525" t="s">
        <v>10951</v>
      </c>
      <c r="I15" s="1525" t="s">
        <v>10952</v>
      </c>
      <c r="J15" s="1525" t="s">
        <v>10953</v>
      </c>
      <c r="K15" s="1525" t="s">
        <v>9114</v>
      </c>
      <c r="L15" s="1525"/>
    </row>
    <row r="16" ht="15.75" customHeight="1">
      <c r="A16" s="1689" t="s">
        <v>6379</v>
      </c>
      <c r="B16" s="1504" t="s">
        <v>8430</v>
      </c>
      <c r="C16" s="1525" t="s">
        <v>10690</v>
      </c>
      <c r="D16" s="1525" t="s">
        <v>10954</v>
      </c>
      <c r="E16" s="1525" t="s">
        <v>10955</v>
      </c>
      <c r="F16" s="1525" t="s">
        <v>10956</v>
      </c>
      <c r="G16" s="1525" t="s">
        <v>10957</v>
      </c>
      <c r="H16" s="1525" t="s">
        <v>10958</v>
      </c>
      <c r="I16" s="1525" t="s">
        <v>10959</v>
      </c>
      <c r="J16" s="1525" t="s">
        <v>10960</v>
      </c>
      <c r="K16" s="1525" t="s">
        <v>8999</v>
      </c>
      <c r="L16" s="1525" t="s">
        <v>10961</v>
      </c>
    </row>
    <row r="17" ht="15.75" customHeight="1">
      <c r="A17" s="1767" t="s">
        <v>1416</v>
      </c>
      <c r="B17" s="1504" t="s">
        <v>8430</v>
      </c>
      <c r="C17" s="1525" t="s">
        <v>10962</v>
      </c>
      <c r="D17" s="1525" t="s">
        <v>10963</v>
      </c>
      <c r="E17" s="1525" t="s">
        <v>10964</v>
      </c>
      <c r="F17" s="1525" t="s">
        <v>10965</v>
      </c>
      <c r="G17" s="1525" t="s">
        <v>10966</v>
      </c>
      <c r="H17" s="1525" t="s">
        <v>10967</v>
      </c>
      <c r="I17" s="1525" t="s">
        <v>10968</v>
      </c>
      <c r="J17" s="1525" t="s">
        <v>10969</v>
      </c>
      <c r="K17" s="1525" t="s">
        <v>8975</v>
      </c>
      <c r="L17" s="1525"/>
    </row>
    <row r="18" ht="15.75" customHeight="1">
      <c r="A18" s="1689" t="s">
        <v>3071</v>
      </c>
      <c r="B18" s="1589" t="s">
        <v>8430</v>
      </c>
      <c r="C18" s="1781" t="s">
        <v>10651</v>
      </c>
      <c r="D18" s="1765" t="s">
        <v>10970</v>
      </c>
      <c r="E18" s="1765" t="s">
        <v>10971</v>
      </c>
      <c r="F18" s="1765" t="s">
        <v>10972</v>
      </c>
      <c r="G18" s="1765" t="s">
        <v>10973</v>
      </c>
      <c r="H18" s="1765" t="s">
        <v>10974</v>
      </c>
      <c r="I18" s="1765" t="s">
        <v>10975</v>
      </c>
      <c r="J18" s="1765" t="s">
        <v>10976</v>
      </c>
      <c r="K18" s="1765" t="s">
        <v>8934</v>
      </c>
      <c r="L18" s="1525"/>
    </row>
    <row r="19" ht="15.75" customHeight="1">
      <c r="A19" s="1689" t="s">
        <v>2255</v>
      </c>
      <c r="B19" s="1666" t="s">
        <v>8430</v>
      </c>
      <c r="C19" s="1843" t="s">
        <v>10666</v>
      </c>
      <c r="D19" s="1525" t="s">
        <v>10977</v>
      </c>
      <c r="E19" s="1525" t="s">
        <v>10978</v>
      </c>
      <c r="F19" s="1525" t="s">
        <v>10979</v>
      </c>
      <c r="G19" s="1525" t="s">
        <v>10980</v>
      </c>
      <c r="H19" s="1525" t="s">
        <v>10981</v>
      </c>
      <c r="I19" s="1525" t="s">
        <v>10982</v>
      </c>
      <c r="J19" s="1525" t="s">
        <v>10983</v>
      </c>
      <c r="K19" s="1525" t="s">
        <v>8835</v>
      </c>
      <c r="L19" s="1525" t="s">
        <v>10984</v>
      </c>
    </row>
    <row r="20" ht="15.75" customHeight="1">
      <c r="A20" s="1767" t="s">
        <v>827</v>
      </c>
      <c r="B20" s="1504" t="s">
        <v>8430</v>
      </c>
      <c r="C20" s="1525" t="s">
        <v>10985</v>
      </c>
      <c r="D20" s="1525" t="s">
        <v>10986</v>
      </c>
      <c r="E20" s="1525" t="s">
        <v>10987</v>
      </c>
      <c r="F20" s="1525" t="s">
        <v>10988</v>
      </c>
      <c r="G20" s="1525" t="s">
        <v>10989</v>
      </c>
      <c r="H20" s="1525" t="s">
        <v>10990</v>
      </c>
      <c r="I20" s="1525" t="s">
        <v>10991</v>
      </c>
      <c r="J20" s="1525" t="s">
        <v>10992</v>
      </c>
      <c r="K20" s="1525" t="s">
        <v>9268</v>
      </c>
      <c r="L20" s="1525"/>
    </row>
    <row r="21" ht="15.75" customHeight="1">
      <c r="A21" s="1689" t="s">
        <v>1723</v>
      </c>
      <c r="B21" s="1589" t="s">
        <v>8430</v>
      </c>
      <c r="C21" s="1525" t="s">
        <v>10993</v>
      </c>
      <c r="D21" s="1525" t="s">
        <v>10994</v>
      </c>
      <c r="E21" s="1797" t="s">
        <v>10995</v>
      </c>
      <c r="F21" s="1525" t="s">
        <v>10996</v>
      </c>
      <c r="G21" s="1525" t="s">
        <v>10997</v>
      </c>
      <c r="H21" s="1525" t="s">
        <v>10998</v>
      </c>
      <c r="I21" s="1525" t="s">
        <v>10999</v>
      </c>
      <c r="J21" s="1525" t="s">
        <v>11000</v>
      </c>
      <c r="K21" s="1525" t="s">
        <v>9025</v>
      </c>
      <c r="L21" s="1525"/>
    </row>
    <row r="22" ht="15.75" customHeight="1">
      <c r="A22" s="1720" t="s">
        <v>8837</v>
      </c>
      <c r="B22" s="1504" t="s">
        <v>8430</v>
      </c>
      <c r="C22" s="1525" t="s">
        <v>10708</v>
      </c>
      <c r="D22" s="1525" t="s">
        <v>11001</v>
      </c>
      <c r="E22" s="1525" t="s">
        <v>11002</v>
      </c>
      <c r="F22" s="1525" t="s">
        <v>11003</v>
      </c>
      <c r="G22" s="1525" t="s">
        <v>11004</v>
      </c>
      <c r="H22" s="1525" t="s">
        <v>11005</v>
      </c>
      <c r="I22" s="1525" t="s">
        <v>11006</v>
      </c>
      <c r="J22" s="1525" t="s">
        <v>11007</v>
      </c>
      <c r="K22" s="1525" t="s">
        <v>8853</v>
      </c>
      <c r="L22" s="1525"/>
    </row>
    <row r="23" ht="15.75" customHeight="1">
      <c r="A23" s="1689" t="s">
        <v>738</v>
      </c>
      <c r="B23" s="1589" t="s">
        <v>8460</v>
      </c>
      <c r="C23" s="1525" t="s">
        <v>11008</v>
      </c>
      <c r="D23" s="1785" t="s">
        <v>10861</v>
      </c>
      <c r="E23" s="1785" t="s">
        <v>10862</v>
      </c>
      <c r="F23" s="1785" t="s">
        <v>10863</v>
      </c>
      <c r="G23" s="1785" t="s">
        <v>10864</v>
      </c>
      <c r="H23" s="1785" t="s">
        <v>10865</v>
      </c>
      <c r="I23" s="1785" t="s">
        <v>10866</v>
      </c>
      <c r="J23" s="1785" t="s">
        <v>10867</v>
      </c>
      <c r="K23" s="1785" t="s">
        <v>8811</v>
      </c>
      <c r="L23" s="1525" t="s">
        <v>11009</v>
      </c>
    </row>
    <row r="24" ht="15.75" customHeight="1">
      <c r="A24" s="1707" t="s">
        <v>1256</v>
      </c>
      <c r="B24" s="1589" t="s">
        <v>8485</v>
      </c>
      <c r="C24" s="1658" t="s">
        <v>10752</v>
      </c>
      <c r="D24" s="1658" t="s">
        <v>10868</v>
      </c>
      <c r="E24" s="1658" t="s">
        <v>10869</v>
      </c>
      <c r="F24" s="1658" t="s">
        <v>10870</v>
      </c>
      <c r="G24" s="1658" t="s">
        <v>10871</v>
      </c>
      <c r="H24" s="1658" t="s">
        <v>10872</v>
      </c>
      <c r="I24" s="1658" t="s">
        <v>10873</v>
      </c>
      <c r="J24" s="1658" t="s">
        <v>10874</v>
      </c>
      <c r="K24" s="1658" t="s">
        <v>8811</v>
      </c>
      <c r="L24" s="1525"/>
    </row>
    <row r="25" ht="16.5" customHeight="1">
      <c r="A25" s="1707" t="s">
        <v>11010</v>
      </c>
      <c r="B25" s="1589" t="s">
        <v>8430</v>
      </c>
      <c r="C25" s="1793" t="s">
        <v>10734</v>
      </c>
      <c r="D25" s="1525" t="s">
        <v>11011</v>
      </c>
      <c r="E25" s="1525" t="s">
        <v>11012</v>
      </c>
      <c r="F25" s="1525" t="s">
        <v>11013</v>
      </c>
      <c r="G25" s="1525" t="s">
        <v>11004</v>
      </c>
      <c r="H25" s="1525" t="s">
        <v>11014</v>
      </c>
      <c r="I25" s="1525" t="s">
        <v>11015</v>
      </c>
      <c r="J25" s="1525" t="s">
        <v>11016</v>
      </c>
      <c r="K25" s="1525" t="s">
        <v>9432</v>
      </c>
      <c r="L25" s="1525"/>
    </row>
    <row r="26" ht="15.75" customHeight="1">
      <c r="A26" s="1707" t="s">
        <v>2867</v>
      </c>
      <c r="B26" s="1589" t="s">
        <v>8430</v>
      </c>
      <c r="C26" s="1525" t="s">
        <v>11017</v>
      </c>
      <c r="D26" s="1525" t="s">
        <v>11018</v>
      </c>
      <c r="E26" s="1525" t="s">
        <v>11019</v>
      </c>
      <c r="F26" s="1525" t="s">
        <v>11020</v>
      </c>
      <c r="G26" s="1525" t="s">
        <v>11021</v>
      </c>
      <c r="H26" s="1525" t="s">
        <v>11022</v>
      </c>
      <c r="I26" s="1525" t="s">
        <v>11023</v>
      </c>
      <c r="J26" s="1525" t="s">
        <v>11024</v>
      </c>
      <c r="K26" s="1525" t="s">
        <v>11025</v>
      </c>
      <c r="L26" s="1525" t="s">
        <v>11026</v>
      </c>
    </row>
    <row r="27">
      <c r="A27" s="1799" t="s">
        <v>2935</v>
      </c>
      <c r="B27" s="1774" t="s">
        <v>8460</v>
      </c>
      <c r="C27" s="1843" t="s">
        <v>11027</v>
      </c>
      <c r="D27" s="1525"/>
      <c r="E27" s="1525" t="s">
        <v>11028</v>
      </c>
      <c r="F27" s="1525" t="s">
        <v>11029</v>
      </c>
      <c r="G27" s="1525"/>
      <c r="H27" s="1525"/>
      <c r="I27" s="1525"/>
      <c r="J27" s="1525"/>
      <c r="K27" s="1525" t="s">
        <v>9546</v>
      </c>
      <c r="L27" s="1525"/>
    </row>
    <row r="28">
      <c r="A28" s="1779" t="s">
        <v>2221</v>
      </c>
      <c r="B28" s="1666" t="s">
        <v>8460</v>
      </c>
      <c r="C28" s="1525" t="s">
        <v>11030</v>
      </c>
      <c r="D28" s="1525" t="s">
        <v>11031</v>
      </c>
      <c r="E28" s="1525" t="s">
        <v>11032</v>
      </c>
      <c r="F28" s="1525" t="s">
        <v>11033</v>
      </c>
      <c r="G28" s="1525" t="s">
        <v>11034</v>
      </c>
      <c r="H28" s="1525" t="s">
        <v>11035</v>
      </c>
      <c r="I28" s="1525" t="s">
        <v>11036</v>
      </c>
      <c r="J28" s="1525" t="s">
        <v>11037</v>
      </c>
      <c r="K28" s="1525" t="s">
        <v>11038</v>
      </c>
      <c r="L28" s="1525" t="s">
        <v>11039</v>
      </c>
    </row>
    <row r="29" ht="15.75" customHeight="1">
      <c r="A29" s="1689" t="s">
        <v>2536</v>
      </c>
      <c r="B29" s="1657" t="s">
        <v>8460</v>
      </c>
      <c r="C29" s="1785" t="s">
        <v>10760</v>
      </c>
      <c r="D29" s="1525" t="s">
        <v>11040</v>
      </c>
      <c r="E29" s="1525" t="s">
        <v>11041</v>
      </c>
      <c r="F29" s="1525" t="s">
        <v>11042</v>
      </c>
      <c r="G29" s="1525" t="s">
        <v>11043</v>
      </c>
      <c r="H29" s="1525" t="s">
        <v>11044</v>
      </c>
      <c r="I29" s="1525" t="s">
        <v>11045</v>
      </c>
      <c r="J29" s="1525" t="s">
        <v>11046</v>
      </c>
      <c r="K29" s="1525" t="s">
        <v>9410</v>
      </c>
      <c r="L29" s="1525"/>
    </row>
    <row r="30" ht="15.75" customHeight="1">
      <c r="A30" s="1707" t="s">
        <v>5370</v>
      </c>
      <c r="B30" s="1589" t="s">
        <v>8430</v>
      </c>
      <c r="C30" s="1843" t="s">
        <v>11047</v>
      </c>
      <c r="D30" s="1525" t="s">
        <v>11048</v>
      </c>
      <c r="E30" s="1525" t="s">
        <v>11049</v>
      </c>
      <c r="F30" s="1525" t="s">
        <v>11050</v>
      </c>
      <c r="G30" s="1525" t="s">
        <v>11051</v>
      </c>
      <c r="H30" s="1525" t="s">
        <v>11052</v>
      </c>
      <c r="I30" s="1525" t="s">
        <v>11053</v>
      </c>
      <c r="J30" s="1525" t="s">
        <v>11054</v>
      </c>
      <c r="K30" s="1525" t="s">
        <v>11055</v>
      </c>
      <c r="L30" s="1525" t="s">
        <v>11056</v>
      </c>
    </row>
    <row r="31" ht="15.75" customHeight="1">
      <c r="A31" s="1707" t="s">
        <v>4859</v>
      </c>
      <c r="B31" s="1589" t="s">
        <v>8460</v>
      </c>
      <c r="C31" s="1843" t="s">
        <v>10846</v>
      </c>
      <c r="D31" s="1525" t="s">
        <v>11057</v>
      </c>
      <c r="E31" s="1525" t="s">
        <v>11058</v>
      </c>
      <c r="F31" s="1525" t="s">
        <v>11059</v>
      </c>
      <c r="G31" s="1525" t="s">
        <v>11060</v>
      </c>
      <c r="H31" s="1525" t="s">
        <v>11061</v>
      </c>
      <c r="I31" s="1525" t="s">
        <v>11062</v>
      </c>
      <c r="J31" s="1525" t="s">
        <v>11063</v>
      </c>
      <c r="K31" s="1525" t="s">
        <v>10501</v>
      </c>
      <c r="L31" s="1525" t="s">
        <v>11064</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11065</v>
      </c>
      <c r="C1" s="1848" t="s">
        <v>43</v>
      </c>
      <c r="D1" s="1849" t="s">
        <v>11066</v>
      </c>
      <c r="E1" s="1848" t="s">
        <v>11067</v>
      </c>
      <c r="F1" s="1850" t="s">
        <v>11068</v>
      </c>
    </row>
    <row r="2">
      <c r="A2" s="1851"/>
      <c r="B2" s="1852"/>
      <c r="C2" s="1852"/>
      <c r="D2" s="1852"/>
      <c r="E2" s="1852"/>
      <c r="F2" s="1852"/>
    </row>
    <row r="3">
      <c r="A3" s="1851"/>
      <c r="B3" s="1852"/>
      <c r="C3" s="1852"/>
      <c r="D3" s="1852"/>
      <c r="E3" s="1852"/>
      <c r="F3" s="1852"/>
    </row>
    <row r="4">
      <c r="A4" s="1853" t="s">
        <v>11069</v>
      </c>
      <c r="B4" s="1854" t="s">
        <v>11070</v>
      </c>
      <c r="C4" s="1855"/>
      <c r="D4" s="1855"/>
      <c r="E4" s="1855"/>
      <c r="F4" s="1856"/>
    </row>
    <row r="5">
      <c r="A5" s="1852"/>
      <c r="B5" s="1857"/>
      <c r="C5" s="1858"/>
      <c r="D5" s="1858"/>
      <c r="E5" s="1858"/>
      <c r="F5" s="1859"/>
    </row>
    <row r="6">
      <c r="A6" s="1860" t="s">
        <v>11070</v>
      </c>
      <c r="B6" s="1861" t="s">
        <v>11071</v>
      </c>
      <c r="C6" s="1862" t="s">
        <v>4258</v>
      </c>
      <c r="D6" s="1863" t="s">
        <v>11072</v>
      </c>
      <c r="E6" s="1862" t="s">
        <v>11073</v>
      </c>
      <c r="F6" s="1864">
        <v>44233.0</v>
      </c>
    </row>
    <row r="7">
      <c r="A7" s="1860" t="s">
        <v>11074</v>
      </c>
      <c r="B7" s="1865" t="s">
        <v>11075</v>
      </c>
      <c r="C7" s="1862" t="s">
        <v>827</v>
      </c>
      <c r="D7" s="1863" t="s">
        <v>11076</v>
      </c>
      <c r="E7" s="1862" t="s">
        <v>11073</v>
      </c>
      <c r="F7" s="1864">
        <v>43878.0</v>
      </c>
    </row>
    <row r="8">
      <c r="A8" s="1860" t="s">
        <v>11077</v>
      </c>
      <c r="B8" s="1866" t="s">
        <v>11078</v>
      </c>
      <c r="C8" s="1862" t="s">
        <v>330</v>
      </c>
      <c r="D8" s="1863" t="s">
        <v>11079</v>
      </c>
      <c r="E8" s="1862" t="s">
        <v>11073</v>
      </c>
      <c r="F8" s="1864">
        <v>43879.0</v>
      </c>
    </row>
    <row r="9">
      <c r="A9" s="1860" t="s">
        <v>11080</v>
      </c>
      <c r="B9" s="1867" t="s">
        <v>11081</v>
      </c>
      <c r="C9" s="1862" t="s">
        <v>3981</v>
      </c>
      <c r="D9" s="1863" t="s">
        <v>11082</v>
      </c>
      <c r="E9" s="1862" t="s">
        <v>11083</v>
      </c>
      <c r="F9" s="1864">
        <v>44084.0</v>
      </c>
    </row>
    <row r="10">
      <c r="A10" s="1860" t="s">
        <v>11084</v>
      </c>
      <c r="B10" s="1867" t="s">
        <v>11085</v>
      </c>
      <c r="C10" s="1868"/>
      <c r="D10" s="1869"/>
      <c r="E10" s="1868"/>
      <c r="F10" s="1868"/>
    </row>
    <row r="11">
      <c r="A11" s="1860" t="s">
        <v>11086</v>
      </c>
      <c r="B11" s="1854" t="s">
        <v>11074</v>
      </c>
      <c r="C11" s="1855"/>
      <c r="D11" s="1855"/>
      <c r="E11" s="1855"/>
      <c r="F11" s="1856"/>
    </row>
    <row r="12">
      <c r="A12" s="1860" t="s">
        <v>11087</v>
      </c>
      <c r="B12" s="1857"/>
      <c r="C12" s="1858"/>
      <c r="D12" s="1858"/>
      <c r="E12" s="1858"/>
      <c r="F12" s="1859"/>
    </row>
    <row r="13">
      <c r="A13" s="1860" t="s">
        <v>11088</v>
      </c>
      <c r="B13" s="1861" t="s">
        <v>11071</v>
      </c>
      <c r="C13" s="1862" t="s">
        <v>4258</v>
      </c>
      <c r="D13" s="1863" t="s">
        <v>11089</v>
      </c>
      <c r="E13" s="1862" t="s">
        <v>11073</v>
      </c>
      <c r="F13" s="1864">
        <v>44250.0</v>
      </c>
    </row>
    <row r="14" ht="15.75" customHeight="1">
      <c r="A14" s="1860" t="s">
        <v>11090</v>
      </c>
      <c r="B14" s="1865" t="s">
        <v>11075</v>
      </c>
      <c r="C14" s="1862" t="s">
        <v>4207</v>
      </c>
      <c r="D14" s="1863" t="s">
        <v>11091</v>
      </c>
      <c r="E14" s="1862" t="s">
        <v>11073</v>
      </c>
      <c r="F14" s="1864">
        <v>43364.0</v>
      </c>
    </row>
    <row r="15">
      <c r="A15" s="1860" t="s">
        <v>11092</v>
      </c>
      <c r="B15" s="1866" t="s">
        <v>11078</v>
      </c>
      <c r="C15" s="1862" t="s">
        <v>11093</v>
      </c>
      <c r="D15" s="1863" t="s">
        <v>11094</v>
      </c>
      <c r="E15" s="1862" t="s">
        <v>11083</v>
      </c>
      <c r="F15" s="1864">
        <v>43757.0</v>
      </c>
    </row>
    <row r="16">
      <c r="A16" s="1860" t="s">
        <v>11095</v>
      </c>
      <c r="B16" s="1867" t="s">
        <v>11081</v>
      </c>
      <c r="C16" s="1862" t="s">
        <v>11096</v>
      </c>
      <c r="D16" s="1863" t="s">
        <v>11097</v>
      </c>
      <c r="E16" s="1862" t="s">
        <v>11083</v>
      </c>
      <c r="F16" s="1864">
        <v>43438.0</v>
      </c>
    </row>
    <row r="17">
      <c r="A17" s="1860" t="s">
        <v>11098</v>
      </c>
      <c r="B17" s="1867" t="s">
        <v>11085</v>
      </c>
      <c r="C17" s="1868"/>
      <c r="D17" s="1869"/>
      <c r="E17" s="1868"/>
      <c r="F17" s="1868"/>
    </row>
    <row r="18">
      <c r="A18" s="1860" t="s">
        <v>11099</v>
      </c>
      <c r="B18" s="1870" t="s">
        <v>11077</v>
      </c>
      <c r="C18" s="1855"/>
      <c r="D18" s="1855"/>
      <c r="E18" s="1855"/>
      <c r="F18" s="1856"/>
    </row>
    <row r="19">
      <c r="A19" s="1860" t="s">
        <v>11100</v>
      </c>
      <c r="B19" s="1858"/>
      <c r="C19" s="1858"/>
      <c r="D19" s="1858"/>
      <c r="E19" s="1858"/>
      <c r="F19" s="1859"/>
    </row>
    <row r="20">
      <c r="A20" s="1871"/>
      <c r="B20" s="1861" t="s">
        <v>11071</v>
      </c>
      <c r="C20" s="1862" t="s">
        <v>11101</v>
      </c>
      <c r="D20" s="1863" t="s">
        <v>11102</v>
      </c>
      <c r="E20" s="1862" t="s">
        <v>11073</v>
      </c>
      <c r="F20" s="1864">
        <v>44021.0</v>
      </c>
    </row>
    <row r="21">
      <c r="A21" s="1871"/>
      <c r="B21" s="1865" t="s">
        <v>11075</v>
      </c>
      <c r="C21" s="1862" t="s">
        <v>5189</v>
      </c>
      <c r="D21" s="1863" t="s">
        <v>11103</v>
      </c>
      <c r="E21" s="1862" t="s">
        <v>11083</v>
      </c>
      <c r="F21" s="1864">
        <v>44022.0</v>
      </c>
    </row>
    <row r="22">
      <c r="A22" s="1872"/>
      <c r="B22" s="1866" t="s">
        <v>11078</v>
      </c>
      <c r="C22" s="1862" t="s">
        <v>11104</v>
      </c>
      <c r="D22" s="1863" t="s">
        <v>11105</v>
      </c>
      <c r="E22" s="1862" t="s">
        <v>11106</v>
      </c>
      <c r="F22" s="1864">
        <v>43884.0</v>
      </c>
    </row>
    <row r="23">
      <c r="A23" s="1872"/>
      <c r="B23" s="1867" t="s">
        <v>11081</v>
      </c>
      <c r="C23" s="1862" t="s">
        <v>5370</v>
      </c>
      <c r="D23" s="1863" t="s">
        <v>11107</v>
      </c>
      <c r="E23" s="1862" t="s">
        <v>11073</v>
      </c>
      <c r="F23" s="1864">
        <v>43892.0</v>
      </c>
    </row>
    <row r="24">
      <c r="A24" s="1872"/>
      <c r="B24" s="1867" t="s">
        <v>11085</v>
      </c>
      <c r="C24" s="1868"/>
      <c r="D24" s="1869"/>
      <c r="E24" s="1868"/>
      <c r="F24" s="1868"/>
    </row>
    <row r="25">
      <c r="A25" s="1872"/>
      <c r="B25" s="1854" t="s">
        <v>11080</v>
      </c>
      <c r="C25" s="1855"/>
      <c r="D25" s="1855"/>
      <c r="E25" s="1855"/>
      <c r="F25" s="1856"/>
    </row>
    <row r="26">
      <c r="A26" s="1872"/>
      <c r="B26" s="1857"/>
      <c r="C26" s="1858"/>
      <c r="D26" s="1858"/>
      <c r="E26" s="1858"/>
      <c r="F26" s="1859"/>
    </row>
    <row r="27">
      <c r="A27" s="1872"/>
      <c r="B27" s="1873" t="s">
        <v>11108</v>
      </c>
      <c r="C27" s="1855"/>
      <c r="D27" s="1855"/>
      <c r="E27" s="1855"/>
      <c r="F27" s="1856"/>
    </row>
    <row r="28">
      <c r="A28" s="1872"/>
      <c r="B28" s="1857"/>
      <c r="C28" s="1858"/>
      <c r="D28" s="1858"/>
      <c r="E28" s="1858"/>
      <c r="F28" s="1859"/>
    </row>
    <row r="29">
      <c r="A29" s="1872"/>
      <c r="B29" s="1861" t="s">
        <v>11071</v>
      </c>
      <c r="C29" s="1874" t="s">
        <v>435</v>
      </c>
      <c r="D29" s="1863" t="s">
        <v>11109</v>
      </c>
      <c r="E29" s="1862" t="s">
        <v>11073</v>
      </c>
      <c r="F29" s="1864">
        <v>43659.0</v>
      </c>
    </row>
    <row r="30">
      <c r="A30" s="1872"/>
      <c r="B30" s="1865" t="s">
        <v>11075</v>
      </c>
      <c r="C30" s="1862" t="s">
        <v>1631</v>
      </c>
      <c r="D30" s="1863" t="s">
        <v>11110</v>
      </c>
      <c r="E30" s="1862" t="s">
        <v>11073</v>
      </c>
      <c r="F30" s="1864">
        <v>43228.0</v>
      </c>
    </row>
    <row r="31">
      <c r="A31" s="1872"/>
      <c r="B31" s="1866" t="s">
        <v>11078</v>
      </c>
      <c r="C31" s="1868"/>
      <c r="D31" s="1875"/>
      <c r="E31" s="1868"/>
      <c r="F31" s="1868"/>
    </row>
    <row r="32">
      <c r="A32" s="1872"/>
      <c r="B32" s="1867" t="s">
        <v>11081</v>
      </c>
      <c r="C32" s="1868"/>
      <c r="D32" s="1875"/>
      <c r="E32" s="1868"/>
      <c r="F32" s="1868"/>
    </row>
    <row r="33">
      <c r="A33" s="1872"/>
      <c r="B33" s="1867" t="s">
        <v>11085</v>
      </c>
      <c r="C33" s="1868"/>
      <c r="D33" s="1875"/>
      <c r="E33" s="1868"/>
      <c r="F33" s="1868"/>
    </row>
    <row r="34">
      <c r="A34" s="1872"/>
      <c r="B34" s="1873" t="s">
        <v>11111</v>
      </c>
      <c r="C34" s="1855"/>
      <c r="D34" s="1855"/>
      <c r="E34" s="1855"/>
      <c r="F34" s="1856"/>
    </row>
    <row r="35">
      <c r="A35" s="1872"/>
      <c r="B35" s="1857"/>
      <c r="C35" s="1858"/>
      <c r="D35" s="1858"/>
      <c r="E35" s="1858"/>
      <c r="F35" s="1859"/>
    </row>
    <row r="36">
      <c r="A36" s="1872"/>
      <c r="B36" s="1861" t="s">
        <v>11071</v>
      </c>
      <c r="C36" s="1862" t="s">
        <v>1631</v>
      </c>
      <c r="D36" s="1863" t="s">
        <v>11112</v>
      </c>
      <c r="E36" s="1862" t="s">
        <v>11073</v>
      </c>
      <c r="F36" s="1864">
        <v>43352.0</v>
      </c>
    </row>
    <row r="37">
      <c r="A37" s="1872"/>
      <c r="B37" s="1865" t="s">
        <v>11075</v>
      </c>
      <c r="C37" s="1862" t="s">
        <v>11113</v>
      </c>
      <c r="D37" s="1863" t="s">
        <v>11114</v>
      </c>
      <c r="E37" s="1862" t="s">
        <v>11073</v>
      </c>
      <c r="F37" s="1864">
        <v>43799.0</v>
      </c>
    </row>
    <row r="38">
      <c r="A38" s="1872"/>
      <c r="B38" s="1866" t="s">
        <v>11078</v>
      </c>
      <c r="C38" s="1868"/>
      <c r="D38" s="1869"/>
      <c r="E38" s="1868"/>
      <c r="F38" s="1868"/>
    </row>
    <row r="39">
      <c r="A39" s="1872"/>
      <c r="B39" s="1867" t="s">
        <v>11081</v>
      </c>
      <c r="C39" s="1868"/>
      <c r="D39" s="1869"/>
      <c r="E39" s="1868"/>
      <c r="F39" s="1868"/>
    </row>
    <row r="40">
      <c r="A40" s="1872"/>
      <c r="B40" s="1867" t="s">
        <v>11085</v>
      </c>
      <c r="C40" s="1868"/>
      <c r="D40" s="1869"/>
      <c r="E40" s="1868"/>
      <c r="F40" s="1868"/>
    </row>
    <row r="41">
      <c r="A41" s="1872"/>
      <c r="B41" s="1854" t="s">
        <v>11084</v>
      </c>
      <c r="C41" s="1855"/>
      <c r="D41" s="1855"/>
      <c r="E41" s="1855"/>
      <c r="F41" s="1856"/>
    </row>
    <row r="42">
      <c r="A42" s="1872"/>
      <c r="B42" s="1857"/>
      <c r="C42" s="1858"/>
      <c r="D42" s="1858"/>
      <c r="E42" s="1858"/>
      <c r="F42" s="1859"/>
    </row>
    <row r="43">
      <c r="A43" s="1872"/>
      <c r="B43" s="1861" t="s">
        <v>11071</v>
      </c>
      <c r="C43" s="1862" t="s">
        <v>7125</v>
      </c>
      <c r="D43" s="1876" t="s">
        <v>11115</v>
      </c>
      <c r="E43" s="1862" t="s">
        <v>11073</v>
      </c>
      <c r="F43" s="1877">
        <v>44511.0</v>
      </c>
    </row>
    <row r="44">
      <c r="A44" s="1872"/>
      <c r="B44" s="1865" t="s">
        <v>11075</v>
      </c>
      <c r="C44" s="1862" t="s">
        <v>11113</v>
      </c>
      <c r="D44" s="1876" t="s">
        <v>11116</v>
      </c>
      <c r="E44" s="1862" t="s">
        <v>11073</v>
      </c>
      <c r="F44" s="1877">
        <v>43740.0</v>
      </c>
    </row>
    <row r="45">
      <c r="A45" s="1872"/>
      <c r="B45" s="1866" t="s">
        <v>11078</v>
      </c>
      <c r="C45" s="1862" t="s">
        <v>10185</v>
      </c>
      <c r="D45" s="1876" t="s">
        <v>11117</v>
      </c>
      <c r="E45" s="1862" t="s">
        <v>11073</v>
      </c>
      <c r="F45" s="1877">
        <v>42098.0</v>
      </c>
    </row>
    <row r="46">
      <c r="A46" s="1872"/>
      <c r="B46" s="1867" t="s">
        <v>11081</v>
      </c>
      <c r="C46" s="1862"/>
      <c r="D46" s="1876"/>
      <c r="E46" s="1862"/>
      <c r="F46" s="1877"/>
    </row>
    <row r="47">
      <c r="A47" s="1872"/>
      <c r="B47" s="1867" t="s">
        <v>11085</v>
      </c>
      <c r="C47" s="1868"/>
      <c r="D47" s="1878"/>
      <c r="E47" s="1868"/>
      <c r="F47" s="1872"/>
    </row>
    <row r="48">
      <c r="A48" s="1872"/>
      <c r="B48" s="1854" t="s">
        <v>11086</v>
      </c>
      <c r="C48" s="1855"/>
      <c r="D48" s="1855"/>
      <c r="E48" s="1855"/>
      <c r="F48" s="1856"/>
    </row>
    <row r="49">
      <c r="A49" s="1872"/>
      <c r="B49" s="1857"/>
      <c r="C49" s="1858"/>
      <c r="D49" s="1858"/>
      <c r="E49" s="1858"/>
      <c r="F49" s="1859"/>
    </row>
    <row r="50">
      <c r="A50" s="1872"/>
      <c r="B50" s="1861" t="s">
        <v>11071</v>
      </c>
      <c r="C50" s="1862" t="s">
        <v>11118</v>
      </c>
      <c r="D50" s="1876" t="s">
        <v>11119</v>
      </c>
      <c r="E50" s="1862" t="s">
        <v>11120</v>
      </c>
      <c r="F50" s="1877">
        <v>43395.0</v>
      </c>
    </row>
    <row r="51">
      <c r="A51" s="1872"/>
      <c r="B51" s="1865" t="s">
        <v>11075</v>
      </c>
      <c r="C51" s="1862" t="s">
        <v>2255</v>
      </c>
      <c r="D51" s="1876" t="s">
        <v>11121</v>
      </c>
      <c r="E51" s="1862" t="s">
        <v>11083</v>
      </c>
      <c r="F51" s="1877">
        <v>43376.0</v>
      </c>
    </row>
    <row r="52">
      <c r="A52" s="1872"/>
      <c r="B52" s="1866" t="s">
        <v>11078</v>
      </c>
      <c r="C52" s="1868"/>
      <c r="D52" s="1878"/>
      <c r="E52" s="1868"/>
      <c r="F52" s="1872"/>
    </row>
    <row r="53">
      <c r="A53" s="1872"/>
      <c r="B53" s="1867" t="s">
        <v>11081</v>
      </c>
      <c r="C53" s="1868"/>
      <c r="D53" s="1878"/>
      <c r="E53" s="1868"/>
      <c r="F53" s="1872"/>
    </row>
    <row r="54">
      <c r="A54" s="1872"/>
      <c r="B54" s="1867" t="s">
        <v>11085</v>
      </c>
      <c r="C54" s="1868"/>
      <c r="D54" s="1878"/>
      <c r="E54" s="1868"/>
      <c r="F54" s="1872"/>
    </row>
    <row r="55">
      <c r="A55" s="1872"/>
      <c r="B55" s="1854" t="s">
        <v>11087</v>
      </c>
      <c r="C55" s="1855"/>
      <c r="D55" s="1855"/>
      <c r="E55" s="1855"/>
      <c r="F55" s="1856"/>
    </row>
    <row r="56">
      <c r="A56" s="1872"/>
      <c r="B56" s="1857"/>
      <c r="C56" s="1858"/>
      <c r="D56" s="1858"/>
      <c r="E56" s="1858"/>
      <c r="F56" s="1859"/>
    </row>
    <row r="57">
      <c r="A57" s="1872"/>
      <c r="B57" s="1879" t="s">
        <v>11122</v>
      </c>
      <c r="C57" s="1855"/>
      <c r="D57" s="1855"/>
      <c r="E57" s="1855"/>
      <c r="F57" s="1856"/>
    </row>
    <row r="58">
      <c r="A58" s="1872"/>
      <c r="B58" s="1857"/>
      <c r="C58" s="1858"/>
      <c r="D58" s="1858"/>
      <c r="E58" s="1858"/>
      <c r="F58" s="1859"/>
    </row>
    <row r="59">
      <c r="A59" s="1872"/>
      <c r="B59" s="1861" t="s">
        <v>11071</v>
      </c>
      <c r="C59" s="1880" t="s">
        <v>435</v>
      </c>
      <c r="D59" s="1876" t="s">
        <v>11123</v>
      </c>
      <c r="E59" s="1862" t="s">
        <v>11073</v>
      </c>
      <c r="F59" s="1877">
        <v>43758.0</v>
      </c>
    </row>
    <row r="60">
      <c r="A60" s="1872"/>
      <c r="B60" s="1865" t="s">
        <v>11075</v>
      </c>
      <c r="C60" s="1868"/>
      <c r="D60" s="1878"/>
      <c r="E60" s="1868"/>
      <c r="F60" s="1872"/>
    </row>
    <row r="61">
      <c r="A61" s="1872"/>
      <c r="B61" s="1866" t="s">
        <v>11078</v>
      </c>
      <c r="C61" s="1868"/>
      <c r="D61" s="1878"/>
      <c r="E61" s="1868"/>
      <c r="F61" s="1872"/>
    </row>
    <row r="62">
      <c r="A62" s="1872"/>
      <c r="B62" s="1867" t="s">
        <v>11081</v>
      </c>
      <c r="C62" s="1868"/>
      <c r="D62" s="1878"/>
      <c r="E62" s="1868"/>
      <c r="F62" s="1872"/>
    </row>
    <row r="63">
      <c r="A63" s="1872"/>
      <c r="B63" s="1867" t="s">
        <v>11085</v>
      </c>
      <c r="C63" s="1868"/>
      <c r="D63" s="1878"/>
      <c r="E63" s="1868"/>
      <c r="F63" s="1872"/>
    </row>
    <row r="64">
      <c r="A64" s="1872"/>
      <c r="B64" s="1879" t="s">
        <v>11111</v>
      </c>
      <c r="C64" s="1855"/>
      <c r="D64" s="1855"/>
      <c r="E64" s="1855"/>
      <c r="F64" s="1856"/>
    </row>
    <row r="65">
      <c r="A65" s="1872"/>
      <c r="B65" s="1857"/>
      <c r="C65" s="1858"/>
      <c r="D65" s="1858"/>
      <c r="E65" s="1858"/>
      <c r="F65" s="1859"/>
    </row>
    <row r="66">
      <c r="A66" s="1872"/>
      <c r="B66" s="1861" t="s">
        <v>11071</v>
      </c>
      <c r="C66" s="1862" t="s">
        <v>11124</v>
      </c>
      <c r="D66" s="1881" t="s">
        <v>11125</v>
      </c>
      <c r="E66" s="1862" t="s">
        <v>11073</v>
      </c>
      <c r="F66" s="1877">
        <v>44805.0</v>
      </c>
    </row>
    <row r="67">
      <c r="A67" s="1872"/>
      <c r="B67" s="1865" t="s">
        <v>11075</v>
      </c>
      <c r="C67" s="1862" t="s">
        <v>11126</v>
      </c>
      <c r="D67" s="1876" t="s">
        <v>11127</v>
      </c>
      <c r="E67" s="1862" t="s">
        <v>11073</v>
      </c>
      <c r="F67" s="1877">
        <v>43307.0</v>
      </c>
    </row>
    <row r="68">
      <c r="A68" s="1872"/>
      <c r="B68" s="1866" t="s">
        <v>11078</v>
      </c>
      <c r="C68" s="1868"/>
      <c r="D68" s="1878"/>
      <c r="E68" s="1868"/>
      <c r="F68" s="1872"/>
    </row>
    <row r="69">
      <c r="A69" s="1872"/>
      <c r="B69" s="1867" t="s">
        <v>11081</v>
      </c>
      <c r="C69" s="1868"/>
      <c r="D69" s="1878"/>
      <c r="E69" s="1868"/>
      <c r="F69" s="1872"/>
    </row>
    <row r="70">
      <c r="A70" s="1872"/>
      <c r="B70" s="1867" t="s">
        <v>11085</v>
      </c>
      <c r="C70" s="1868"/>
      <c r="D70" s="1878"/>
      <c r="E70" s="1868"/>
      <c r="F70" s="1872"/>
    </row>
    <row r="71">
      <c r="A71" s="1872"/>
      <c r="B71" s="1854" t="s">
        <v>11088</v>
      </c>
      <c r="C71" s="1855"/>
      <c r="D71" s="1855"/>
      <c r="E71" s="1855"/>
      <c r="F71" s="1856"/>
    </row>
    <row r="72">
      <c r="A72" s="1872"/>
      <c r="B72" s="1857"/>
      <c r="C72" s="1858"/>
      <c r="D72" s="1858"/>
      <c r="E72" s="1858"/>
      <c r="F72" s="1859"/>
    </row>
    <row r="73">
      <c r="A73" s="1872"/>
      <c r="B73" s="1879" t="s">
        <v>11128</v>
      </c>
      <c r="C73" s="1855"/>
      <c r="D73" s="1855"/>
      <c r="E73" s="1855"/>
      <c r="F73" s="1856"/>
    </row>
    <row r="74">
      <c r="A74" s="1872"/>
      <c r="B74" s="1857"/>
      <c r="C74" s="1858"/>
      <c r="D74" s="1858"/>
      <c r="E74" s="1858"/>
      <c r="F74" s="1859"/>
    </row>
    <row r="75">
      <c r="A75" s="1872"/>
      <c r="B75" s="1861" t="s">
        <v>11071</v>
      </c>
      <c r="C75" s="1862" t="s">
        <v>4258</v>
      </c>
      <c r="D75" s="1876" t="s">
        <v>11129</v>
      </c>
      <c r="E75" s="1862" t="s">
        <v>11073</v>
      </c>
      <c r="F75" s="1877">
        <v>44246.0</v>
      </c>
    </row>
    <row r="76">
      <c r="A76" s="1872"/>
      <c r="B76" s="1865" t="s">
        <v>11075</v>
      </c>
      <c r="C76" s="1862" t="s">
        <v>11118</v>
      </c>
      <c r="D76" s="1876" t="s">
        <v>11130</v>
      </c>
      <c r="E76" s="1862" t="s">
        <v>11120</v>
      </c>
      <c r="F76" s="1877">
        <v>43637.0</v>
      </c>
    </row>
    <row r="77">
      <c r="A77" s="1872"/>
      <c r="B77" s="1866" t="s">
        <v>11078</v>
      </c>
      <c r="C77" s="1868"/>
      <c r="D77" s="1878"/>
      <c r="E77" s="1868"/>
      <c r="F77" s="1872"/>
    </row>
    <row r="78">
      <c r="A78" s="1872"/>
      <c r="B78" s="1867" t="s">
        <v>11081</v>
      </c>
      <c r="C78" s="1868"/>
      <c r="D78" s="1878"/>
      <c r="E78" s="1868"/>
      <c r="F78" s="1872"/>
    </row>
    <row r="79">
      <c r="A79" s="1872"/>
      <c r="B79" s="1867" t="s">
        <v>11085</v>
      </c>
      <c r="C79" s="1868"/>
      <c r="D79" s="1878"/>
      <c r="E79" s="1868"/>
      <c r="F79" s="1872"/>
    </row>
    <row r="80">
      <c r="A80" s="1872"/>
      <c r="B80" s="1879" t="s">
        <v>11131</v>
      </c>
      <c r="C80" s="1855"/>
      <c r="D80" s="1855"/>
      <c r="E80" s="1855"/>
      <c r="F80" s="1856"/>
    </row>
    <row r="81">
      <c r="A81" s="1872"/>
      <c r="B81" s="1857"/>
      <c r="C81" s="1858"/>
      <c r="D81" s="1858"/>
      <c r="E81" s="1858"/>
      <c r="F81" s="1859"/>
    </row>
    <row r="82">
      <c r="A82" s="1872"/>
      <c r="B82" s="1861" t="s">
        <v>11071</v>
      </c>
      <c r="C82" s="1862" t="s">
        <v>6172</v>
      </c>
      <c r="D82" s="1876" t="s">
        <v>11132</v>
      </c>
      <c r="E82" s="1862" t="s">
        <v>11073</v>
      </c>
      <c r="F82" s="1877">
        <v>43592.0</v>
      </c>
    </row>
    <row r="83">
      <c r="A83" s="1872"/>
      <c r="B83" s="1865" t="s">
        <v>11075</v>
      </c>
      <c r="C83" s="1862" t="s">
        <v>11133</v>
      </c>
      <c r="D83" s="1876" t="s">
        <v>11134</v>
      </c>
      <c r="E83" s="1862" t="s">
        <v>11073</v>
      </c>
      <c r="F83" s="1877">
        <v>43396.0</v>
      </c>
    </row>
    <row r="84">
      <c r="A84" s="1872"/>
      <c r="B84" s="1866" t="s">
        <v>11078</v>
      </c>
      <c r="C84" s="1868"/>
      <c r="D84" s="1878"/>
      <c r="E84" s="1868"/>
      <c r="F84" s="1872"/>
    </row>
    <row r="85">
      <c r="A85" s="1872"/>
      <c r="B85" s="1867" t="s">
        <v>11081</v>
      </c>
      <c r="C85" s="1868"/>
      <c r="D85" s="1878"/>
      <c r="E85" s="1868"/>
      <c r="F85" s="1872"/>
    </row>
    <row r="86">
      <c r="A86" s="1872"/>
      <c r="B86" s="1867" t="s">
        <v>11085</v>
      </c>
      <c r="C86" s="1868"/>
      <c r="D86" s="1878"/>
      <c r="E86" s="1868"/>
      <c r="F86" s="1872"/>
    </row>
    <row r="87">
      <c r="A87" s="1872"/>
      <c r="B87" s="1854" t="s">
        <v>11090</v>
      </c>
      <c r="C87" s="1855"/>
      <c r="D87" s="1855"/>
      <c r="E87" s="1855"/>
      <c r="F87" s="1856"/>
    </row>
    <row r="88">
      <c r="A88" s="1872"/>
      <c r="B88" s="1857"/>
      <c r="C88" s="1858"/>
      <c r="D88" s="1858"/>
      <c r="E88" s="1858"/>
      <c r="F88" s="1859"/>
    </row>
    <row r="89">
      <c r="A89" s="1872"/>
      <c r="B89" s="1861" t="s">
        <v>11071</v>
      </c>
      <c r="C89" s="1880" t="s">
        <v>435</v>
      </c>
      <c r="D89" s="1876" t="s">
        <v>11135</v>
      </c>
      <c r="E89" s="1862" t="s">
        <v>11073</v>
      </c>
      <c r="F89" s="1877">
        <v>43457.0</v>
      </c>
    </row>
    <row r="90">
      <c r="A90" s="1872"/>
      <c r="B90" s="1865" t="s">
        <v>11075</v>
      </c>
      <c r="C90" s="1862" t="s">
        <v>2454</v>
      </c>
      <c r="D90" s="1876" t="s">
        <v>11136</v>
      </c>
      <c r="E90" s="1862" t="s">
        <v>11073</v>
      </c>
      <c r="F90" s="1877">
        <v>43925.0</v>
      </c>
    </row>
    <row r="91">
      <c r="A91" s="1872"/>
      <c r="B91" s="1866" t="s">
        <v>11078</v>
      </c>
      <c r="C91" s="1862" t="s">
        <v>4701</v>
      </c>
      <c r="D91" s="1876" t="s">
        <v>11137</v>
      </c>
      <c r="E91" s="1862" t="s">
        <v>11106</v>
      </c>
      <c r="F91" s="1877">
        <v>43433.0</v>
      </c>
    </row>
    <row r="92">
      <c r="A92" s="1872"/>
      <c r="B92" s="1867" t="s">
        <v>11081</v>
      </c>
      <c r="C92" s="1868"/>
      <c r="D92" s="1878"/>
      <c r="E92" s="1868"/>
      <c r="F92" s="1872"/>
    </row>
    <row r="93">
      <c r="A93" s="1872"/>
      <c r="B93" s="1867" t="s">
        <v>11085</v>
      </c>
      <c r="C93" s="1868"/>
      <c r="D93" s="1878"/>
      <c r="E93" s="1868"/>
      <c r="F93" s="1872"/>
    </row>
    <row r="94">
      <c r="A94" s="1872"/>
      <c r="B94" s="1854" t="s">
        <v>11092</v>
      </c>
      <c r="C94" s="1855"/>
      <c r="D94" s="1855"/>
      <c r="E94" s="1855"/>
      <c r="F94" s="1856"/>
    </row>
    <row r="95">
      <c r="A95" s="1872"/>
      <c r="B95" s="1857"/>
      <c r="C95" s="1858"/>
      <c r="D95" s="1858"/>
      <c r="E95" s="1858"/>
      <c r="F95" s="1859"/>
    </row>
    <row r="96">
      <c r="A96" s="1872"/>
      <c r="B96" s="1879" t="s">
        <v>11138</v>
      </c>
      <c r="C96" s="1855"/>
      <c r="D96" s="1855"/>
      <c r="E96" s="1855"/>
      <c r="F96" s="1856"/>
    </row>
    <row r="97">
      <c r="A97" s="1872"/>
      <c r="B97" s="1857"/>
      <c r="C97" s="1858"/>
      <c r="D97" s="1858"/>
      <c r="E97" s="1858"/>
      <c r="F97" s="1859"/>
    </row>
    <row r="98">
      <c r="A98" s="1872"/>
      <c r="B98" s="1861" t="s">
        <v>11071</v>
      </c>
      <c r="C98" s="1862" t="s">
        <v>11113</v>
      </c>
      <c r="D98" s="1876" t="s">
        <v>11139</v>
      </c>
      <c r="E98" s="1862" t="s">
        <v>11073</v>
      </c>
      <c r="F98" s="1877">
        <v>43862.0</v>
      </c>
    </row>
    <row r="99">
      <c r="A99" s="1872"/>
      <c r="B99" s="1865" t="s">
        <v>11075</v>
      </c>
      <c r="C99" s="1868"/>
      <c r="D99" s="1878"/>
      <c r="E99" s="1868"/>
      <c r="F99" s="1872"/>
    </row>
    <row r="100">
      <c r="A100" s="1872"/>
      <c r="B100" s="1866" t="s">
        <v>11078</v>
      </c>
      <c r="C100" s="1868"/>
      <c r="D100" s="1878"/>
      <c r="E100" s="1868"/>
      <c r="F100" s="1872"/>
    </row>
    <row r="101">
      <c r="A101" s="1872"/>
      <c r="B101" s="1867" t="s">
        <v>11081</v>
      </c>
      <c r="C101" s="1868"/>
      <c r="D101" s="1878"/>
      <c r="E101" s="1868"/>
      <c r="F101" s="1872"/>
    </row>
    <row r="102">
      <c r="A102" s="1872"/>
      <c r="B102" s="1867" t="s">
        <v>11085</v>
      </c>
      <c r="C102" s="1868"/>
      <c r="D102" s="1878"/>
      <c r="E102" s="1868"/>
      <c r="F102" s="1872"/>
    </row>
    <row r="103">
      <c r="A103" s="1872"/>
      <c r="B103" s="1879" t="s">
        <v>11140</v>
      </c>
      <c r="C103" s="1855"/>
      <c r="D103" s="1855"/>
      <c r="E103" s="1855"/>
      <c r="F103" s="1856"/>
    </row>
    <row r="104">
      <c r="A104" s="1872"/>
      <c r="B104" s="1857"/>
      <c r="C104" s="1858"/>
      <c r="D104" s="1858"/>
      <c r="E104" s="1858"/>
      <c r="F104" s="1859"/>
    </row>
    <row r="105">
      <c r="A105" s="1872"/>
      <c r="B105" s="1861" t="s">
        <v>11071</v>
      </c>
      <c r="C105" s="1862" t="s">
        <v>11113</v>
      </c>
      <c r="D105" s="1876" t="s">
        <v>11141</v>
      </c>
      <c r="E105" s="1862" t="s">
        <v>11073</v>
      </c>
      <c r="F105" s="1877">
        <v>43862.0</v>
      </c>
    </row>
    <row r="106">
      <c r="A106" s="1872"/>
      <c r="B106" s="1865" t="s">
        <v>11075</v>
      </c>
      <c r="C106" s="1882" t="s">
        <v>6059</v>
      </c>
      <c r="D106" s="1876" t="s">
        <v>11142</v>
      </c>
      <c r="E106" s="1862" t="s">
        <v>11120</v>
      </c>
      <c r="F106" s="1877">
        <v>43630.0</v>
      </c>
    </row>
    <row r="107">
      <c r="A107" s="1872"/>
      <c r="B107" s="1866" t="s">
        <v>11078</v>
      </c>
      <c r="C107" s="1868"/>
      <c r="D107" s="1878"/>
      <c r="E107" s="1868"/>
      <c r="F107" s="1872"/>
    </row>
    <row r="108">
      <c r="A108" s="1872"/>
      <c r="B108" s="1867" t="s">
        <v>11081</v>
      </c>
      <c r="C108" s="1868"/>
      <c r="D108" s="1878"/>
      <c r="E108" s="1868"/>
      <c r="F108" s="1872"/>
    </row>
    <row r="109">
      <c r="A109" s="1872"/>
      <c r="B109" s="1867" t="s">
        <v>11085</v>
      </c>
      <c r="C109" s="1868"/>
      <c r="D109" s="1878"/>
      <c r="E109" s="1868"/>
      <c r="F109" s="1872"/>
    </row>
    <row r="110">
      <c r="A110" s="1872"/>
      <c r="B110" s="1854" t="s">
        <v>11095</v>
      </c>
      <c r="C110" s="1855"/>
      <c r="D110" s="1855"/>
      <c r="E110" s="1855"/>
      <c r="F110" s="1856"/>
    </row>
    <row r="111">
      <c r="A111" s="1872"/>
      <c r="B111" s="1857"/>
      <c r="C111" s="1858"/>
      <c r="D111" s="1858"/>
      <c r="E111" s="1858"/>
      <c r="F111" s="1859"/>
    </row>
    <row r="112">
      <c r="A112" s="1872"/>
      <c r="B112" s="1861" t="s">
        <v>11071</v>
      </c>
      <c r="C112" s="1862" t="s">
        <v>5189</v>
      </c>
      <c r="D112" s="1876" t="s">
        <v>11143</v>
      </c>
      <c r="E112" s="1862" t="s">
        <v>11083</v>
      </c>
      <c r="F112" s="1877">
        <v>44132.0</v>
      </c>
    </row>
    <row r="113">
      <c r="A113" s="1872"/>
      <c r="B113" s="1865" t="s">
        <v>11075</v>
      </c>
      <c r="C113" s="1868"/>
      <c r="D113" s="1878"/>
      <c r="E113" s="1868"/>
      <c r="F113" s="1872"/>
    </row>
    <row r="114">
      <c r="A114" s="1872"/>
      <c r="B114" s="1866" t="s">
        <v>11078</v>
      </c>
      <c r="C114" s="1868"/>
      <c r="D114" s="1878"/>
      <c r="E114" s="1868"/>
      <c r="F114" s="1872"/>
    </row>
    <row r="115">
      <c r="A115" s="1872"/>
      <c r="B115" s="1867" t="s">
        <v>11081</v>
      </c>
      <c r="C115" s="1868"/>
      <c r="D115" s="1878"/>
      <c r="E115" s="1868"/>
      <c r="F115" s="1872"/>
    </row>
    <row r="116">
      <c r="A116" s="1872"/>
      <c r="B116" s="1867" t="s">
        <v>11085</v>
      </c>
      <c r="C116" s="1868"/>
      <c r="D116" s="1878"/>
      <c r="E116" s="1868"/>
      <c r="F116" s="1872"/>
    </row>
    <row r="117">
      <c r="A117" s="1872"/>
      <c r="B117" s="1854" t="s">
        <v>11098</v>
      </c>
      <c r="C117" s="1855"/>
      <c r="D117" s="1855"/>
      <c r="E117" s="1855"/>
      <c r="F117" s="1856"/>
    </row>
    <row r="118">
      <c r="A118" s="1872"/>
      <c r="B118" s="1857"/>
      <c r="C118" s="1858"/>
      <c r="D118" s="1858"/>
      <c r="E118" s="1858"/>
      <c r="F118" s="1859"/>
    </row>
    <row r="119">
      <c r="A119" s="1872"/>
      <c r="B119" s="1861" t="s">
        <v>11071</v>
      </c>
      <c r="C119" s="1862" t="s">
        <v>6110</v>
      </c>
      <c r="D119" s="1876" t="s">
        <v>11144</v>
      </c>
      <c r="E119" s="1862" t="s">
        <v>11073</v>
      </c>
      <c r="F119" s="1877">
        <v>43741.0</v>
      </c>
    </row>
    <row r="120">
      <c r="A120" s="1872"/>
      <c r="B120" s="1865" t="s">
        <v>11075</v>
      </c>
      <c r="C120" s="1862" t="s">
        <v>11145</v>
      </c>
      <c r="D120" s="1876" t="s">
        <v>11146</v>
      </c>
      <c r="E120" s="1862" t="s">
        <v>11106</v>
      </c>
      <c r="F120" s="1877">
        <v>43748.0</v>
      </c>
    </row>
    <row r="121">
      <c r="A121" s="1872"/>
      <c r="B121" s="1866" t="s">
        <v>11078</v>
      </c>
      <c r="C121" s="1862" t="s">
        <v>2144</v>
      </c>
      <c r="D121" s="1876" t="s">
        <v>11147</v>
      </c>
      <c r="E121" s="1862" t="s">
        <v>11120</v>
      </c>
      <c r="F121" s="1877">
        <v>43729.0</v>
      </c>
    </row>
    <row r="122">
      <c r="A122" s="1872"/>
      <c r="B122" s="1867" t="s">
        <v>11081</v>
      </c>
      <c r="C122" s="1880" t="s">
        <v>435</v>
      </c>
      <c r="D122" s="1876" t="s">
        <v>11148</v>
      </c>
      <c r="E122" s="1862" t="s">
        <v>11073</v>
      </c>
      <c r="F122" s="1877">
        <v>44470.0</v>
      </c>
    </row>
    <row r="123">
      <c r="A123" s="1872"/>
      <c r="B123" s="1867" t="s">
        <v>11085</v>
      </c>
      <c r="C123" s="1862" t="s">
        <v>5189</v>
      </c>
      <c r="D123" s="1876" t="s">
        <v>11149</v>
      </c>
      <c r="E123" s="1862" t="s">
        <v>11083</v>
      </c>
      <c r="F123" s="1877">
        <v>44020.0</v>
      </c>
    </row>
    <row r="124">
      <c r="A124" s="1883" t="s">
        <v>11150</v>
      </c>
      <c r="B124" s="1854" t="s">
        <v>11099</v>
      </c>
      <c r="C124" s="1855"/>
      <c r="D124" s="1855"/>
      <c r="E124" s="1855"/>
      <c r="F124" s="1856"/>
    </row>
    <row r="125">
      <c r="A125" s="1883" t="s">
        <v>11151</v>
      </c>
      <c r="B125" s="1857"/>
      <c r="C125" s="1858"/>
      <c r="D125" s="1858"/>
      <c r="E125" s="1858"/>
      <c r="F125" s="1859"/>
    </row>
    <row r="126">
      <c r="A126" s="1884"/>
      <c r="B126" s="1861" t="s">
        <v>11071</v>
      </c>
      <c r="C126" s="1862" t="s">
        <v>985</v>
      </c>
      <c r="D126" s="1885">
        <v>0.06525462962962963</v>
      </c>
      <c r="E126" s="1862" t="s">
        <v>11083</v>
      </c>
      <c r="F126" s="1864">
        <v>44652.0</v>
      </c>
    </row>
    <row r="127">
      <c r="A127" s="1884"/>
      <c r="B127" s="1865" t="s">
        <v>11075</v>
      </c>
      <c r="C127" s="1862" t="s">
        <v>4109</v>
      </c>
      <c r="D127" s="1885">
        <v>0.06892361111111112</v>
      </c>
      <c r="E127" s="1862" t="s">
        <v>11083</v>
      </c>
      <c r="F127" s="1864">
        <v>44652.0</v>
      </c>
    </row>
    <row r="128">
      <c r="A128" s="1884"/>
      <c r="B128" s="1866" t="s">
        <v>11078</v>
      </c>
      <c r="C128" s="1871" t="s">
        <v>5320</v>
      </c>
      <c r="D128" s="1886">
        <v>0.07195601851851852</v>
      </c>
      <c r="E128" s="1871" t="s">
        <v>11083</v>
      </c>
      <c r="F128" s="1877">
        <v>44652.0</v>
      </c>
    </row>
    <row r="129">
      <c r="A129" s="1884"/>
      <c r="B129" s="1867" t="s">
        <v>11081</v>
      </c>
      <c r="C129" s="1868" t="s">
        <v>11152</v>
      </c>
      <c r="D129" s="1887">
        <v>0.07211805555555556</v>
      </c>
      <c r="E129" s="1888" t="s">
        <v>11153</v>
      </c>
      <c r="F129" s="1877">
        <v>44652.0</v>
      </c>
    </row>
    <row r="130">
      <c r="A130" s="1884"/>
      <c r="B130" s="1867" t="s">
        <v>11085</v>
      </c>
      <c r="C130" s="1868"/>
      <c r="D130" s="1868"/>
      <c r="E130" s="1868"/>
      <c r="F130" s="1868"/>
    </row>
    <row r="131">
      <c r="A131" s="1889" t="s">
        <v>11100</v>
      </c>
      <c r="B131" s="1854" t="s">
        <v>11100</v>
      </c>
      <c r="C131" s="1855"/>
      <c r="D131" s="1855"/>
      <c r="E131" s="1855"/>
      <c r="F131" s="1856"/>
    </row>
    <row r="132">
      <c r="A132" s="1884"/>
      <c r="B132" s="1857"/>
      <c r="C132" s="1858"/>
      <c r="D132" s="1858"/>
      <c r="E132" s="1858"/>
      <c r="F132" s="1859"/>
    </row>
    <row r="133">
      <c r="A133" s="1884"/>
      <c r="B133" s="1861" t="s">
        <v>11071</v>
      </c>
      <c r="C133" s="1862" t="s">
        <v>2454</v>
      </c>
      <c r="D133" s="1890" t="s">
        <v>11154</v>
      </c>
      <c r="E133" s="1862" t="s">
        <v>11073</v>
      </c>
      <c r="F133" s="1864">
        <v>45152.0</v>
      </c>
    </row>
    <row r="134">
      <c r="A134" s="1884"/>
      <c r="B134" s="1865" t="s">
        <v>11075</v>
      </c>
      <c r="C134" s="1862" t="s">
        <v>4207</v>
      </c>
      <c r="D134" s="1890" t="s">
        <v>11155</v>
      </c>
      <c r="E134" s="1862" t="s">
        <v>11073</v>
      </c>
      <c r="F134" s="1864">
        <v>44866.0</v>
      </c>
    </row>
    <row r="135">
      <c r="A135" s="1884"/>
      <c r="B135" s="1866" t="s">
        <v>11078</v>
      </c>
      <c r="C135" s="1868"/>
      <c r="D135" s="1887"/>
      <c r="E135" s="1888"/>
      <c r="F135" s="1877"/>
    </row>
    <row r="136">
      <c r="A136" s="1884"/>
      <c r="B136" s="1867" t="s">
        <v>11081</v>
      </c>
      <c r="C136" s="1868"/>
      <c r="D136" s="1887"/>
      <c r="E136" s="1888"/>
      <c r="F136" s="1877"/>
    </row>
    <row r="137">
      <c r="A137" s="1884"/>
      <c r="B137" s="1867" t="s">
        <v>11085</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