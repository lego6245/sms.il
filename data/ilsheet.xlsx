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<sst xmlns="http://schemas.openxmlformats.org/spreadsheetml/2006/main" count="28387" uniqueCount="11948">
  <si>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</si>
  <si>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</si>
  <si>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</si>
  <si>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</si>
  <si>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</si>
  <si>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</si>
  <si>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</si>
  <si>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</si>
  <si>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</si>
  <si>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</si>
  <si>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</si>
  <si>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</si>
  <si>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</si>
  <si>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</si>
  <si>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</si>
  <si>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</si>
  <si>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</si>
  <si>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</si>
  <si>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</si>
  <si>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</si>
  <si>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</si>
  <si>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</si>
  <si>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</si>
  <si>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</si>
  <si>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</si>
  <si>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</si>
  <si>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</si>
  <si>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</si>
  <si>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</si>
  <si>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</si>
  <si>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</si>
  <si>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</si>
  <si>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</si>
  <si>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</si>
  <si>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</si>
  <si>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</si>
  <si>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</si>
  <si>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</si>
  <si>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</si>
  <si>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</si>
  <si>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</si>
  <si>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</si>
  <si>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</si>
  <si>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</si>
  <si>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</si>
  <si>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</si>
  <si>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</si>
  <si>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</si>
  <si>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</si>
  <si>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</si>
  <si>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</si>
  <si>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</si>
  <si>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</si>
  <si>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</si>
  <si>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</si>
  <si>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</si>
  <si>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</si>
  <si>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</si>
  <si>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</si>
  <si>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</si>
  <si>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</si>
  <si>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</si>
  <si>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</si>
  <si>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</si>
  <si>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</si>
  <si>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</si>
  <si>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</si>
  <si>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</si>
  <si>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</si>
  <si>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</si>
  <si>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</si>
  <si>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</si>
  <si>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</si>
  <si>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</si>
  <si>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</si>
  <si>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</si>
  <si>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</si>
  <si>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</si>
  <si>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</si>
  <si>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</si>
  <si>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</si>
  <si>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</si>
  <si>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</si>
  <si>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</si>
  <si>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</si>
  <si>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</si>
  <si>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</si>
  <si>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</si>
  <si>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</si>
  <si>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</si>
  <si>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</si>
  <si>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</si>
  <si>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</si>
  <si>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</si>
  <si>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</si>
  <si>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</si>
  <si>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</si>
  <si>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</si>
  <si>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</si>
  <si>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</si>
  <si>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</si>
  <si>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</si>
  <si>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</si>
  <si>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</si>
  <si>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</si>
  <si>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</si>
  <si>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</si>
  <si>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</si>
  <si>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</si>
  <si>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</si>
  <si>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</si>
  <si>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</si>
  <si>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</si>
  <si>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</si>
  <si>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</si>
  <si>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</si>
  <si>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</si>
  <si>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</si>
  <si>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</si>
  <si>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</si>
  <si>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</si>
  <si>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</si>
  <si>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</si>
  <si>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</si>
  <si>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</si>
  <si>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</si>
  <si>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</si>
  <si>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</si>
  <si>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</si>
  <si>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</si>
  <si>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</si>
  <si>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</si>
  <si>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</si>
  <si>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</si>
  <si>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</si>
  <si>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</si>
  <si>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</si>
  <si>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</si>
  <si>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</si>
  <si>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</si>
  <si>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</si>
  <si>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</si>
  <si>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</si>
  <si>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</si>
  <si>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</si>
  <si>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</si>
  <si>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</si>
  <si>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</si>
  <si>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</si>
  <si>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</si>
  <si>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</si>
  <si>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</si>
  <si>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</si>
  <si>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</si>
  <si>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</si>
  <si>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</si>
  <si>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</si>
  <si>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</si>
  <si>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</si>
  <si>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</si>
  <si>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</si>
  <si>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</si>
  <si>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</si>
  <si>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</si>
  <si>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</si>
  <si>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</si>
  <si>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</si>
  <si>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</si>
  <si>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</si>
  <si>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</si>
  <si>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</si>
  <si>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</si>
  <si>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</si>
  <si>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</si>
  <si>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</si>
  <si>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</si>
  <si>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</si>
  <si>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</si>
  <si>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</si>
  <si>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</si>
  <si>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</si>
  <si>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</si>
  <si>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</si>
  <si>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</si>
  <si>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</si>
  <si>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</si>
  <si>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</si>
  <si>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</si>
  <si>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</si>
  <si>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</si>
  <si>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</si>
  <si>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</si>
  <si>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</si>
  <si>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</si>
  <si>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</si>
  <si>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</si>
  <si>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</si>
  <si>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</si>
  <si>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</si>
  <si>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</si>
  <si>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</si>
  <si>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</si>
  <si>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</si>
  <si>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</si>
  <si>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</si>
  <si>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</si>
  <si>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</si>
  <si>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</si>
  <si>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</si>
  <si>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</si>
  <si>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</si>
  <si>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</si>
  <si>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</si>
  <si>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</si>
  <si>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</si>
  <si>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</si>
  <si>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</si>
  <si>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</si>
  <si>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</si>
  <si>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</si>
  <si>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</si>
  <si>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</si>
  <si>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</si>
  <si>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</si>
  <si>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</si>
  <si>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</si>
  <si>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</si>
  <si>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</si>
  <si>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</si>
  <si>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</si>
  <si>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</si>
  <si>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</si>
  <si>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</si>
  <si>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</si>
  <si>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</si>
  <si>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</si>
  <si>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</si>
  <si>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</si>
  <si>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</si>
  <si>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</si>
  <si>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</si>
  <si>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</si>
  <si>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</si>
  <si>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</si>
  <si>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</si>
  <si>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</si>
  <si>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</si>
  <si>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</si>
  <si>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</si>
  <si>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</si>
  <si>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</si>
  <si>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</si>
  <si>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</si>
  <si>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</si>
  <si>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</si>
  <si>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</si>
  <si>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</si>
  <si>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</si>
  <si>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</si>
  <si>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</si>
  <si>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</si>
  <si>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</si>
  <si>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</si>
  <si>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</si>
  <si>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</si>
  <si>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</si>
  <si>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</si>
  <si>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</si>
  <si>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</si>
  <si>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</si>
  <si>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</si>
  <si>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</si>
  <si>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</si>
  <si>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</si>
  <si>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</si>
  <si>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</si>
  <si>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</si>
  <si>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</si>
  <si>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</si>
  <si>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</si>
  <si>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</si>
  <si>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</si>
  <si>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</si>
  <si>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</si>
  <si>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</si>
  <si>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</si>
  <si>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</si>
  <si>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</si>
  <si>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</si>
  <si>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</si>
  <si>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</si>
  <si>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</si>
  <si>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</si>
  <si>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</si>
  <si>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</si>
  <si>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</si>
  <si>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</si>
  <si>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</si>
  <si>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</si>
  <si>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</si>
  <si>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</si>
  <si>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</si>
  <si>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</si>
  <si>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</si>
  <si>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</si>
  <si>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</si>
  <si>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</si>
  <si>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</si>
  <si>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</si>
  <si>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</si>
  <si>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</si>
  <si>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</si>
  <si>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</si>
  <si>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</si>
  <si>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</si>
  <si>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</si>
  <si>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</si>
  <si>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</si>
  <si>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</si>
  <si>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</si>
  <si>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</si>
  <si>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</si>
  <si>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</si>
  <si>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</si>
  <si>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</si>
  <si>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</si>
  <si>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</si>
  <si>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</si>
  <si>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</si>
  <si>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</si>
  <si>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</si>
  <si>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</si>
  <si>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</si>
  <si>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</si>
  <si>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</si>
  <si>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</si>
  <si>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</si>
  <si>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</si>
  <si>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</si>
  <si>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</si>
  <si>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</si>
  <si>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</si>
  <si>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</si>
  <si>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</si>
  <si>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</si>
  <si>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</si>
  <si>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</si>
  <si>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</si>
  <si>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</si>
  <si>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</si>
  <si>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</si>
  <si>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</si>
  <si>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</si>
  <si>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</si>
  <si>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</si>
  <si>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</si>
  <si>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</si>
  <si>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</si>
  <si>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</si>
  <si>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</si>
  <si>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</si>
  <si>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</si>
  <si>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</si>
  <si>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</si>
  <si>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</si>
  <si>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</si>
  <si>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</si>
  <si>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</si>
  <si>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</si>
  <si>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</si>
  <si>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</si>
  <si>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</si>
  <si>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</si>
  <si>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</si>
  <si>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</si>
  <si>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</si>
  <si>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</si>
  <si>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</si>
  <si>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</si>
  <si>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</si>
  <si>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</si>
  <si>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</si>
  <si>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</si>
  <si>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</si>
  <si>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</si>
  <si>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</si>
  <si>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</si>
  <si>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</si>
  <si>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</si>
  <si>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</si>
  <si>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</si>
  <si>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</si>
  <si>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</si>
  <si>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</si>
  <si>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</si>
  <si>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</si>
  <si>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</si>
  <si>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</si>
  <si>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</si>
  <si>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</si>
  <si>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</si>
  <si>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</si>
  <si>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</si>
  <si>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</si>
  <si>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</si>
  <si>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</si>
  <si>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</si>
  <si>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</si>
  <si>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</si>
  <si>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</si>
  <si>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</si>
  <si>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</si>
  <si>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</si>
  <si>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</si>
  <si>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</si>
  <si>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</si>
  <si>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</si>
  <si>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</si>
  <si>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</si>
  <si>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</si>
  <si>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</si>
  <si>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</si>
  <si>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</si>
  <si>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</si>
  <si>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</si>
  <si>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</si>
  <si>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</si>
  <si>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</si>
  <si>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</si>
  <si>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</si>
  <si>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</si>
  <si>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</si>
  <si>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</si>
  <si>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</si>
  <si>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</si>
  <si>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</si>
  <si>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</si>
  <si>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</si>
  <si>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</si>
  <si>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</si>
  <si>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</si>
  <si>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</si>
  <si>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</si>
  <si>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</si>
  <si>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</si>
  <si>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</si>
  <si>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</si>
  <si>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</si>
  <si>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</si>
  <si>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</si>
  <si>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</si>
  <si>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</si>
  <si>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</si>
  <si>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</si>
  <si>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</si>
  <si>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</si>
  <si>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</si>
  <si>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</si>
  <si>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</si>
  <si>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</si>
  <si>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</si>
  <si>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</si>
  <si>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</si>
  <si>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</si>
  <si>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</si>
  <si>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</si>
  <si>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</si>
  <si>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</si>
  <si>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</si>
  <si>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</si>
  <si>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</si>
  <si>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</si>
  <si>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</si>
  <si>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</si>
  <si>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</si>
  <si>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</si>
  <si>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</si>
  <si>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</si>
  <si>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</si>
  <si>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</si>
  <si>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</si>
  <si>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</si>
  <si>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</si>
  <si>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</si>
  <si>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</si>
  <si>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</si>
  <si>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</si>
  <si>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</si>
  <si>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</si>
  <si>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</si>
  <si>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</si>
  <si>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</si>
  <si>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</si>
  <si>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</si>
  <si>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</si>
  <si>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</si>
  <si>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</si>
  <si>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</si>
  <si>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</si>
  <si>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</si>
  <si>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</si>
  <si>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</si>
  <si>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</si>
  <si>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</si>
  <si>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</si>
  <si>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</si>
  <si>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</si>
  <si>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</si>
  <si>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</si>
  <si>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</si>
  <si>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</si>
  <si>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</si>
  <si>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</si>
  <si>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</si>
  <si>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</si>
  <si>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</si>
  <si>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</si>
  <si>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</si>
  <si>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</si>
  <si>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</si>
  <si>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</si>
  <si>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</si>
  <si>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</si>
  <si>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</si>
  <si>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</si>
  <si>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</si>
  <si>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</si>
  <si>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</si>
  <si>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</si>
  <si>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</si>
  <si>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</si>
  <si>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</si>
  <si>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</si>
  <si>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</si>
  <si>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</si>
  <si>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</si>
  <si>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</si>
  <si>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</si>
  <si>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</si>
  <si>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</si>
  <si>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</si>
  <si>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</si>
  <si>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</si>
  <si>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</si>
  <si>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</si>
  <si>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</si>
  <si>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</si>
  <si>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</si>
  <si>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</si>
  <si>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</si>
  <si>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</si>
  <si>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</si>
  <si>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</si>
  <si>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</si>
  <si>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</si>
  <si>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</si>
  <si>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</si>
  <si>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</si>
  <si>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</si>
  <si>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</si>
  <si>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</si>
  <si>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</si>
  <si>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</si>
  <si>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</si>
  <si>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</si>
  <si>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</si>
  <si>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</si>
  <si>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</si>
  <si>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</si>
  <si>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</si>
  <si>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</si>
  <si>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</si>
  <si>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</si>
  <si>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</si>
  <si>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</si>
  <si>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</si>
  <si>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</si>
  <si>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</si>
  <si>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</si>
  <si>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</si>
  <si>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</si>
  <si>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</si>
  <si>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</si>
  <si>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</si>
  <si>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</si>
  <si>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</si>
  <si>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</si>
  <si>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</si>
  <si>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</si>
  <si>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</si>
  <si>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</si>
  <si>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</si>
  <si>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</si>
  <si>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</si>
  <si>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</si>
  <si>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</si>
  <si>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</si>
  <si>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</si>
  <si>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</si>
  <si>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</si>
  <si>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</si>
  <si>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</si>
  <si>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</si>
  <si>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</si>
  <si>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</si>
  <si>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</si>
  <si>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</si>
  <si>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</si>
  <si>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</si>
  <si>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</si>
  <si>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</si>
  <si>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</si>
  <si>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</si>
  <si>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</si>
  <si>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</si>
  <si>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</si>
  <si>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</si>
  <si>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</si>
  <si>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</si>
  <si>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</si>
  <si>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</si>
  <si>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</si>
  <si>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</si>
  <si>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</si>
  <si>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</si>
  <si>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</si>
  <si>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</si>
  <si>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</si>
  <si>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</si>
  <si>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</si>
  <si>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</si>
  <si>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</si>
  <si>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</si>
  <si>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</si>
  <si>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</si>
  <si>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</si>
  <si>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</si>
  <si>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</si>
  <si>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</si>
  <si>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</si>
  <si>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</si>
  <si>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</si>
  <si>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</si>
  <si>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</si>
  <si>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</si>
  <si>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</si>
  <si>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</si>
  <si>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</si>
  <si>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</si>
  <si>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</si>
  <si>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</si>
  <si>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</si>
  <si>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</si>
  <si>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</si>
  <si>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</si>
  <si>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</si>
  <si>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</si>
  <si>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</si>
  <si>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</si>
  <si>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</si>
  <si>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</si>
  <si>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</si>
  <si>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</si>
  <si>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</si>
  <si>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</si>
  <si>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</si>
  <si>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</si>
  <si>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</si>
  <si>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</si>
  <si>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</si>
  <si>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</si>
  <si>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</si>
  <si>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</si>
  <si>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</si>
  <si>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</si>
  <si>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</si>
  <si>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</si>
  <si>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</si>
  <si>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</si>
  <si>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</si>
  <si>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</si>
  <si>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</si>
  <si>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</si>
  <si>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</si>
  <si>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</si>
  <si>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</si>
  <si>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</si>
  <si>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</si>
  <si>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</si>
  <si>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</si>
  <si>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</si>
  <si>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</si>
  <si>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</si>
  <si>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</si>
  <si>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</si>
  <si>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</si>
  <si>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</si>
  <si>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</si>
  <si>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</si>
  <si>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</si>
  <si>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</si>
  <si>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</si>
  <si>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</si>
  <si>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</si>
  <si>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</si>
  <si>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</si>
  <si>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</si>
  <si>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</si>
  <si>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</si>
  <si>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</si>
  <si>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</si>
  <si>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</si>
  <si>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</si>
  <si>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</si>
  <si>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</si>
  <si>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</si>
  <si>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</si>
  <si>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</si>
  <si>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</si>
  <si>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</si>
  <si>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</si>
  <si>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</si>
  <si>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</si>
  <si>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</si>
  <si>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</si>
  <si>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</si>
  <si>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</si>
  <si>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</si>
  <si>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</si>
  <si>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</si>
  <si>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</si>
  <si>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</si>
  <si>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</si>
  <si>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</si>
  <si>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</si>
  <si>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</si>
  <si>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</si>
  <si>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</si>
  <si>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</si>
  <si>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</si>
  <si>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</si>
  <si>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</si>
  <si>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</si>
  <si>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</si>
  <si>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</si>
  <si>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</si>
  <si>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</si>
  <si>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</si>
  <si>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</si>
  <si>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</si>
  <si>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</si>
  <si>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</si>
  <si>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</si>
  <si>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</si>
  <si>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</si>
  <si>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</si>
  <si>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</si>
  <si>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</si>
  <si>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</si>
  <si>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</si>
  <si>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</si>
  <si>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</si>
  <si>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</si>
  <si>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</si>
  <si>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</si>
  <si>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</si>
  <si>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</si>
  <si>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</si>
  <si>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</si>
  <si>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</si>
  <si>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</si>
  <si>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</si>
  <si>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</si>
  <si>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</si>
  <si>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</si>
  <si>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</si>
  <si>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</si>
  <si>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</si>
  <si>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</si>
  <si>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</si>
  <si>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</si>
  <si>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</si>
  <si>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</si>
  <si>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</si>
  <si>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</si>
  <si>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</si>
  <si>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</si>
  <si>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</si>
  <si>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</si>
  <si>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</si>
  <si>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</si>
  <si>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</si>
  <si>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</si>
  <si>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</si>
  <si>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</si>
  <si>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</si>
  <si>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</si>
  <si>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</si>
  <si>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</si>
  <si>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</si>
  <si>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</si>
  <si>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</si>
  <si>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</si>
  <si>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</si>
  <si>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</si>
  <si>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</si>
  <si>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</si>
  <si>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</si>
  <si>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</si>
  <si>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</si>
  <si>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</si>
  <si>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</si>
  <si>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</si>
  <si>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</si>
  <si>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</si>
  <si>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</si>
  <si>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</si>
  <si>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</si>
  <si>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</si>
  <si>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</si>
  <si>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</si>
  <si>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</si>
  <si>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</si>
  <si>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</si>
  <si>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</si>
  <si>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</si>
  <si>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</si>
  <si>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</si>
  <si>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</si>
  <si>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</si>
  <si>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</si>
  <si>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</si>
  <si>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</si>
  <si>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</si>
  <si>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</si>
  <si>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</si>
  <si>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</si>
  <si>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</si>
  <si>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</si>
  <si>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</si>
  <si>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</si>
  <si>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</si>
  <si>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</si>
  <si>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</si>
  <si>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</si>
  <si>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</si>
  <si>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</si>
  <si>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</si>
  <si>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</si>
  <si>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</si>
  <si>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</si>
  <si>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</si>
  <si>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</si>
  <si>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</si>
  <si>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</si>
  <si>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</si>
  <si>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</si>
  <si>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</si>
  <si>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</si>
  <si>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</si>
  <si>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</si>
  <si>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</si>
  <si>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</si>
  <si>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</si>
  <si>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</si>
  <si>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</si>
  <si>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</si>
  <si>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</si>
  <si>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</si>
  <si>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</si>
  <si>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</si>
  <si>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</si>
  <si>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</si>
  <si>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</si>
  <si>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</si>
  <si>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</si>
  <si>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</si>
  <si>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</si>
  <si>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</si>
  <si>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</si>
  <si>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</si>
  <si>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</si>
  <si>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</si>
  <si>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</si>
  <si>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</si>
  <si>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</si>
  <si>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</si>
  <si>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</si>
  <si>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</si>
  <si>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</si>
  <si>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</si>
  <si>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</si>
  <si>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</si>
  <si>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</si>
  <si>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</si>
  <si>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</si>
  <si>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</si>
  <si>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</si>
  <si>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</si>
  <si>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</si>
  <si>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</si>
  <si>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</si>
  <si>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</si>
  <si>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</si>
  <si>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</si>
  <si>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</si>
  <si>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</si>
  <si>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</si>
  <si>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</si>
  <si>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</si>
  <si>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</si>
  <si>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</si>
  <si>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</si>
  <si>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</si>
  <si>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</si>
  <si>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</si>
  <si>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</si>
  <si>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</si>
  <si>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</si>
  <si>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</si>
  <si>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</si>
  <si>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</si>
  <si>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</si>
  <si>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</si>
  <si>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</si>
  <si>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</si>
  <si>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</si>
  <si>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</si>
  <si>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</si>
  <si>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</si>
  <si>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</si>
  <si>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</si>
  <si>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</si>
  <si>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</si>
  <si>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</si>
  <si>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</si>
  <si>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</si>
  <si>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</si>
  <si>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</si>
  <si>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</si>
  <si>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</si>
  <si>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</si>
  <si>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</si>
  <si>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</si>
  <si>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</si>
  <si>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</si>
  <si>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</si>
  <si>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</si>
  <si>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</si>
  <si>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</si>
  <si>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</si>
  <si>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</si>
  <si>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</si>
  <si>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</si>
  <si>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</si>
  <si>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</si>
  <si>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</si>
  <si>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</si>
  <si>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</si>
  <si>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</si>
  <si>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</si>
  <si>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</si>
  <si>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</si>
  <si>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</si>
  <si>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</si>
  <si>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</si>
  <si>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</si>
  <si>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</si>
  <si>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</si>
  <si>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</si>
  <si>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</si>
  <si>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</si>
  <si>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</si>
  <si>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</si>
  <si>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</si>
  <si>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</si>
  <si>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</si>
  <si>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</si>
  <si>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</si>
  <si>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</si>
  <si>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</si>
  <si>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</si>
  <si>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</si>
  <si>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</si>
  <si>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</si>
  <si>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</si>
  <si>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</si>
  <si>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</si>
  <si>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</si>
  <si>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</si>
  <si>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</si>
  <si>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</si>
  <si>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</si>
  <si>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</si>
  <si>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</si>
  <si>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</si>
  <si>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</si>
  <si>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</si>
  <si>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</si>
  <si>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</si>
  <si>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</si>
  <si>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</si>
  <si>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</si>
  <si>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</si>
  <si>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</si>
  <si>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</si>
  <si>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</si>
  <si>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</si>
  <si>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</si>
  <si>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</si>
  <si>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</si>
  <si>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</si>
  <si>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</si>
  <si>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</si>
  <si>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</si>
  <si>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</si>
  <si>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</si>
  <si>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</si>
  <si>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</si>
  <si>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</si>
  <si>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</si>
  <si>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</si>
  <si>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</si>
  <si>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</si>
  <si>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</si>
  <si>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</si>
  <si>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</si>
  <si>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</si>
  <si>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</si>
  <si>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</si>
  <si>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</si>
  <si>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</si>
  <si>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</si>
  <si>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</si>
  <si>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</si>
  <si>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</si>
  <si>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</si>
  <si>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</si>
  <si>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</si>
  <si>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</si>
  <si>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</si>
  <si>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</si>
  <si>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</si>
  <si>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</si>
  <si>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</si>
  <si>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</si>
  <si>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</si>
  <si>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</si>
  <si>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</si>
  <si>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</si>
  <si>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</si>
  <si>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</si>
  <si>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</si>
  <si>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</si>
  <si>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</si>
  <si>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</si>
  <si>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</si>
  <si>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</si>
  <si>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</si>
  <si>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</si>
  <si>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</si>
  <si>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</si>
  <si>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</si>
  <si>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</si>
  <si>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</si>
  <si>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</si>
  <si>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</si>
  <si>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</si>
  <si>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</si>
  <si>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</si>
  <si>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</si>
  <si>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</si>
  <si>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</si>
  <si>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</si>
  <si>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</si>
  <si>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</si>
  <si>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</si>
  <si>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</si>
  <si>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</si>
  <si>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</si>
  <si>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</si>
  <si>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</si>
  <si>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</si>
  <si>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</si>
  <si>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</si>
  <si>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</si>
  <si>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</si>
  <si>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</si>
  <si>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</si>
  <si>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</si>
  <si>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</si>
  <si>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</si>
  <si>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</si>
  <si>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</si>
  <si>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</si>
  <si>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</si>
  <si>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</si>
  <si>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</si>
  <si>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</si>
  <si>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</si>
  <si>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</si>
  <si>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</si>
  <si>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</si>
  <si>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</si>
  <si>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</si>
  <si>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</si>
  <si>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</si>
  <si>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</si>
  <si>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</si>
  <si>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</si>
  <si>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</si>
  <si>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</si>
  <si>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</si>
  <si>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</si>
  <si>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</si>
  <si>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</si>
  <si>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</si>
  <si>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</si>
  <si>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</si>
  <si>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</si>
  <si>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</si>
  <si>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</si>
  <si>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</si>
  <si>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</si>
  <si>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</si>
  <si>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</si>
  <si>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</si>
  <si>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</si>
  <si>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</si>
  <si>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</si>
  <si>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</si>
  <si>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</si>
  <si>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</si>
  <si>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</si>
  <si>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</si>
  <si>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</si>
  <si>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</si>
  <si>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</si>
  <si>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</si>
  <si>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</si>
  <si>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</si>
  <si>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</si>
  <si>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</si>
  <si>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</si>
  <si>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</si>
  <si>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</si>
  <si>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</si>
  <si>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</si>
  <si>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</si>
  <si>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</si>
  <si>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</si>
  <si>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</si>
  <si>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</si>
  <si>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</si>
  <si>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</si>
  <si>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</si>
  <si>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</si>
  <si>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</si>
  <si>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</si>
  <si>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</si>
  <si>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</si>
  <si>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</si>
  <si>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</si>
  <si>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</si>
  <si>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</si>
  <si>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</si>
  <si>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</si>
  <si>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</si>
  <si>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</si>
  <si>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</si>
  <si>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</si>
  <si>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</si>
  <si>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</si>
  <si>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</si>
  <si>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</si>
  <si>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</si>
  <si>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</si>
  <si>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</si>
  <si>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</si>
  <si>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</si>
  <si>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</si>
  <si>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</si>
  <si>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</si>
  <si>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</si>
  <si>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</si>
  <si>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</si>
  <si>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</si>
  <si>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</si>
  <si>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</si>
  <si>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</si>
  <si>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</si>
  <si>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</si>
  <si>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</si>
  <si>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</si>
  <si>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</si>
  <si>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</si>
  <si>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</si>
  <si>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</si>
  <si>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</si>
  <si>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</si>
  <si>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</si>
  <si>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</si>
  <si>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</si>
  <si>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</si>
  <si>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</si>
  <si>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</si>
  <si>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</si>
  <si>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</si>
  <si>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</si>
  <si>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</si>
  <si>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</si>
  <si>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</si>
  <si>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</si>
  <si>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</si>
  <si>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</si>
  <si>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</si>
  <si>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</si>
  <si>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</si>
  <si>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</si>
  <si>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</si>
  <si>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</si>
  <si>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</si>
  <si>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</si>
  <si>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</si>
  <si>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</si>
  <si>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</si>
  <si>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</si>
  <si>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</si>
  <si>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</si>
  <si>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</si>
  <si>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</si>
  <si>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</si>
  <si>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</si>
  <si>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</si>
  <si>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</si>
  <si>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</si>
  <si>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</si>
  <si>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</si>
  <si>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</si>
  <si>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</si>
  <si>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</si>
  <si>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</si>
  <si>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</si>
  <si>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</si>
  <si>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</si>
  <si>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</si>
  <si>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</si>
  <si>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</si>
  <si>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</si>
  <si>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</si>
  <si>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</si>
  <si>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</si>
  <si>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</si>
  <si>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</si>
  <si>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</si>
  <si>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</si>
  <si>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</si>
  <si>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</si>
  <si>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</si>
  <si>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</si>
  <si>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</si>
  <si>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</si>
  <si>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</si>
  <si>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</si>
  <si>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</si>
  <si>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</si>
  <si>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</si>
  <si>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</si>
  <si>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</si>
  <si>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</si>
  <si>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</si>
  <si>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</si>
  <si>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</si>
  <si>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</si>
  <si>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</si>
  <si>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</si>
  <si>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</si>
  <si>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</si>
  <si>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</si>
  <si>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</si>
  <si>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</si>
  <si>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</si>
  <si>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</si>
  <si>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</si>
  <si>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</si>
  <si>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</si>
  <si>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</si>
  <si>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</si>
  <si>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</si>
  <si>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</si>
  <si>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</si>
  <si>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</si>
  <si>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</si>
  <si>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</si>
  <si>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</si>
  <si>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</si>
  <si>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</si>
  <si>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</si>
  <si>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</si>
  <si>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</si>
  <si>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</si>
  <si>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</si>
  <si>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</si>
  <si>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</si>
  <si>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</si>
  <si>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</si>
  <si>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</si>
  <si>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</si>
  <si>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</si>
  <si>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</si>
  <si>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</si>
  <si>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</si>
  <si>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</si>
  <si>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</si>
  <si>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</si>
  <si>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</si>
  <si>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</si>
  <si>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</si>
  <si>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</si>
  <si>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</si>
  <si>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</si>
  <si>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</si>
  <si>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</si>
  <si>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</si>
  <si>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</si>
  <si>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</si>
  <si>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</si>
  <si>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</si>
  <si>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</si>
  <si>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</si>
  <si>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</si>
  <si>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</si>
  <si>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</si>
  <si>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</si>
  <si>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</si>
  <si>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</si>
  <si>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</si>
  <si>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</si>
  <si>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</si>
  <si>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</si>
  <si>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</si>
  <si>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</si>
  <si>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</si>
  <si>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</si>
  <si>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</si>
  <si>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</si>
  <si>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</si>
  <si>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</si>
  <si>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</si>
  <si>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</si>
  <si>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</si>
  <si>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</si>
  <si>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</si>
  <si>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</si>
  <si>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</si>
  <si>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</si>
  <si>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</si>
  <si>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</si>
  <si>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</si>
  <si>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</si>
  <si>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</si>
  <si>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</si>
  <si>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</si>
  <si>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</si>
  <si>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</si>
  <si>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</si>
  <si>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</si>
  <si>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</si>
  <si>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</si>
  <si>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</si>
  <si>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</si>
  <si>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</si>
  <si>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</si>
  <si>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</si>
  <si>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</si>
  <si>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</si>
  <si>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</si>
  <si>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</si>
  <si>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</si>
  <si>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</si>
  <si>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</si>
  <si>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</si>
  <si>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</si>
  <si>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</si>
  <si>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</si>
  <si>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</si>
  <si>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</si>
  <si>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</si>
  <si>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</si>
  <si>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</si>
  <si>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</si>
  <si>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</si>
  <si>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</si>
  <si>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</si>
  <si>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</si>
  <si>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</si>
  <si>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</si>
  <si>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</si>
  <si>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</si>
  <si>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</si>
  <si>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</si>
  <si>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</si>
  <si>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</si>
  <si>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</si>
  <si>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</si>
  <si>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</si>
  <si>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</si>
  <si>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</si>
  <si>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</si>
  <si>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</si>
  <si>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</si>
  <si>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</si>
  <si>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</si>
  <si>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</si>
  <si>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</si>
  <si>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</si>
  <si>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</si>
  <si>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</si>
  <si>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</si>
  <si>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</si>
  <si>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</si>
  <si>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</si>
  <si>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</si>
  <si>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</si>
  <si>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</si>
  <si>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</si>
  <si>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</si>
  <si>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</si>
  <si>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</si>
  <si>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</si>
  <si>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</si>
  <si>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</si>
  <si>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</si>
  <si>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</si>
  <si>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</si>
  <si>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</si>
  <si>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</si>
  <si>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</si>
  <si>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</si>
  <si>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</si>
  <si>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</si>
  <si>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</si>
  <si>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</si>
  <si>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</si>
  <si>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</si>
  <si>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</si>
  <si>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</si>
  <si>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</si>
  <si>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</si>
  <si>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</si>
  <si>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</si>
  <si>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</si>
  <si>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</si>
  <si>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</si>
  <si>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</si>
  <si>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</si>
  <si>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</si>
  <si>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</si>
  <si>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</si>
  <si>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</si>
  <si>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</si>
  <si>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</si>
  <si>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</si>
  <si>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</si>
  <si>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</si>
  <si>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</si>
  <si>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</si>
  <si>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</si>
  <si>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</si>
  <si>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</si>
  <si>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</si>
  <si>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</si>
  <si>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</si>
  <si>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</si>
  <si>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</si>
  <si>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</si>
  <si>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</si>
  <si>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</si>
  <si>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</si>
  <si>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</si>
  <si>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</si>
  <si>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</si>
  <si>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</si>
  <si>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</si>
  <si>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</si>
  <si>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</si>
  <si>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</si>
  <si>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</si>
  <si>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</si>
  <si>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</si>
  <si>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</si>
  <si>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</si>
  <si>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</si>
  <si>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</si>
  <si>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</si>
  <si>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</si>
  <si>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</si>
  <si>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</si>
  <si>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</si>
  <si>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</si>
  <si>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</si>
  <si>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</si>
  <si>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</si>
  <si>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</si>
  <si>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</si>
  <si>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</si>
  <si>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</si>
  <si>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</si>
  <si>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</si>
  <si>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</si>
  <si>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</si>
  <si>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</si>
  <si>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</si>
  <si>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</si>
  <si>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</si>
  <si>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</si>
  <si>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</si>
  <si>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</si>
  <si>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</si>
  <si>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</si>
  <si>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</si>
  <si>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</si>
  <si>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</si>
  <si>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</si>
  <si>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</si>
  <si>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</si>
  <si>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</si>
  <si>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</si>
  <si>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</si>
  <si>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</si>
  <si>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</si>
  <si>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</si>
  <si>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</si>
  <si>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</si>
  <si>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</si>
  <si>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</si>
  <si>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</si>
  <si>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</si>
  <si>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</si>
  <si>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</si>
  <si>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</si>
  <si>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</si>
  <si>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</si>
  <si>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</si>
  <si>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</si>
  <si>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</si>
  <si>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</si>
  <si>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</si>
  <si>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</si>
  <si>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</si>
  <si>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</si>
  <si>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</si>
  <si>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</si>
  <si>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</si>
  <si>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</si>
  <si>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</si>
  <si>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</si>
  <si>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</si>
  <si>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</si>
  <si>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</si>
  <si>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</si>
  <si>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</si>
  <si>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</si>
  <si>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</si>
  <si>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</si>
  <si>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</si>
  <si>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</si>
  <si>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</si>
  <si>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</si>
  <si>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</si>
  <si>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</si>
  <si>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</si>
  <si>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</si>
  <si>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</si>
  <si>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</si>
  <si>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</si>
  <si>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</si>
  <si>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</si>
  <si>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</si>
  <si>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</si>
  <si>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</si>
  <si>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</si>
  <si>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</si>
  <si>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</si>
  <si>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</si>
  <si>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</si>
  <si>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</si>
  <si>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</si>
  <si>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</si>
  <si>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</si>
  <si>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</si>
  <si>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</si>
  <si>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</si>
  <si>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</si>
  <si>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</si>
  <si>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</si>
  <si>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</si>
  <si>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</si>
  <si>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</si>
  <si>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</si>
  <si>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</si>
  <si>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</si>
  <si>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</si>
  <si>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</si>
  <si>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</si>
  <si>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</si>
  <si>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</si>
  <si>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</si>
  <si>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</si>
  <si>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</si>
  <si>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</si>
  <si>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</si>
  <si>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</si>
  <si>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</si>
  <si>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</si>
  <si>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</si>
  <si>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</si>
  <si>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</si>
  <si>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</si>
  <si>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</si>
  <si>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</si>
  <si>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</si>
  <si>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</si>
  <si>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</si>
  <si>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</si>
  <si>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</si>
  <si>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</si>
  <si>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</si>
  <si>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</si>
  <si>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</si>
  <si>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</si>
  <si>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</si>
  <si>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</si>
  <si>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</si>
  <si>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</si>
  <si>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</si>
  <si>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</si>
  <si>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</si>
  <si>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</si>
  <si>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</si>
  <si>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</si>
  <si>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</si>
  <si>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</si>
  <si>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</si>
  <si>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</si>
  <si>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</si>
  <si>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</si>
  <si>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</si>
  <si>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</si>
  <si>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</si>
  <si>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</si>
  <si>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</si>
  <si>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</si>
  <si>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</si>
  <si>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</si>
  <si>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</si>
  <si>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</si>
  <si>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</si>
  <si>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</si>
  <si>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</si>
  <si>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</si>
  <si>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</si>
  <si>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</si>
  <si>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</si>
  <si>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</si>
  <si>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</si>
  <si>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</si>
  <si>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</si>
  <si>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</si>
  <si>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</si>
  <si>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</si>
  <si>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</si>
  <si>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</si>
  <si>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</si>
  <si>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</si>
  <si>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</si>
  <si>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</si>
  <si>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</si>
  <si>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</si>
  <si>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</si>
  <si>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</si>
  <si>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</si>
  <si>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</si>
  <si>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</si>
  <si>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</si>
  <si>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</si>
  <si>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</si>
  <si>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</si>
  <si>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</si>
  <si>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</si>
  <si>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</si>
  <si>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</si>
  <si>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</si>
  <si>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</si>
  <si>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</si>
  <si>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</si>
  <si>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</si>
  <si>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</si>
  <si>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</si>
  <si>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</si>
  <si>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</si>
  <si>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</si>
  <si>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</si>
  <si>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</si>
  <si>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</si>
  <si>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</si>
  <si>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</si>
  <si>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</si>
  <si>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</si>
  <si>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</si>
  <si>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</si>
  <si>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</si>
  <si>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</si>
  <si>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</si>
  <si>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</si>
  <si>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</si>
  <si>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</si>
  <si>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</si>
  <si>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</si>
  <si>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</si>
  <si>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</si>
  <si>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</si>
  <si>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</si>
  <si>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</si>
  <si>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</si>
  <si>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</si>
  <si>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</si>
  <si>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</si>
  <si>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</si>
  <si>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</si>
  <si>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</si>
  <si>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</si>
  <si>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</si>
  <si>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</si>
  <si>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</si>
  <si>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</si>
  <si>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</si>
  <si>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</si>
  <si>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</si>
  <si>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</si>
  <si>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</si>
  <si>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</si>
  <si>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</si>
  <si>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</si>
  <si>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</si>
  <si>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</si>
  <si>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</si>
  <si>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</si>
  <si>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</si>
  <si>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</si>
  <si>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</si>
  <si>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</si>
  <si>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</si>
  <si>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</si>
  <si>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</si>
  <si>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</si>
  <si>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</si>
  <si>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</si>
  <si>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</si>
  <si>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</si>
  <si>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</si>
  <si>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</si>
  <si>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</si>
  <si>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</si>
  <si>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</si>
  <si>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</si>
  <si>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</si>
  <si>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</si>
  <si>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</si>
  <si>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</si>
  <si>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</si>
  <si>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</si>
  <si>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</si>
  <si>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</si>
  <si>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</si>
  <si>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</si>
  <si>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</si>
  <si>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</si>
  <si>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</si>
  <si>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</si>
  <si>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</si>
  <si>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</si>
  <si>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</si>
  <si>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</si>
  <si>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</si>
  <si>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</si>
  <si>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</si>
  <si>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</si>
  <si>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</si>
  <si>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</si>
  <si>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</si>
  <si>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</si>
  <si>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</si>
  <si>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</si>
  <si>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</si>
  <si>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</si>
  <si>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</si>
  <si>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</si>
  <si>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</si>
  <si>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</si>
  <si>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</si>
  <si>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</si>
  <si>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</si>
  <si>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</si>
  <si>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</si>
  <si>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</si>
  <si>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</si>
  <si>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</si>
  <si>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</si>
  <si>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51</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</si>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</sst>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39" TargetMode="External"/><Relationship Id="rId1738" Type="http://schemas.openxmlformats.org/officeDocument/2006/relationships/hyperlink" Target="https://www.youtube.com/watch?v=SxQbBd_43To" TargetMode="External"/><Relationship Id="rId1739" Type="http://schemas.openxmlformats.org/officeDocument/2006/relationships/hyperlink" Target="https://youtu.be/RYC2XAxQrzY?si=IPNkkFwehnMrwTZF&amp;t=60"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kZyWw3NCFx8" TargetMode="External"/><Relationship Id="rId1753" Type="http://schemas.openxmlformats.org/officeDocument/2006/relationships/hyperlink" Target="https://www.twitch.tv/jjsrl/clip/SmoothDiligentNigiriTBCheesePull-TmvsyERVA7gjPkbJ" TargetMode="External"/><Relationship Id="rId1754" Type="http://schemas.openxmlformats.org/officeDocument/2006/relationships/hyperlink" Target="https://www.youtube.com/watch?v=snj15Ho71no" TargetMode="External"/><Relationship Id="rId1755" Type="http://schemas.openxmlformats.org/officeDocument/2006/relationships/hyperlink" Target="https://www.twitch.tv/jjsrl/clip/FrozenObliqueDuckCurseLit-kMD3SUmJiie-XNfY" TargetMode="External"/><Relationship Id="rId1756" Type="http://schemas.openxmlformats.org/officeDocument/2006/relationships/hyperlink" Target="https://www.youtube.com/watch?v=us9Ndljhigw" TargetMode="External"/><Relationship Id="rId1757" Type="http://schemas.openxmlformats.org/officeDocument/2006/relationships/hyperlink" Target="https://www.youtube.com/watch?v=uUbYLDXzXPE" TargetMode="External"/><Relationship Id="rId1758" Type="http://schemas.openxmlformats.org/officeDocument/2006/relationships/hyperlink" Target="https://www.twitch.tv/videos/2156884979" TargetMode="External"/><Relationship Id="rId1759" Type="http://schemas.openxmlformats.org/officeDocument/2006/relationships/hyperlink" Target="https://www.youtube.com/watch?v=VNS-JNZfrnc" TargetMode="External"/><Relationship Id="rId1750" Type="http://schemas.openxmlformats.org/officeDocument/2006/relationships/hyperlink" Target="https://www.youtube.com/watch?v=hmvfEP6e7m4" TargetMode="External"/><Relationship Id="rId1751" Type="http://schemas.openxmlformats.org/officeDocument/2006/relationships/hyperlink" Target="https://www.youtube.com/watch?v=ehVXZQtmKwc" TargetMode="External"/><Relationship Id="rId1741" Type="http://schemas.openxmlformats.org/officeDocument/2006/relationships/hyperlink" Target="https://www.twitch.tv/videos/2157470140" TargetMode="External"/><Relationship Id="rId1742" Type="http://schemas.openxmlformats.org/officeDocument/2006/relationships/hyperlink" Target="https://youtu.be/yLUTIufF_N4?si=9RdcK0Z_fTPzl_Lu&amp;t=83" TargetMode="External"/><Relationship Id="rId1743" Type="http://schemas.openxmlformats.org/officeDocument/2006/relationships/hyperlink" Target="https://youtu.be/pTdnGmxtZyk?si=0Jr58SyWq6HpENWx&amp;t=93" TargetMode="External"/><Relationship Id="rId1744" Type="http://schemas.openxmlformats.org/officeDocument/2006/relationships/hyperlink" Target="https://www.twitch.tv/videos/2158157500" TargetMode="External"/><Relationship Id="rId1745" Type="http://schemas.openxmlformats.org/officeDocument/2006/relationships/hyperlink" Target="https://clips.twitch.tv/AmusedConfidentIguanaHassanChop" TargetMode="External"/><Relationship Id="rId1746" Type="http://schemas.openxmlformats.org/officeDocument/2006/relationships/hyperlink" Target="https://www.twitch.tv/videos/890925851" TargetMode="External"/><Relationship Id="rId1747" Type="http://schemas.openxmlformats.org/officeDocument/2006/relationships/hyperlink" Target="https://www.youtube.com/watch?v=EmhKLh6qGu0&amp;ab_channel=JJsrl" TargetMode="External"/><Relationship Id="rId1748" Type="http://schemas.openxmlformats.org/officeDocument/2006/relationships/hyperlink" Target="https://clips.twitch.tv/PunchyFriendlyCroissantArgieB8-qEPbR5aXzccU8bW9" TargetMode="External"/><Relationship Id="rId1749" Type="http://schemas.openxmlformats.org/officeDocument/2006/relationships/hyperlink" Target="https://clips.twitch.tv/RamshackleEagerMouseFrankerZ-3VaACqMZFL8WqnqI" TargetMode="External"/><Relationship Id="rId1740" Type="http://schemas.openxmlformats.org/officeDocument/2006/relationships/hyperlink" Target="https://youtu.be/vElJNXHnOow?si=YKZPcXIdNfk04aKJ&amp;t=12"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FJ-n-TcDIfk" TargetMode="External"/><Relationship Id="rId3512" Type="http://schemas.openxmlformats.org/officeDocument/2006/relationships/hyperlink" Target="https://youtu.be/OkpJ8_cW35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rainyEncouragingGrassBudStar-2D1zGgy3xj8nr8w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m97t6tp29M" TargetMode="External"/><Relationship Id="rId3510" Type="http://schemas.openxmlformats.org/officeDocument/2006/relationships/hyperlink" Target="https://www.youtube.com/watch?v=pag5OgFa-20"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NNx92KdoxE?si=ZmOhgRhH18sErn0B"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LiwLiOUcQUk?si=82uxsnY6mEOtMqNp" TargetMode="External"/><Relationship Id="rId35" Type="http://schemas.openxmlformats.org/officeDocument/2006/relationships/hyperlink" Target="https://youtu.be/V88dab1VAo8" TargetMode="External"/><Relationship Id="rId3508" Type="http://schemas.openxmlformats.org/officeDocument/2006/relationships/hyperlink" Target="https://youtu.be/BLi_QcGdq6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youtu.be/QnKXrjvJcW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twitter.com/HiyokoVideo/status/1460578448959623177"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twitter.com/HiyokoVideo/status/147327353879909172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twitter.com/HiyokoVideo/status/138599878234561331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twitter.com/HiyokoVideo/status/144710917749562163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clips.twitch.tv/SincereFrailKiwiMcaT-cll-Z5LVUleWSJQj"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twitter.com/HiyokoVideo/status/138665599511228825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Video/status/146200697403227340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clips.twitch.tv/MagnificentSavageLionResidentSleeper-iqxh7JjaEGn-6K98"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twitter.com/HiyokoVideo/status/138849609218294170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twitter.com/HiyokoVideo/status/1392518044539244554"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5036836762816515"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_gaming/status/137435906139158119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405504398544513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CrypticIgnorantGoshawkPoooound-uxL3k1WMzvzu4aVB" TargetMode="External"/><Relationship Id="rId83" Type="http://schemas.openxmlformats.org/officeDocument/2006/relationships/hyperlink" Target="https://youtu.be/4sRLH8lWpw8" TargetMode="External"/><Relationship Id="rId1775" Type="http://schemas.openxmlformats.org/officeDocument/2006/relationships/hyperlink" Target="https://youtu.be/EdwItdY1IIo?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FriendlySpikyZucchiniDBstyle-sy83S44B3M98mOH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SpikyTangentialTitanStoneLightning-jxiqO-6hbb_J7X1Y"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PlayfulHappyHornetTriHard-MrGJhanbpndCae2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pTie4KP5-o?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zqQZ2Nw77p0" TargetMode="External"/><Relationship Id="rId1771" Type="http://schemas.openxmlformats.org/officeDocument/2006/relationships/hyperlink" Target="https://www.twitch.tv/darkbladesao_/clip/CredulousUnsightlyGazelleMVGame-WN9f607kFvk7IHup?filter=clips&amp;range=all&amp;sort=time" TargetMode="External"/><Relationship Id="rId1772" Type="http://schemas.openxmlformats.org/officeDocument/2006/relationships/hyperlink" Target="https://youtu.be/20GQO3O2bG0?si=8WqTPsdPZq43IxK1&amp;t=137" TargetMode="External"/><Relationship Id="rId1773" Type="http://schemas.openxmlformats.org/officeDocument/2006/relationships/hyperlink" Target="https://www.twitch.tv/jjsrl/clip/AgreeableKitschyCarabeefResidentSleeper-ChJcpW4FxKAu_YZ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rappedInnocentTrayHotPokket-DCf7C7PY1LfeNP7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fEuOynC63dU"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StupidPowerfulRaisinSmoocherZ"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enaciousAntediluvianMonkeyNerfRedBlaster"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ImportantYummyTermiteVoteYea-m6i5a4Xm6Az4aCmp"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BWTSU4jtkC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A-O7-jDgekE?t=13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TastyAliveAppleKreygasm" TargetMode="External"/><Relationship Id="rId1761" Type="http://schemas.openxmlformats.org/officeDocument/2006/relationships/hyperlink" Target="https://youtu.be/j_Q2Ef2PbsU?si=Fzmpjgo7MXM7Zyge&amp;t=7" TargetMode="External"/><Relationship Id="rId1762" Type="http://schemas.openxmlformats.org/officeDocument/2006/relationships/hyperlink" Target="https://youtu.be/q2SW3Uu23Ek?t=51"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d8fTBCb4WxE" TargetMode="External"/><Relationship Id="rId1781" Type="http://schemas.openxmlformats.org/officeDocument/2006/relationships/hyperlink" Target="https://youtu.be/PB1x95nZfPg?t=83"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t9CAUQPahc"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NMknFeDy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www.twitch.tv/videos/21783616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tM1xblhUA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Cr7xNueJcfc"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IjKpEs-Dc7c"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61ZIILT3BzY" TargetMode="External"/><Relationship Id="rId2253" Type="http://schemas.openxmlformats.org/officeDocument/2006/relationships/hyperlink" Target="https://www.twitch.tv/videos/1015029698" TargetMode="External"/><Relationship Id="rId3583" Type="http://schemas.openxmlformats.org/officeDocument/2006/relationships/hyperlink" Target="https://clips.twitch.tv/CautiousIcyPancakeYouDontSay-tVFKCYCSjaOHFQp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54404870?t=00h13m3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www.twitch.tv/redsmsr/clip/AttractiveMoistRatNinjaGrumpy-sP4pU83HUQTBuIh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BRbu8H2UIh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hI8M3QDI7Y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WanderingHonestBeaverPupper"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AthleticVibrantLobsterNomNo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Q5xt1Y5DP1I"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TenaciousThankfulPeachTinyFace"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istinctOilyPlumberBlargNaut"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PYAakrWfQx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CautiousTemperedBottleYouWH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3"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ztgKfdQDd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epressedSweetCattleTheTarFu"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www.twitch.tv/videos/86791147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8G37-1EDDP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6dC2qWCsfig"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K1nCKnWMVRY"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clips.twitch.tv/DreamyCharmingMoonOpieOP" TargetMode="External"/><Relationship Id="rId3540" Type="http://schemas.openxmlformats.org/officeDocument/2006/relationships/hyperlink" Target="https://twitter.com/HiyokoVideo/status/1392500345171943432"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z9Ko2MsTTb4"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twitter.com/HiyokoVideo/status/1392120536860303360"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yzAIJNz9yeQ"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7RwpSqYaoG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lIdj4uOQerg?t=10630"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wLgBafrMgH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1699"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6-6Nekn-zE"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45_DhuJsqOI"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C_2rljFQ2w4?t=1105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3Mbc7M7uEm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AbstruseDullYogurtVoHiY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www.twitch.tv/linky628/clip/KawaiiSeductiveSandstormCoolStoryBob"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zwKYh5fIKi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38BDWIz596o"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TenaciousAnnoyingHerringWOOP"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zNgWybAwmK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t0zyR9tMF0"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8I7D7nA__e4"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LaconicSaltyJackalDAESupp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oFa9Fham62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_vlhzyWD5T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2Y_eB2PGdcI"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NNPXltghmL4"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youtu.be/XBVEJ52O-Ig" TargetMode="External"/><Relationship Id="rId4065" Type="http://schemas.openxmlformats.org/officeDocument/2006/relationships/hyperlink" Target="https://www.twitch.tv/videos/924471122" TargetMode="External"/><Relationship Id="rId4068" Type="http://schemas.openxmlformats.org/officeDocument/2006/relationships/hyperlink" Target="https://youtu.be/LWnZ7IkyuVg" TargetMode="External"/><Relationship Id="rId4067" Type="http://schemas.openxmlformats.org/officeDocument/2006/relationships/hyperlink" Target="https://youtu.be/o5dbUxuaK9U?si=o7oJd5VtsmvnHXhI" TargetMode="External"/><Relationship Id="rId4069" Type="http://schemas.openxmlformats.org/officeDocument/2006/relationships/hyperlink" Target="https://youtu.be/2EOO7jxsV5U"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7rLJ-F7D95Q" TargetMode="External"/><Relationship Id="rId4072" Type="http://schemas.openxmlformats.org/officeDocument/2006/relationships/hyperlink" Target="https://youtu.be/ODe_uhQOVmw"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tDqVCEpZM_s" TargetMode="External"/><Relationship Id="rId3634" Type="http://schemas.openxmlformats.org/officeDocument/2006/relationships/hyperlink" Target="https://youtu.be/LnokC0JcIXs" TargetMode="External"/><Relationship Id="rId2303" Type="http://schemas.openxmlformats.org/officeDocument/2006/relationships/hyperlink" Target="https://youtu.be/ab2UyJcvuFI" TargetMode="External"/><Relationship Id="rId3633" Type="http://schemas.openxmlformats.org/officeDocument/2006/relationships/hyperlink" Target="https://youtu.be/ZBw8HgqmYE4" TargetMode="External"/><Relationship Id="rId2304" Type="http://schemas.openxmlformats.org/officeDocument/2006/relationships/hyperlink" Target="https://youtu.be/yqqNoT2MORg" TargetMode="External"/><Relationship Id="rId3636" Type="http://schemas.openxmlformats.org/officeDocument/2006/relationships/hyperlink" Target="https://youtu.be/yBPrzGu9iRs" TargetMode="External"/><Relationship Id="rId2305" Type="http://schemas.openxmlformats.org/officeDocument/2006/relationships/hyperlink" Target="https://youtu.be/kRh0isGoKvw" TargetMode="External"/><Relationship Id="rId3635" Type="http://schemas.openxmlformats.org/officeDocument/2006/relationships/hyperlink" Target="https://youtu.be/8lvROe5a3Fs" TargetMode="External"/><Relationship Id="rId2306" Type="http://schemas.openxmlformats.org/officeDocument/2006/relationships/hyperlink" Target="https://youtu.be/BrYWarX8tuI" TargetMode="External"/><Relationship Id="rId3638" Type="http://schemas.openxmlformats.org/officeDocument/2006/relationships/hyperlink" Target="https://youtu.be/VRHX3pgBvAQ" TargetMode="External"/><Relationship Id="rId2307" Type="http://schemas.openxmlformats.org/officeDocument/2006/relationships/hyperlink" Target="https://youtu.be/J1J56aATSTk" TargetMode="External"/><Relationship Id="rId3637" Type="http://schemas.openxmlformats.org/officeDocument/2006/relationships/hyperlink" Target="https://youtu.be/0aDb7ovTkt8"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ZqjYKjHRiQ4"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qcfVmgA2Lvs"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BG1DNUReLzg" TargetMode="External"/><Relationship Id="rId3656" Type="http://schemas.openxmlformats.org/officeDocument/2006/relationships/hyperlink" Target="https://youtu.be/bINNm5Aceek" TargetMode="External"/><Relationship Id="rId2325" Type="http://schemas.openxmlformats.org/officeDocument/2006/relationships/hyperlink" Target="https://youtu.be/9WK317cn5xo"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31iGg6JwVD0" TargetMode="External"/><Relationship Id="rId3658" Type="http://schemas.openxmlformats.org/officeDocument/2006/relationships/hyperlink" Target="https://youtu.be/d9DyDRTKOU8" TargetMode="External"/><Relationship Id="rId2327" Type="http://schemas.openxmlformats.org/officeDocument/2006/relationships/hyperlink" Target="https://youtu.be/Bz_l6_86h-Q" TargetMode="External"/><Relationship Id="rId3657" Type="http://schemas.openxmlformats.org/officeDocument/2006/relationships/hyperlink" Target="https://youtu.be/3UELneIbRvU"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54K6UmBq0HI" TargetMode="External"/><Relationship Id="rId3652" Type="http://schemas.openxmlformats.org/officeDocument/2006/relationships/hyperlink" Target="https://youtu.be/COIMShAaKdw" TargetMode="External"/><Relationship Id="rId2321" Type="http://schemas.openxmlformats.org/officeDocument/2006/relationships/hyperlink" Target="https://youtu.be/sa0aOUxzwYo"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YWMdgPCpRyc" TargetMode="External"/><Relationship Id="rId3654" Type="http://schemas.openxmlformats.org/officeDocument/2006/relationships/hyperlink" Target="https://youtu.be/1X1H4tLcTuE" TargetMode="External"/><Relationship Id="rId2323" Type="http://schemas.openxmlformats.org/officeDocument/2006/relationships/hyperlink" Target="https://youtu.be/FAOHSZG4Ahg" TargetMode="External"/><Relationship Id="rId3653" Type="http://schemas.openxmlformats.org/officeDocument/2006/relationships/hyperlink" Target="https://youtu.be/lyWm_9LlYOQ" TargetMode="External"/><Relationship Id="rId2313" Type="http://schemas.openxmlformats.org/officeDocument/2006/relationships/hyperlink" Target="https://youtu.be/ypvpZ6zCblI" TargetMode="External"/><Relationship Id="rId3645" Type="http://schemas.openxmlformats.org/officeDocument/2006/relationships/hyperlink" Target="https://youtu.be/WH0jcgZhuSk" TargetMode="External"/><Relationship Id="rId2314" Type="http://schemas.openxmlformats.org/officeDocument/2006/relationships/hyperlink" Target="https://youtu.be/IzvKi65Ag5g"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VEf959-p1qM" TargetMode="External"/><Relationship Id="rId3647" Type="http://schemas.openxmlformats.org/officeDocument/2006/relationships/hyperlink" Target="https://youtu.be/NL7okSeY5iY" TargetMode="External"/><Relationship Id="rId2316" Type="http://schemas.openxmlformats.org/officeDocument/2006/relationships/hyperlink" Target="https://youtu.be/34f0axSWzxw" TargetMode="External"/><Relationship Id="rId3646" Type="http://schemas.openxmlformats.org/officeDocument/2006/relationships/hyperlink" Target="https://youtu.be/XTDyoF4Y4nU" TargetMode="External"/><Relationship Id="rId2317" Type="http://schemas.openxmlformats.org/officeDocument/2006/relationships/hyperlink" Target="https://youtu.be/f9ouH7bfDIQ" TargetMode="External"/><Relationship Id="rId3649" Type="http://schemas.openxmlformats.org/officeDocument/2006/relationships/hyperlink" Target="https://youtu.be/6mI4Vok80os"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ryV_LdGnQ1Q" TargetMode="External"/><Relationship Id="rId3641" Type="http://schemas.openxmlformats.org/officeDocument/2006/relationships/hyperlink" Target="https://youtu.be/HPS5N1Vmy6Q" TargetMode="External"/><Relationship Id="rId2310" Type="http://schemas.openxmlformats.org/officeDocument/2006/relationships/hyperlink" Target="https://youtu.be/Q6JTs1bKpa8" TargetMode="External"/><Relationship Id="rId3640" Type="http://schemas.openxmlformats.org/officeDocument/2006/relationships/hyperlink" Target="https://youtu.be/IOuZLjDgZX0" TargetMode="External"/><Relationship Id="rId2311" Type="http://schemas.openxmlformats.org/officeDocument/2006/relationships/hyperlink" Target="https://youtu.be/iHzY7gDup4c" TargetMode="External"/><Relationship Id="rId3643" Type="http://schemas.openxmlformats.org/officeDocument/2006/relationships/hyperlink" Target="https://youtu.be/o3BJ9s8uUxw"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tbWXxoNI9rc"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b-wHqbQ15Z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_-cHYo4eE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youtu.be/25AeESPcxz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youtu.be/DNEOspNb5a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LxCr_8S1PCs"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youtu.be/cdfP2AK7VPI"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OKO9wIkM7a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JsuKK_e0gN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CrepuscularScrumptiousOtterTakeNRG-cxJP968a0d4wce-J"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hxqKuvCqz6o"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youtu.be/PXAYZ7142a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youtu.be/MHz8svxTCuM"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hzThAcMPmgA"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trYi0VCJE54"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ioQ_htK8yrE"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WTSwJDjIKM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youtu.be/dBYOcecJcsY"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ptAIiXvgE8E" TargetMode="External"/><Relationship Id="rId3711" Type="http://schemas.openxmlformats.org/officeDocument/2006/relationships/hyperlink" Target="https://www.youtube.com/watch?v=-1GMC0eWiwM" TargetMode="External"/><Relationship Id="rId3710" Type="http://schemas.openxmlformats.org/officeDocument/2006/relationships/hyperlink" Target="https://www.youtube.com/watch?v=cy0EVsg_YNQ" TargetMode="External"/><Relationship Id="rId3713" Type="http://schemas.openxmlformats.org/officeDocument/2006/relationships/hyperlink" Target="https://www.youtube.com/watch?v=SjGJSNNiG7c"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clips.twitch.tv/WealthyIcyNeanderthalFreakinStinkin" TargetMode="External"/><Relationship Id="rId3716" Type="http://schemas.openxmlformats.org/officeDocument/2006/relationships/hyperlink" Target="https://clips.twitch.tv/FilthyTalentedQuailStinkyCheese" TargetMode="External"/><Relationship Id="rId3719" Type="http://schemas.openxmlformats.org/officeDocument/2006/relationships/hyperlink" Target="https://clips.twitch.tv/RefinedSmallBobaOhMyDog" TargetMode="External"/><Relationship Id="rId3718" Type="http://schemas.openxmlformats.org/officeDocument/2006/relationships/hyperlink" Target="https://clips.twitch.tv/SassyBeautifulShrewSMOrc" TargetMode="External"/><Relationship Id="rId3700" Type="http://schemas.openxmlformats.org/officeDocument/2006/relationships/hyperlink" Target="https://www.youtube.com/watch?v=cvY3gE6o3eU"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_h-Y9PTQCtQ" TargetMode="External"/><Relationship Id="rId3703" Type="http://schemas.openxmlformats.org/officeDocument/2006/relationships/hyperlink" Target="https://www.youtube.com/watch?v=zo70nuD-XLk" TargetMode="External"/><Relationship Id="rId3706" Type="http://schemas.openxmlformats.org/officeDocument/2006/relationships/hyperlink" Target="https://clips.twitch.tv/TenuousPiercingMageGOWSkull-kGLgwfGlf3oOKCjk" TargetMode="External"/><Relationship Id="rId3705" Type="http://schemas.openxmlformats.org/officeDocument/2006/relationships/hyperlink" Target="https://www.youtube.com/watch?v=CILDpiFkyUg" TargetMode="External"/><Relationship Id="rId3708" Type="http://schemas.openxmlformats.org/officeDocument/2006/relationships/hyperlink" Target="https://www.youtube.com/watch?v=IkLea14rpLY" TargetMode="External"/><Relationship Id="rId3707" Type="http://schemas.openxmlformats.org/officeDocument/2006/relationships/hyperlink" Target="https://www.youtube.com/watch?v=Kmsg5bdlTP0" TargetMode="External"/><Relationship Id="rId3709" Type="http://schemas.openxmlformats.org/officeDocument/2006/relationships/hyperlink" Target="https://www.youtube.com/watch?v=Sm6zF3jKCd8"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twitch.tv/videos/957409450"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885940624"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MT9EJFRcn0I"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215aVHsFEaI"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9x4c-pj_0OU"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Q9zO6Ey-tuY"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1qw4AWxMhrE" TargetMode="External"/><Relationship Id="rId3832" Type="http://schemas.openxmlformats.org/officeDocument/2006/relationships/hyperlink" Target="https://youtu.be/L3JP_GvYE7c" TargetMode="External"/><Relationship Id="rId2501" Type="http://schemas.openxmlformats.org/officeDocument/2006/relationships/hyperlink" Target="https://youtu.be/RUgqny8h0sQ" TargetMode="External"/><Relationship Id="rId3831" Type="http://schemas.openxmlformats.org/officeDocument/2006/relationships/hyperlink" Target="https://youtu.be/is_vY-GrcvA" TargetMode="External"/><Relationship Id="rId2502" Type="http://schemas.openxmlformats.org/officeDocument/2006/relationships/hyperlink" Target="https://youtu.be/9-4Sx88Rrlk" TargetMode="External"/><Relationship Id="rId3834" Type="http://schemas.openxmlformats.org/officeDocument/2006/relationships/hyperlink" Target="https://youtu.be/S2-pKof3drs" TargetMode="External"/><Relationship Id="rId2503" Type="http://schemas.openxmlformats.org/officeDocument/2006/relationships/hyperlink" Target="https://youtu.be/qFyGDuNYB1Y" TargetMode="External"/><Relationship Id="rId3833" Type="http://schemas.openxmlformats.org/officeDocument/2006/relationships/hyperlink" Target="https://youtu.be/69ic33AvIaQ" TargetMode="External"/><Relationship Id="rId2504" Type="http://schemas.openxmlformats.org/officeDocument/2006/relationships/hyperlink" Target="https://youtu.be/VOb_HIsYMEk" TargetMode="External"/><Relationship Id="rId3836" Type="http://schemas.openxmlformats.org/officeDocument/2006/relationships/hyperlink" Target="https://youtu.be/gs6T_sN1V7s" TargetMode="External"/><Relationship Id="rId2505" Type="http://schemas.openxmlformats.org/officeDocument/2006/relationships/hyperlink" Target="https://youtu.be/NOWSgC9zUaw" TargetMode="External"/><Relationship Id="rId3835" Type="http://schemas.openxmlformats.org/officeDocument/2006/relationships/hyperlink" Target="https://youtu.be/UbE6nG94rbc" TargetMode="External"/><Relationship Id="rId2506" Type="http://schemas.openxmlformats.org/officeDocument/2006/relationships/hyperlink" Target="https://youtu.be/WVo87yYidJ4" TargetMode="External"/><Relationship Id="rId3838" Type="http://schemas.openxmlformats.org/officeDocument/2006/relationships/hyperlink" Target="https://youtu.be/Oc0mzisGZgM" TargetMode="External"/><Relationship Id="rId2507" Type="http://schemas.openxmlformats.org/officeDocument/2006/relationships/hyperlink" Target="https://youtu.be/eYfAbzNBvRM" TargetMode="External"/><Relationship Id="rId3837" Type="http://schemas.openxmlformats.org/officeDocument/2006/relationships/hyperlink" Target="https://youtu.be/qKz5kBAucj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tUVOVRxFAm4" TargetMode="External"/><Relationship Id="rId3854" Type="http://schemas.openxmlformats.org/officeDocument/2006/relationships/hyperlink" Target="https://youtu.be/L1J8ZYanHK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youtu.be/7BFRkUtZva4" TargetMode="External"/><Relationship Id="rId3856" Type="http://schemas.openxmlformats.org/officeDocument/2006/relationships/hyperlink" Target="https://youtu.be/hv7cmfuaj-s" TargetMode="External"/><Relationship Id="rId2525" Type="http://schemas.openxmlformats.org/officeDocument/2006/relationships/hyperlink" Target="https://youtu.be/pr-HbxWOWKM" TargetMode="External"/><Relationship Id="rId3855" Type="http://schemas.openxmlformats.org/officeDocument/2006/relationships/hyperlink" Target="https://youtu.be/wEm0hI8D0Es" TargetMode="External"/><Relationship Id="rId2526" Type="http://schemas.openxmlformats.org/officeDocument/2006/relationships/hyperlink" Target="https://youtu.be/uzlELasL6rs" TargetMode="External"/><Relationship Id="rId3858" Type="http://schemas.openxmlformats.org/officeDocument/2006/relationships/hyperlink" Target="https://youtu.be/MWIaeCpCjRg" TargetMode="External"/><Relationship Id="rId2527" Type="http://schemas.openxmlformats.org/officeDocument/2006/relationships/hyperlink" Target="https://youtu.be/C8NGezkLAlk" TargetMode="External"/><Relationship Id="rId3857" Type="http://schemas.openxmlformats.org/officeDocument/2006/relationships/hyperlink" Target="https://youtu.be/TC6szU0KMQ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wjtk5aQl9rA" TargetMode="External"/><Relationship Id="rId3843" Type="http://schemas.openxmlformats.org/officeDocument/2006/relationships/hyperlink" Target="https://youtu.be/oJ7uiss0Fac" TargetMode="External"/><Relationship Id="rId2512" Type="http://schemas.openxmlformats.org/officeDocument/2006/relationships/hyperlink" Target="https://youtu.be/3tyzNFoalX8" TargetMode="External"/><Relationship Id="rId3842" Type="http://schemas.openxmlformats.org/officeDocument/2006/relationships/hyperlink" Target="https://youtu.be/6in2eMbJ0ow" TargetMode="External"/><Relationship Id="rId2513" Type="http://schemas.openxmlformats.org/officeDocument/2006/relationships/hyperlink" Target="https://youtu.be/OVLOMgv4lHM" TargetMode="External"/><Relationship Id="rId3845" Type="http://schemas.openxmlformats.org/officeDocument/2006/relationships/hyperlink" Target="https://youtu.be/HhrXXa3_6QQ" TargetMode="External"/><Relationship Id="rId2514" Type="http://schemas.openxmlformats.org/officeDocument/2006/relationships/hyperlink" Target="https://youtu.be/S8E5TXAF_Fg" TargetMode="External"/><Relationship Id="rId3844" Type="http://schemas.openxmlformats.org/officeDocument/2006/relationships/hyperlink" Target="https://youtu.be/cMWcL3kLKVs" TargetMode="External"/><Relationship Id="rId2515" Type="http://schemas.openxmlformats.org/officeDocument/2006/relationships/hyperlink" Target="https://youtu.be/vCWp4nv7kPM" TargetMode="External"/><Relationship Id="rId3847" Type="http://schemas.openxmlformats.org/officeDocument/2006/relationships/hyperlink" Target="https://youtu.be/7104U-nv8CU" TargetMode="External"/><Relationship Id="rId2516" Type="http://schemas.openxmlformats.org/officeDocument/2006/relationships/hyperlink" Target="https://youtu.be/yqMLlzyocdY" TargetMode="External"/><Relationship Id="rId3846" Type="http://schemas.openxmlformats.org/officeDocument/2006/relationships/hyperlink" Target="https://youtu.be/pTOrGSUJHWI"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4DBJt6tskao" TargetMode="External"/><Relationship Id="rId3841" Type="http://schemas.openxmlformats.org/officeDocument/2006/relationships/hyperlink" Target="https://youtu.be/K9g9bFufOgE" TargetMode="External"/><Relationship Id="rId2510" Type="http://schemas.openxmlformats.org/officeDocument/2006/relationships/hyperlink" Target="https://youtu.be/I_ca5My7vuk"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0wfTMcrG2c" TargetMode="External"/><Relationship Id="rId3017" Type="http://schemas.openxmlformats.org/officeDocument/2006/relationships/hyperlink" Target="https://clips.twitch.tv/NastyImpossibleCrabAMPEnergyCherry-g2mwU33oKy1EP3fo" TargetMode="External"/><Relationship Id="rId3019" Type="http://schemas.openxmlformats.org/officeDocument/2006/relationships/hyperlink" Target="https://youtu.be/RkId4sqRWCM?t=1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olidPerfectSandwichDerp-865AbQlAGdrhQIL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U39IMkm8w0" TargetMode="External"/><Relationship Id="rId481" Type="http://schemas.openxmlformats.org/officeDocument/2006/relationships/hyperlink" Target="https://youtu.be/svZiPOWaCGY" TargetMode="External"/><Relationship Id="rId3011" Type="http://schemas.openxmlformats.org/officeDocument/2006/relationships/hyperlink" Target="https://youtu.be/0_Qn58QJhQk?si=vlJv9gNolv46yWn9" TargetMode="External"/><Relationship Id="rId488" Type="http://schemas.openxmlformats.org/officeDocument/2006/relationships/hyperlink" Target="https://youtu.be/nc2kOVZ2ynw" TargetMode="External"/><Relationship Id="rId3014" Type="http://schemas.openxmlformats.org/officeDocument/2006/relationships/hyperlink" Target="https://youtu.be/rAB7TqLFJuw?si=Ev9AlvQZ03To222J" TargetMode="External"/><Relationship Id="rId487" Type="http://schemas.openxmlformats.org/officeDocument/2006/relationships/hyperlink" Target="https://youtu.be/WHv3_aF_TJ8" TargetMode="External"/><Relationship Id="rId3013" Type="http://schemas.openxmlformats.org/officeDocument/2006/relationships/hyperlink" Target="https://youtu.be/YuiSZnk7wx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etterSmallPoxTheThing-WaS8ZgfSeycrHOAP" TargetMode="External"/><Relationship Id="rId485" Type="http://schemas.openxmlformats.org/officeDocument/2006/relationships/hyperlink" Target="https://youtu.be/UFf6EQk8YfQ" TargetMode="External"/><Relationship Id="rId3015" Type="http://schemas.openxmlformats.org/officeDocument/2006/relationships/hyperlink" Target="https://youtu.be/n-p6FtdE57E" TargetMode="External"/><Relationship Id="rId3007" Type="http://schemas.openxmlformats.org/officeDocument/2006/relationships/hyperlink" Target="https://youtu.be/zbdC7rooh2Y" TargetMode="External"/><Relationship Id="rId3006" Type="http://schemas.openxmlformats.org/officeDocument/2006/relationships/hyperlink" Target="https://youtu.be/Un8GBYhUU3E?si=cB-vRJOczh6bhO1B" TargetMode="External"/><Relationship Id="rId3009" Type="http://schemas.openxmlformats.org/officeDocument/2006/relationships/hyperlink" Target="https://youtu.be/1oFQGYiycIQ?si=guM2fGz7XAv1O3bK" TargetMode="External"/><Relationship Id="rId3008" Type="http://schemas.openxmlformats.org/officeDocument/2006/relationships/hyperlink" Target="https://clips.twitch.tv/ProductiveSmallTofuPrimeMe-BiqUcXrrRzLE_GF3"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pLwKgRC1wcQ?si=F_ChIDkfJj31zCsE" TargetMode="External"/><Relationship Id="rId470" Type="http://schemas.openxmlformats.org/officeDocument/2006/relationships/hyperlink" Target="https://youtu.be/JYz4Xj32GW8" TargetMode="External"/><Relationship Id="rId3000" Type="http://schemas.openxmlformats.org/officeDocument/2006/relationships/hyperlink" Target="https://youtu.be/1CbHc28eZe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ObliviousRacyElkSpicyBoy-NUc0Yura40wdJzKf" TargetMode="External"/><Relationship Id="rId476" Type="http://schemas.openxmlformats.org/officeDocument/2006/relationships/hyperlink" Target="https://youtu.be/YtdEkYNexcY" TargetMode="External"/><Relationship Id="rId3002" Type="http://schemas.openxmlformats.org/officeDocument/2006/relationships/hyperlink" Target="https://youtu.be/S6I-VumPqKc?si=B7eN9ym4YIx2FcaW"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parklySnappyWasabiPJSalt-YOvVC1bGidPY76WI" TargetMode="External"/><Relationship Id="rId474" Type="http://schemas.openxmlformats.org/officeDocument/2006/relationships/hyperlink" Target="https://youtu.be/qE_7LVSJ_dY" TargetMode="External"/><Relationship Id="rId3004" Type="http://schemas.openxmlformats.org/officeDocument/2006/relationships/hyperlink" Target="https://youtu.be/DnONET1FjZ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PopularCrowdedAniseSSSsss-X8fwlzMOHVsqztE1" TargetMode="External"/><Relationship Id="rId3072" Type="http://schemas.openxmlformats.org/officeDocument/2006/relationships/hyperlink" Target="https://clips.twitch.tv/CrispySwissSkunkBatChest-y0rF0fHrJQEZNKn2" TargetMode="External"/><Relationship Id="rId3071" Type="http://schemas.openxmlformats.org/officeDocument/2006/relationships/hyperlink" Target="https://clips.twitch.tv/MagnificentSuccessfulSnoodWutFace-QhoH5irvAm5q48Xt" TargetMode="External"/><Relationship Id="rId3074" Type="http://schemas.openxmlformats.org/officeDocument/2006/relationships/hyperlink" Target="https://www.twitch.tv/videos/1208373209" TargetMode="External"/><Relationship Id="rId3073" Type="http://schemas.openxmlformats.org/officeDocument/2006/relationships/hyperlink" Target="https://clips.twitch.tv/GentleNurturingTaroStinkyCheese-9V_4eUy0yyQSX58D" TargetMode="External"/><Relationship Id="rId3076" Type="http://schemas.openxmlformats.org/officeDocument/2006/relationships/hyperlink" Target="https://clips.twitch.tv/BashfulBumblingGuanacoPastaThat-z5cyWFvHAyO-9oOq" TargetMode="External"/><Relationship Id="rId3075" Type="http://schemas.openxmlformats.org/officeDocument/2006/relationships/hyperlink" Target="https://clips.twitch.tv/UnusualCooperativeFerretYouWHY-bBNeMoXxZGJzEQus" TargetMode="External"/><Relationship Id="rId3078" Type="http://schemas.openxmlformats.org/officeDocument/2006/relationships/hyperlink" Target="https://clips.twitch.tv/GeniusCuriousBeeFloof-wUpHUgAU3iHCY-pW" TargetMode="External"/><Relationship Id="rId3077" Type="http://schemas.openxmlformats.org/officeDocument/2006/relationships/hyperlink" Target="https://clips.twitch.tv/UgliestGoodCasetteRedCoat-1P1yZwQfLboRz9C7" TargetMode="External"/><Relationship Id="rId3079" Type="http://schemas.openxmlformats.org/officeDocument/2006/relationships/hyperlink" Target="https://clips.twitch.tv/CheerfulVibrantSardineM4xHeh-_0MBEMmJtPaD7FKp" TargetMode="External"/><Relationship Id="rId3061" Type="http://schemas.openxmlformats.org/officeDocument/2006/relationships/hyperlink" Target="https://youtu.be/i1Ebe_5XOxY" TargetMode="External"/><Relationship Id="rId3060" Type="http://schemas.openxmlformats.org/officeDocument/2006/relationships/hyperlink" Target="https://youtu.be/aUjlD_1SEn8" TargetMode="External"/><Relationship Id="rId3063" Type="http://schemas.openxmlformats.org/officeDocument/2006/relationships/hyperlink" Target="https://clips.twitch.tv/NurturingDeafWoodcockBIRB-qW-4AqWmkvTAsNVq" TargetMode="External"/><Relationship Id="rId3062" Type="http://schemas.openxmlformats.org/officeDocument/2006/relationships/hyperlink" Target="https://youtu.be/ixt4mhRLGe4" TargetMode="External"/><Relationship Id="rId3065" Type="http://schemas.openxmlformats.org/officeDocument/2006/relationships/hyperlink" Target="https://clips.twitch.tv/CalmArborealJayChefFrank-wThatWbLlJdW3vPM" TargetMode="External"/><Relationship Id="rId3064" Type="http://schemas.openxmlformats.org/officeDocument/2006/relationships/hyperlink" Target="https://clips.twitch.tv/CourteousFlirtyGoblinHassaanChop-Jl8upbEbaAiCMr8b" TargetMode="External"/><Relationship Id="rId3067" Type="http://schemas.openxmlformats.org/officeDocument/2006/relationships/hyperlink" Target="https://clips.twitch.tv/AverageTemperedNoodleFutureMan-_gVLeLrIzMbDMuN5" TargetMode="External"/><Relationship Id="rId3066" Type="http://schemas.openxmlformats.org/officeDocument/2006/relationships/hyperlink" Target="https://clips.twitch.tv/TolerantTubularHabaneroFloof-VQVNqY6q6Oep1Vi1" TargetMode="External"/><Relationship Id="rId3069" Type="http://schemas.openxmlformats.org/officeDocument/2006/relationships/hyperlink" Target="https://www.twitch.tv/videos/1252282582" TargetMode="External"/><Relationship Id="rId3068" Type="http://schemas.openxmlformats.org/officeDocument/2006/relationships/hyperlink" Target="https://clips.twitch.tv/CuteSneakyAlfalfaTheThing-iXlaNo_eDeWR9qah" TargetMode="External"/><Relationship Id="rId3090" Type="http://schemas.openxmlformats.org/officeDocument/2006/relationships/hyperlink" Target="https://youtu.be/Wfq4ZAr7ero" TargetMode="External"/><Relationship Id="rId3092" Type="http://schemas.openxmlformats.org/officeDocument/2006/relationships/hyperlink" Target="https://youtu.be/ZZg3OSmQkzw" TargetMode="External"/><Relationship Id="rId3091" Type="http://schemas.openxmlformats.org/officeDocument/2006/relationships/hyperlink" Target="https://youtu.be/gzdnV0_HfsY" TargetMode="External"/><Relationship Id="rId3094" Type="http://schemas.openxmlformats.org/officeDocument/2006/relationships/hyperlink" Target="https://youtu.be/TmQAiow0Rnw" TargetMode="External"/><Relationship Id="rId3093" Type="http://schemas.openxmlformats.org/officeDocument/2006/relationships/hyperlink" Target="https://youtu.be/ioQWDuOmghs" TargetMode="External"/><Relationship Id="rId3096" Type="http://schemas.openxmlformats.org/officeDocument/2006/relationships/hyperlink" Target="https://youtu.be/ETwbMGnjhUs" TargetMode="External"/><Relationship Id="rId3095" Type="http://schemas.openxmlformats.org/officeDocument/2006/relationships/hyperlink" Target="https://clips.twitch.tv/IronicSmallBaconPastaThat" TargetMode="External"/><Relationship Id="rId3098" Type="http://schemas.openxmlformats.org/officeDocument/2006/relationships/hyperlink" Target="https://youtu.be/nNaIS70Vl_I" TargetMode="External"/><Relationship Id="rId3097" Type="http://schemas.openxmlformats.org/officeDocument/2006/relationships/hyperlink" Target="https://youtu.be/wT9TpExoWKc" TargetMode="External"/><Relationship Id="rId3099" Type="http://schemas.openxmlformats.org/officeDocument/2006/relationships/hyperlink" Target="https://youtu.be/qr647GdRJBc" TargetMode="External"/><Relationship Id="rId3081" Type="http://schemas.openxmlformats.org/officeDocument/2006/relationships/hyperlink" Target="https://www.twitch.tv/videos/1011472618" TargetMode="External"/><Relationship Id="rId3080" Type="http://schemas.openxmlformats.org/officeDocument/2006/relationships/hyperlink" Target="https://clips.twitch.tv/SleepyMoralDogeDuDudu-Y_xr_ueYZqGH7D_Z" TargetMode="External"/><Relationship Id="rId3083" Type="http://schemas.openxmlformats.org/officeDocument/2006/relationships/hyperlink" Target="https://www.twitch.tv/videos/918236232" TargetMode="External"/><Relationship Id="rId3082" Type="http://schemas.openxmlformats.org/officeDocument/2006/relationships/hyperlink" Target="https://www.twitch.tv/videos/1015265953" TargetMode="External"/><Relationship Id="rId3085" Type="http://schemas.openxmlformats.org/officeDocument/2006/relationships/hyperlink" Target="https://clips.twitch.tv/CooperativeToughClamKeyboardCat-WMqqrTRLaI53Tf0e" TargetMode="External"/><Relationship Id="rId3084" Type="http://schemas.openxmlformats.org/officeDocument/2006/relationships/hyperlink" Target="https://clips.twitch.tv/FitPrettyHerdBibleThump-vDZWtqjwrPASP1r-" TargetMode="External"/><Relationship Id="rId3087" Type="http://schemas.openxmlformats.org/officeDocument/2006/relationships/hyperlink" Target="https://www.twitch.tv/videos/1676931693" TargetMode="External"/><Relationship Id="rId3086" Type="http://schemas.openxmlformats.org/officeDocument/2006/relationships/hyperlink" Target="https://youtu.be/Ngat0aiNqB8" TargetMode="External"/><Relationship Id="rId3089" Type="http://schemas.openxmlformats.org/officeDocument/2006/relationships/hyperlink" Target="https://clips.twitch.tv/DirtyRenownedSnailJonCarnage-vZ4T4UskQ8t0-qTx" TargetMode="External"/><Relationship Id="rId3088" Type="http://schemas.openxmlformats.org/officeDocument/2006/relationships/hyperlink" Target="https://clips.twitch.tv/TangentialPrettyMartenFUNgineer-JujlITh1bGg2iakw" TargetMode="External"/><Relationship Id="rId3039" Type="http://schemas.openxmlformats.org/officeDocument/2006/relationships/hyperlink" Target="https://youtu.be/e_fjYfcBFxI?t=9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CaHmAtT40?t=7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78843334" TargetMode="External"/><Relationship Id="rId3031" Type="http://schemas.openxmlformats.org/officeDocument/2006/relationships/hyperlink" Target="https://clips.twitch.tv/ArborealBenevolentAlbatrossRaccAttack-tG8zkd8ZWCpLllAt" TargetMode="External"/><Relationship Id="rId3034" Type="http://schemas.openxmlformats.org/officeDocument/2006/relationships/hyperlink" Target="https://youtu.be/NrxoTM4YwvE" TargetMode="External"/><Relationship Id="rId3033" Type="http://schemas.openxmlformats.org/officeDocument/2006/relationships/hyperlink" Target="https://youtu.be/Nlc3xwtAR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6ckMTVhUsz0" TargetMode="External"/><Relationship Id="rId6" Type="http://schemas.openxmlformats.org/officeDocument/2006/relationships/hyperlink" Target="https://youtu.be/Y0j2xsw_2Sw" TargetMode="External"/><Relationship Id="rId3035" Type="http://schemas.openxmlformats.org/officeDocument/2006/relationships/hyperlink" Target="https://youtu.be/h8-dOiebvyE" TargetMode="External"/><Relationship Id="rId7" Type="http://schemas.openxmlformats.org/officeDocument/2006/relationships/hyperlink" Target="https://youtu.be/CaJl4v_VnC4" TargetMode="External"/><Relationship Id="rId3038" Type="http://schemas.openxmlformats.org/officeDocument/2006/relationships/hyperlink" Target="https://youtu.be/i7r_qOr_cX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pinelessCrowdedMetalNotLikeThis-NFgxTWVg1bHGAQFi" TargetMode="External"/><Relationship Id="rId3029" Type="http://schemas.openxmlformats.org/officeDocument/2006/relationships/hyperlink" Target="https://www.twitch.tv/videos/1562073537" TargetMode="External"/><Relationship Id="rId3028" Type="http://schemas.openxmlformats.org/officeDocument/2006/relationships/hyperlink" Target="https://youtu.be/G_2PNqonhiE?t=78" TargetMode="External"/><Relationship Id="rId3021" Type="http://schemas.openxmlformats.org/officeDocument/2006/relationships/hyperlink" Target="https://youtu.be/QXJWIGZ_-PM?t=87" TargetMode="External"/><Relationship Id="rId3020" Type="http://schemas.openxmlformats.org/officeDocument/2006/relationships/hyperlink" Target="https://clips.twitch.tv/RelievedConcernedYogurtDeIlluminati-zMj7smUzIz4TJdUV" TargetMode="External"/><Relationship Id="rId3023" Type="http://schemas.openxmlformats.org/officeDocument/2006/relationships/hyperlink" Target="https://youtu.be/Qw5fWLP9z9I?t=54" TargetMode="External"/><Relationship Id="rId3022" Type="http://schemas.openxmlformats.org/officeDocument/2006/relationships/hyperlink" Target="https://youtu.be/Bc_KeNmwrGE?t=14" TargetMode="External"/><Relationship Id="rId3025" Type="http://schemas.openxmlformats.org/officeDocument/2006/relationships/hyperlink" Target="https://youtu.be/9X8uD16gIe4" TargetMode="External"/><Relationship Id="rId3024" Type="http://schemas.openxmlformats.org/officeDocument/2006/relationships/hyperlink" Target="https://clips.twitch.tv/AbnegateBashfulMosquitoCoolStoryBro-G2yAtvJJ0m-qb9Z_" TargetMode="External"/><Relationship Id="rId3027" Type="http://schemas.openxmlformats.org/officeDocument/2006/relationships/hyperlink" Target="https://youtu.be/TVtB24SbhQ8?t=27" TargetMode="External"/><Relationship Id="rId3026" Type="http://schemas.openxmlformats.org/officeDocument/2006/relationships/hyperlink" Target="https://youtu.be/-_a-JdF9-eg"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youtu.be/YMIhOgmmF3o" TargetMode="External"/><Relationship Id="rId3057" Type="http://schemas.openxmlformats.org/officeDocument/2006/relationships/hyperlink" Target="https://youtu.be/yr_fODWKb4I" TargetMode="External"/><Relationship Id="rId3059" Type="http://schemas.openxmlformats.org/officeDocument/2006/relationships/hyperlink" Target="https://youtu.be/hWDVYv-UnjY" TargetMode="External"/><Relationship Id="rId3041" Type="http://schemas.openxmlformats.org/officeDocument/2006/relationships/hyperlink" Target="https://youtu.be/hGlgfKEVg8c" TargetMode="External"/><Relationship Id="rId3040" Type="http://schemas.openxmlformats.org/officeDocument/2006/relationships/hyperlink" Target="https://youtu.be/V4eSfU-5U5A" TargetMode="External"/><Relationship Id="rId3043" Type="http://schemas.openxmlformats.org/officeDocument/2006/relationships/hyperlink" Target="https://youtu.be/OsZuBiufTYs" TargetMode="External"/><Relationship Id="rId3042" Type="http://schemas.openxmlformats.org/officeDocument/2006/relationships/hyperlink" Target="https://youtu.be/Us9T8WWTGj0" TargetMode="External"/><Relationship Id="rId3045" Type="http://schemas.openxmlformats.org/officeDocument/2006/relationships/hyperlink" Target="https://clips.twitch.tv/AbrasiveHonestOrangeChefFrank-j8cDNyhsaAF9Icmr" TargetMode="External"/><Relationship Id="rId3044" Type="http://schemas.openxmlformats.org/officeDocument/2006/relationships/hyperlink" Target="https://youtu.be/OAme1dyHAjY" TargetMode="External"/><Relationship Id="rId3047" Type="http://schemas.openxmlformats.org/officeDocument/2006/relationships/hyperlink" Target="https://youtu.be/ItBrVNSktmo" TargetMode="External"/><Relationship Id="rId3046" Type="http://schemas.openxmlformats.org/officeDocument/2006/relationships/hyperlink" Target="https://youtu.be/N_eafUtJ3F8" TargetMode="External"/><Relationship Id="rId3049" Type="http://schemas.openxmlformats.org/officeDocument/2006/relationships/hyperlink" Target="https://www.youtube.com/watch?v=kDeufBKsOAU" TargetMode="External"/><Relationship Id="rId3048" Type="http://schemas.openxmlformats.org/officeDocument/2006/relationships/hyperlink" Target="https://clips.twitch.tv/PricklyAbstruseMangoEleGiggle"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0Ad-hocDWwg" TargetMode="External"/><Relationship Id="rId3930" Type="http://schemas.openxmlformats.org/officeDocument/2006/relationships/hyperlink" Target="https://youtu.be/M0zcfBzYqS0" TargetMode="External"/><Relationship Id="rId2601" Type="http://schemas.openxmlformats.org/officeDocument/2006/relationships/hyperlink" Target="https://youtu.be/aoIG8OwyKNU" TargetMode="External"/><Relationship Id="rId3933" Type="http://schemas.openxmlformats.org/officeDocument/2006/relationships/hyperlink" Target="https://youtu.be/7DKS_xqCH8A" TargetMode="External"/><Relationship Id="rId2602" Type="http://schemas.openxmlformats.org/officeDocument/2006/relationships/hyperlink" Target="https://youtu.be/okwGTTwcW4w" TargetMode="External"/><Relationship Id="rId3932" Type="http://schemas.openxmlformats.org/officeDocument/2006/relationships/hyperlink" Target="https://youtu.be/XECoTk_c05M" TargetMode="External"/><Relationship Id="rId2603" Type="http://schemas.openxmlformats.org/officeDocument/2006/relationships/hyperlink" Target="https://youtu.be/F5NfRzs9WmY" TargetMode="External"/><Relationship Id="rId3935" Type="http://schemas.openxmlformats.org/officeDocument/2006/relationships/hyperlink" Target="https://youtu.be/IH-4uKm6isI" TargetMode="External"/><Relationship Id="rId2604" Type="http://schemas.openxmlformats.org/officeDocument/2006/relationships/hyperlink" Target="https://youtu.be/zZ4xsh3x0VA" TargetMode="External"/><Relationship Id="rId3934" Type="http://schemas.openxmlformats.org/officeDocument/2006/relationships/hyperlink" Target="https://youtu.be/umgWlwQvLlg" TargetMode="External"/><Relationship Id="rId2605" Type="http://schemas.openxmlformats.org/officeDocument/2006/relationships/hyperlink" Target="https://youtu.be/m_ZBiqY_Nho" TargetMode="External"/><Relationship Id="rId3937" Type="http://schemas.openxmlformats.org/officeDocument/2006/relationships/hyperlink" Target="https://youtu.be/HZezdHtroIM"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SlWniPyjlmc" TargetMode="External"/><Relationship Id="rId2622" Type="http://schemas.openxmlformats.org/officeDocument/2006/relationships/hyperlink" Target="https://youtu.be/mUlsoL1veGc" TargetMode="External"/><Relationship Id="rId3952" Type="http://schemas.openxmlformats.org/officeDocument/2006/relationships/hyperlink" Target="https://youtu.be/5-gF0Swsi3g" TargetMode="External"/><Relationship Id="rId2623" Type="http://schemas.openxmlformats.org/officeDocument/2006/relationships/hyperlink" Target="https://youtu.be/-Y-wPWqxIEI" TargetMode="External"/><Relationship Id="rId3955" Type="http://schemas.openxmlformats.org/officeDocument/2006/relationships/hyperlink" Target="https://youtu.be/4rPxyleozvM" TargetMode="External"/><Relationship Id="rId2624" Type="http://schemas.openxmlformats.org/officeDocument/2006/relationships/hyperlink" Target="https://youtu.be/hktn9dkT3hE" TargetMode="External"/><Relationship Id="rId3954" Type="http://schemas.openxmlformats.org/officeDocument/2006/relationships/hyperlink" Target="https://youtu.be/4MSMADxISLE" TargetMode="External"/><Relationship Id="rId2625" Type="http://schemas.openxmlformats.org/officeDocument/2006/relationships/hyperlink" Target="https://youtu.be/mWq4iiECe0I" TargetMode="External"/><Relationship Id="rId3957" Type="http://schemas.openxmlformats.org/officeDocument/2006/relationships/hyperlink" Target="https://youtu.be/Qym3rnWucfc"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tBNhb-7Umg"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9ZLF3U9S0ek"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3OfkwwpGlzA" TargetMode="External"/><Relationship Id="rId3950" Type="http://schemas.openxmlformats.org/officeDocument/2006/relationships/hyperlink" Target="https://youtu.be/wrHqU3R3n8s" TargetMode="External"/><Relationship Id="rId2610" Type="http://schemas.openxmlformats.org/officeDocument/2006/relationships/hyperlink" Target="https://youtu.be/GuinuQXuAeE" TargetMode="External"/><Relationship Id="rId3942" Type="http://schemas.openxmlformats.org/officeDocument/2006/relationships/hyperlink" Target="https://youtu.be/X-ta1hc2wpQ" TargetMode="External"/><Relationship Id="rId2611" Type="http://schemas.openxmlformats.org/officeDocument/2006/relationships/hyperlink" Target="https://youtu.be/734zia0C1oc" TargetMode="External"/><Relationship Id="rId3941" Type="http://schemas.openxmlformats.org/officeDocument/2006/relationships/hyperlink" Target="https://youtu.be/BZgjhNOo-go" TargetMode="External"/><Relationship Id="rId2612" Type="http://schemas.openxmlformats.org/officeDocument/2006/relationships/hyperlink" Target="https://youtu.be/cpjM9d2bBow" TargetMode="External"/><Relationship Id="rId3944" Type="http://schemas.openxmlformats.org/officeDocument/2006/relationships/hyperlink" Target="https://youtu.be/CfDEkDG5HFI" TargetMode="External"/><Relationship Id="rId2613" Type="http://schemas.openxmlformats.org/officeDocument/2006/relationships/hyperlink" Target="https://youtu.be/77Bxvngg3oY" TargetMode="External"/><Relationship Id="rId3943" Type="http://schemas.openxmlformats.org/officeDocument/2006/relationships/hyperlink" Target="https://youtu.be/dOp5piQQYqg" TargetMode="External"/><Relationship Id="rId2614" Type="http://schemas.openxmlformats.org/officeDocument/2006/relationships/hyperlink" Target="https://youtu.be/U-Y7rFlhjrs" TargetMode="External"/><Relationship Id="rId3946" Type="http://schemas.openxmlformats.org/officeDocument/2006/relationships/hyperlink" Target="https://youtu.be/RqUNHa6gnVg" TargetMode="External"/><Relationship Id="rId2615" Type="http://schemas.openxmlformats.org/officeDocument/2006/relationships/hyperlink" Target="https://youtu.be/xHwGHlDLeVQ" TargetMode="External"/><Relationship Id="rId3945" Type="http://schemas.openxmlformats.org/officeDocument/2006/relationships/hyperlink" Target="https://youtu.be/YkHffV7svTc" TargetMode="External"/><Relationship Id="rId2616" Type="http://schemas.openxmlformats.org/officeDocument/2006/relationships/hyperlink" Target="https://youtu.be/_JtFC5kdmvA" TargetMode="External"/><Relationship Id="rId3948" Type="http://schemas.openxmlformats.org/officeDocument/2006/relationships/hyperlink" Target="https://youtu.be/v8KAMn60AmI" TargetMode="External"/><Relationship Id="rId2617" Type="http://schemas.openxmlformats.org/officeDocument/2006/relationships/hyperlink" Target="https://youtu.be/do6X5dQR_Zs" TargetMode="External"/><Relationship Id="rId3947" Type="http://schemas.openxmlformats.org/officeDocument/2006/relationships/hyperlink" Target="https://youtu.be/JNGeEHSpy7M"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LUwqtTI4T1k" TargetMode="External"/><Relationship Id="rId3117" Type="http://schemas.openxmlformats.org/officeDocument/2006/relationships/hyperlink" Target="https://youtu.be/pcjir39OTPI" TargetMode="External"/><Relationship Id="rId3116" Type="http://schemas.openxmlformats.org/officeDocument/2006/relationships/hyperlink" Target="https://clips.twitch.tv/EnticingGoldenCroquetteANELE" TargetMode="External"/><Relationship Id="rId3119" Type="http://schemas.openxmlformats.org/officeDocument/2006/relationships/hyperlink" Target="https://youtu.be/dMj6gcrcCN0" TargetMode="External"/><Relationship Id="rId3118" Type="http://schemas.openxmlformats.org/officeDocument/2006/relationships/hyperlink" Target="https://youtu.be/hudCn3r08_8" TargetMode="External"/><Relationship Id="rId3111" Type="http://schemas.openxmlformats.org/officeDocument/2006/relationships/hyperlink" Target="https://youtu.be/6Gihf30Odtc" TargetMode="External"/><Relationship Id="rId3110" Type="http://schemas.openxmlformats.org/officeDocument/2006/relationships/hyperlink" Target="https://youtu.be/7AQWRYux8PE" TargetMode="External"/><Relationship Id="rId3113" Type="http://schemas.openxmlformats.org/officeDocument/2006/relationships/hyperlink" Target="https://youtu.be/c36kW3uIxsg" TargetMode="External"/><Relationship Id="rId3112" Type="http://schemas.openxmlformats.org/officeDocument/2006/relationships/hyperlink" Target="https://youtu.be/StU5PipHn_M" TargetMode="External"/><Relationship Id="rId3115" Type="http://schemas.openxmlformats.org/officeDocument/2006/relationships/hyperlink" Target="https://youtu.be/zbchXOsKbPY" TargetMode="External"/><Relationship Id="rId3114" Type="http://schemas.openxmlformats.org/officeDocument/2006/relationships/hyperlink" Target="https://youtu.be/ZD0CMju73nU" TargetMode="External"/><Relationship Id="rId3106" Type="http://schemas.openxmlformats.org/officeDocument/2006/relationships/hyperlink" Target="https://youtu.be/Wh0PiWdcdO8" TargetMode="External"/><Relationship Id="rId3105" Type="http://schemas.openxmlformats.org/officeDocument/2006/relationships/hyperlink" Target="https://youtu.be/FX3sCjSeE_o" TargetMode="External"/><Relationship Id="rId3108" Type="http://schemas.openxmlformats.org/officeDocument/2006/relationships/hyperlink" Target="https://youtu.be/h4hEoYBsvtw" TargetMode="External"/><Relationship Id="rId3107" Type="http://schemas.openxmlformats.org/officeDocument/2006/relationships/hyperlink" Target="https://youtu.be/OXWCYtAuHCc" TargetMode="External"/><Relationship Id="rId3109" Type="http://schemas.openxmlformats.org/officeDocument/2006/relationships/hyperlink" Target="https://youtu.be/u1o--hzlyjU" TargetMode="External"/><Relationship Id="rId3100" Type="http://schemas.openxmlformats.org/officeDocument/2006/relationships/hyperlink" Target="https://youtu.be/hjwdmmdBQQ0" TargetMode="External"/><Relationship Id="rId3102" Type="http://schemas.openxmlformats.org/officeDocument/2006/relationships/hyperlink" Target="https://youtu.be/jUYJKy7kPJM" TargetMode="External"/><Relationship Id="rId3101" Type="http://schemas.openxmlformats.org/officeDocument/2006/relationships/hyperlink" Target="https://youtu.be/ubHiXNrq-OM" TargetMode="External"/><Relationship Id="rId3104" Type="http://schemas.openxmlformats.org/officeDocument/2006/relationships/hyperlink" Target="https://youtu.be/sgGbpZD7NYE" TargetMode="External"/><Relationship Id="rId3103" Type="http://schemas.openxmlformats.org/officeDocument/2006/relationships/hyperlink" Target="https://clips.twitch.tv/HotKnottyTurnipDerp" TargetMode="External"/><Relationship Id="rId3139" Type="http://schemas.openxmlformats.org/officeDocument/2006/relationships/hyperlink" Target="https://youtu.be/ZAZFU88_2tQ" TargetMode="External"/><Relationship Id="rId3138" Type="http://schemas.openxmlformats.org/officeDocument/2006/relationships/hyperlink" Target="https://clips.twitch.tv/WanderingConcernedSnailBloodTrail-QHkJlgTjCL40IQXI" TargetMode="External"/><Relationship Id="rId3131" Type="http://schemas.openxmlformats.org/officeDocument/2006/relationships/hyperlink" Target="https://youtu.be/kSvxV93VTqc" TargetMode="External"/><Relationship Id="rId3130" Type="http://schemas.openxmlformats.org/officeDocument/2006/relationships/hyperlink" Target="https://www.youtube.com/watch?v=RWYJCk_yCAU" TargetMode="External"/><Relationship Id="rId3133" Type="http://schemas.openxmlformats.org/officeDocument/2006/relationships/hyperlink" Target="https://youtu.be/tkGTKD19NpU" TargetMode="External"/><Relationship Id="rId3132" Type="http://schemas.openxmlformats.org/officeDocument/2006/relationships/hyperlink" Target="https://www.youtube.com/watch?v=4xRCkacQ3yU" TargetMode="External"/><Relationship Id="rId3135" Type="http://schemas.openxmlformats.org/officeDocument/2006/relationships/hyperlink" Target="https://www.twitch.tv/videos/1066268738" TargetMode="External"/><Relationship Id="rId3134" Type="http://schemas.openxmlformats.org/officeDocument/2006/relationships/hyperlink" Target="https://youtu.be/IQe3b27CW74" TargetMode="External"/><Relationship Id="rId3137" Type="http://schemas.openxmlformats.org/officeDocument/2006/relationships/hyperlink" Target="https://youtu.be/qFIl_UHXJ1E" TargetMode="External"/><Relationship Id="rId3136" Type="http://schemas.openxmlformats.org/officeDocument/2006/relationships/hyperlink" Target="https://youtu.be/1P2ntoFf21s" TargetMode="External"/><Relationship Id="rId3128" Type="http://schemas.openxmlformats.org/officeDocument/2006/relationships/hyperlink" Target="https://youtu.be/iXRFMomp1lw" TargetMode="External"/><Relationship Id="rId3127" Type="http://schemas.openxmlformats.org/officeDocument/2006/relationships/hyperlink" Target="https://youtu.be/odNZqs6N5oA" TargetMode="External"/><Relationship Id="rId3129" Type="http://schemas.openxmlformats.org/officeDocument/2006/relationships/hyperlink" Target="https://youtu.be/YZg4WEuElJI" TargetMode="External"/><Relationship Id="rId3120" Type="http://schemas.openxmlformats.org/officeDocument/2006/relationships/hyperlink" Target="https://clips.twitch.tv/OnerousBlindingRedpandaAMPEnergy" TargetMode="External"/><Relationship Id="rId3122" Type="http://schemas.openxmlformats.org/officeDocument/2006/relationships/hyperlink" Target="https://youtu.be/hobNE1dk8yc" TargetMode="External"/><Relationship Id="rId3121" Type="http://schemas.openxmlformats.org/officeDocument/2006/relationships/hyperlink" Target="https://youtu.be/Ee2Kgonkzns" TargetMode="External"/><Relationship Id="rId3124" Type="http://schemas.openxmlformats.org/officeDocument/2006/relationships/hyperlink" Target="https://youtu.be/Qk97_U7SbEM" TargetMode="External"/><Relationship Id="rId3123" Type="http://schemas.openxmlformats.org/officeDocument/2006/relationships/hyperlink" Target="https://youtu.be/2w_O0zyHFmY" TargetMode="External"/><Relationship Id="rId3126" Type="http://schemas.openxmlformats.org/officeDocument/2006/relationships/hyperlink" Target="https://youtu.be/yLG7eoGL-7A" TargetMode="External"/><Relationship Id="rId3125" Type="http://schemas.openxmlformats.org/officeDocument/2006/relationships/hyperlink" Target="https://youtu.be/GKyOB2A6rIk"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OrhzrLsIhs" TargetMode="External"/><Relationship Id="rId3190" Type="http://schemas.openxmlformats.org/officeDocument/2006/relationships/hyperlink" Target="https://youtu.be/_HO24zetxpY" TargetMode="External"/><Relationship Id="rId3193" Type="http://schemas.openxmlformats.org/officeDocument/2006/relationships/hyperlink" Target="https://youtu.be/elOuhLU-n_c" TargetMode="External"/><Relationship Id="rId3192" Type="http://schemas.openxmlformats.org/officeDocument/2006/relationships/hyperlink" Target="https://youtu.be/hJOFOIdXjeY" TargetMode="External"/><Relationship Id="rId3195" Type="http://schemas.openxmlformats.org/officeDocument/2006/relationships/hyperlink" Target="https://youtu.be/a0bnPVCnIRc" TargetMode="External"/><Relationship Id="rId3194" Type="http://schemas.openxmlformats.org/officeDocument/2006/relationships/hyperlink" Target="https://youtu.be/nlrPDrjW3lQ" TargetMode="External"/><Relationship Id="rId3197" Type="http://schemas.openxmlformats.org/officeDocument/2006/relationships/hyperlink" Target="https://youtu.be/wA8kiGbhfZE" TargetMode="External"/><Relationship Id="rId3196" Type="http://schemas.openxmlformats.org/officeDocument/2006/relationships/hyperlink" Target="https://youtu.be/pJGbyLD9QYA" TargetMode="External"/><Relationship Id="rId3199" Type="http://schemas.openxmlformats.org/officeDocument/2006/relationships/hyperlink" Target="https://youtu.be/HvP3lvkcZGw" TargetMode="External"/><Relationship Id="rId3198" Type="http://schemas.openxmlformats.org/officeDocument/2006/relationships/hyperlink" Target="https://youtu.be/dlmjF1JKAwg"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kaGzTfzwFJE" TargetMode="External"/><Relationship Id="rId3185" Type="http://schemas.openxmlformats.org/officeDocument/2006/relationships/hyperlink" Target="https://youtu.be/VEWojbDRB5g" TargetMode="External"/><Relationship Id="rId3188" Type="http://schemas.openxmlformats.org/officeDocument/2006/relationships/hyperlink" Target="https://youtu.be/WvBLxMdbnes" TargetMode="External"/><Relationship Id="rId3187" Type="http://schemas.openxmlformats.org/officeDocument/2006/relationships/hyperlink" Target="https://youtu.be/jm7cQ1q_Ev8" TargetMode="External"/><Relationship Id="rId3189" Type="http://schemas.openxmlformats.org/officeDocument/2006/relationships/hyperlink" Target="https://youtu.be/pdL09gCEx0o" TargetMode="External"/><Relationship Id="rId3151" Type="http://schemas.openxmlformats.org/officeDocument/2006/relationships/hyperlink" Target="https://clips.twitch.tv/ShyReliableSardineJKanStyle-c_PKpvtmTIXWFn94" TargetMode="External"/><Relationship Id="rId3150" Type="http://schemas.openxmlformats.org/officeDocument/2006/relationships/hyperlink" Target="https://youtu.be/O68ilJdATyE" TargetMode="External"/><Relationship Id="rId3153" Type="http://schemas.openxmlformats.org/officeDocument/2006/relationships/hyperlink" Target="https://youtu.be/Joa1eB6_E5o" TargetMode="External"/><Relationship Id="rId3152" Type="http://schemas.openxmlformats.org/officeDocument/2006/relationships/hyperlink" Target="https://youtu.be/58eP_cmK3YQ" TargetMode="External"/><Relationship Id="rId3155" Type="http://schemas.openxmlformats.org/officeDocument/2006/relationships/hyperlink" Target="https://youtu.be/ZpziCD-3Ssg" TargetMode="External"/><Relationship Id="rId3154" Type="http://schemas.openxmlformats.org/officeDocument/2006/relationships/hyperlink" Target="https://youtu.be/9ShLlVG0pfc"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wiRCuPHQdaY" TargetMode="External"/><Relationship Id="rId3140" Type="http://schemas.openxmlformats.org/officeDocument/2006/relationships/hyperlink" Target="https://www.youtube.com/watch?v=RJ0DSI0rRFQ" TargetMode="External"/><Relationship Id="rId3142" Type="http://schemas.openxmlformats.org/officeDocument/2006/relationships/hyperlink" Target="https://www.youtube.com/watch?v=UA-X8_hh7vg" TargetMode="External"/><Relationship Id="rId3141" Type="http://schemas.openxmlformats.org/officeDocument/2006/relationships/hyperlink" Target="https://www.youtube.com/watch?v=CyEeG21zo3w" TargetMode="External"/><Relationship Id="rId3144" Type="http://schemas.openxmlformats.org/officeDocument/2006/relationships/hyperlink" Target="https://www.youtube.com/watch?v=NQMRGPpGdTg" TargetMode="External"/><Relationship Id="rId3143" Type="http://schemas.openxmlformats.org/officeDocument/2006/relationships/hyperlink" Target="https://www.twitch.tv/videos/1755175101" TargetMode="External"/><Relationship Id="rId3146" Type="http://schemas.openxmlformats.org/officeDocument/2006/relationships/hyperlink" Target="https://www.youtube.com/watch?v=3Vvsqm1-AoI" TargetMode="External"/><Relationship Id="rId3145" Type="http://schemas.openxmlformats.org/officeDocument/2006/relationships/hyperlink" Target="https://youtu.be/uHA-DoZezcw" TargetMode="External"/><Relationship Id="rId3148" Type="http://schemas.openxmlformats.org/officeDocument/2006/relationships/hyperlink" Target="https://youtu.be/-1oMjQNtFSg" TargetMode="External"/><Relationship Id="rId3147" Type="http://schemas.openxmlformats.org/officeDocument/2006/relationships/hyperlink" Target="https://www.twitch.tv/videos/1709849831"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pzNVImszI5A" TargetMode="External"/><Relationship Id="rId3237" Type="http://schemas.openxmlformats.org/officeDocument/2006/relationships/hyperlink" Target="https://youtu.be/iPq4Fkezf9o" TargetMode="External"/><Relationship Id="rId3239" Type="http://schemas.openxmlformats.org/officeDocument/2006/relationships/hyperlink" Target="https://youtu.be/heRgxUjOxr4" TargetMode="External"/><Relationship Id="rId3230" Type="http://schemas.openxmlformats.org/officeDocument/2006/relationships/hyperlink" Target="https://youtu.be/InsBFCrFdLQ" TargetMode="External"/><Relationship Id="rId3232" Type="http://schemas.openxmlformats.org/officeDocument/2006/relationships/hyperlink" Target="https://youtu.be/ZYluNBhBo9A" TargetMode="External"/><Relationship Id="rId3231" Type="http://schemas.openxmlformats.org/officeDocument/2006/relationships/hyperlink" Target="https://youtu.be/uatrSwIUKDc" TargetMode="External"/><Relationship Id="rId3234" Type="http://schemas.openxmlformats.org/officeDocument/2006/relationships/hyperlink" Target="https://youtu.be/110gjjURfvI" TargetMode="External"/><Relationship Id="rId3233" Type="http://schemas.openxmlformats.org/officeDocument/2006/relationships/hyperlink" Target="https://youtu.be/9vSa36-LDQw" TargetMode="External"/><Relationship Id="rId3236" Type="http://schemas.openxmlformats.org/officeDocument/2006/relationships/hyperlink" Target="https://youtu.be/0KsmRlkm06g" TargetMode="External"/><Relationship Id="rId3235" Type="http://schemas.openxmlformats.org/officeDocument/2006/relationships/hyperlink" Target="https://youtu.be/IOkYplnaPzo" TargetMode="External"/><Relationship Id="rId3227" Type="http://schemas.openxmlformats.org/officeDocument/2006/relationships/hyperlink" Target="https://youtu.be/JE-MOlrG9rQ" TargetMode="External"/><Relationship Id="rId3226" Type="http://schemas.openxmlformats.org/officeDocument/2006/relationships/hyperlink" Target="https://youtu.be/BFC8g-DaB4A" TargetMode="External"/><Relationship Id="rId3229" Type="http://schemas.openxmlformats.org/officeDocument/2006/relationships/hyperlink" Target="https://youtu.be/O-YOfvZs49o" TargetMode="External"/><Relationship Id="rId3228" Type="http://schemas.openxmlformats.org/officeDocument/2006/relationships/hyperlink" Target="https://youtu.be/CPj2_3SQQH0"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P-SfT1elN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8pIVg9rCkc" TargetMode="External"/><Relationship Id="rId697" Type="http://schemas.openxmlformats.org/officeDocument/2006/relationships/hyperlink" Target="https://youtu.be/zUVQiGHZ3LU" TargetMode="External"/><Relationship Id="rId3223" Type="http://schemas.openxmlformats.org/officeDocument/2006/relationships/hyperlink" Target="https://youtu.be/BHsY7fDItd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LyYCvfR7Fk" TargetMode="External"/><Relationship Id="rId695" Type="http://schemas.openxmlformats.org/officeDocument/2006/relationships/hyperlink" Target="https://youtu.be/iPWj-1zyNPw" TargetMode="External"/><Relationship Id="rId3225" Type="http://schemas.openxmlformats.org/officeDocument/2006/relationships/hyperlink" Target="https://youtu.be/FNvAjb6gfYc" TargetMode="External"/><Relationship Id="rId694" Type="http://schemas.openxmlformats.org/officeDocument/2006/relationships/hyperlink" Target="https://youtu.be/FWrUTyYldRM" TargetMode="External"/><Relationship Id="rId3224" Type="http://schemas.openxmlformats.org/officeDocument/2006/relationships/hyperlink" Target="https://youtu.be/qS2AEjLfcD8" TargetMode="External"/><Relationship Id="rId3259" Type="http://schemas.openxmlformats.org/officeDocument/2006/relationships/hyperlink" Target="https://youtu.be/iMVdp9EXeWA?si=Orqu2LXJLz_Quor1" TargetMode="External"/><Relationship Id="rId3250" Type="http://schemas.openxmlformats.org/officeDocument/2006/relationships/hyperlink" Target="https://youtu.be/L5KFF_6302E" TargetMode="External"/><Relationship Id="rId3252" Type="http://schemas.openxmlformats.org/officeDocument/2006/relationships/hyperlink" Target="https://youtu.be/8kAPcI0sVo4" TargetMode="External"/><Relationship Id="rId3251" Type="http://schemas.openxmlformats.org/officeDocument/2006/relationships/hyperlink" Target="https://youtu.be/PIcAVkxTJkM" TargetMode="External"/><Relationship Id="rId3254" Type="http://schemas.openxmlformats.org/officeDocument/2006/relationships/hyperlink" Target="https://youtu.be/qlmCdJa-I5c" TargetMode="External"/><Relationship Id="rId3253" Type="http://schemas.openxmlformats.org/officeDocument/2006/relationships/hyperlink" Target="https://www.twitch.tv/videos/1460806233"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VeHaNjFmUZo?si=NrTtZAahUS1YfmwM" TargetMode="External"/><Relationship Id="rId3249" Type="http://schemas.openxmlformats.org/officeDocument/2006/relationships/hyperlink" Target="https://youtu.be/cBNsS10llbg" TargetMode="External"/><Relationship Id="rId3248" Type="http://schemas.openxmlformats.org/officeDocument/2006/relationships/hyperlink" Target="https://youtu.be/T9E3KVuY3nk" TargetMode="External"/><Relationship Id="rId3241" Type="http://schemas.openxmlformats.org/officeDocument/2006/relationships/hyperlink" Target="https://youtu.be/2k_uSmCXMAs" TargetMode="External"/><Relationship Id="rId3240" Type="http://schemas.openxmlformats.org/officeDocument/2006/relationships/hyperlink" Target="https://youtu.be/og-NgPQ62Pk" TargetMode="External"/><Relationship Id="rId3243" Type="http://schemas.openxmlformats.org/officeDocument/2006/relationships/hyperlink" Target="https://youtu.be/FuJwJXH4fBc" TargetMode="External"/><Relationship Id="rId3242" Type="http://schemas.openxmlformats.org/officeDocument/2006/relationships/hyperlink" Target="https://youtu.be/h_ZwMDatTD4" TargetMode="External"/><Relationship Id="rId3245" Type="http://schemas.openxmlformats.org/officeDocument/2006/relationships/hyperlink" Target="https://youtu.be/qsMq1e98Vqk" TargetMode="External"/><Relationship Id="rId3244" Type="http://schemas.openxmlformats.org/officeDocument/2006/relationships/hyperlink" Target="https://youtu.be/Fbj8d2_w-Lg" TargetMode="External"/><Relationship Id="rId3247" Type="http://schemas.openxmlformats.org/officeDocument/2006/relationships/hyperlink" Target="https://youtu.be/eT23JDdPU5Y" TargetMode="External"/><Relationship Id="rId3246" Type="http://schemas.openxmlformats.org/officeDocument/2006/relationships/hyperlink" Target="https://youtu.be/ceF49l7ToEM"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_5AETbvKx1Y" TargetMode="External"/><Relationship Id="rId3215" Type="http://schemas.openxmlformats.org/officeDocument/2006/relationships/hyperlink" Target="https://youtu.be/-tRSlbW-NAw" TargetMode="External"/><Relationship Id="rId3218" Type="http://schemas.openxmlformats.org/officeDocument/2006/relationships/hyperlink" Target="https://youtu.be/NZ9lpNZBN6k" TargetMode="External"/><Relationship Id="rId3217" Type="http://schemas.openxmlformats.org/officeDocument/2006/relationships/hyperlink" Target="https://youtu.be/gXXxm7tPaRE" TargetMode="External"/><Relationship Id="rId3219" Type="http://schemas.openxmlformats.org/officeDocument/2006/relationships/hyperlink" Target="https://youtu.be/e6rJY421L1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ZTfAUGA5e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UhBlgNLJ4k" TargetMode="External"/><Relationship Id="rId685" Type="http://schemas.openxmlformats.org/officeDocument/2006/relationships/hyperlink" Target="https://youtu.be/JYctGlN7n4c" TargetMode="External"/><Relationship Id="rId3211" Type="http://schemas.openxmlformats.org/officeDocument/2006/relationships/hyperlink" Target="https://youtu.be/rwx07fh8Tf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sJku-3yPlDc" TargetMode="External"/><Relationship Id="rId683" Type="http://schemas.openxmlformats.org/officeDocument/2006/relationships/hyperlink" Target="https://youtu.be/ZVx314GtAOQ" TargetMode="External"/><Relationship Id="rId3213" Type="http://schemas.openxmlformats.org/officeDocument/2006/relationships/hyperlink" Target="https://youtu.be/HP3O4N-AQZc" TargetMode="External"/><Relationship Id="rId3205" Type="http://schemas.openxmlformats.org/officeDocument/2006/relationships/hyperlink" Target="https://youtu.be/K4Bpa4J7Sc0" TargetMode="External"/><Relationship Id="rId3204" Type="http://schemas.openxmlformats.org/officeDocument/2006/relationships/hyperlink" Target="https://youtu.be/bqKTMlMmr2c" TargetMode="External"/><Relationship Id="rId3207" Type="http://schemas.openxmlformats.org/officeDocument/2006/relationships/hyperlink" Target="https://youtu.be/5Us0VMAHyDM" TargetMode="External"/><Relationship Id="rId3206" Type="http://schemas.openxmlformats.org/officeDocument/2006/relationships/hyperlink" Target="https://youtu.be/X7rJV7KOVYQ" TargetMode="External"/><Relationship Id="rId3209" Type="http://schemas.openxmlformats.org/officeDocument/2006/relationships/hyperlink" Target="https://youtu.be/QjvRF9dDu7Q" TargetMode="External"/><Relationship Id="rId3208" Type="http://schemas.openxmlformats.org/officeDocument/2006/relationships/hyperlink" Target="https://youtu.be/L0kwtUs8tjs"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3Ad_ddcjh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h3rB0QfbIE" TargetMode="External"/><Relationship Id="rId673" Type="http://schemas.openxmlformats.org/officeDocument/2006/relationships/hyperlink" Target="https://youtu.be/O2HNTOlWLC4" TargetMode="External"/><Relationship Id="rId3203" Type="http://schemas.openxmlformats.org/officeDocument/2006/relationships/hyperlink" Target="https://youtu.be/z_We7WPUtVw" TargetMode="External"/><Relationship Id="rId672" Type="http://schemas.openxmlformats.org/officeDocument/2006/relationships/hyperlink" Target="https://youtu.be/aNPunu-0qWM" TargetMode="External"/><Relationship Id="rId3202" Type="http://schemas.openxmlformats.org/officeDocument/2006/relationships/hyperlink" Target="https://youtu.be/bvygfLAU1A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www.youtube.com/watch?v=vpl4gRZEW4I"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u4Jshs_hDQU?si=I9fO7rGn11XZRnz_"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UeJDp4iGH0?si=iuTipt3nz5wam-Z2" TargetMode="External"/><Relationship Id="rId3292" Type="http://schemas.openxmlformats.org/officeDocument/2006/relationships/hyperlink" Target="https://youtu.be/96nVi2MEUxY" TargetMode="External"/><Relationship Id="rId3291" Type="http://schemas.openxmlformats.org/officeDocument/2006/relationships/hyperlink" Target="https://youtu.be/Log8qYsdK6g" TargetMode="External"/><Relationship Id="rId3294" Type="http://schemas.openxmlformats.org/officeDocument/2006/relationships/hyperlink" Target="https://youtu.be/YvXvueIUcrQ?si=yTTpgTQhR6Um_7_G" TargetMode="External"/><Relationship Id="rId3293" Type="http://schemas.openxmlformats.org/officeDocument/2006/relationships/hyperlink" Target="https://clips.twitch.tv/ExuberantBoxyAsteriskHassanChop-Gt1dcfITEwf4leaE"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07701165" TargetMode="External"/><Relationship Id="rId164" Type="http://schemas.openxmlformats.org/officeDocument/2006/relationships/hyperlink" Target="https://youtu.be/CbOKw_Wf8YY" TargetMode="External"/><Relationship Id="rId3295" Type="http://schemas.openxmlformats.org/officeDocument/2006/relationships/hyperlink" Target="https://youtu.be/PsCQX0aROzc?si=EETnGn84DMJgpG4K" TargetMode="External"/><Relationship Id="rId163" Type="http://schemas.openxmlformats.org/officeDocument/2006/relationships/hyperlink" Target="https://youtu.be/FgS3d3bfVOQ" TargetMode="External"/><Relationship Id="rId3298" Type="http://schemas.openxmlformats.org/officeDocument/2006/relationships/hyperlink" Target="https://youtu.be/OZGCU7a4RPY" TargetMode="External"/><Relationship Id="rId162" Type="http://schemas.openxmlformats.org/officeDocument/2006/relationships/hyperlink" Target="https://youtu.be/IONmc9QAwO4" TargetMode="External"/><Relationship Id="rId3297" Type="http://schemas.openxmlformats.org/officeDocument/2006/relationships/hyperlink" Target="https://youtu.be/ETYZi1vWOyw?si=DjSt60DiCGudvec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g8xqA7r4r_s?si=IE64A5KdncBZpH0_"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nqOox8OBB0"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youtu.be/Y6AcMsmJE_M?si=I1WWw40x3fhzWjHp" TargetMode="External"/><Relationship Id="rId3282" Type="http://schemas.openxmlformats.org/officeDocument/2006/relationships/hyperlink" Target="https://youtu.be/pD9XOt8-FZo" TargetMode="External"/><Relationship Id="rId154" Type="http://schemas.openxmlformats.org/officeDocument/2006/relationships/hyperlink" Target="https://youtu.be/5-9l1rH9mEw" TargetMode="External"/><Relationship Id="rId3285" Type="http://schemas.openxmlformats.org/officeDocument/2006/relationships/hyperlink" Target="https://youtu.be/y7jpX_C0uXw?si=-mcc5p9x3XqxzUBc" TargetMode="External"/><Relationship Id="rId153" Type="http://schemas.openxmlformats.org/officeDocument/2006/relationships/hyperlink" Target="https://youtu.be/31FQiJUFINE" TargetMode="External"/><Relationship Id="rId3284" Type="http://schemas.openxmlformats.org/officeDocument/2006/relationships/hyperlink" Target="https://youtu.be/_bDKS86UQO0" TargetMode="External"/><Relationship Id="rId152" Type="http://schemas.openxmlformats.org/officeDocument/2006/relationships/hyperlink" Target="https://youtu.be/UR7ZMBOYxIA" TargetMode="External"/><Relationship Id="rId3287" Type="http://schemas.openxmlformats.org/officeDocument/2006/relationships/hyperlink" Target="https://youtu.be/tCxfGJ-WQmU"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5374768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AnnoyingThoughtfulAmazonDuDudu-wqpqPbwlm3aK78kS" TargetMode="External"/><Relationship Id="rId157" Type="http://schemas.openxmlformats.org/officeDocument/2006/relationships/hyperlink" Target="https://youtu.be/0KK1hD5i0r8" TargetMode="External"/><Relationship Id="rId3288" Type="http://schemas.openxmlformats.org/officeDocument/2006/relationships/hyperlink" Target="https://youtu.be/7PUaYJbrA9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cmwILDt5Up4" TargetMode="External"/><Relationship Id="rId2898" Type="http://schemas.openxmlformats.org/officeDocument/2006/relationships/hyperlink" Target="https://youtu.be/CBwzmfxQE4I"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wozEi1FdQNY"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froidtofu/status/138594607461592678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447607796015382529"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IA2OoXn2Kv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963036619214848" TargetMode="External"/><Relationship Id="rId1564" Type="http://schemas.openxmlformats.org/officeDocument/2006/relationships/hyperlink" Target="https://youtu.be/3YQw-AMq_-A" TargetMode="External"/><Relationship Id="rId2895" Type="http://schemas.openxmlformats.org/officeDocument/2006/relationships/hyperlink" Target="https://www.twitch.tv/videos/117632707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6Hw9XPkA6JY"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diCI-QfhAX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jGysVsWZTkg"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bMDUx7MwXE"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tqbanHvemo" TargetMode="External"/><Relationship Id="rId2020" Type="http://schemas.openxmlformats.org/officeDocument/2006/relationships/hyperlink" Target="https://youtu.be/ewwN3diiU_w" TargetMode="External"/><Relationship Id="rId3350" Type="http://schemas.openxmlformats.org/officeDocument/2006/relationships/hyperlink" Target="https://youtu.be/01NeQiQX0LU" TargetMode="External"/><Relationship Id="rId2021" Type="http://schemas.openxmlformats.org/officeDocument/2006/relationships/hyperlink" Target="https://youtu.be/12TkTraXNH0" TargetMode="External"/><Relationship Id="rId3353" Type="http://schemas.openxmlformats.org/officeDocument/2006/relationships/hyperlink" Target="https://youtu.be/HIeVgcy-xtw" TargetMode="External"/><Relationship Id="rId2022" Type="http://schemas.openxmlformats.org/officeDocument/2006/relationships/hyperlink" Target="https://youtu.be/tKBmDPgpVcY?t=4" TargetMode="External"/><Relationship Id="rId3352" Type="http://schemas.openxmlformats.org/officeDocument/2006/relationships/hyperlink" Target="https://youtu.be/YPMd_F15d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c1nqEpTKr0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sBu6lUT9R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sp1sPQlZ4J0" TargetMode="External"/><Relationship Id="rId2016" Type="http://schemas.openxmlformats.org/officeDocument/2006/relationships/hyperlink" Target="https://youtu.be/ldZCJid8doU" TargetMode="External"/><Relationship Id="rId3348" Type="http://schemas.openxmlformats.org/officeDocument/2006/relationships/hyperlink" Target="https://youtu.be/qz7q29iw0_A" TargetMode="External"/><Relationship Id="rId2017" Type="http://schemas.openxmlformats.org/officeDocument/2006/relationships/hyperlink" Target="https://youtu.be/FYv8NUcPRjw" TargetMode="External"/><Relationship Id="rId3347" Type="http://schemas.openxmlformats.org/officeDocument/2006/relationships/hyperlink" Target="https://youtu.be/2p8Y3AU75vY"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pqQOIm_K_g" TargetMode="External"/><Relationship Id="rId3340" Type="http://schemas.openxmlformats.org/officeDocument/2006/relationships/hyperlink" Target="https://youtu.be/RIzlArMTv18" TargetMode="External"/><Relationship Id="rId2010" Type="http://schemas.openxmlformats.org/officeDocument/2006/relationships/hyperlink" Target="https://youtu.be/kEpzmZ-I0Zk" TargetMode="External"/><Relationship Id="rId3342" Type="http://schemas.openxmlformats.org/officeDocument/2006/relationships/hyperlink" Target="https://youtu.be/iMMzhLJFgX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THguJsZpdGg"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QaWlWaT7l7k" TargetMode="External"/><Relationship Id="rId2013" Type="http://schemas.openxmlformats.org/officeDocument/2006/relationships/hyperlink" Target="https://youtu.be/67mgMNNVC3E" TargetMode="External"/><Relationship Id="rId3343" Type="http://schemas.openxmlformats.org/officeDocument/2006/relationships/hyperlink" Target="https://youtu.be/2Yd9N52a0y4"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7OAvWxNTvOI"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IBrNUCftk2g"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HrR4WiaAvE" TargetMode="External"/><Relationship Id="rId2040" Type="http://schemas.openxmlformats.org/officeDocument/2006/relationships/hyperlink" Target="https://youtu.be/hdOnEdSIMIs" TargetMode="External"/><Relationship Id="rId3370" Type="http://schemas.openxmlformats.org/officeDocument/2006/relationships/hyperlink" Target="https://youtu.be/j7-8YNFT0co"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KonmYHL9k-I"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Bsr_tRNbUK0" TargetMode="External"/><Relationship Id="rId2043" Type="http://schemas.openxmlformats.org/officeDocument/2006/relationships/hyperlink" Target="https://youtu.be/XlhXHiyoWWw" TargetMode="External"/><Relationship Id="rId3375" Type="http://schemas.openxmlformats.org/officeDocument/2006/relationships/hyperlink" Target="https://youtu.be/7K-re3OdSN0" TargetMode="External"/><Relationship Id="rId2044" Type="http://schemas.openxmlformats.org/officeDocument/2006/relationships/hyperlink" Target="https://youtu.be/61Hl0q45SK4" TargetMode="External"/><Relationship Id="rId3374" Type="http://schemas.openxmlformats.org/officeDocument/2006/relationships/hyperlink" Target="https://youtu.be/hVgd3hos45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mJxnxexXk1w"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i_AVBjJUxM"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AhrASTid91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14XtK7BAy9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R6qJaEgyXc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UpiYpqjSf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bXwkS_c6hb0" TargetMode="External"/><Relationship Id="rId2031" Type="http://schemas.openxmlformats.org/officeDocument/2006/relationships/hyperlink" Target="https://youtu.be/RD61eQAUq8o" TargetMode="External"/><Relationship Id="rId3361" Type="http://schemas.openxmlformats.org/officeDocument/2006/relationships/hyperlink" Target="https://youtu.be/5ItCib67nd4" TargetMode="External"/><Relationship Id="rId2032" Type="http://schemas.openxmlformats.org/officeDocument/2006/relationships/hyperlink" Target="https://youtu.be/SEMuE2SKDh4?t=3" TargetMode="External"/><Relationship Id="rId3364" Type="http://schemas.openxmlformats.org/officeDocument/2006/relationships/hyperlink" Target="https://youtu.be/ludIvyZW0sw" TargetMode="External"/><Relationship Id="rId2033" Type="http://schemas.openxmlformats.org/officeDocument/2006/relationships/hyperlink" Target="https://youtu.be/Z9wQRly2xxQ" TargetMode="External"/><Relationship Id="rId3363" Type="http://schemas.openxmlformats.org/officeDocument/2006/relationships/hyperlink" Target="https://youtu.be/MQ4431xDyKg"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Sp05l_QXKZ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wnb2S-ZM6U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dk2mn7vS6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c8LC4B9Vvkg" TargetMode="External"/><Relationship Id="rId3315" Type="http://schemas.openxmlformats.org/officeDocument/2006/relationships/hyperlink" Target="https://www.youtube.com/watch?v=Vq9jDB675Ac" TargetMode="External"/><Relationship Id="rId3314" Type="http://schemas.openxmlformats.org/officeDocument/2006/relationships/hyperlink" Target="https://youtu.be/miExYfqR64E" TargetMode="External"/><Relationship Id="rId3317" Type="http://schemas.openxmlformats.org/officeDocument/2006/relationships/hyperlink" Target="https://youtu.be/sVyD7rZ_lQY" TargetMode="External"/><Relationship Id="rId3316" Type="http://schemas.openxmlformats.org/officeDocument/2006/relationships/hyperlink" Target="https://youtu.be/9BdlAgvdzrY" TargetMode="External"/><Relationship Id="rId3319" Type="http://schemas.openxmlformats.org/officeDocument/2006/relationships/hyperlink" Target="https://youtu.be/TrxUurtXieo" TargetMode="External"/><Relationship Id="rId3318" Type="http://schemas.openxmlformats.org/officeDocument/2006/relationships/hyperlink" Target="https://youtu.be/fYoR2wp4hxQ" TargetMode="External"/><Relationship Id="rId3311" Type="http://schemas.openxmlformats.org/officeDocument/2006/relationships/hyperlink" Target="https://youtu.be/UeQdaOSfhqQ" TargetMode="External"/><Relationship Id="rId3310" Type="http://schemas.openxmlformats.org/officeDocument/2006/relationships/hyperlink" Target="https://youtu.be/UDQz7kCJvR8" TargetMode="External"/><Relationship Id="rId3313" Type="http://schemas.openxmlformats.org/officeDocument/2006/relationships/hyperlink" Target="https://youtu.be/bEtJQK0rkxo" TargetMode="External"/><Relationship Id="rId3312" Type="http://schemas.openxmlformats.org/officeDocument/2006/relationships/hyperlink" Target="https://youtu.be/9CE1fcOgskc" TargetMode="External"/><Relationship Id="rId3304" Type="http://schemas.openxmlformats.org/officeDocument/2006/relationships/hyperlink" Target="https://youtu.be/wgmqieTlGak" TargetMode="External"/><Relationship Id="rId3303" Type="http://schemas.openxmlformats.org/officeDocument/2006/relationships/hyperlink" Target="https://youtu.be/WDlXk90u5Bc?si=feDmgRohE1PGPIN1" TargetMode="External"/><Relationship Id="rId3306" Type="http://schemas.openxmlformats.org/officeDocument/2006/relationships/hyperlink" Target="https://www.youtube.com/watch?v=DIcjtHJf4AI" TargetMode="External"/><Relationship Id="rId3305" Type="http://schemas.openxmlformats.org/officeDocument/2006/relationships/hyperlink" Target="https://clips.twitch.tv/CleanSpeedySquirrelNerfRedBlaster-wAymz7ty7RNzWK-2" TargetMode="External"/><Relationship Id="rId3308" Type="http://schemas.openxmlformats.org/officeDocument/2006/relationships/hyperlink" Target="https://www.youtube.com/watch?v=kPNwdDX3Bps" TargetMode="External"/><Relationship Id="rId3307" Type="http://schemas.openxmlformats.org/officeDocument/2006/relationships/hyperlink" Target="https://twitter.com/Samura1man/status/1271734162496516096" TargetMode="External"/><Relationship Id="rId3309" Type="http://schemas.openxmlformats.org/officeDocument/2006/relationships/hyperlink" Target="https://youtu.be/mYzJU-sWJSo" TargetMode="External"/><Relationship Id="rId3300" Type="http://schemas.openxmlformats.org/officeDocument/2006/relationships/hyperlink" Target="https://youtu.be/ckqGSQqnSbQ?si=8Iy5YvFP2dGI8Mkn" TargetMode="External"/><Relationship Id="rId3302" Type="http://schemas.openxmlformats.org/officeDocument/2006/relationships/hyperlink" Target="https://youtu.be/U87gdhTxhAM?si=4avAylyFpFk6KlNC" TargetMode="External"/><Relationship Id="rId3301" Type="http://schemas.openxmlformats.org/officeDocument/2006/relationships/hyperlink" Target="https://youtu.be/QdeI18gsMZU?si=qLdoR9t8JoucZN2e" TargetMode="External"/><Relationship Id="rId2005" Type="http://schemas.openxmlformats.org/officeDocument/2006/relationships/hyperlink" Target="https://youtu.be/HF7g91NNs9g" TargetMode="External"/><Relationship Id="rId3337" Type="http://schemas.openxmlformats.org/officeDocument/2006/relationships/hyperlink" Target="https://youtu.be/QCZ15YXP7O0" TargetMode="External"/><Relationship Id="rId2006" Type="http://schemas.openxmlformats.org/officeDocument/2006/relationships/hyperlink" Target="https://youtu.be/qmQs3aakNwA"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SsgsZC1KL_Y" TargetMode="External"/><Relationship Id="rId3339" Type="http://schemas.openxmlformats.org/officeDocument/2006/relationships/hyperlink" Target="https://youtu.be/gYAsKhAbCIw" TargetMode="External"/><Relationship Id="rId2008" Type="http://schemas.openxmlformats.org/officeDocument/2006/relationships/hyperlink" Target="https://youtu.be/c8ZnYtXPMa0" TargetMode="External"/><Relationship Id="rId3338" Type="http://schemas.openxmlformats.org/officeDocument/2006/relationships/hyperlink" Target="https://youtu.be/Sc_oJ7DMHOk" TargetMode="External"/><Relationship Id="rId2009" Type="http://schemas.openxmlformats.org/officeDocument/2006/relationships/hyperlink" Target="https://youtu.be/NFE2gu_82P0" TargetMode="External"/><Relationship Id="rId3331" Type="http://schemas.openxmlformats.org/officeDocument/2006/relationships/hyperlink" Target="https://youtu.be/9oaIhANWDzo" TargetMode="External"/><Relationship Id="rId2000" Type="http://schemas.openxmlformats.org/officeDocument/2006/relationships/hyperlink" Target="https://youtu.be/uHhGZJ41VEk" TargetMode="External"/><Relationship Id="rId3330" Type="http://schemas.openxmlformats.org/officeDocument/2006/relationships/hyperlink" Target="https://www.youtube.com/watch?v=ftePd1cjfoQ"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uQb2vYe8YII" TargetMode="External"/><Relationship Id="rId2002" Type="http://schemas.openxmlformats.org/officeDocument/2006/relationships/hyperlink" Target="https://youtu.be/ooGIdAyg3XU" TargetMode="External"/><Relationship Id="rId3332" Type="http://schemas.openxmlformats.org/officeDocument/2006/relationships/hyperlink" Target="https://youtu.be/gzOBWrCUX4g"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QWmK3VCxdP8" TargetMode="External"/><Relationship Id="rId3326" Type="http://schemas.openxmlformats.org/officeDocument/2006/relationships/hyperlink" Target="https://youtu.be/5VwqykDW0oQ" TargetMode="External"/><Relationship Id="rId3325" Type="http://schemas.openxmlformats.org/officeDocument/2006/relationships/hyperlink" Target="https://youtu.be/ZmY_5WSb6yM" TargetMode="External"/><Relationship Id="rId3328" Type="http://schemas.openxmlformats.org/officeDocument/2006/relationships/hyperlink" Target="https://youtu.be/mF124RG60nQ" TargetMode="External"/><Relationship Id="rId3327" Type="http://schemas.openxmlformats.org/officeDocument/2006/relationships/hyperlink" Target="https://youtu.be/prEpqvZQgLQ" TargetMode="External"/><Relationship Id="rId3329" Type="http://schemas.openxmlformats.org/officeDocument/2006/relationships/hyperlink" Target="https://youtu.be/_DhWYRq0LwA" TargetMode="External"/><Relationship Id="rId3320" Type="http://schemas.openxmlformats.org/officeDocument/2006/relationships/hyperlink" Target="https://youtu.be/fvXb3xHb3Os" TargetMode="External"/><Relationship Id="rId3322" Type="http://schemas.openxmlformats.org/officeDocument/2006/relationships/hyperlink" Target="https://youtu.be/2t3V_BAcyNg" TargetMode="External"/><Relationship Id="rId3321" Type="http://schemas.openxmlformats.org/officeDocument/2006/relationships/hyperlink" Target="https://youtu.be/XIuPXMHoVU0" TargetMode="External"/><Relationship Id="rId3324" Type="http://schemas.openxmlformats.org/officeDocument/2006/relationships/hyperlink" Target="https://youtu.be/czwc5nX4nvk" TargetMode="External"/><Relationship Id="rId3323" Type="http://schemas.openxmlformats.org/officeDocument/2006/relationships/hyperlink" Target="https://youtu.be/iKTeySuLwAI"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PuOsxOKZETM" TargetMode="External"/><Relationship Id="rId2060" Type="http://schemas.openxmlformats.org/officeDocument/2006/relationships/hyperlink" Target="https://youtu.be/yeK1yD_-DtY" TargetMode="External"/><Relationship Id="rId3390" Type="http://schemas.openxmlformats.org/officeDocument/2006/relationships/hyperlink" Target="https://youtu.be/a-ov8VvP0fA"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7TnlhMZVrAE"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GKSb0XVXlTs"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mCCIXSfa0k"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sIo2yh0HbEQ"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6QfuRdE1v30"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_26rl5qmXv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3QwNfvtpdw"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yZNmINgE6po"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EQfi7qNj_BI" TargetMode="External"/><Relationship Id="rId2050" Type="http://schemas.openxmlformats.org/officeDocument/2006/relationships/hyperlink" Target="https://youtu.be/C4qyaS4230Y" TargetMode="External"/><Relationship Id="rId3382" Type="http://schemas.openxmlformats.org/officeDocument/2006/relationships/hyperlink" Target="https://youtu.be/M6YztZoaTSc" TargetMode="External"/><Relationship Id="rId2051" Type="http://schemas.openxmlformats.org/officeDocument/2006/relationships/hyperlink" Target="https://youtu.be/ktcDF4JUbgE" TargetMode="External"/><Relationship Id="rId3381" Type="http://schemas.openxmlformats.org/officeDocument/2006/relationships/hyperlink" Target="https://youtu.be/rUQqqvBx88E" TargetMode="External"/><Relationship Id="rId2052" Type="http://schemas.openxmlformats.org/officeDocument/2006/relationships/hyperlink" Target="https://youtu.be/9H5GFkLuO50" TargetMode="External"/><Relationship Id="rId3384" Type="http://schemas.openxmlformats.org/officeDocument/2006/relationships/hyperlink" Target="https://youtu.be/WbEtprLGID0"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2O1PA2iX0zY"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clips.twitch.tv/OilyResoluteWrenWow"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SparklyCallousCheeseHassaanChop" TargetMode="External"/><Relationship Id="rId2056" Type="http://schemas.openxmlformats.org/officeDocument/2006/relationships/hyperlink" Target="https://youtu.be/5y_l8UBDvbA" TargetMode="External"/><Relationship Id="rId3388" Type="http://schemas.openxmlformats.org/officeDocument/2006/relationships/hyperlink" Target="https://youtu.be/Ogs8AESDOGI"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x9mjutITnto"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bdjwNG4SOD4"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youtube.com/watch?v=S2yri_1-_YA"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780302978"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WimpyFilthyWrenchStinkyCheese-B3XE-70fD1bF9W8_"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ColorfulKindSalmonOptimizePrime-tj72s6jVvWGJqwc9"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rryThirstyGaurUncleNox-62xsKc6hM-iBI_O-"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TiredScrumptiousMouseBloodTrail-2UTmo4ATFSKQ1Vnu"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nnyLongSrirachaAllenHuhu-OHfAcLfBuxqFU0Fk"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AgitatedDifficultLEDHoneyBadger-SFPycH1fKX923sXJ"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uGdUZv-Dv0c"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6MFmMms0BAo"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ordp-uT82Ag"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388027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3281818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07368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40505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youtube.com/watch?v=MLuAfQJjr3E"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xDvK9BajRjc"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HHwB7otTMRM"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7XF8xomlpwQ"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632815303"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R041B_Mtdg"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ViscousHelplessCarabeefTebowing-S-93KT0xAo5FgTEd"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h6cTGdi7DA"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Dv1TvIfiZts"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SparklyPluckyFlyPJSalt-8DGQ46oV3HtIw1JW"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HeadstrongKitschyTomatoFreakinStinkin-skucx88V6cLW2uRC"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www.twitch.tv/videos/1024638839"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FaithfulDeterminedPeanutAsianGlow-K87dbZLe5-UZ8WRH"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arlingQuaintGoblinDxCat-ht9B7uxsNRHRQQgu"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sZ-qtPivsFs?si=35mHOEGqJMYeCswW"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Nox9kjgDI40"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qIvo6qXZbKo?si=1rgTpKD6mE4D8lJV"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Sk4iIK6PoA"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zb3MHlmCGc"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2fVmzCJ9Y90"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FuriousBetterKleePermaSmu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CrazyExuberantTubersCharlieBitMe-EiZ2ogbgTjA-7ug3"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u5kwser_j2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DVYnYhBPcoY?si=OugetNnKaBrbIxKE"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WiseNastyDumplingsSMOrc-VM5ip6rrVmTBfuoQ"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youtu.be/_qc8NXWCj14" TargetMode="External"/><Relationship Id="rId2921" Type="http://schemas.openxmlformats.org/officeDocument/2006/relationships/hyperlink" Target="https://www.twitch.tv/videos/1270543463" TargetMode="External"/><Relationship Id="rId2922" Type="http://schemas.openxmlformats.org/officeDocument/2006/relationships/hyperlink" Target="https://clips.twitch.tv/AliveToughSageResidentSleeper-hbRuIMEkoIpxXiTL" TargetMode="External"/><Relationship Id="rId2923" Type="http://schemas.openxmlformats.org/officeDocument/2006/relationships/hyperlink" Target="https://www.twitch.tv/videos/1773827910" TargetMode="External"/><Relationship Id="rId2924" Type="http://schemas.openxmlformats.org/officeDocument/2006/relationships/hyperlink" Target="https://youtu.be/HCPBXe8NwSc" TargetMode="External"/><Relationship Id="rId2925" Type="http://schemas.openxmlformats.org/officeDocument/2006/relationships/hyperlink" Target="https://clips.twitch.tv/AthleticYummyJaguarRalpherZ-KE8ObkWnAAOVvlOA" TargetMode="External"/><Relationship Id="rId2926" Type="http://schemas.openxmlformats.org/officeDocument/2006/relationships/hyperlink" Target="https://youtu.be/tvihn2dsyqA" TargetMode="External"/><Relationship Id="rId2927" Type="http://schemas.openxmlformats.org/officeDocument/2006/relationships/hyperlink" Target="https://youtu.be/1cOuRzVzcE8" TargetMode="External"/><Relationship Id="rId2928" Type="http://schemas.openxmlformats.org/officeDocument/2006/relationships/hyperlink" Target="https://youtu.be/nEeLpTRXpvo" TargetMode="External"/><Relationship Id="rId2929" Type="http://schemas.openxmlformats.org/officeDocument/2006/relationships/hyperlink" Target="https://youtu.be/RNiMvaQVcoc"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youtu.be/fcjGRlbwJFs" TargetMode="External"/><Relationship Id="rId2912" Type="http://schemas.openxmlformats.org/officeDocument/2006/relationships/hyperlink" Target="https://youtu.be/8lSIo8FbQls" TargetMode="External"/><Relationship Id="rId2913" Type="http://schemas.openxmlformats.org/officeDocument/2006/relationships/hyperlink" Target="https://youtu.be/YmB2FTJid2Q" TargetMode="External"/><Relationship Id="rId2914" Type="http://schemas.openxmlformats.org/officeDocument/2006/relationships/hyperlink" Target="https://clips.twitch.tv/CooperativeConsiderateGoldfishOSsloth-DO0S9fK1Db2caNvA" TargetMode="External"/><Relationship Id="rId2915" Type="http://schemas.openxmlformats.org/officeDocument/2006/relationships/hyperlink" Target="https://www.youtube.com/watch?v=I5OBY9P4kfk" TargetMode="External"/><Relationship Id="rId2916" Type="http://schemas.openxmlformats.org/officeDocument/2006/relationships/hyperlink" Target="https://youtu.be/VV7F1zK-rhY" TargetMode="External"/><Relationship Id="rId2917" Type="http://schemas.openxmlformats.org/officeDocument/2006/relationships/hyperlink" Target="https://www.twitch.tv/videos/1628995922" TargetMode="External"/><Relationship Id="rId2918" Type="http://schemas.openxmlformats.org/officeDocument/2006/relationships/hyperlink" Target="https://www.twitch.tv/videos/1628903048" TargetMode="External"/><Relationship Id="rId2919" Type="http://schemas.openxmlformats.org/officeDocument/2006/relationships/hyperlink" Target="https://clips.twitch.tv/PhilanthropicCharmingFishKippa-bjFYCIzgNaxXnecZ"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eK_oyFP-B7c" TargetMode="External"/><Relationship Id="rId3413" Type="http://schemas.openxmlformats.org/officeDocument/2006/relationships/hyperlink" Target="https://youtu.be/qGbyJi5bkJE" TargetMode="External"/><Relationship Id="rId3416" Type="http://schemas.openxmlformats.org/officeDocument/2006/relationships/hyperlink" Target="https://youtu.be/jY1qlyQPmEQ" TargetMode="External"/><Relationship Id="rId3415" Type="http://schemas.openxmlformats.org/officeDocument/2006/relationships/hyperlink" Target="https://youtu.be/79U8vkFMLFw" TargetMode="External"/><Relationship Id="rId3418" Type="http://schemas.openxmlformats.org/officeDocument/2006/relationships/hyperlink" Target="https://youtu.be/v4WAFhv1CUc" TargetMode="External"/><Relationship Id="rId3417" Type="http://schemas.openxmlformats.org/officeDocument/2006/relationships/hyperlink" Target="https://youtu.be/zw7IMG-cM2U" TargetMode="External"/><Relationship Id="rId3419" Type="http://schemas.openxmlformats.org/officeDocument/2006/relationships/hyperlink" Target="https://youtu.be/XTLu7QB1Q_8"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MkwmdFwsWY"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G-hYFrIO8Ec" TargetMode="External"/><Relationship Id="rId881" Type="http://schemas.openxmlformats.org/officeDocument/2006/relationships/hyperlink" Target="https://youtu.be/dt0nPEhw_28" TargetMode="External"/><Relationship Id="rId3411" Type="http://schemas.openxmlformats.org/officeDocument/2006/relationships/hyperlink" Target="https://youtu.be/Hou7T2Odnm8" TargetMode="External"/><Relationship Id="rId3403" Type="http://schemas.openxmlformats.org/officeDocument/2006/relationships/hyperlink" Target="https://youtu.be/rw0W3BpcbK0" TargetMode="External"/><Relationship Id="rId3402" Type="http://schemas.openxmlformats.org/officeDocument/2006/relationships/hyperlink" Target="https://youtu.be/EGKPgAzLMy8" TargetMode="External"/><Relationship Id="rId3405" Type="http://schemas.openxmlformats.org/officeDocument/2006/relationships/hyperlink" Target="https://youtu.be/L8KC10KJkSo" TargetMode="External"/><Relationship Id="rId3404" Type="http://schemas.openxmlformats.org/officeDocument/2006/relationships/hyperlink" Target="https://youtu.be/Tt6_KpZu2V4" TargetMode="External"/><Relationship Id="rId3407" Type="http://schemas.openxmlformats.org/officeDocument/2006/relationships/hyperlink" Target="https://youtu.be/RY2K8CVPLYo" TargetMode="External"/><Relationship Id="rId3406" Type="http://schemas.openxmlformats.org/officeDocument/2006/relationships/hyperlink" Target="https://youtu.be/L8KC10KJkSo" TargetMode="External"/><Relationship Id="rId3409" Type="http://schemas.openxmlformats.org/officeDocument/2006/relationships/hyperlink" Target="https://youtu.be/PGz_glAduMU" TargetMode="External"/><Relationship Id="rId3408" Type="http://schemas.openxmlformats.org/officeDocument/2006/relationships/hyperlink" Target="https://youtu.be/XyZWFEAU4q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Fv0GlUdCWLA"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DsoEyYBXa6s"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Albb8wVFO8"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B2CKi3fQkc?si=RBzp8pCgfySVqz3i"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yN15kF8l42A"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QGTt9T_bdN0"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WJoSVS1Z3xg?si=fYQpmxkGT7jYspnD"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G3hv0ssIsE?si=owrXympLAXpc-o60"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clips.twitch.tv/StrongRelievedWhaleCclamChamp-GxTqgCRS_aJvTd3l"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uy9rheWl06I"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6p-_sgtzjE?si=UWojTwmgLec4R2C6"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PhDG8n4ypr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AISau0yWh7Q"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2z-hvrGUrM4"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clips.twitch.tv/AttractiveBrainyArtichokeCorgiDerp-9zIn8sEeMNqM0OjZ"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fYtc3Osmt8U?si=oqEGO-F3fTMWtNyc"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UNxyvp-ivHY?si=O-C0M9FpMbanP49O"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rrZsnQOCJTY"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iBxubJeUngI"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DiligentBadCaribouMVGame-bPPT36LcYcTnU3BU"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UglyDrabKoupreyAllenHuhu-PcT9KDbi_NPXvkHp"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5YzyXaJq0VM?si=hl2fllQr8hqFvDJ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78cQOXD-8mc"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Vcj1iQUY7L4"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grbiFTp8mHU?si=ehn4kaKA_WVpJsZe"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2t1Cu_wtBX4?si=5LRBisijQNk5iFS8"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HR_8M5C1vsQ?si=Ys-a79qZJeEqrNW3"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kR-lJRg0CzA"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8C-UjL172ok?si=OSSPnvgSor7-zmeR"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clips.twitch.tv/JollyHeartlessRadicchioYouDontSay-DnTtZQb3yYj2G9y0"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6izRodRG-Jo"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youtu.be/wo547-VAnMg" TargetMode="External"/><Relationship Id="rId3472" Type="http://schemas.openxmlformats.org/officeDocument/2006/relationships/hyperlink" Target="https://www.twitch.tv/quartersno/clip/BenevolentGloriousCobblerRaccAttack-lfzdzl96PqrPSqnP"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394xFxpvkYw" TargetMode="External"/><Relationship Id="rId2142" Type="http://schemas.openxmlformats.org/officeDocument/2006/relationships/hyperlink" Target="https://youtu.be/PRKrY0u5g_M" TargetMode="External"/><Relationship Id="rId3474" Type="http://schemas.openxmlformats.org/officeDocument/2006/relationships/hyperlink" Target="https://youtu.be/RAW1TjecBxE?t=6"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cOth8i2Z9Jg"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wLlMPVmnSJQ?si=ivdMiMV6r6mPAq48"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BRJoIrstX68" TargetMode="External"/><Relationship Id="rId2146" Type="http://schemas.openxmlformats.org/officeDocument/2006/relationships/hyperlink" Target="https://youtu.be/fPB7VtZ1cY8" TargetMode="External"/><Relationship Id="rId3478" Type="http://schemas.openxmlformats.org/officeDocument/2006/relationships/hyperlink" Target="https://youtu.be/AkwOvcjPAek?si=SA1gnny5ro0CgERi"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LY9deOtKS9c"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NrpDqUoT6ug?si=TRQrCZbTwenZq-nX" TargetMode="External"/><Relationship Id="rId2138" Type="http://schemas.openxmlformats.org/officeDocument/2006/relationships/hyperlink" Target="https://youtu.be/Nq6oB-P6K7Y" TargetMode="External"/><Relationship Id="rId3468" Type="http://schemas.openxmlformats.org/officeDocument/2006/relationships/hyperlink" Target="https://youtu.be/HAcEFJYINY0"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VkSJErBsxQ4&amp;feature=youtu.be"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ei_mzBjl3hw"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KTs7U9JQWUQ?si=QFHu95RaAirHTAj9" TargetMode="External"/><Relationship Id="rId2132" Type="http://schemas.openxmlformats.org/officeDocument/2006/relationships/hyperlink" Target="https://youtu.be/v2ib15kI_H4" TargetMode="External"/><Relationship Id="rId3462" Type="http://schemas.openxmlformats.org/officeDocument/2006/relationships/hyperlink" Target="https://www.youtube.com/watch?v=8hV9BTnmR04"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fYOzE2sUK7I?si=36DhlFlsnkhUEboh" TargetMode="External"/><Relationship Id="rId2134" Type="http://schemas.openxmlformats.org/officeDocument/2006/relationships/hyperlink" Target="https://youtu.be/G3WjUrEsVKg" TargetMode="External"/><Relationship Id="rId3464" Type="http://schemas.openxmlformats.org/officeDocument/2006/relationships/hyperlink" Target="https://youtu.be/RDsRdHr1gAQ" TargetMode="External"/><Relationship Id="rId2135" Type="http://schemas.openxmlformats.org/officeDocument/2006/relationships/hyperlink" Target="https://youtu.be/j6SHXKT0f48" TargetMode="External"/><Relationship Id="rId3467" Type="http://schemas.openxmlformats.org/officeDocument/2006/relationships/hyperlink" Target="https://youtu.be/rlmKfMAgx1M?si=Pq7OiHYp9COtPfGa"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kKohsYQtOI8?si=WaezbMXeoMihLmh9"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5-Rq_orWQl8?si=1B5vLbFOUr8GZrAJ" TargetMode="External"/><Relationship Id="rId2161" Type="http://schemas.openxmlformats.org/officeDocument/2006/relationships/hyperlink" Target="https://www.twitch.tv/videos/1637176930" TargetMode="External"/><Relationship Id="rId3491" Type="http://schemas.openxmlformats.org/officeDocument/2006/relationships/hyperlink" Target="https://www.twitch.tv/quartersno/clip/ReliableEagerSpindleRedCoat-pbWdbU3W8X-Xc-zx"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x4u9dM-1WIo?si=3h3YYaB-NzObFQ1W" TargetMode="External"/><Relationship Id="rId2163" Type="http://schemas.openxmlformats.org/officeDocument/2006/relationships/hyperlink" Target="https://youtu.be/3xXcJ2B6gHc" TargetMode="External"/><Relationship Id="rId3493" Type="http://schemas.openxmlformats.org/officeDocument/2006/relationships/hyperlink" Target="https://youtu.be/QJJjwl-vh1Y?si=zvE4fVP63m5sUtBD" TargetMode="External"/><Relationship Id="rId2164" Type="http://schemas.openxmlformats.org/officeDocument/2006/relationships/hyperlink" Target="https://youtu.be/4Gb9BGszgds" TargetMode="External"/><Relationship Id="rId3496" Type="http://schemas.openxmlformats.org/officeDocument/2006/relationships/hyperlink" Target="https://youtu.be/3qz5HLTgw3U" TargetMode="External"/><Relationship Id="rId2165" Type="http://schemas.openxmlformats.org/officeDocument/2006/relationships/hyperlink" Target="https://www.twitch.tv/videos/1604859972" TargetMode="External"/><Relationship Id="rId3495" Type="http://schemas.openxmlformats.org/officeDocument/2006/relationships/hyperlink" Target="https://www.twitch.tv/quartersno/clip/LazyArborealSushiDoritosChip-RDX8quQAsxY2eJ_7" TargetMode="External"/><Relationship Id="rId2166" Type="http://schemas.openxmlformats.org/officeDocument/2006/relationships/hyperlink" Target="https://youtu.be/tdGWS97d3l8" TargetMode="External"/><Relationship Id="rId3498" Type="http://schemas.openxmlformats.org/officeDocument/2006/relationships/hyperlink" Target="https://youtu.be/0VoHWs-0TQw"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UcKJoqxU3e0?si=VQQ2deEi6_Zyh6Hz"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JA8zPb_sJUI"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s9ujpa-YSnc?si=ZcvXd6-ZJSVuO48u"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7M6KJaNmgjs"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656571292" TargetMode="External"/><Relationship Id="rId3482" Type="http://schemas.openxmlformats.org/officeDocument/2006/relationships/hyperlink" Target="https://www.twitch.tv/quartersno/clip/EnjoyableThirstyDragonflyMVGame-4U8fHfrvNfUVxiSW"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ZAinYSFi65U"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naWvWKSKObs?si=RXUdnHNrM_cH1mv9" TargetMode="External"/><Relationship Id="rId2156" Type="http://schemas.openxmlformats.org/officeDocument/2006/relationships/hyperlink" Target="https://youtu.be/rpHwfObx6Jo" TargetMode="External"/><Relationship Id="rId3486" Type="http://schemas.openxmlformats.org/officeDocument/2006/relationships/hyperlink" Target="https://youtu.be/R_WzW5NJHNg" TargetMode="External"/><Relationship Id="rId2157" Type="http://schemas.openxmlformats.org/officeDocument/2006/relationships/hyperlink" Target="https://www.twitch.tv/videos/1664579996" TargetMode="External"/><Relationship Id="rId3489" Type="http://schemas.openxmlformats.org/officeDocument/2006/relationships/hyperlink" Target="https://youtu.be/lIQjwqRKvAo?si=ITqOmv3zXj5gLfh9"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no/clip/DignifiedInnocentElkJKanStyle-AnstJT0Ztir81U23"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5n5G5Prn4E4"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8nEu-AX89xQ"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a5SKsvLsNUU"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oYJmt9xuN2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bE2vqCzhDBk" TargetMode="External"/><Relationship Id="rId3430" Type="http://schemas.openxmlformats.org/officeDocument/2006/relationships/hyperlink" Target="https://youtu.be/nO17MpWSVpE"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youtube.com/watch?v=c1a0JbGeYQw"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jvdFWQScL4g"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p6taesLvQnI" TargetMode="External"/><Relationship Id="rId2103" Type="http://schemas.openxmlformats.org/officeDocument/2006/relationships/hyperlink" Target="https://youtu.be/fPn5LBvxP0Q" TargetMode="External"/><Relationship Id="rId3433" Type="http://schemas.openxmlformats.org/officeDocument/2006/relationships/hyperlink" Target="https://youtu.be/iqxAAuoszW0" TargetMode="External"/><Relationship Id="rId3425" Type="http://schemas.openxmlformats.org/officeDocument/2006/relationships/hyperlink" Target="https://youtu.be/BoXKmi-E1jE" TargetMode="External"/><Relationship Id="rId3424" Type="http://schemas.openxmlformats.org/officeDocument/2006/relationships/hyperlink" Target="https://youtu.be/-NaQCbQQMvc" TargetMode="External"/><Relationship Id="rId3427" Type="http://schemas.openxmlformats.org/officeDocument/2006/relationships/hyperlink" Target="https://youtu.be/cEVs027alRU" TargetMode="External"/><Relationship Id="rId3426" Type="http://schemas.openxmlformats.org/officeDocument/2006/relationships/hyperlink" Target="https://youtu.be/gHxZJZ8lOCA" TargetMode="External"/><Relationship Id="rId3429" Type="http://schemas.openxmlformats.org/officeDocument/2006/relationships/hyperlink" Target="https://youtu.be/8lQ-ZQlB5qI" TargetMode="External"/><Relationship Id="rId3428" Type="http://schemas.openxmlformats.org/officeDocument/2006/relationships/hyperlink" Target="https://youtu.be/5jM0EgimauY"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M0os9HTNx5I" TargetMode="External"/><Relationship Id="rId894" Type="http://schemas.openxmlformats.org/officeDocument/2006/relationships/hyperlink" Target="https://youtu.be/xizsD7lwCUI" TargetMode="External"/><Relationship Id="rId3420" Type="http://schemas.openxmlformats.org/officeDocument/2006/relationships/hyperlink" Target="https://youtu.be/fUdSxtmkG4s" TargetMode="External"/><Relationship Id="rId893" Type="http://schemas.openxmlformats.org/officeDocument/2006/relationships/hyperlink" Target="https://youtu.be/-aqgEfzkVAg" TargetMode="External"/><Relationship Id="rId3423" Type="http://schemas.openxmlformats.org/officeDocument/2006/relationships/hyperlink" Target="https://youtu.be/ASWXsh2Lemk" TargetMode="External"/><Relationship Id="rId892" Type="http://schemas.openxmlformats.org/officeDocument/2006/relationships/hyperlink" Target="https://youtu.be/G-eH1jMDwbo?t=3" TargetMode="External"/><Relationship Id="rId3422" Type="http://schemas.openxmlformats.org/officeDocument/2006/relationships/hyperlink" Target="https://youtu.be/bA5UNeRyQ3M"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88q7o_zP_TI"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1e9z1PbD77A"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STNcYhrfQBU" TargetMode="External"/><Relationship Id="rId3450" Type="http://schemas.openxmlformats.org/officeDocument/2006/relationships/hyperlink" Target="https://www.youtube.com/watch?v=nTi7p7Xt3Pw"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BAG5FY3kVjI"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_0djMnD5vs4"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ZN38JdGGFmk"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ClHigHZYVx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BD-mRbQcJAM"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KeDOSS_rZyY"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M6NIiiOR1JE"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jXcdhjjYEw"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RBXgjzCnmA8"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1lSjQDmXPV4"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eIr_vT2HyBU"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8vGl0Io2elk"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h08q6m_4FLI?t=17"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h08q6m_4FLI"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sdbX_IStQ"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qxetrmxdIs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305" t="s">
        <v>1580</v>
      </c>
      <c r="DT24" s="145" t="s">
        <v>1870</v>
      </c>
      <c r="DU24" s="145" t="s">
        <v>208</v>
      </c>
      <c r="DV24" s="145" t="s">
        <v>1506</v>
      </c>
      <c r="DW24" s="145" t="s">
        <v>1801</v>
      </c>
      <c r="DX24" s="205" t="s">
        <v>1871</v>
      </c>
      <c r="DY24" s="145" t="s">
        <v>1872</v>
      </c>
      <c r="DZ24" s="145" t="s">
        <v>1873</v>
      </c>
      <c r="EA24" s="205" t="s">
        <v>1327</v>
      </c>
      <c r="EB24" s="145" t="s">
        <v>1874</v>
      </c>
      <c r="EC24" s="145" t="s">
        <v>216</v>
      </c>
      <c r="ED24" s="306"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7"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8" t="s">
        <v>1962</v>
      </c>
      <c r="AI26" s="309"/>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10"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1"/>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2" t="s">
        <v>2025</v>
      </c>
      <c r="B27" s="82" t="s">
        <v>2026</v>
      </c>
      <c r="C27" s="83" t="s">
        <v>1259</v>
      </c>
      <c r="D27" s="84" t="s">
        <v>1259</v>
      </c>
      <c r="E27" s="85" t="s">
        <v>547</v>
      </c>
      <c r="F27" s="86" t="s">
        <v>2027</v>
      </c>
      <c r="G27" s="82" t="s">
        <v>2028</v>
      </c>
      <c r="H27" s="313" t="s">
        <v>1605</v>
      </c>
      <c r="I27" s="314" t="s">
        <v>2029</v>
      </c>
      <c r="J27" s="314" t="s">
        <v>2030</v>
      </c>
      <c r="K27" s="314" t="s">
        <v>444</v>
      </c>
      <c r="L27" s="314" t="s">
        <v>384</v>
      </c>
      <c r="M27" s="315" t="s">
        <v>601</v>
      </c>
      <c r="N27" s="313" t="s">
        <v>2031</v>
      </c>
      <c r="O27" s="314" t="s">
        <v>2032</v>
      </c>
      <c r="P27" s="314" t="s">
        <v>109</v>
      </c>
      <c r="Q27" s="316" t="s">
        <v>2033</v>
      </c>
      <c r="R27" s="313" t="s">
        <v>2034</v>
      </c>
      <c r="S27" s="313" t="s">
        <v>772</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965</v>
      </c>
      <c r="AG27" s="313" t="str">
        <f>HYPERLINK("https://www.youtube.com/watch?v=EdK5oJYC1tk","15.10")</f>
        <v>15.10</v>
      </c>
      <c r="AH27" s="314" t="s">
        <v>458</v>
      </c>
      <c r="AI27" s="314" t="s">
        <v>571</v>
      </c>
      <c r="AJ27" s="313" t="str">
        <f>HYPERLINK("https://youtu.be/ZXRdUyO-EWA","1:01.11")</f>
        <v>1:01.11</v>
      </c>
      <c r="AK27" s="317" t="s">
        <v>2043</v>
      </c>
      <c r="AL27" s="318"/>
      <c r="AM27" s="317" t="s">
        <v>2044</v>
      </c>
      <c r="AN27" s="314" t="s">
        <v>1830</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1371</v>
      </c>
      <c r="AZ27" s="315" t="s">
        <v>2050</v>
      </c>
      <c r="BA27" s="315"/>
      <c r="BB27" s="313" t="s">
        <v>2051</v>
      </c>
      <c r="BC27" s="314" t="s">
        <v>144</v>
      </c>
      <c r="BD27" s="314" t="s">
        <v>145</v>
      </c>
      <c r="BE27" s="313" t="s">
        <v>2052</v>
      </c>
      <c r="BF27" s="315" t="s">
        <v>793</v>
      </c>
      <c r="BG27" s="313" t="s">
        <v>476</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1072</v>
      </c>
      <c r="BS27" s="313" t="str">
        <f>HYPERLINK("https://youtu.be/sYs50tvUHuo","52.01")</f>
        <v>52.01</v>
      </c>
      <c r="BT27" s="314" t="s">
        <v>2057</v>
      </c>
      <c r="BU27" s="313" t="s">
        <v>1044</v>
      </c>
      <c r="BV27" s="315" t="s">
        <v>1827</v>
      </c>
      <c r="BW27" s="313" t="str">
        <f>HYPERLINK("https://youtu.be/n7zdK3H7Bag","22.27")</f>
        <v>22.27</v>
      </c>
      <c r="BX27" s="315"/>
      <c r="BY27" s="315" t="s">
        <v>2058</v>
      </c>
      <c r="BZ27" s="313" t="s">
        <v>1240</v>
      </c>
      <c r="CA27" s="314" t="s">
        <v>868</v>
      </c>
      <c r="CB27" s="314" t="s">
        <v>2059</v>
      </c>
      <c r="CC27" s="314" t="s">
        <v>2060</v>
      </c>
      <c r="CD27" s="313" t="s">
        <v>2061</v>
      </c>
      <c r="CE27" s="315" t="s">
        <v>2062</v>
      </c>
      <c r="CF27" s="320"/>
      <c r="CG27" s="314" t="s">
        <v>2063</v>
      </c>
      <c r="CH27" s="314" t="s">
        <v>1468</v>
      </c>
      <c r="CI27" s="314" t="s">
        <v>2064</v>
      </c>
      <c r="CJ27" s="313" t="s">
        <v>783</v>
      </c>
      <c r="CK27" s="321"/>
      <c r="CL27" s="313" t="s">
        <v>2065</v>
      </c>
      <c r="CM27" s="314" t="s">
        <v>2066</v>
      </c>
      <c r="CN27" s="313" t="s">
        <v>510</v>
      </c>
      <c r="CO27" s="314" t="s">
        <v>2067</v>
      </c>
      <c r="CP27" s="315"/>
      <c r="CQ27" s="315" t="s">
        <v>426</v>
      </c>
      <c r="CR27" s="315"/>
      <c r="CS27" s="315" t="s">
        <v>2068</v>
      </c>
      <c r="CT27" s="315"/>
      <c r="CU27" s="154"/>
      <c r="CV27" s="317" t="s">
        <v>2069</v>
      </c>
      <c r="CW27" s="313" t="str">
        <f>HYPERLINK("https://www.youtube.com/watch?v=wOcz6idXkPk","13.28")</f>
        <v>13.28</v>
      </c>
      <c r="CX27" s="314" t="s">
        <v>719</v>
      </c>
      <c r="CY27" s="315" t="s">
        <v>2070</v>
      </c>
      <c r="CZ27" s="313" t="s">
        <v>2071</v>
      </c>
      <c r="DA27" s="314" t="s">
        <v>933</v>
      </c>
      <c r="DB27" s="314" t="s">
        <v>2072</v>
      </c>
      <c r="DC27" s="314" t="s">
        <v>2073</v>
      </c>
      <c r="DD27" s="315" t="s">
        <v>2074</v>
      </c>
      <c r="DE27" s="315" t="s">
        <v>2075</v>
      </c>
      <c r="DF27" s="314" t="s">
        <v>2076</v>
      </c>
      <c r="DG27" s="313" t="str">
        <f>HYPERLINK("https://youtu.be/1RIW6L86hD0","1:39.58")</f>
        <v>1:39.58</v>
      </c>
      <c r="DH27" s="320"/>
      <c r="DI27" s="315" t="s">
        <v>1917</v>
      </c>
      <c r="DJ27" s="313" t="str">
        <f>HYPERLINK("https://youtu.be/0qbQjk4eFZ4","1:30.01")</f>
        <v>1:30.01</v>
      </c>
      <c r="DK27" s="313" t="str">
        <f>HYPERLINK("https://youtu.be/KytqO9xTGZE","1:28.71")</f>
        <v>1:28.71</v>
      </c>
      <c r="DL27" s="315"/>
      <c r="DM27" s="315" t="s">
        <v>530</v>
      </c>
      <c r="DN27" s="315" t="s">
        <v>974</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1024</v>
      </c>
      <c r="DW27" s="314" t="s">
        <v>538</v>
      </c>
      <c r="DX27" s="315" t="s">
        <v>596</v>
      </c>
      <c r="DY27" s="315" t="s">
        <v>1108</v>
      </c>
      <c r="DZ27" s="313" t="s">
        <v>2082</v>
      </c>
      <c r="EA27" s="313" t="s">
        <v>2083</v>
      </c>
      <c r="EB27" s="315" t="s">
        <v>2084</v>
      </c>
      <c r="EC27" s="315" t="s">
        <v>2085</v>
      </c>
      <c r="ED27" s="313" t="str">
        <f>HYPERLINK("https://youtu.be/Oh1CRK6fpa4","6.59")</f>
        <v>6.59</v>
      </c>
    </row>
    <row r="28">
      <c r="A28" s="166" t="s">
        <v>2086</v>
      </c>
      <c r="B28" s="104" t="s">
        <v>2087</v>
      </c>
      <c r="C28" s="105" t="s">
        <v>547</v>
      </c>
      <c r="D28" s="106" t="s">
        <v>332</v>
      </c>
      <c r="E28" s="107" t="s">
        <v>438</v>
      </c>
      <c r="F28" s="108" t="s">
        <v>2088</v>
      </c>
      <c r="G28" s="104" t="s">
        <v>2089</v>
      </c>
      <c r="H28" s="167" t="s">
        <v>2090</v>
      </c>
      <c r="I28" s="322"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4"/>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5"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1"/>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6" t="s">
        <v>2104</v>
      </c>
      <c r="B29" s="82" t="s">
        <v>2105</v>
      </c>
      <c r="C29" s="83" t="s">
        <v>1259</v>
      </c>
      <c r="D29" s="84" t="s">
        <v>650</v>
      </c>
      <c r="E29" s="85" t="s">
        <v>1259</v>
      </c>
      <c r="F29" s="86" t="s">
        <v>1809</v>
      </c>
      <c r="G29" s="82" t="s">
        <v>2106</v>
      </c>
      <c r="H29" s="327" t="s">
        <v>1811</v>
      </c>
      <c r="I29" s="314" t="s">
        <v>2107</v>
      </c>
      <c r="J29" s="314" t="s">
        <v>2108</v>
      </c>
      <c r="K29" s="314" t="s">
        <v>2109</v>
      </c>
      <c r="L29" s="314" t="s">
        <v>1208</v>
      </c>
      <c r="M29" s="314" t="s">
        <v>2110</v>
      </c>
      <c r="N29" s="156" t="s">
        <v>2111</v>
      </c>
      <c r="O29" s="314" t="s">
        <v>2034</v>
      </c>
      <c r="P29" s="314" t="s">
        <v>343</v>
      </c>
      <c r="Q29" s="317" t="s">
        <v>2112</v>
      </c>
      <c r="R29" s="315"/>
      <c r="S29" s="317" t="s">
        <v>2113</v>
      </c>
      <c r="T29" s="315"/>
      <c r="U29" s="317" t="s">
        <v>225</v>
      </c>
      <c r="V29" s="94" t="s">
        <v>2114</v>
      </c>
      <c r="W29" s="154"/>
      <c r="X29" s="314" t="s">
        <v>225</v>
      </c>
      <c r="Y29" s="327"/>
      <c r="Z29" s="327" t="s">
        <v>1821</v>
      </c>
      <c r="AA29" s="327" t="s">
        <v>2115</v>
      </c>
      <c r="AB29" s="314" t="s">
        <v>2116</v>
      </c>
      <c r="AC29" s="314" t="s">
        <v>2117</v>
      </c>
      <c r="AD29" s="314" t="s">
        <v>2118</v>
      </c>
      <c r="AE29" s="317" t="s">
        <v>2119</v>
      </c>
      <c r="AF29" s="314" t="s">
        <v>965</v>
      </c>
      <c r="AG29" s="314" t="s">
        <v>1279</v>
      </c>
      <c r="AH29" s="223" t="s">
        <v>2117</v>
      </c>
      <c r="AI29" s="315"/>
      <c r="AJ29" s="315"/>
      <c r="AK29" s="315"/>
      <c r="AL29" s="159"/>
      <c r="AM29" s="314" t="s">
        <v>1226</v>
      </c>
      <c r="AN29" s="314" t="s">
        <v>919</v>
      </c>
      <c r="AO29" s="315"/>
      <c r="AP29" s="315"/>
      <c r="AQ29" s="315"/>
      <c r="AR29" s="315"/>
      <c r="AS29" s="314" t="s">
        <v>136</v>
      </c>
      <c r="AT29" s="315"/>
      <c r="AU29" s="314" t="s">
        <v>678</v>
      </c>
      <c r="AV29" s="314" t="s">
        <v>2120</v>
      </c>
      <c r="AW29" s="317" t="s">
        <v>2121</v>
      </c>
      <c r="AX29" s="315"/>
      <c r="AY29" s="314" t="s">
        <v>2122</v>
      </c>
      <c r="AZ29" s="315"/>
      <c r="BA29" s="315"/>
      <c r="BB29" s="314" t="s">
        <v>2123</v>
      </c>
      <c r="BC29" s="314" t="s">
        <v>2096</v>
      </c>
      <c r="BD29" s="314" t="s">
        <v>145</v>
      </c>
      <c r="BE29" s="314" t="s">
        <v>1156</v>
      </c>
      <c r="BF29" s="314" t="s">
        <v>2124</v>
      </c>
      <c r="BG29" s="327" t="s">
        <v>2125</v>
      </c>
      <c r="BH29" s="315"/>
      <c r="BI29" s="314" t="s">
        <v>2126</v>
      </c>
      <c r="BJ29" s="317"/>
      <c r="BK29" s="327" t="s">
        <v>2127</v>
      </c>
      <c r="BL29" s="314" t="s">
        <v>2128</v>
      </c>
      <c r="BM29" s="315"/>
      <c r="BN29" s="315"/>
      <c r="BO29" s="315"/>
      <c r="BP29" s="315"/>
      <c r="BQ29" s="328"/>
      <c r="BR29" s="327" t="s">
        <v>2129</v>
      </c>
      <c r="BS29" s="327" t="s">
        <v>2130</v>
      </c>
      <c r="BT29" s="314" t="s">
        <v>2131</v>
      </c>
      <c r="BU29" s="314" t="s">
        <v>2132</v>
      </c>
      <c r="BV29" s="314" t="s">
        <v>2051</v>
      </c>
      <c r="BW29" s="327" t="s">
        <v>1306</v>
      </c>
      <c r="BX29" s="314" t="s">
        <v>2133</v>
      </c>
      <c r="BY29" s="317" t="s">
        <v>2134</v>
      </c>
      <c r="BZ29" s="327" t="s">
        <v>2135</v>
      </c>
      <c r="CA29" s="223" t="s">
        <v>2136</v>
      </c>
      <c r="CB29" s="315"/>
      <c r="CC29" s="315"/>
      <c r="CD29" s="315"/>
      <c r="CE29" s="315"/>
      <c r="CF29" s="328"/>
      <c r="CG29" s="314" t="s">
        <v>2137</v>
      </c>
      <c r="CH29" s="327" t="s">
        <v>2138</v>
      </c>
      <c r="CI29" s="314" t="s">
        <v>1104</v>
      </c>
      <c r="CJ29" s="327" t="s">
        <v>2139</v>
      </c>
      <c r="CK29" s="327"/>
      <c r="CL29" s="329" t="s">
        <v>2140</v>
      </c>
      <c r="CM29" s="327" t="s">
        <v>1999</v>
      </c>
      <c r="CN29" s="327" t="s">
        <v>1144</v>
      </c>
      <c r="CO29" s="314" t="s">
        <v>2141</v>
      </c>
      <c r="CP29" s="315"/>
      <c r="CQ29" s="327" t="s">
        <v>354</v>
      </c>
      <c r="CR29" s="315"/>
      <c r="CS29" s="315"/>
      <c r="CT29" s="315"/>
      <c r="CU29" s="154"/>
      <c r="CV29" s="314" t="s">
        <v>850</v>
      </c>
      <c r="CW29" s="314" t="s">
        <v>2142</v>
      </c>
      <c r="CX29" s="314" t="s">
        <v>188</v>
      </c>
      <c r="CY29" s="314" t="s">
        <v>2143</v>
      </c>
      <c r="CZ29" s="314" t="s">
        <v>2144</v>
      </c>
      <c r="DA29" s="327" t="s">
        <v>2145</v>
      </c>
      <c r="DB29" s="156" t="s">
        <v>192</v>
      </c>
      <c r="DC29" s="223" t="s">
        <v>305</v>
      </c>
      <c r="DD29" s="315"/>
      <c r="DE29" s="315"/>
      <c r="DF29" s="315"/>
      <c r="DG29" s="315"/>
      <c r="DH29" s="328"/>
      <c r="DI29" s="327" t="s">
        <v>628</v>
      </c>
      <c r="DJ29" s="315"/>
      <c r="DK29" s="315"/>
      <c r="DL29" s="315"/>
      <c r="DM29" s="314" t="s">
        <v>530</v>
      </c>
      <c r="DN29" s="314" t="s">
        <v>2146</v>
      </c>
      <c r="DO29" s="314" t="s">
        <v>633</v>
      </c>
      <c r="DP29" s="314" t="s">
        <v>2147</v>
      </c>
      <c r="DQ29" s="315"/>
      <c r="DR29" s="327" t="s">
        <v>2148</v>
      </c>
      <c r="DS29" s="314" t="s">
        <v>2149</v>
      </c>
      <c r="DT29" s="315"/>
      <c r="DU29" s="314" t="s">
        <v>1086</v>
      </c>
      <c r="DV29" s="315"/>
      <c r="DW29" s="314" t="s">
        <v>641</v>
      </c>
      <c r="DX29" s="315"/>
      <c r="DY29" s="315"/>
      <c r="DZ29" s="315"/>
      <c r="EA29" s="315"/>
      <c r="EB29" s="315"/>
      <c r="EC29" s="315"/>
      <c r="ED29" s="156" t="s">
        <v>2150</v>
      </c>
    </row>
    <row r="30">
      <c r="A30" s="330" t="s">
        <v>2151</v>
      </c>
      <c r="B30" s="104" t="s">
        <v>2152</v>
      </c>
      <c r="C30" s="105" t="s">
        <v>547</v>
      </c>
      <c r="D30" s="106" t="s">
        <v>547</v>
      </c>
      <c r="E30" s="107" t="s">
        <v>547</v>
      </c>
      <c r="F30" s="108" t="s">
        <v>2153</v>
      </c>
      <c r="G30" s="104" t="s">
        <v>2154</v>
      </c>
      <c r="H30" s="112" t="s">
        <v>2155</v>
      </c>
      <c r="I30" s="112" t="s">
        <v>2156</v>
      </c>
      <c r="J30" s="112" t="s">
        <v>2157</v>
      </c>
      <c r="K30" s="112" t="s">
        <v>903</v>
      </c>
      <c r="L30" s="112" t="s">
        <v>2158</v>
      </c>
      <c r="M30" s="112" t="s">
        <v>2159</v>
      </c>
      <c r="N30" s="112" t="s">
        <v>2160</v>
      </c>
      <c r="O30" s="112" t="s">
        <v>2161</v>
      </c>
      <c r="P30" s="112" t="s">
        <v>657</v>
      </c>
      <c r="Q30" s="242"/>
      <c r="R30" s="242"/>
      <c r="S30" s="242"/>
      <c r="T30" s="242"/>
      <c r="U30" s="242"/>
      <c r="V30" s="242"/>
      <c r="W30" s="92"/>
      <c r="X30" s="116" t="s">
        <v>2162</v>
      </c>
      <c r="Y30" s="270"/>
      <c r="Z30" s="116" t="s">
        <v>1141</v>
      </c>
      <c r="AA30" s="116" t="s">
        <v>2163</v>
      </c>
      <c r="AB30" s="116" t="s">
        <v>2164</v>
      </c>
      <c r="AC30" s="116" t="s">
        <v>2165</v>
      </c>
      <c r="AD30" s="116" t="s">
        <v>2166</v>
      </c>
      <c r="AE30" s="198"/>
      <c r="AF30" s="116" t="s">
        <v>357</v>
      </c>
      <c r="AG30" s="116" t="s">
        <v>358</v>
      </c>
      <c r="AH30" s="244"/>
      <c r="AI30" s="244"/>
      <c r="AJ30" s="244"/>
      <c r="AK30" s="244"/>
      <c r="AL30" s="97"/>
      <c r="AM30" s="245"/>
      <c r="AN30" s="168"/>
      <c r="AO30" s="245"/>
      <c r="AP30" s="245"/>
      <c r="AQ30" s="245"/>
      <c r="AR30" s="245"/>
      <c r="AS30" s="245"/>
      <c r="AT30" s="245"/>
      <c r="AU30" s="121" t="s">
        <v>473</v>
      </c>
      <c r="AV30" s="121" t="s">
        <v>2167</v>
      </c>
      <c r="AW30" s="245"/>
      <c r="AX30" s="245"/>
      <c r="AY30" s="245"/>
      <c r="AZ30" s="245"/>
      <c r="BA30" s="245"/>
      <c r="BB30" s="126" t="s">
        <v>1928</v>
      </c>
      <c r="BC30" s="126" t="s">
        <v>683</v>
      </c>
      <c r="BD30" s="126" t="s">
        <v>1313</v>
      </c>
      <c r="BE30" s="127" t="s">
        <v>643</v>
      </c>
      <c r="BF30" s="126" t="s">
        <v>1375</v>
      </c>
      <c r="BG30" s="173"/>
      <c r="BH30" s="173"/>
      <c r="BI30" s="126" t="s">
        <v>2168</v>
      </c>
      <c r="BJ30" s="126" t="s">
        <v>2169</v>
      </c>
      <c r="BK30" s="174"/>
      <c r="BL30" s="126" t="s">
        <v>2170</v>
      </c>
      <c r="BM30" s="173"/>
      <c r="BN30" s="173"/>
      <c r="BO30" s="173"/>
      <c r="BP30" s="173"/>
      <c r="BQ30" s="247"/>
      <c r="BR30" s="129" t="s">
        <v>2171</v>
      </c>
      <c r="BS30" s="261" t="s">
        <v>2172</v>
      </c>
      <c r="BT30" s="130" t="s">
        <v>2173</v>
      </c>
      <c r="BU30" s="129" t="s">
        <v>941</v>
      </c>
      <c r="BV30" s="129" t="s">
        <v>2174</v>
      </c>
      <c r="BW30" s="129" t="s">
        <v>1098</v>
      </c>
      <c r="BX30" s="129" t="s">
        <v>2175</v>
      </c>
      <c r="BY30" s="129" t="s">
        <v>702</v>
      </c>
      <c r="BZ30" s="249"/>
      <c r="CA30" s="129" t="s">
        <v>1593</v>
      </c>
      <c r="CB30" s="249"/>
      <c r="CC30" s="249"/>
      <c r="CD30" s="249"/>
      <c r="CE30" s="249"/>
      <c r="CF30" s="251"/>
      <c r="CG30" s="135" t="s">
        <v>504</v>
      </c>
      <c r="CH30" s="135" t="s">
        <v>1841</v>
      </c>
      <c r="CI30" s="135" t="s">
        <v>2176</v>
      </c>
      <c r="CJ30" s="135" t="s">
        <v>2177</v>
      </c>
      <c r="CK30" s="135" t="s">
        <v>175</v>
      </c>
      <c r="CL30" s="135" t="s">
        <v>2178</v>
      </c>
      <c r="CM30" s="135" t="s">
        <v>2179</v>
      </c>
      <c r="CN30" s="135" t="s">
        <v>877</v>
      </c>
      <c r="CO30" s="135" t="s">
        <v>2180</v>
      </c>
      <c r="CP30" s="252"/>
      <c r="CQ30" s="252"/>
      <c r="CR30" s="252"/>
      <c r="CS30" s="252"/>
      <c r="CT30" s="252"/>
      <c r="CU30" s="92"/>
      <c r="CV30" s="140" t="s">
        <v>409</v>
      </c>
      <c r="CW30" s="204" t="s">
        <v>2181</v>
      </c>
      <c r="CX30" s="140" t="s">
        <v>2182</v>
      </c>
      <c r="CY30" s="140" t="s">
        <v>2183</v>
      </c>
      <c r="CZ30" s="140" t="s">
        <v>1183</v>
      </c>
      <c r="DA30" s="140" t="s">
        <v>2184</v>
      </c>
      <c r="DB30" s="140" t="s">
        <v>2185</v>
      </c>
      <c r="DC30" s="140" t="s">
        <v>2186</v>
      </c>
      <c r="DD30" s="253"/>
      <c r="DE30" s="204"/>
      <c r="DF30" s="253"/>
      <c r="DG30" s="253"/>
      <c r="DH30" s="263"/>
      <c r="DI30" s="145" t="s">
        <v>198</v>
      </c>
      <c r="DJ30" s="255"/>
      <c r="DK30" s="255"/>
      <c r="DL30" s="205"/>
      <c r="DM30" s="205"/>
      <c r="DN30" s="205"/>
      <c r="DO30" s="255"/>
      <c r="DP30" s="255"/>
      <c r="DQ30" s="255"/>
      <c r="DR30" s="145" t="s">
        <v>2187</v>
      </c>
      <c r="DS30" s="145" t="s">
        <v>2188</v>
      </c>
      <c r="DT30" s="255"/>
      <c r="DU30" s="255"/>
      <c r="DV30" s="255"/>
      <c r="DW30" s="255"/>
      <c r="DX30" s="255"/>
      <c r="DY30" s="255"/>
      <c r="DZ30" s="255"/>
      <c r="EA30" s="255"/>
      <c r="EB30" s="255"/>
      <c r="EC30" s="255"/>
      <c r="ED30" s="287"/>
    </row>
    <row r="31">
      <c r="A31" s="331" t="s">
        <v>2189</v>
      </c>
      <c r="B31" s="82" t="s">
        <v>2190</v>
      </c>
      <c r="C31" s="83" t="s">
        <v>1259</v>
      </c>
      <c r="D31" s="84" t="s">
        <v>1259</v>
      </c>
      <c r="E31" s="85" t="s">
        <v>1259</v>
      </c>
      <c r="F31" s="86" t="s">
        <v>2191</v>
      </c>
      <c r="G31" s="82" t="s">
        <v>441</v>
      </c>
      <c r="H31" s="88" t="s">
        <v>932</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1691</v>
      </c>
      <c r="Y31" s="102"/>
      <c r="Z31" s="88" t="s">
        <v>2202</v>
      </c>
      <c r="AA31" s="88" t="s">
        <v>2203</v>
      </c>
      <c r="AB31" s="266" t="s">
        <v>2204</v>
      </c>
      <c r="AC31" s="162" t="s">
        <v>1580</v>
      </c>
      <c r="AD31" s="88" t="s">
        <v>2205</v>
      </c>
      <c r="AE31" s="94" t="s">
        <v>2206</v>
      </c>
      <c r="AF31" s="88" t="s">
        <v>2207</v>
      </c>
      <c r="AG31" s="88" t="s">
        <v>569</v>
      </c>
      <c r="AH31" s="88" t="s">
        <v>2208</v>
      </c>
      <c r="AI31" s="94" t="s">
        <v>758</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2"/>
      <c r="BB31" s="94" t="s">
        <v>1887</v>
      </c>
      <c r="BC31" s="88" t="s">
        <v>2221</v>
      </c>
      <c r="BD31" s="88" t="s">
        <v>2222</v>
      </c>
      <c r="BE31" s="88" t="s">
        <v>1294</v>
      </c>
      <c r="BF31" s="88" t="s">
        <v>1467</v>
      </c>
      <c r="BG31" s="94" t="s">
        <v>2223</v>
      </c>
      <c r="BH31" s="88" t="s">
        <v>1678</v>
      </c>
      <c r="BI31" s="88" t="s">
        <v>1996</v>
      </c>
      <c r="BJ31" s="88" t="s">
        <v>2224</v>
      </c>
      <c r="BK31" s="94"/>
      <c r="BL31" s="88" t="s">
        <v>2054</v>
      </c>
      <c r="BM31" s="94" t="s">
        <v>2225</v>
      </c>
      <c r="BN31" s="88" t="s">
        <v>935</v>
      </c>
      <c r="BO31" s="94" t="s">
        <v>2226</v>
      </c>
      <c r="BP31" s="94" t="s">
        <v>2227</v>
      </c>
      <c r="BQ31" s="333"/>
      <c r="BR31" s="88" t="s">
        <v>2228</v>
      </c>
      <c r="BS31" s="88" t="s">
        <v>237</v>
      </c>
      <c r="BT31" s="88" t="s">
        <v>2229</v>
      </c>
      <c r="BU31" s="88" t="s">
        <v>2230</v>
      </c>
      <c r="BV31" s="94" t="s">
        <v>2231</v>
      </c>
      <c r="BW31" s="88" t="s">
        <v>2232</v>
      </c>
      <c r="BX31" s="94" t="s">
        <v>2233</v>
      </c>
      <c r="BY31" s="88" t="s">
        <v>2234</v>
      </c>
      <c r="BZ31" s="94"/>
      <c r="CA31" s="94" t="s">
        <v>1939</v>
      </c>
      <c r="CB31" s="88" t="s">
        <v>2235</v>
      </c>
      <c r="CC31" s="88" t="s">
        <v>2236</v>
      </c>
      <c r="CD31" s="88" t="s">
        <v>260</v>
      </c>
      <c r="CE31" s="88" t="s">
        <v>1886</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359</v>
      </c>
      <c r="CW31" s="94" t="s">
        <v>2248</v>
      </c>
      <c r="CX31" s="88" t="s">
        <v>510</v>
      </c>
      <c r="CY31" s="88" t="s">
        <v>854</v>
      </c>
      <c r="CZ31" s="162" t="s">
        <v>2249</v>
      </c>
      <c r="DA31" s="88" t="s">
        <v>768</v>
      </c>
      <c r="DB31" s="162" t="s">
        <v>2250</v>
      </c>
      <c r="DC31" s="162" t="s">
        <v>2251</v>
      </c>
      <c r="DD31" s="88" t="s">
        <v>2252</v>
      </c>
      <c r="DE31" s="94" t="s">
        <v>2253</v>
      </c>
      <c r="DF31" s="88" t="s">
        <v>2157</v>
      </c>
      <c r="DG31" s="88" t="s">
        <v>408</v>
      </c>
      <c r="DH31" s="88"/>
      <c r="DI31" s="88" t="s">
        <v>628</v>
      </c>
      <c r="DJ31" s="94" t="s">
        <v>2254</v>
      </c>
      <c r="DK31" s="94" t="s">
        <v>2255</v>
      </c>
      <c r="DL31" s="88" t="s">
        <v>2256</v>
      </c>
      <c r="DM31" s="88" t="s">
        <v>530</v>
      </c>
      <c r="DN31" s="88" t="s">
        <v>862</v>
      </c>
      <c r="DO31" s="94" t="s">
        <v>2257</v>
      </c>
      <c r="DP31" s="94" t="s">
        <v>1542</v>
      </c>
      <c r="DQ31" s="94" t="s">
        <v>731</v>
      </c>
      <c r="DR31" s="88" t="s">
        <v>2091</v>
      </c>
      <c r="DS31" s="88" t="s">
        <v>2258</v>
      </c>
      <c r="DT31" s="93" t="s">
        <v>187</v>
      </c>
      <c r="DU31" s="94" t="s">
        <v>2259</v>
      </c>
      <c r="DV31" s="88" t="s">
        <v>2260</v>
      </c>
      <c r="DW31" s="88" t="s">
        <v>1939</v>
      </c>
      <c r="DX31" s="94" t="s">
        <v>1313</v>
      </c>
      <c r="DY31" s="94" t="s">
        <v>2261</v>
      </c>
      <c r="DZ31" s="88" t="s">
        <v>1362</v>
      </c>
      <c r="EA31" s="88" t="s">
        <v>2262</v>
      </c>
      <c r="EB31" s="94" t="s">
        <v>1159</v>
      </c>
      <c r="EC31" s="94" t="s">
        <v>139</v>
      </c>
      <c r="ED31" s="258" t="s">
        <v>2263</v>
      </c>
    </row>
    <row r="32">
      <c r="A32" s="335" t="s">
        <v>2264</v>
      </c>
      <c r="B32" s="104" t="s">
        <v>2265</v>
      </c>
      <c r="C32" s="105" t="s">
        <v>1259</v>
      </c>
      <c r="D32" s="106" t="s">
        <v>438</v>
      </c>
      <c r="E32" s="107" t="s">
        <v>1259</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36"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1449</v>
      </c>
      <c r="BE32" s="174" t="s">
        <v>2298</v>
      </c>
      <c r="BF32" s="174" t="s">
        <v>2299</v>
      </c>
      <c r="BG32" s="174" t="s">
        <v>2300</v>
      </c>
      <c r="BH32" s="174" t="s">
        <v>2301</v>
      </c>
      <c r="BI32" s="126" t="s">
        <v>1577</v>
      </c>
      <c r="BJ32" s="173"/>
      <c r="BK32" s="126" t="s">
        <v>2302</v>
      </c>
      <c r="BL32" s="174" t="s">
        <v>2054</v>
      </c>
      <c r="BM32" s="173"/>
      <c r="BN32" s="174" t="s">
        <v>1819</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7" t="s">
        <v>2322</v>
      </c>
      <c r="CT32" s="177" t="s">
        <v>2323</v>
      </c>
      <c r="CU32" s="92"/>
      <c r="CV32" s="204" t="s">
        <v>2324</v>
      </c>
      <c r="CW32" s="204" t="s">
        <v>1604</v>
      </c>
      <c r="CX32" s="204" t="s">
        <v>2325</v>
      </c>
      <c r="CY32" s="204" t="s">
        <v>570</v>
      </c>
      <c r="CZ32" s="204" t="s">
        <v>793</v>
      </c>
      <c r="DA32" s="204" t="s">
        <v>2326</v>
      </c>
      <c r="DB32" s="140" t="s">
        <v>414</v>
      </c>
      <c r="DC32" s="204" t="s">
        <v>2327</v>
      </c>
      <c r="DD32" s="204" t="s">
        <v>2328</v>
      </c>
      <c r="DE32" s="204" t="s">
        <v>2329</v>
      </c>
      <c r="DF32" s="204" t="s">
        <v>1300</v>
      </c>
      <c r="DG32" s="204" t="s">
        <v>2330</v>
      </c>
      <c r="DH32" s="263"/>
      <c r="DI32" s="205" t="s">
        <v>141</v>
      </c>
      <c r="DJ32" s="255"/>
      <c r="DK32" s="205" t="s">
        <v>2331</v>
      </c>
      <c r="DL32" s="255"/>
      <c r="DM32" s="205" t="s">
        <v>530</v>
      </c>
      <c r="DN32" s="205" t="s">
        <v>2332</v>
      </c>
      <c r="DO32" s="205" t="s">
        <v>2333</v>
      </c>
      <c r="DP32" s="179" t="s">
        <v>1255</v>
      </c>
      <c r="DQ32" s="179" t="s">
        <v>1191</v>
      </c>
      <c r="DR32" s="205" t="s">
        <v>2334</v>
      </c>
      <c r="DS32" s="205" t="s">
        <v>2094</v>
      </c>
      <c r="DT32" s="205" t="s">
        <v>2335</v>
      </c>
      <c r="DU32" s="205" t="s">
        <v>684</v>
      </c>
      <c r="DV32" s="255"/>
      <c r="DW32" s="205" t="s">
        <v>1714</v>
      </c>
      <c r="DX32" s="205" t="s">
        <v>2336</v>
      </c>
      <c r="DY32" s="205" t="s">
        <v>2337</v>
      </c>
      <c r="DZ32" s="205" t="s">
        <v>2338</v>
      </c>
      <c r="EA32" s="205" t="s">
        <v>1176</v>
      </c>
      <c r="EB32" s="205" t="s">
        <v>2339</v>
      </c>
      <c r="EC32" s="205" t="s">
        <v>2340</v>
      </c>
      <c r="ED32" s="287" t="s">
        <v>2341</v>
      </c>
    </row>
    <row r="33">
      <c r="A33" s="338" t="s">
        <v>2342</v>
      </c>
      <c r="B33" s="82" t="s">
        <v>2343</v>
      </c>
      <c r="C33" s="83" t="s">
        <v>547</v>
      </c>
      <c r="D33" s="84" t="s">
        <v>1259</v>
      </c>
      <c r="E33" s="85" t="s">
        <v>547</v>
      </c>
      <c r="F33" s="86" t="s">
        <v>2344</v>
      </c>
      <c r="G33" s="82" t="s">
        <v>2344</v>
      </c>
      <c r="H33" s="94"/>
      <c r="I33" s="88" t="s">
        <v>2345</v>
      </c>
      <c r="J33" s="88" t="s">
        <v>2346</v>
      </c>
      <c r="K33" s="88" t="s">
        <v>1638</v>
      </c>
      <c r="L33" s="88" t="s">
        <v>1403</v>
      </c>
      <c r="M33" s="88" t="s">
        <v>2347</v>
      </c>
      <c r="N33" s="88" t="s">
        <v>2348</v>
      </c>
      <c r="O33" s="88" t="s">
        <v>1836</v>
      </c>
      <c r="P33" s="88" t="s">
        <v>109</v>
      </c>
      <c r="Q33" s="88" t="s">
        <v>2349</v>
      </c>
      <c r="R33" s="99"/>
      <c r="S33" s="88" t="s">
        <v>2113</v>
      </c>
      <c r="T33" s="99"/>
      <c r="U33" s="99"/>
      <c r="V33" s="99"/>
      <c r="W33" s="92"/>
      <c r="X33" s="88" t="s">
        <v>2350</v>
      </c>
      <c r="Y33" s="93"/>
      <c r="Z33" s="88" t="s">
        <v>564</v>
      </c>
      <c r="AA33" s="88" t="s">
        <v>2351</v>
      </c>
      <c r="AB33" s="88" t="s">
        <v>566</v>
      </c>
      <c r="AC33" s="88" t="s">
        <v>1971</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1537</v>
      </c>
      <c r="BC33" s="88" t="s">
        <v>683</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1839</v>
      </c>
      <c r="CH33" s="88" t="s">
        <v>952</v>
      </c>
      <c r="CI33" s="88" t="s">
        <v>2364</v>
      </c>
      <c r="CJ33" s="88" t="s">
        <v>2365</v>
      </c>
      <c r="CK33" s="93"/>
      <c r="CL33" s="93"/>
      <c r="CM33" s="88" t="s">
        <v>1107</v>
      </c>
      <c r="CN33" s="88" t="s">
        <v>1449</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1899</v>
      </c>
      <c r="EB33" s="99"/>
      <c r="EC33" s="99"/>
      <c r="ED33" s="339"/>
    </row>
    <row r="34">
      <c r="A34" s="166" t="s">
        <v>2374</v>
      </c>
      <c r="B34" s="104" t="s">
        <v>2375</v>
      </c>
      <c r="C34" s="105" t="s">
        <v>1259</v>
      </c>
      <c r="D34" s="106" t="s">
        <v>438</v>
      </c>
      <c r="E34" s="107" t="s">
        <v>1259</v>
      </c>
      <c r="F34" s="108" t="s">
        <v>2376</v>
      </c>
      <c r="G34" s="104" t="s">
        <v>829</v>
      </c>
      <c r="H34" s="167" t="s">
        <v>2377</v>
      </c>
      <c r="I34" s="167" t="s">
        <v>2378</v>
      </c>
      <c r="J34" s="112" t="s">
        <v>2379</v>
      </c>
      <c r="K34" s="112" t="s">
        <v>2380</v>
      </c>
      <c r="L34" s="112" t="s">
        <v>2381</v>
      </c>
      <c r="M34" s="112" t="s">
        <v>2382</v>
      </c>
      <c r="N34" s="167" t="s">
        <v>2383</v>
      </c>
      <c r="O34" s="167" t="s">
        <v>1836</v>
      </c>
      <c r="P34" s="112" t="s">
        <v>657</v>
      </c>
      <c r="Q34" s="242"/>
      <c r="R34" s="242"/>
      <c r="S34" s="112" t="s">
        <v>1207</v>
      </c>
      <c r="T34" s="112" t="s">
        <v>2011</v>
      </c>
      <c r="U34" s="167" t="s">
        <v>2384</v>
      </c>
      <c r="V34" s="242"/>
      <c r="W34" s="92"/>
      <c r="X34" s="116" t="s">
        <v>2385</v>
      </c>
      <c r="Y34" s="270"/>
      <c r="Z34" s="116" t="s">
        <v>2386</v>
      </c>
      <c r="AA34" s="116" t="s">
        <v>2387</v>
      </c>
      <c r="AB34" s="198" t="s">
        <v>2388</v>
      </c>
      <c r="AC34" s="116" t="s">
        <v>1971</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1449</v>
      </c>
      <c r="AW34" s="168" t="s">
        <v>1007</v>
      </c>
      <c r="AX34" s="245"/>
      <c r="AY34" s="245"/>
      <c r="AZ34" s="245"/>
      <c r="BA34" s="245"/>
      <c r="BB34" s="126" t="s">
        <v>2398</v>
      </c>
      <c r="BC34" s="174" t="s">
        <v>2399</v>
      </c>
      <c r="BD34" s="126" t="s">
        <v>2326</v>
      </c>
      <c r="BE34" s="174" t="s">
        <v>1986</v>
      </c>
      <c r="BF34" s="174" t="s">
        <v>244</v>
      </c>
      <c r="BG34" s="174" t="s">
        <v>1325</v>
      </c>
      <c r="BH34" s="173"/>
      <c r="BI34" s="174" t="s">
        <v>2400</v>
      </c>
      <c r="BJ34" s="174" t="s">
        <v>2401</v>
      </c>
      <c r="BK34" s="174"/>
      <c r="BL34" s="174" t="s">
        <v>2402</v>
      </c>
      <c r="BM34" s="174" t="s">
        <v>2403</v>
      </c>
      <c r="BN34" s="126" t="s">
        <v>2404</v>
      </c>
      <c r="BO34" s="174" t="s">
        <v>2405</v>
      </c>
      <c r="BP34" s="174" t="s">
        <v>2056</v>
      </c>
      <c r="BQ34" s="247"/>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1445</v>
      </c>
      <c r="CE34" s="249"/>
      <c r="CF34" s="251"/>
      <c r="CG34" s="177" t="s">
        <v>1824</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1623</v>
      </c>
      <c r="DT34" s="145" t="s">
        <v>2425</v>
      </c>
      <c r="DU34" s="145" t="s">
        <v>2426</v>
      </c>
      <c r="DV34" s="145" t="s">
        <v>2427</v>
      </c>
      <c r="DW34" s="145" t="s">
        <v>203</v>
      </c>
      <c r="DX34" s="255"/>
      <c r="DY34" s="255"/>
      <c r="DZ34" s="145" t="s">
        <v>1086</v>
      </c>
      <c r="EA34" s="205" t="s">
        <v>2053</v>
      </c>
      <c r="EB34" s="145" t="s">
        <v>2428</v>
      </c>
      <c r="EC34" s="145" t="s">
        <v>2429</v>
      </c>
      <c r="ED34" s="142" t="s">
        <v>1720</v>
      </c>
    </row>
    <row r="35">
      <c r="A35" s="340" t="s">
        <v>2430</v>
      </c>
      <c r="B35" s="82" t="s">
        <v>2431</v>
      </c>
      <c r="C35" s="83" t="s">
        <v>1259</v>
      </c>
      <c r="D35" s="84" t="s">
        <v>1259</v>
      </c>
      <c r="E35" s="85" t="s">
        <v>1259</v>
      </c>
      <c r="F35" s="86" t="s">
        <v>2432</v>
      </c>
      <c r="G35" s="82" t="s">
        <v>2344</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2230</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2344</v>
      </c>
      <c r="G36" s="104" t="s">
        <v>1723</v>
      </c>
      <c r="H36" s="112" t="s">
        <v>2462</v>
      </c>
      <c r="I36" s="226" t="s">
        <v>2463</v>
      </c>
      <c r="J36" s="112" t="s">
        <v>2464</v>
      </c>
      <c r="K36" s="112" t="s">
        <v>1951</v>
      </c>
      <c r="L36" s="112" t="s">
        <v>2300</v>
      </c>
      <c r="M36" s="112" t="s">
        <v>2465</v>
      </c>
      <c r="N36" s="112" t="s">
        <v>2466</v>
      </c>
      <c r="O36" s="110" t="s">
        <v>2161</v>
      </c>
      <c r="P36" s="239" t="s">
        <v>557</v>
      </c>
      <c r="Q36" s="341" t="s">
        <v>2467</v>
      </c>
      <c r="R36" s="112" t="s">
        <v>2468</v>
      </c>
      <c r="S36" s="341"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2328</v>
      </c>
      <c r="AG36" s="116" t="s">
        <v>2476</v>
      </c>
      <c r="AH36" s="342" t="s">
        <v>2477</v>
      </c>
      <c r="AI36" s="114" t="s">
        <v>2478</v>
      </c>
      <c r="AJ36" s="342"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3" t="str">
        <f>HYPERLINK("https://clips.twitch.tv/RamshackleBlindingCaribouPupper", "2:21.41")</f>
        <v>2:21.41</v>
      </c>
      <c r="CA36" s="176" t="s">
        <v>2509</v>
      </c>
      <c r="CB36" s="175" t="s">
        <v>948</v>
      </c>
      <c r="CC36" s="344"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5" t="s">
        <v>2544</v>
      </c>
      <c r="B37" s="82" t="s">
        <v>2545</v>
      </c>
      <c r="C37" s="83" t="s">
        <v>650</v>
      </c>
      <c r="D37" s="84" t="s">
        <v>1259</v>
      </c>
      <c r="E37" s="85" t="s">
        <v>650</v>
      </c>
      <c r="F37" s="86" t="s">
        <v>2546</v>
      </c>
      <c r="G37" s="82" t="s">
        <v>2546</v>
      </c>
      <c r="H37" s="346"/>
      <c r="I37" s="314" t="s">
        <v>2547</v>
      </c>
      <c r="J37" s="314" t="s">
        <v>2548</v>
      </c>
      <c r="K37" s="314" t="s">
        <v>2549</v>
      </c>
      <c r="L37" s="314" t="s">
        <v>2550</v>
      </c>
      <c r="M37" s="314" t="s">
        <v>2159</v>
      </c>
      <c r="N37" s="314" t="s">
        <v>2551</v>
      </c>
      <c r="O37" s="314" t="s">
        <v>2552</v>
      </c>
      <c r="P37" s="347" t="s">
        <v>2553</v>
      </c>
      <c r="Q37" s="346"/>
      <c r="R37" s="346"/>
      <c r="S37" s="346"/>
      <c r="T37" s="346"/>
      <c r="U37" s="346"/>
      <c r="V37" s="346"/>
      <c r="W37" s="348"/>
      <c r="X37" s="224" t="s">
        <v>2554</v>
      </c>
      <c r="Y37" s="224" t="s">
        <v>2555</v>
      </c>
      <c r="Z37" s="314" t="s">
        <v>1141</v>
      </c>
      <c r="AA37" s="347" t="s">
        <v>1647</v>
      </c>
      <c r="AB37" s="314" t="s">
        <v>359</v>
      </c>
      <c r="AC37" s="314" t="s">
        <v>1123</v>
      </c>
      <c r="AD37" s="224" t="s">
        <v>2130</v>
      </c>
      <c r="AE37" s="346"/>
      <c r="AF37" s="314" t="s">
        <v>2556</v>
      </c>
      <c r="AG37" s="314" t="s">
        <v>125</v>
      </c>
      <c r="AH37" s="346"/>
      <c r="AI37" s="346"/>
      <c r="AJ37" s="346"/>
      <c r="AK37" s="346"/>
      <c r="AL37" s="349"/>
      <c r="AM37" s="346"/>
      <c r="AN37" s="346"/>
      <c r="AO37" s="346"/>
      <c r="AP37" s="346"/>
      <c r="AQ37" s="346"/>
      <c r="AR37" s="346"/>
      <c r="AS37" s="346"/>
      <c r="AT37" s="346"/>
      <c r="AU37" s="314" t="s">
        <v>2557</v>
      </c>
      <c r="AV37" s="314" t="s">
        <v>2558</v>
      </c>
      <c r="AW37" s="346"/>
      <c r="AX37" s="346"/>
      <c r="AY37" s="346"/>
      <c r="AZ37" s="346"/>
      <c r="BA37" s="346"/>
      <c r="BB37" s="314" t="s">
        <v>2559</v>
      </c>
      <c r="BC37" s="314" t="s">
        <v>2560</v>
      </c>
      <c r="BD37" s="314" t="s">
        <v>2561</v>
      </c>
      <c r="BE37" s="314" t="s">
        <v>2562</v>
      </c>
      <c r="BF37" s="347" t="s">
        <v>2563</v>
      </c>
      <c r="BG37" s="346"/>
      <c r="BH37" s="346"/>
      <c r="BI37" s="314" t="s">
        <v>1615</v>
      </c>
      <c r="BJ37" s="346"/>
      <c r="BK37" s="314" t="s">
        <v>2564</v>
      </c>
      <c r="BL37" s="314" t="s">
        <v>2565</v>
      </c>
      <c r="BM37" s="346"/>
      <c r="BN37" s="346"/>
      <c r="BO37" s="346"/>
      <c r="BP37" s="346"/>
      <c r="BQ37" s="350"/>
      <c r="BR37" s="314" t="s">
        <v>1301</v>
      </c>
      <c r="BS37" s="314" t="s">
        <v>1260</v>
      </c>
      <c r="BT37" s="314" t="s">
        <v>2485</v>
      </c>
      <c r="BU37" s="314" t="s">
        <v>2313</v>
      </c>
      <c r="BV37" s="314" t="s">
        <v>598</v>
      </c>
      <c r="BW37" s="314" t="s">
        <v>2566</v>
      </c>
      <c r="BX37" s="314" t="s">
        <v>2567</v>
      </c>
      <c r="BY37" s="346"/>
      <c r="BZ37" s="314" t="s">
        <v>2568</v>
      </c>
      <c r="CA37" s="314" t="s">
        <v>2569</v>
      </c>
      <c r="CB37" s="346"/>
      <c r="CC37" s="346"/>
      <c r="CD37" s="346"/>
      <c r="CE37" s="346"/>
      <c r="CF37" s="350"/>
      <c r="CG37" s="314" t="s">
        <v>2570</v>
      </c>
      <c r="CH37" s="314" t="s">
        <v>2571</v>
      </c>
      <c r="CI37" s="314" t="s">
        <v>2572</v>
      </c>
      <c r="CJ37" s="314" t="s">
        <v>2573</v>
      </c>
      <c r="CK37" s="319" t="s">
        <v>2574</v>
      </c>
      <c r="CL37" s="346"/>
      <c r="CM37" s="314" t="s">
        <v>2575</v>
      </c>
      <c r="CN37" s="314" t="s">
        <v>998</v>
      </c>
      <c r="CO37" s="314" t="s">
        <v>1923</v>
      </c>
      <c r="CP37" s="346"/>
      <c r="CQ37" s="346"/>
      <c r="CR37" s="346"/>
      <c r="CS37" s="346"/>
      <c r="CT37" s="346"/>
      <c r="CU37" s="349"/>
      <c r="CV37" s="314" t="s">
        <v>2576</v>
      </c>
      <c r="CW37" s="346"/>
      <c r="CX37" s="314" t="s">
        <v>2527</v>
      </c>
      <c r="CY37" s="314" t="s">
        <v>566</v>
      </c>
      <c r="CZ37" s="319" t="s">
        <v>2577</v>
      </c>
      <c r="DA37" s="314" t="s">
        <v>1577</v>
      </c>
      <c r="DB37" s="314" t="s">
        <v>722</v>
      </c>
      <c r="DC37" s="314" t="s">
        <v>2578</v>
      </c>
      <c r="DD37" s="346"/>
      <c r="DE37" s="346"/>
      <c r="DF37" s="346"/>
      <c r="DG37" s="346"/>
      <c r="DH37" s="350"/>
      <c r="DI37" s="314" t="s">
        <v>2579</v>
      </c>
      <c r="DJ37" s="346"/>
      <c r="DK37" s="346"/>
      <c r="DL37" s="346"/>
      <c r="DM37" s="346"/>
      <c r="DN37" s="346"/>
      <c r="DO37" s="346"/>
      <c r="DP37" s="346"/>
      <c r="DQ37" s="346"/>
      <c r="DR37" s="319" t="s">
        <v>2580</v>
      </c>
      <c r="DS37" s="314" t="s">
        <v>2581</v>
      </c>
      <c r="DT37" s="346"/>
      <c r="DU37" s="346"/>
      <c r="DV37" s="346"/>
      <c r="DW37" s="346"/>
      <c r="DX37" s="346"/>
      <c r="DY37" s="346"/>
      <c r="DZ37" s="346"/>
      <c r="EA37" s="346"/>
      <c r="EB37" s="346"/>
      <c r="EC37" s="346"/>
      <c r="ED37" s="346"/>
    </row>
    <row r="38">
      <c r="A38" s="351" t="s">
        <v>2582</v>
      </c>
      <c r="B38" s="104" t="s">
        <v>2583</v>
      </c>
      <c r="C38" s="105" t="s">
        <v>650</v>
      </c>
      <c r="D38" s="106" t="s">
        <v>438</v>
      </c>
      <c r="E38" s="107" t="s">
        <v>1259</v>
      </c>
      <c r="F38" s="108" t="s">
        <v>2584</v>
      </c>
      <c r="G38" s="104" t="s">
        <v>1131</v>
      </c>
      <c r="H38" s="112" t="s">
        <v>1800</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2242</v>
      </c>
      <c r="AB38" s="116" t="s">
        <v>2593</v>
      </c>
      <c r="AC38" s="116" t="s">
        <v>206</v>
      </c>
      <c r="AD38" s="116" t="s">
        <v>2594</v>
      </c>
      <c r="AE38" s="352"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2118</v>
      </c>
      <c r="CN38" s="135" t="s">
        <v>2628</v>
      </c>
      <c r="CO38" s="135" t="s">
        <v>1942</v>
      </c>
      <c r="CP38" s="231" t="s">
        <v>2629</v>
      </c>
      <c r="CQ38" s="177" t="s">
        <v>2630</v>
      </c>
      <c r="CR38" s="177"/>
      <c r="CS38" s="135" t="s">
        <v>2631</v>
      </c>
      <c r="CT38" s="252"/>
      <c r="CU38" s="92"/>
      <c r="CV38" s="140" t="s">
        <v>2632</v>
      </c>
      <c r="CW38" s="137" t="s">
        <v>2549</v>
      </c>
      <c r="CX38" s="137" t="s">
        <v>121</v>
      </c>
      <c r="CY38" s="140" t="s">
        <v>429</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5"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2432</v>
      </c>
      <c r="H39" s="99"/>
      <c r="I39" s="94" t="s">
        <v>1203</v>
      </c>
      <c r="J39" s="88" t="s">
        <v>2652</v>
      </c>
      <c r="K39" s="266" t="s">
        <v>1638</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2324</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2130</v>
      </c>
      <c r="CN39" s="88" t="s">
        <v>541</v>
      </c>
      <c r="CO39" s="94" t="s">
        <v>2675</v>
      </c>
      <c r="CP39" s="99"/>
      <c r="CQ39" s="99"/>
      <c r="CR39" s="99"/>
      <c r="CS39" s="99"/>
      <c r="CT39" s="94"/>
      <c r="CU39" s="92"/>
      <c r="CV39" s="88" t="s">
        <v>2676</v>
      </c>
      <c r="CW39" s="99"/>
      <c r="CX39" s="88" t="s">
        <v>771</v>
      </c>
      <c r="CY39" s="88" t="s">
        <v>2324</v>
      </c>
      <c r="CZ39" s="88" t="s">
        <v>663</v>
      </c>
      <c r="DA39" s="94" t="s">
        <v>1377</v>
      </c>
      <c r="DB39" s="88" t="s">
        <v>2677</v>
      </c>
      <c r="DC39" s="94" t="s">
        <v>2009</v>
      </c>
      <c r="DD39" s="99"/>
      <c r="DE39" s="99"/>
      <c r="DF39" s="99"/>
      <c r="DG39" s="99"/>
      <c r="DH39" s="237"/>
      <c r="DI39" s="94" t="s">
        <v>2125</v>
      </c>
      <c r="DJ39" s="99"/>
      <c r="DK39" s="99"/>
      <c r="DL39" s="99"/>
      <c r="DM39" s="99"/>
      <c r="DN39" s="99"/>
      <c r="DO39" s="99"/>
      <c r="DP39" s="99"/>
      <c r="DQ39" s="99"/>
      <c r="DR39" s="88" t="s">
        <v>2678</v>
      </c>
      <c r="DS39" s="94" t="s">
        <v>2679</v>
      </c>
      <c r="DT39" s="99"/>
      <c r="DU39" s="99"/>
      <c r="DV39" s="99"/>
      <c r="DW39" s="99"/>
      <c r="DX39" s="99"/>
      <c r="DY39" s="99"/>
      <c r="DZ39" s="99"/>
      <c r="EA39" s="99"/>
      <c r="EB39" s="99"/>
      <c r="EC39" s="99"/>
      <c r="ED39" s="339"/>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755</v>
      </c>
      <c r="AB40" s="198" t="s">
        <v>254</v>
      </c>
      <c r="AC40" s="198" t="s">
        <v>2336</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2238</v>
      </c>
      <c r="BE40" s="174" t="s">
        <v>2697</v>
      </c>
      <c r="BF40" s="126" t="s">
        <v>2563</v>
      </c>
      <c r="BG40" s="173"/>
      <c r="BH40" s="173"/>
      <c r="BI40" s="174" t="s">
        <v>1585</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2325</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6" t="s">
        <v>2714</v>
      </c>
      <c r="B41" s="357" t="s">
        <v>2715</v>
      </c>
      <c r="C41" s="83" t="s">
        <v>1259</v>
      </c>
      <c r="D41" s="84" t="s">
        <v>1259</v>
      </c>
      <c r="E41" s="85" t="s">
        <v>1259</v>
      </c>
      <c r="F41" s="86" t="s">
        <v>2716</v>
      </c>
      <c r="G41" s="82" t="s">
        <v>2716</v>
      </c>
      <c r="H41" s="358" t="s">
        <v>101</v>
      </c>
      <c r="I41" s="358" t="s">
        <v>1842</v>
      </c>
      <c r="J41" s="358" t="s">
        <v>656</v>
      </c>
      <c r="K41" s="358" t="s">
        <v>2717</v>
      </c>
      <c r="L41" s="358" t="s">
        <v>353</v>
      </c>
      <c r="M41" s="358" t="s">
        <v>2718</v>
      </c>
      <c r="N41" s="358" t="s">
        <v>2719</v>
      </c>
      <c r="O41" s="358" t="s">
        <v>1560</v>
      </c>
      <c r="P41" s="358" t="s">
        <v>2553</v>
      </c>
      <c r="Q41" s="358" t="s">
        <v>341</v>
      </c>
      <c r="R41" s="359"/>
      <c r="S41" s="360" t="s">
        <v>2720</v>
      </c>
      <c r="T41" s="359"/>
      <c r="U41" s="359"/>
      <c r="V41" s="358" t="s">
        <v>2721</v>
      </c>
      <c r="W41" s="187"/>
      <c r="X41" s="358" t="s">
        <v>2066</v>
      </c>
      <c r="Y41" s="358" t="s">
        <v>117</v>
      </c>
      <c r="Z41" s="358" t="s">
        <v>2722</v>
      </c>
      <c r="AA41" s="358" t="s">
        <v>358</v>
      </c>
      <c r="AB41" s="358" t="s">
        <v>2723</v>
      </c>
      <c r="AC41" s="358" t="s">
        <v>2415</v>
      </c>
      <c r="AD41" s="358" t="s">
        <v>2724</v>
      </c>
      <c r="AE41" s="88" t="s">
        <v>1611</v>
      </c>
      <c r="AF41" s="358" t="s">
        <v>2725</v>
      </c>
      <c r="AG41" s="360" t="s">
        <v>2726</v>
      </c>
      <c r="AH41" s="359"/>
      <c r="AI41" s="359"/>
      <c r="AJ41" s="88" t="s">
        <v>1731</v>
      </c>
      <c r="AK41" s="88" t="s">
        <v>2727</v>
      </c>
      <c r="AL41" s="190"/>
      <c r="AM41" s="88" t="s">
        <v>2728</v>
      </c>
      <c r="AN41" s="88" t="s">
        <v>1895</v>
      </c>
      <c r="AO41" s="88" t="s">
        <v>2729</v>
      </c>
      <c r="AP41" s="88" t="s">
        <v>2730</v>
      </c>
      <c r="AQ41" s="88" t="s">
        <v>2731</v>
      </c>
      <c r="AR41" s="88" t="s">
        <v>2732</v>
      </c>
      <c r="AS41" s="88" t="s">
        <v>1219</v>
      </c>
      <c r="AT41" s="88" t="s">
        <v>2733</v>
      </c>
      <c r="AU41" s="358" t="s">
        <v>2734</v>
      </c>
      <c r="AV41" s="358" t="s">
        <v>1393</v>
      </c>
      <c r="AW41" s="360" t="s">
        <v>2735</v>
      </c>
      <c r="AX41" s="359"/>
      <c r="AY41" s="359"/>
      <c r="AZ41" s="88" t="s">
        <v>2736</v>
      </c>
      <c r="BA41" s="192"/>
      <c r="BB41" s="358" t="s">
        <v>2737</v>
      </c>
      <c r="BC41" s="358" t="s">
        <v>1189</v>
      </c>
      <c r="BD41" s="358" t="s">
        <v>2738</v>
      </c>
      <c r="BE41" s="358" t="s">
        <v>290</v>
      </c>
      <c r="BF41" s="358" t="s">
        <v>2166</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1849</v>
      </c>
      <c r="BX41" s="358" t="s">
        <v>2749</v>
      </c>
      <c r="BY41" s="192"/>
      <c r="BZ41" s="358" t="s">
        <v>2750</v>
      </c>
      <c r="CA41" s="358" t="s">
        <v>1255</v>
      </c>
      <c r="CB41" s="88" t="s">
        <v>2751</v>
      </c>
      <c r="CC41" s="88" t="s">
        <v>2752</v>
      </c>
      <c r="CD41" s="88" t="s">
        <v>144</v>
      </c>
      <c r="CE41" s="88" t="s">
        <v>2753</v>
      </c>
      <c r="CF41" s="193"/>
      <c r="CG41" s="358" t="s">
        <v>2660</v>
      </c>
      <c r="CH41" s="358" t="s">
        <v>2754</v>
      </c>
      <c r="CI41" s="358" t="s">
        <v>1294</v>
      </c>
      <c r="CJ41" s="358" t="s">
        <v>2755</v>
      </c>
      <c r="CK41" s="358" t="s">
        <v>2756</v>
      </c>
      <c r="CL41" s="358" t="s">
        <v>2757</v>
      </c>
      <c r="CM41" s="358" t="s">
        <v>2758</v>
      </c>
      <c r="CN41" s="358" t="s">
        <v>1606</v>
      </c>
      <c r="CO41" s="358" t="s">
        <v>2759</v>
      </c>
      <c r="CP41" s="359"/>
      <c r="CQ41" s="359"/>
      <c r="CR41" s="359"/>
      <c r="CS41" s="88" t="s">
        <v>2760</v>
      </c>
      <c r="CT41" s="88" t="s">
        <v>2761</v>
      </c>
      <c r="CU41" s="187"/>
      <c r="CV41" s="358" t="s">
        <v>654</v>
      </c>
      <c r="CW41" s="358" t="s">
        <v>2181</v>
      </c>
      <c r="CX41" s="358" t="s">
        <v>2000</v>
      </c>
      <c r="CY41" s="358" t="s">
        <v>1037</v>
      </c>
      <c r="CZ41" s="358" t="s">
        <v>1071</v>
      </c>
      <c r="DA41" s="358" t="s">
        <v>2182</v>
      </c>
      <c r="DB41" s="358" t="s">
        <v>2762</v>
      </c>
      <c r="DC41" s="358" t="s">
        <v>2763</v>
      </c>
      <c r="DD41" s="88" t="s">
        <v>593</v>
      </c>
      <c r="DE41" s="88" t="s">
        <v>1853</v>
      </c>
      <c r="DF41" s="361"/>
      <c r="DG41" s="88" t="s">
        <v>2764</v>
      </c>
      <c r="DH41" s="193"/>
      <c r="DI41" s="360" t="s">
        <v>260</v>
      </c>
      <c r="DJ41" s="359"/>
      <c r="DK41" s="359"/>
      <c r="DL41" s="359"/>
      <c r="DM41" s="360" t="s">
        <v>530</v>
      </c>
      <c r="DN41" s="88" t="s">
        <v>2765</v>
      </c>
      <c r="DO41" s="88" t="s">
        <v>2766</v>
      </c>
      <c r="DP41" s="359"/>
      <c r="DQ41" s="359"/>
      <c r="DR41" s="358" t="s">
        <v>2767</v>
      </c>
      <c r="DS41" s="88" t="s">
        <v>2768</v>
      </c>
      <c r="DT41" s="88" t="s">
        <v>2769</v>
      </c>
      <c r="DU41" s="88" t="s">
        <v>2057</v>
      </c>
      <c r="DV41" s="88" t="s">
        <v>662</v>
      </c>
      <c r="DW41" s="88" t="s">
        <v>1625</v>
      </c>
      <c r="DX41" s="359"/>
      <c r="DY41" s="359"/>
      <c r="DZ41" s="359"/>
      <c r="EA41" s="358" t="s">
        <v>2770</v>
      </c>
      <c r="EB41" s="88" t="s">
        <v>2428</v>
      </c>
      <c r="EC41" s="88" t="s">
        <v>1048</v>
      </c>
      <c r="ED41" s="88" t="s">
        <v>217</v>
      </c>
    </row>
    <row r="42">
      <c r="A42" s="362" t="s">
        <v>2771</v>
      </c>
      <c r="B42" s="104" t="s">
        <v>2772</v>
      </c>
      <c r="C42" s="105" t="s">
        <v>1259</v>
      </c>
      <c r="D42" s="106" t="s">
        <v>1259</v>
      </c>
      <c r="E42" s="107" t="s">
        <v>1259</v>
      </c>
      <c r="F42" s="108" t="s">
        <v>2773</v>
      </c>
      <c r="G42" s="104" t="s">
        <v>2106</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2203</v>
      </c>
      <c r="AB42" s="198" t="s">
        <v>720</v>
      </c>
      <c r="AC42" s="198" t="s">
        <v>459</v>
      </c>
      <c r="AD42" s="116" t="s">
        <v>2783</v>
      </c>
      <c r="AE42" s="244"/>
      <c r="AF42" s="116" t="s">
        <v>124</v>
      </c>
      <c r="AG42" s="198" t="s">
        <v>2282</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2255</v>
      </c>
      <c r="BN42" s="174" t="s">
        <v>2797</v>
      </c>
      <c r="BO42" s="174" t="s">
        <v>2798</v>
      </c>
      <c r="BP42" s="174" t="s">
        <v>2799</v>
      </c>
      <c r="BQ42" s="297"/>
      <c r="BR42" s="175" t="s">
        <v>2800</v>
      </c>
      <c r="BS42" s="175" t="s">
        <v>2213</v>
      </c>
      <c r="BT42" s="175" t="s">
        <v>2801</v>
      </c>
      <c r="BU42" s="129" t="s">
        <v>160</v>
      </c>
      <c r="BV42" s="249"/>
      <c r="BW42" s="175" t="s">
        <v>2802</v>
      </c>
      <c r="BX42" s="249"/>
      <c r="BY42" s="175" t="s">
        <v>2803</v>
      </c>
      <c r="BZ42" s="175" t="s">
        <v>165</v>
      </c>
      <c r="CA42" s="175" t="s">
        <v>2642</v>
      </c>
      <c r="CB42" s="249"/>
      <c r="CC42" s="175" t="s">
        <v>2804</v>
      </c>
      <c r="CD42" s="175" t="s">
        <v>384</v>
      </c>
      <c r="CE42" s="176" t="s">
        <v>2805</v>
      </c>
      <c r="CF42" s="363"/>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1"/>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4" t="s">
        <v>2823</v>
      </c>
      <c r="B43" s="82" t="s">
        <v>2824</v>
      </c>
      <c r="C43" s="83" t="s">
        <v>1259</v>
      </c>
      <c r="D43" s="84" t="s">
        <v>1259</v>
      </c>
      <c r="E43" s="85" t="s">
        <v>1259</v>
      </c>
      <c r="F43" s="86" t="s">
        <v>2191</v>
      </c>
      <c r="G43" s="82" t="s">
        <v>2584</v>
      </c>
      <c r="H43" s="99"/>
      <c r="I43" s="88" t="s">
        <v>2825</v>
      </c>
      <c r="J43" s="88" t="s">
        <v>2826</v>
      </c>
      <c r="K43" s="88" t="s">
        <v>1556</v>
      </c>
      <c r="L43" s="88" t="s">
        <v>2827</v>
      </c>
      <c r="M43" s="88" t="s">
        <v>2828</v>
      </c>
      <c r="N43" s="88" t="s">
        <v>2829</v>
      </c>
      <c r="O43" s="88" t="s">
        <v>2830</v>
      </c>
      <c r="P43" s="88" t="s">
        <v>2553</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2121</v>
      </c>
      <c r="AX43" s="99"/>
      <c r="AY43" s="88" t="s">
        <v>1424</v>
      </c>
      <c r="AZ43" s="99"/>
      <c r="BA43" s="99"/>
      <c r="BB43" s="88" t="s">
        <v>2840</v>
      </c>
      <c r="BC43" s="88" t="s">
        <v>2399</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2337</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2337</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2340</v>
      </c>
      <c r="ED43" s="258"/>
    </row>
    <row r="44">
      <c r="A44" s="365" t="s">
        <v>2869</v>
      </c>
      <c r="B44" s="104" t="s">
        <v>2870</v>
      </c>
      <c r="C44" s="105" t="s">
        <v>1259</v>
      </c>
      <c r="D44" s="106" t="s">
        <v>1259</v>
      </c>
      <c r="E44" s="107" t="s">
        <v>1259</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808</v>
      </c>
      <c r="T44" s="167" t="s">
        <v>2882</v>
      </c>
      <c r="U44" s="368" t="str">
        <f>HYPERLINK("https://youtu.be/HHFrEbWlPX4","50.03")</f>
        <v>50.03</v>
      </c>
      <c r="V44" s="371" t="s">
        <v>2883</v>
      </c>
      <c r="W44" s="154"/>
      <c r="X44" s="372" t="s">
        <v>2884</v>
      </c>
      <c r="Y44" s="372"/>
      <c r="Z44" s="372" t="s">
        <v>2885</v>
      </c>
      <c r="AA44" s="372" t="s">
        <v>2886</v>
      </c>
      <c r="AB44" s="372" t="s">
        <v>2887</v>
      </c>
      <c r="AC44" s="372" t="s">
        <v>2628</v>
      </c>
      <c r="AD44" s="372" t="s">
        <v>2888</v>
      </c>
      <c r="AE44" s="373"/>
      <c r="AF44" s="374" t="s">
        <v>2889</v>
      </c>
      <c r="AG44" s="374" t="s">
        <v>2726</v>
      </c>
      <c r="AH44" s="375" t="str">
        <f>HYPERLINK("https://youtu.be/N6tkTf4Wb68","53.04")</f>
        <v>53.04</v>
      </c>
      <c r="AI44" s="374"/>
      <c r="AJ44" s="374" t="s">
        <v>1231</v>
      </c>
      <c r="AK44" s="376" t="s">
        <v>2890</v>
      </c>
      <c r="AL44" s="159"/>
      <c r="AM44" s="168" t="s">
        <v>2891</v>
      </c>
      <c r="AN44" s="377" t="s">
        <v>2892</v>
      </c>
      <c r="AO44" s="168" t="s">
        <v>2893</v>
      </c>
      <c r="AP44" s="378" t="s">
        <v>2894</v>
      </c>
      <c r="AQ44" s="379"/>
      <c r="AR44" s="379"/>
      <c r="AS44" s="378" t="s">
        <v>1079</v>
      </c>
      <c r="AT44" s="377" t="s">
        <v>751</v>
      </c>
      <c r="AU44" s="168" t="s">
        <v>1217</v>
      </c>
      <c r="AV44" s="380" t="str">
        <f>HYPERLINK("https://www.youtube.com/watch?v=I53jRzHVHbs","25.78")</f>
        <v>25.78</v>
      </c>
      <c r="AW44" s="378" t="s">
        <v>892</v>
      </c>
      <c r="AX44" s="379"/>
      <c r="AY44" s="378" t="s">
        <v>2895</v>
      </c>
      <c r="AZ44" s="381" t="s">
        <v>142</v>
      </c>
      <c r="BA44" s="382"/>
      <c r="BB44" s="174" t="s">
        <v>2896</v>
      </c>
      <c r="BC44" s="383" t="s">
        <v>2897</v>
      </c>
      <c r="BD44" s="383" t="s">
        <v>1289</v>
      </c>
      <c r="BE44" s="384" t="s">
        <v>2537</v>
      </c>
      <c r="BF44" s="385" t="s">
        <v>2898</v>
      </c>
      <c r="BG44" s="383" t="s">
        <v>1698</v>
      </c>
      <c r="BH44" s="174" t="s">
        <v>2899</v>
      </c>
      <c r="BI44" s="383" t="s">
        <v>410</v>
      </c>
      <c r="BJ44" s="173"/>
      <c r="BK44" s="384" t="s">
        <v>2900</v>
      </c>
      <c r="BL44" s="383" t="s">
        <v>2741</v>
      </c>
      <c r="BM44" s="126" t="s">
        <v>2901</v>
      </c>
      <c r="BN44" s="386" t="str">
        <f>HYPERLINK("https://youtu.be/PNHoaVHANBk","42.06")</f>
        <v>42.06</v>
      </c>
      <c r="BO44" s="383" t="s">
        <v>887</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716</v>
      </c>
      <c r="CD44" s="392" t="s">
        <v>1014</v>
      </c>
      <c r="CE44" s="393" t="s">
        <v>2910</v>
      </c>
      <c r="CF44" s="394"/>
      <c r="CG44" s="395" t="s">
        <v>1737</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2918</v>
      </c>
      <c r="CZ44" s="204" t="s">
        <v>2919</v>
      </c>
      <c r="DA44" s="204" t="s">
        <v>2561</v>
      </c>
      <c r="DB44" s="401" t="s">
        <v>2920</v>
      </c>
      <c r="DC44" s="402" t="s">
        <v>2734</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2016</v>
      </c>
      <c r="DU44" s="406" t="s">
        <v>2927</v>
      </c>
      <c r="DV44" s="407" t="s">
        <v>2928</v>
      </c>
      <c r="DW44" s="407" t="s">
        <v>2929</v>
      </c>
      <c r="DX44" s="405"/>
      <c r="DY44" s="406" t="s">
        <v>2930</v>
      </c>
      <c r="DZ44" s="406" t="s">
        <v>2931</v>
      </c>
      <c r="EA44" s="406" t="s">
        <v>2932</v>
      </c>
      <c r="EB44" s="406" t="s">
        <v>1935</v>
      </c>
      <c r="EC44" s="406"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2163</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2209</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2641</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8"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9" t="s">
        <v>2998</v>
      </c>
      <c r="R46" s="410"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1" t="s">
        <v>3009</v>
      </c>
      <c r="AS46" s="168" t="s">
        <v>3010</v>
      </c>
      <c r="AT46" s="121" t="s">
        <v>1312</v>
      </c>
      <c r="AU46" s="168" t="s">
        <v>1574</v>
      </c>
      <c r="AV46" s="168" t="s">
        <v>1123</v>
      </c>
      <c r="AW46" s="168" t="s">
        <v>3011</v>
      </c>
      <c r="AX46" s="168" t="s">
        <v>1521</v>
      </c>
      <c r="AY46" s="168" t="s">
        <v>1063</v>
      </c>
      <c r="AZ46" s="411" t="s">
        <v>3012</v>
      </c>
      <c r="BA46" s="411"/>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2257</v>
      </c>
      <c r="BX46" s="249"/>
      <c r="BY46" s="175" t="s">
        <v>1991</v>
      </c>
      <c r="BZ46" s="304" t="s">
        <v>3024</v>
      </c>
      <c r="CA46" s="175" t="s">
        <v>3025</v>
      </c>
      <c r="CB46" s="129" t="s">
        <v>3026</v>
      </c>
      <c r="CC46" s="175" t="s">
        <v>3027</v>
      </c>
      <c r="CD46" s="129" t="s">
        <v>1208</v>
      </c>
      <c r="CE46" s="129" t="s">
        <v>3028</v>
      </c>
      <c r="CF46" s="175"/>
      <c r="CG46" s="412"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2248</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2644</v>
      </c>
      <c r="DV46" s="205" t="s">
        <v>3053</v>
      </c>
      <c r="DW46" s="205" t="s">
        <v>3054</v>
      </c>
      <c r="DX46" s="205" t="s">
        <v>3055</v>
      </c>
      <c r="DY46" s="205" t="s">
        <v>1003</v>
      </c>
      <c r="DZ46" s="145" t="s">
        <v>3056</v>
      </c>
      <c r="EA46" s="205" t="s">
        <v>2326</v>
      </c>
      <c r="EB46" s="205" t="s">
        <v>1514</v>
      </c>
      <c r="EC46" s="205" t="s">
        <v>933</v>
      </c>
      <c r="ED46" s="287" t="s">
        <v>3057</v>
      </c>
    </row>
    <row r="47">
      <c r="A47" s="413" t="s">
        <v>3058</v>
      </c>
      <c r="B47" s="82" t="s">
        <v>3059</v>
      </c>
      <c r="C47" s="83" t="s">
        <v>1259</v>
      </c>
      <c r="D47" s="84" t="s">
        <v>547</v>
      </c>
      <c r="E47" s="85" t="s">
        <v>547</v>
      </c>
      <c r="F47" s="86" t="s">
        <v>3060</v>
      </c>
      <c r="G47" s="82" t="s">
        <v>1416</v>
      </c>
      <c r="H47" s="315" t="s">
        <v>101</v>
      </c>
      <c r="I47" s="315" t="s">
        <v>3061</v>
      </c>
      <c r="J47" s="315" t="s">
        <v>1555</v>
      </c>
      <c r="K47" s="315" t="s">
        <v>1556</v>
      </c>
      <c r="L47" s="315" t="s">
        <v>346</v>
      </c>
      <c r="M47" s="315" t="s">
        <v>3062</v>
      </c>
      <c r="N47" s="315" t="s">
        <v>3063</v>
      </c>
      <c r="O47" s="315" t="s">
        <v>3064</v>
      </c>
      <c r="P47" s="314" t="s">
        <v>343</v>
      </c>
      <c r="Q47" s="315"/>
      <c r="R47" s="315"/>
      <c r="S47" s="315"/>
      <c r="T47" s="315"/>
      <c r="U47" s="315"/>
      <c r="V47" s="315"/>
      <c r="W47" s="154"/>
      <c r="X47" s="315" t="s">
        <v>3065</v>
      </c>
      <c r="Y47" s="414"/>
      <c r="Z47" s="314" t="s">
        <v>1821</v>
      </c>
      <c r="AA47" s="314" t="s">
        <v>565</v>
      </c>
      <c r="AB47" s="315" t="s">
        <v>3066</v>
      </c>
      <c r="AC47" s="315" t="s">
        <v>3067</v>
      </c>
      <c r="AD47" s="315" t="s">
        <v>3068</v>
      </c>
      <c r="AE47" s="315"/>
      <c r="AF47" s="315" t="s">
        <v>3069</v>
      </c>
      <c r="AG47" s="315" t="s">
        <v>125</v>
      </c>
      <c r="AH47" s="315"/>
      <c r="AI47" s="315"/>
      <c r="AJ47" s="315"/>
      <c r="AK47" s="315"/>
      <c r="AL47" s="318"/>
      <c r="AM47" s="315" t="s">
        <v>3070</v>
      </c>
      <c r="AN47" s="315" t="s">
        <v>3071</v>
      </c>
      <c r="AO47" s="315"/>
      <c r="AP47" s="315"/>
      <c r="AQ47" s="315"/>
      <c r="AR47" s="315"/>
      <c r="AS47" s="315"/>
      <c r="AT47" s="315"/>
      <c r="AU47" s="315" t="s">
        <v>1787</v>
      </c>
      <c r="AV47" s="314" t="s">
        <v>259</v>
      </c>
      <c r="AW47" s="315"/>
      <c r="AX47" s="315"/>
      <c r="AY47" s="315" t="s">
        <v>3072</v>
      </c>
      <c r="AZ47" s="315"/>
      <c r="BA47" s="315"/>
      <c r="BB47" s="315" t="s">
        <v>1195</v>
      </c>
      <c r="BC47" s="315" t="s">
        <v>3073</v>
      </c>
      <c r="BD47" s="314" t="s">
        <v>145</v>
      </c>
      <c r="BE47" s="314" t="s">
        <v>3074</v>
      </c>
      <c r="BF47" s="315" t="s">
        <v>1214</v>
      </c>
      <c r="BG47" s="315" t="s">
        <v>1819</v>
      </c>
      <c r="BH47" s="315"/>
      <c r="BI47" s="315" t="s">
        <v>1585</v>
      </c>
      <c r="BJ47" s="315"/>
      <c r="BK47" s="315" t="s">
        <v>3075</v>
      </c>
      <c r="BL47" s="315" t="s">
        <v>3076</v>
      </c>
      <c r="BM47" s="315"/>
      <c r="BN47" s="266" t="s">
        <v>3077</v>
      </c>
      <c r="BO47" s="315"/>
      <c r="BP47" s="315"/>
      <c r="BQ47" s="320"/>
      <c r="BR47" s="315"/>
      <c r="BS47" s="315" t="s">
        <v>2899</v>
      </c>
      <c r="BT47" s="315" t="s">
        <v>3078</v>
      </c>
      <c r="BU47" s="315" t="s">
        <v>3079</v>
      </c>
      <c r="BV47" s="315" t="s">
        <v>1979</v>
      </c>
      <c r="BW47" s="315" t="s">
        <v>3080</v>
      </c>
      <c r="BX47" s="315" t="s">
        <v>3081</v>
      </c>
      <c r="BY47" s="315" t="s">
        <v>3082</v>
      </c>
      <c r="BZ47" s="315" t="s">
        <v>3083</v>
      </c>
      <c r="CA47" s="315" t="s">
        <v>941</v>
      </c>
      <c r="CB47" s="315"/>
      <c r="CC47" s="315"/>
      <c r="CD47" s="315"/>
      <c r="CE47" s="315"/>
      <c r="CF47" s="320"/>
      <c r="CG47" s="315" t="s">
        <v>3084</v>
      </c>
      <c r="CH47" s="319" t="s">
        <v>139</v>
      </c>
      <c r="CI47" s="317" t="s">
        <v>3085</v>
      </c>
      <c r="CJ47" s="315" t="s">
        <v>3086</v>
      </c>
      <c r="CK47" s="315"/>
      <c r="CL47" s="315"/>
      <c r="CM47" s="315" t="s">
        <v>2231</v>
      </c>
      <c r="CN47" s="315" t="s">
        <v>2561</v>
      </c>
      <c r="CO47" s="314" t="s">
        <v>2675</v>
      </c>
      <c r="CP47" s="315"/>
      <c r="CQ47" s="315" t="s">
        <v>1854</v>
      </c>
      <c r="CR47" s="315"/>
      <c r="CS47" s="315" t="s">
        <v>3087</v>
      </c>
      <c r="CT47" s="315"/>
      <c r="CU47" s="154"/>
      <c r="CV47" s="315" t="s">
        <v>3088</v>
      </c>
      <c r="CW47" s="315" t="s">
        <v>880</v>
      </c>
      <c r="CX47" s="223" t="s">
        <v>3089</v>
      </c>
      <c r="CY47" s="315" t="s">
        <v>2918</v>
      </c>
      <c r="CZ47" s="315"/>
      <c r="DA47" s="315"/>
      <c r="DB47" s="314" t="s">
        <v>3090</v>
      </c>
      <c r="DC47" s="315" t="s">
        <v>1787</v>
      </c>
      <c r="DD47" s="315"/>
      <c r="DE47" s="315"/>
      <c r="DF47" s="315"/>
      <c r="DG47" s="315"/>
      <c r="DH47" s="320"/>
      <c r="DI47" s="315"/>
      <c r="DJ47" s="315"/>
      <c r="DK47" s="315"/>
      <c r="DL47" s="315"/>
      <c r="DM47" s="315" t="s">
        <v>3046</v>
      </c>
      <c r="DN47" s="315" t="s">
        <v>967</v>
      </c>
      <c r="DO47" s="315" t="s">
        <v>3091</v>
      </c>
      <c r="DP47" s="315" t="s">
        <v>3092</v>
      </c>
      <c r="DQ47" s="315"/>
      <c r="DR47" s="315" t="s">
        <v>2964</v>
      </c>
      <c r="DS47" s="315"/>
      <c r="DT47" s="315" t="s">
        <v>247</v>
      </c>
      <c r="DU47" s="315"/>
      <c r="DV47" s="315"/>
      <c r="DW47" s="315" t="s">
        <v>3093</v>
      </c>
      <c r="DX47" s="315"/>
      <c r="DY47" s="315"/>
      <c r="DZ47" s="314" t="s">
        <v>933</v>
      </c>
      <c r="EA47" s="315"/>
      <c r="EB47" s="315"/>
      <c r="EC47" s="315" t="s">
        <v>3094</v>
      </c>
      <c r="ED47" s="315" t="s">
        <v>3095</v>
      </c>
    </row>
    <row r="48">
      <c r="A48" s="415" t="s">
        <v>3096</v>
      </c>
      <c r="B48" s="104" t="s">
        <v>3097</v>
      </c>
      <c r="C48" s="105" t="s">
        <v>1259</v>
      </c>
      <c r="D48" s="106" t="s">
        <v>547</v>
      </c>
      <c r="E48" s="107" t="s">
        <v>547</v>
      </c>
      <c r="F48" s="108" t="s">
        <v>3098</v>
      </c>
      <c r="G48" s="104" t="s">
        <v>2432</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7"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2215</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2336</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2617</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2216</v>
      </c>
      <c r="CI49" s="94" t="s">
        <v>3173</v>
      </c>
      <c r="CJ49" s="94" t="s">
        <v>3174</v>
      </c>
      <c r="CK49" s="94"/>
      <c r="CL49" s="94" t="s">
        <v>3175</v>
      </c>
      <c r="CM49" s="317" t="s">
        <v>3176</v>
      </c>
      <c r="CN49" s="93" t="s">
        <v>2473</v>
      </c>
      <c r="CO49" s="94" t="s">
        <v>2147</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8" t="s">
        <v>3194</v>
      </c>
      <c r="B50" s="104" t="s">
        <v>3195</v>
      </c>
      <c r="C50" s="105" t="s">
        <v>1259</v>
      </c>
      <c r="D50" s="106" t="s">
        <v>1259</v>
      </c>
      <c r="E50" s="107" t="s">
        <v>1259</v>
      </c>
      <c r="F50" s="108" t="s">
        <v>2088</v>
      </c>
      <c r="G50" s="104" t="s">
        <v>548</v>
      </c>
      <c r="H50" s="112" t="s">
        <v>3196</v>
      </c>
      <c r="I50" s="322" t="s">
        <v>2303</v>
      </c>
      <c r="J50" s="112" t="s">
        <v>1063</v>
      </c>
      <c r="K50" s="293" t="s">
        <v>2876</v>
      </c>
      <c r="L50" s="293" t="s">
        <v>2530</v>
      </c>
      <c r="M50" s="112" t="s">
        <v>3197</v>
      </c>
      <c r="N50" s="419"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2578</v>
      </c>
      <c r="AV50" s="279" t="s">
        <v>178</v>
      </c>
      <c r="AW50" s="279" t="s">
        <v>3037</v>
      </c>
      <c r="AX50" s="245"/>
      <c r="AY50" s="121" t="s">
        <v>1331</v>
      </c>
      <c r="AZ50" s="121" t="s">
        <v>3214</v>
      </c>
      <c r="BA50" s="245"/>
      <c r="BB50" s="353" t="s">
        <v>2385</v>
      </c>
      <c r="BC50" s="126" t="s">
        <v>2777</v>
      </c>
      <c r="BD50" s="353" t="s">
        <v>2754</v>
      </c>
      <c r="BE50" s="353" t="s">
        <v>3215</v>
      </c>
      <c r="BF50" s="126" t="s">
        <v>147</v>
      </c>
      <c r="BG50" s="353" t="s">
        <v>3216</v>
      </c>
      <c r="BH50" s="173"/>
      <c r="BI50" s="353" t="s">
        <v>3089</v>
      </c>
      <c r="BJ50" s="126" t="s">
        <v>276</v>
      </c>
      <c r="BK50" s="353"/>
      <c r="BL50" s="126" t="s">
        <v>3017</v>
      </c>
      <c r="BM50" s="174" t="s">
        <v>3217</v>
      </c>
      <c r="BN50" s="174" t="s">
        <v>2229</v>
      </c>
      <c r="BO50" s="353" t="s">
        <v>1983</v>
      </c>
      <c r="BP50" s="126" t="s">
        <v>3218</v>
      </c>
      <c r="BQ50" s="247"/>
      <c r="BR50" s="131" t="s">
        <v>2556</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2" t="s">
        <v>3230</v>
      </c>
      <c r="CI50" s="135" t="s">
        <v>3231</v>
      </c>
      <c r="CJ50" s="135" t="s">
        <v>3232</v>
      </c>
      <c r="CK50" s="262"/>
      <c r="CL50" s="136" t="s">
        <v>1647</v>
      </c>
      <c r="CM50" s="135" t="s">
        <v>3233</v>
      </c>
      <c r="CN50" s="135" t="s">
        <v>3234</v>
      </c>
      <c r="CO50" s="135" t="s">
        <v>3235</v>
      </c>
      <c r="CP50" s="412" t="s">
        <v>3236</v>
      </c>
      <c r="CQ50" s="135" t="s">
        <v>2372</v>
      </c>
      <c r="CR50" s="252"/>
      <c r="CS50" s="135" t="s">
        <v>3237</v>
      </c>
      <c r="CT50" s="412"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305" t="s">
        <v>1362</v>
      </c>
      <c r="DV50" s="145" t="s">
        <v>2350</v>
      </c>
      <c r="DW50" s="205" t="s">
        <v>2929</v>
      </c>
      <c r="DX50" s="205" t="s">
        <v>2426</v>
      </c>
      <c r="DY50" s="205" t="s">
        <v>3254</v>
      </c>
      <c r="DZ50" s="205" t="s">
        <v>3255</v>
      </c>
      <c r="EA50" s="305"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2281</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2318</v>
      </c>
      <c r="CO51" s="94" t="s">
        <v>3000</v>
      </c>
      <c r="CP51" s="99"/>
      <c r="CQ51" s="99"/>
      <c r="CR51" s="99"/>
      <c r="CS51" s="99"/>
      <c r="CT51" s="99"/>
      <c r="CU51" s="92"/>
      <c r="CV51" s="94" t="s">
        <v>3286</v>
      </c>
      <c r="CW51" s="162" t="s">
        <v>1534</v>
      </c>
      <c r="CX51" s="94" t="s">
        <v>612</v>
      </c>
      <c r="CY51" s="162" t="s">
        <v>3287</v>
      </c>
      <c r="CZ51" s="94" t="s">
        <v>2496</v>
      </c>
      <c r="DA51" s="94" t="s">
        <v>998</v>
      </c>
      <c r="DB51" s="162" t="s">
        <v>2269</v>
      </c>
      <c r="DC51" s="88" t="s">
        <v>1400</v>
      </c>
      <c r="DD51" s="99"/>
      <c r="DE51" s="99"/>
      <c r="DF51" s="99"/>
      <c r="DG51" s="99"/>
      <c r="DH51" s="237"/>
      <c r="DI51" s="94" t="s">
        <v>1290</v>
      </c>
      <c r="DJ51" s="94" t="s">
        <v>528</v>
      </c>
      <c r="DK51" s="99"/>
      <c r="DL51" s="99"/>
      <c r="DM51" s="88" t="s">
        <v>3288</v>
      </c>
      <c r="DN51" s="94" t="s">
        <v>1043</v>
      </c>
      <c r="DO51" s="94" t="s">
        <v>2333</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2282</v>
      </c>
      <c r="AB52" s="198" t="s">
        <v>2918</v>
      </c>
      <c r="AC52" s="198" t="s">
        <v>1962</v>
      </c>
      <c r="AD52" s="198" t="s">
        <v>571</v>
      </c>
      <c r="AE52" s="116" t="s">
        <v>3305</v>
      </c>
      <c r="AF52" s="198" t="s">
        <v>3306</v>
      </c>
      <c r="AG52" s="198" t="s">
        <v>3307</v>
      </c>
      <c r="AH52" s="116" t="s">
        <v>1628</v>
      </c>
      <c r="AI52" s="323"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2121</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2336</v>
      </c>
      <c r="DB52" s="233" t="s">
        <v>2250</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2344</v>
      </c>
      <c r="H53" s="94" t="s">
        <v>3347</v>
      </c>
      <c r="I53" s="94" t="s">
        <v>3348</v>
      </c>
      <c r="J53" s="88" t="s">
        <v>3349</v>
      </c>
      <c r="K53" s="88" t="s">
        <v>3350</v>
      </c>
      <c r="L53" s="88" t="s">
        <v>2143</v>
      </c>
      <c r="M53" s="94" t="s">
        <v>3351</v>
      </c>
      <c r="N53" s="88" t="s">
        <v>3352</v>
      </c>
      <c r="O53" s="88" t="s">
        <v>3353</v>
      </c>
      <c r="P53" s="88" t="s">
        <v>1561</v>
      </c>
      <c r="Q53" s="99"/>
      <c r="R53" s="99"/>
      <c r="S53" s="94" t="s">
        <v>3354</v>
      </c>
      <c r="T53" s="99"/>
      <c r="U53" s="94" t="s">
        <v>3355</v>
      </c>
      <c r="V53" s="99"/>
      <c r="W53" s="92"/>
      <c r="X53" s="314"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2561</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2248</v>
      </c>
      <c r="CM53" s="94" t="s">
        <v>3372</v>
      </c>
      <c r="CN53" s="88" t="s">
        <v>2188</v>
      </c>
      <c r="CO53" s="94" t="s">
        <v>1574</v>
      </c>
      <c r="CP53" s="99"/>
      <c r="CQ53" s="99"/>
      <c r="CR53" s="99"/>
      <c r="CS53" s="99"/>
      <c r="CT53" s="99"/>
      <c r="CU53" s="92"/>
      <c r="CV53" s="89" t="s">
        <v>1829</v>
      </c>
      <c r="CW53" s="94" t="s">
        <v>3033</v>
      </c>
      <c r="CX53" s="88" t="s">
        <v>998</v>
      </c>
      <c r="CY53" s="88" t="s">
        <v>720</v>
      </c>
      <c r="CZ53" s="88" t="s">
        <v>2398</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2" t="s">
        <v>3380</v>
      </c>
      <c r="B54" s="104" t="s">
        <v>3381</v>
      </c>
      <c r="C54" s="105" t="s">
        <v>547</v>
      </c>
      <c r="D54" s="106" t="s">
        <v>547</v>
      </c>
      <c r="E54" s="107" t="s">
        <v>547</v>
      </c>
      <c r="F54" s="108" t="s">
        <v>3382</v>
      </c>
      <c r="G54" s="104" t="s">
        <v>2432</v>
      </c>
      <c r="H54" s="112" t="s">
        <v>493</v>
      </c>
      <c r="I54" s="112" t="s">
        <v>3383</v>
      </c>
      <c r="J54" s="112" t="s">
        <v>3384</v>
      </c>
      <c r="K54" s="110" t="s">
        <v>2109</v>
      </c>
      <c r="L54" s="226" t="s">
        <v>1403</v>
      </c>
      <c r="M54" s="242"/>
      <c r="N54" s="341"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4" t="s">
        <v>3394</v>
      </c>
      <c r="BT54" s="175" t="s">
        <v>2229</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2336</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8" t="s">
        <v>3404</v>
      </c>
      <c r="B55" s="82" t="s">
        <v>3405</v>
      </c>
      <c r="C55" s="83" t="s">
        <v>1259</v>
      </c>
      <c r="D55" s="84" t="s">
        <v>1259</v>
      </c>
      <c r="E55" s="85" t="s">
        <v>1259</v>
      </c>
      <c r="F55" s="86" t="s">
        <v>1947</v>
      </c>
      <c r="G55" s="82" t="s">
        <v>3406</v>
      </c>
      <c r="H55" s="88" t="s">
        <v>2616</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2199</v>
      </c>
      <c r="T55" s="94" t="s">
        <v>2478</v>
      </c>
      <c r="U55" s="94" t="s">
        <v>2350</v>
      </c>
      <c r="V55" s="94" t="s">
        <v>3412</v>
      </c>
      <c r="W55" s="92"/>
      <c r="X55" s="94" t="s">
        <v>2447</v>
      </c>
      <c r="Y55" s="94"/>
      <c r="Z55" s="94" t="s">
        <v>3205</v>
      </c>
      <c r="AA55" s="94" t="s">
        <v>247</v>
      </c>
      <c r="AB55" s="98" t="s">
        <v>3413</v>
      </c>
      <c r="AC55" s="94" t="s">
        <v>2581</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2602</v>
      </c>
      <c r="AV55" s="88" t="s">
        <v>1083</v>
      </c>
      <c r="AW55" s="99"/>
      <c r="AX55" s="99"/>
      <c r="AY55" s="162" t="s">
        <v>3172</v>
      </c>
      <c r="AZ55" s="99"/>
      <c r="BA55" s="99"/>
      <c r="BB55" s="94" t="s">
        <v>3422</v>
      </c>
      <c r="BC55" s="94" t="s">
        <v>1161</v>
      </c>
      <c r="BD55" s="94" t="s">
        <v>2326</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2181</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9" t="s">
        <v>3442</v>
      </c>
      <c r="I56" s="426" t="s">
        <v>3443</v>
      </c>
      <c r="J56" s="419" t="s">
        <v>3444</v>
      </c>
      <c r="K56" s="419" t="s">
        <v>1951</v>
      </c>
      <c r="L56" s="112" t="s">
        <v>666</v>
      </c>
      <c r="M56" s="419" t="s">
        <v>3445</v>
      </c>
      <c r="N56" s="419" t="s">
        <v>3446</v>
      </c>
      <c r="O56" s="419" t="s">
        <v>3447</v>
      </c>
      <c r="P56" s="419" t="s">
        <v>2553</v>
      </c>
      <c r="Q56" s="167" t="s">
        <v>3448</v>
      </c>
      <c r="R56" s="242"/>
      <c r="S56" s="167" t="s">
        <v>836</v>
      </c>
      <c r="T56" s="242"/>
      <c r="U56" s="167" t="s">
        <v>1898</v>
      </c>
      <c r="V56" s="167" t="s">
        <v>3449</v>
      </c>
      <c r="W56" s="92"/>
      <c r="X56" s="117" t="s">
        <v>1225</v>
      </c>
      <c r="Y56" s="117"/>
      <c r="Z56" s="117" t="s">
        <v>3450</v>
      </c>
      <c r="AA56" s="117" t="s">
        <v>2726</v>
      </c>
      <c r="AB56" s="116" t="s">
        <v>3451</v>
      </c>
      <c r="AC56" s="117" t="s">
        <v>2415</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3" t="s">
        <v>190</v>
      </c>
      <c r="BC56" s="353" t="s">
        <v>3461</v>
      </c>
      <c r="BD56" s="353" t="s">
        <v>3160</v>
      </c>
      <c r="BE56" s="353" t="s">
        <v>929</v>
      </c>
      <c r="BF56" s="353" t="s">
        <v>3274</v>
      </c>
      <c r="BG56" s="353" t="s">
        <v>3339</v>
      </c>
      <c r="BH56" s="173"/>
      <c r="BI56" s="353" t="s">
        <v>877</v>
      </c>
      <c r="BJ56" s="174" t="s">
        <v>3462</v>
      </c>
      <c r="BK56" s="303" t="s">
        <v>3075</v>
      </c>
      <c r="BL56" s="353" t="s">
        <v>3463</v>
      </c>
      <c r="BM56" s="174" t="s">
        <v>3464</v>
      </c>
      <c r="BN56" s="173"/>
      <c r="BO56" s="353"/>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2644</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2213</v>
      </c>
      <c r="I57" s="94" t="s">
        <v>1378</v>
      </c>
      <c r="J57" s="94" t="s">
        <v>3495</v>
      </c>
      <c r="K57" s="88" t="s">
        <v>1060</v>
      </c>
      <c r="L57" s="94" t="s">
        <v>463</v>
      </c>
      <c r="M57" s="99"/>
      <c r="N57" s="94" t="s">
        <v>3496</v>
      </c>
      <c r="O57" s="88" t="s">
        <v>3497</v>
      </c>
      <c r="P57" s="94" t="s">
        <v>109</v>
      </c>
      <c r="Q57" s="99"/>
      <c r="R57" s="99"/>
      <c r="S57" s="99"/>
      <c r="T57" s="99"/>
      <c r="U57" s="99"/>
      <c r="V57" s="99"/>
      <c r="W57" s="92"/>
      <c r="X57" s="88" t="s">
        <v>2123</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2602</v>
      </c>
      <c r="AV57" s="94" t="s">
        <v>3160</v>
      </c>
      <c r="AW57" s="99"/>
      <c r="AX57" s="99"/>
      <c r="AY57" s="94" t="s">
        <v>752</v>
      </c>
      <c r="AZ57" s="99"/>
      <c r="BA57" s="99"/>
      <c r="BB57" s="94" t="s">
        <v>3503</v>
      </c>
      <c r="BC57" s="94" t="s">
        <v>2158</v>
      </c>
      <c r="BD57" s="94" t="s">
        <v>3160</v>
      </c>
      <c r="BE57" s="94" t="s">
        <v>3504</v>
      </c>
      <c r="BF57" s="94" t="s">
        <v>3505</v>
      </c>
      <c r="BG57" s="87" t="s">
        <v>2393</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2415</v>
      </c>
      <c r="AD58" s="198" t="s">
        <v>3536</v>
      </c>
      <c r="AE58" s="198" t="s">
        <v>3003</v>
      </c>
      <c r="AF58" s="198" t="s">
        <v>3306</v>
      </c>
      <c r="AG58" s="336" t="s">
        <v>569</v>
      </c>
      <c r="AH58" s="336"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2611</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2562</v>
      </c>
      <c r="DV58" s="255"/>
      <c r="DW58" s="205" t="s">
        <v>3569</v>
      </c>
      <c r="DX58" s="255"/>
      <c r="DY58" s="205" t="s">
        <v>2642</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2306</v>
      </c>
      <c r="Z59" s="266" t="s">
        <v>3143</v>
      </c>
      <c r="AA59" s="88" t="s">
        <v>3580</v>
      </c>
      <c r="AB59" s="266" t="s">
        <v>286</v>
      </c>
      <c r="AC59" s="266" t="s">
        <v>2173</v>
      </c>
      <c r="AD59" s="88" t="s">
        <v>3581</v>
      </c>
      <c r="AE59" s="99"/>
      <c r="AF59" s="88" t="s">
        <v>3582</v>
      </c>
      <c r="AG59" s="88" t="s">
        <v>3583</v>
      </c>
      <c r="AH59" s="99"/>
      <c r="AI59" s="99"/>
      <c r="AJ59" s="94" t="s">
        <v>1731</v>
      </c>
      <c r="AK59" s="99"/>
      <c r="AL59" s="97"/>
      <c r="AM59" s="94" t="s">
        <v>384</v>
      </c>
      <c r="AN59" s="266" t="s">
        <v>3209</v>
      </c>
      <c r="AO59" s="333"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2131</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2273</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2229</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2319</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2576</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2222</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2412</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2347</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2266</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2"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2182</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2561</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2154</v>
      </c>
      <c r="H63" s="88" t="s">
        <v>3817</v>
      </c>
      <c r="I63" s="88" t="s">
        <v>3818</v>
      </c>
      <c r="J63" s="88" t="s">
        <v>2875</v>
      </c>
      <c r="K63" s="98" t="s">
        <v>444</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2556</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2193</v>
      </c>
      <c r="K64" s="341" t="s">
        <v>2876</v>
      </c>
      <c r="L64" s="167" t="s">
        <v>605</v>
      </c>
      <c r="M64" s="322"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2222</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2554</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2655</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2407</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2315</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2303</v>
      </c>
      <c r="J66" s="167" t="s">
        <v>3907</v>
      </c>
      <c r="K66" s="167" t="s">
        <v>3908</v>
      </c>
      <c r="L66" s="167" t="s">
        <v>3909</v>
      </c>
      <c r="M66" s="167" t="s">
        <v>2185</v>
      </c>
      <c r="N66" s="167" t="s">
        <v>3910</v>
      </c>
      <c r="O66" s="167" t="s">
        <v>3911</v>
      </c>
      <c r="P66" s="167" t="s">
        <v>3104</v>
      </c>
      <c r="Q66" s="167" t="s">
        <v>3912</v>
      </c>
      <c r="R66" s="322"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2564</v>
      </c>
      <c r="BP66" s="174" t="s">
        <v>3935</v>
      </c>
      <c r="BQ66" s="297"/>
      <c r="BR66" s="175" t="s">
        <v>3936</v>
      </c>
      <c r="BS66" s="129" t="s">
        <v>2570</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2183</v>
      </c>
      <c r="DJ66" s="205"/>
      <c r="DK66" s="205" t="s">
        <v>2015</v>
      </c>
      <c r="DL66" s="205" t="s">
        <v>3960</v>
      </c>
      <c r="DM66" s="205" t="s">
        <v>3961</v>
      </c>
      <c r="DN66" s="205" t="s">
        <v>698</v>
      </c>
      <c r="DO66" s="205" t="s">
        <v>3962</v>
      </c>
      <c r="DP66" s="205" t="s">
        <v>3963</v>
      </c>
      <c r="DQ66" s="205" t="s">
        <v>3964</v>
      </c>
      <c r="DR66" s="205" t="s">
        <v>2029</v>
      </c>
      <c r="DS66" s="145" t="s">
        <v>3074</v>
      </c>
      <c r="DT66" s="205" t="s">
        <v>444</v>
      </c>
      <c r="DU66" s="205" t="s">
        <v>3354</v>
      </c>
      <c r="DV66" s="205" t="s">
        <v>3965</v>
      </c>
      <c r="DW66" s="205" t="s">
        <v>3966</v>
      </c>
      <c r="DX66" s="205" t="s">
        <v>376</v>
      </c>
      <c r="DY66" s="445" t="s">
        <v>3180</v>
      </c>
      <c r="DZ66" s="205" t="s">
        <v>3967</v>
      </c>
      <c r="EA66" s="205" t="s">
        <v>3968</v>
      </c>
      <c r="EB66" s="205" t="s">
        <v>1913</v>
      </c>
      <c r="EC66" s="205" t="s">
        <v>3969</v>
      </c>
      <c r="ED66" s="287" t="s">
        <v>3970</v>
      </c>
    </row>
    <row r="67">
      <c r="A67" s="446" t="s">
        <v>3971</v>
      </c>
      <c r="B67" s="447" t="s">
        <v>3972</v>
      </c>
      <c r="C67" s="448" t="s">
        <v>1259</v>
      </c>
      <c r="D67" s="449" t="s">
        <v>1259</v>
      </c>
      <c r="E67" s="450" t="s">
        <v>1259</v>
      </c>
      <c r="F67" s="451" t="s">
        <v>3973</v>
      </c>
      <c r="G67" s="447" t="s">
        <v>441</v>
      </c>
      <c r="H67" s="317" t="s">
        <v>3974</v>
      </c>
      <c r="I67" s="317" t="s">
        <v>3975</v>
      </c>
      <c r="J67" s="314" t="s">
        <v>1503</v>
      </c>
      <c r="K67" s="317" t="s">
        <v>3976</v>
      </c>
      <c r="L67" s="317" t="s">
        <v>2525</v>
      </c>
      <c r="M67" s="317" t="s">
        <v>3977</v>
      </c>
      <c r="N67" s="314" t="s">
        <v>3211</v>
      </c>
      <c r="O67" s="327" t="s">
        <v>3978</v>
      </c>
      <c r="P67" s="317" t="s">
        <v>2925</v>
      </c>
      <c r="Q67" s="317" t="s">
        <v>3979</v>
      </c>
      <c r="R67" s="317" t="s">
        <v>3980</v>
      </c>
      <c r="S67" s="317" t="s">
        <v>3981</v>
      </c>
      <c r="T67" s="317" t="s">
        <v>2686</v>
      </c>
      <c r="U67" s="317" t="s">
        <v>3982</v>
      </c>
      <c r="V67" s="317" t="s">
        <v>3983</v>
      </c>
      <c r="W67" s="154"/>
      <c r="X67" s="314" t="s">
        <v>3984</v>
      </c>
      <c r="Y67" s="452"/>
      <c r="Z67" s="314" t="s">
        <v>3985</v>
      </c>
      <c r="AA67" s="317" t="s">
        <v>1317</v>
      </c>
      <c r="AB67" s="314" t="s">
        <v>2388</v>
      </c>
      <c r="AC67" s="314" t="s">
        <v>1971</v>
      </c>
      <c r="AD67" s="314" t="s">
        <v>3986</v>
      </c>
      <c r="AE67" s="317" t="s">
        <v>2360</v>
      </c>
      <c r="AF67" s="317" t="s">
        <v>1470</v>
      </c>
      <c r="AG67" s="314" t="s">
        <v>3764</v>
      </c>
      <c r="AH67" s="317" t="s">
        <v>2624</v>
      </c>
      <c r="AI67" s="314" t="s">
        <v>3987</v>
      </c>
      <c r="AJ67" s="317" t="s">
        <v>2474</v>
      </c>
      <c r="AK67" s="317" t="s">
        <v>3988</v>
      </c>
      <c r="AL67" s="159"/>
      <c r="AM67" s="314" t="s">
        <v>397</v>
      </c>
      <c r="AN67" s="327" t="s">
        <v>1486</v>
      </c>
      <c r="AO67" s="329" t="s">
        <v>3989</v>
      </c>
      <c r="AP67" s="317" t="s">
        <v>3990</v>
      </c>
      <c r="AQ67" s="317" t="s">
        <v>3991</v>
      </c>
      <c r="AR67" s="317" t="s">
        <v>2623</v>
      </c>
      <c r="AS67" s="317" t="s">
        <v>3992</v>
      </c>
      <c r="AT67" s="317" t="s">
        <v>3993</v>
      </c>
      <c r="AU67" s="329" t="s">
        <v>2635</v>
      </c>
      <c r="AV67" s="314" t="s">
        <v>366</v>
      </c>
      <c r="AW67" s="317" t="s">
        <v>3520</v>
      </c>
      <c r="AX67" s="317" t="s">
        <v>1713</v>
      </c>
      <c r="AY67" s="317" t="s">
        <v>3994</v>
      </c>
      <c r="AZ67" s="317" t="s">
        <v>3995</v>
      </c>
      <c r="BA67" s="317"/>
      <c r="BB67" s="317" t="s">
        <v>3996</v>
      </c>
      <c r="BC67" s="314" t="s">
        <v>2777</v>
      </c>
      <c r="BD67" s="317" t="s">
        <v>1393</v>
      </c>
      <c r="BE67" s="317" t="s">
        <v>3136</v>
      </c>
      <c r="BF67" s="317" t="s">
        <v>3219</v>
      </c>
      <c r="BG67" s="327" t="s">
        <v>3997</v>
      </c>
      <c r="BH67" s="314" t="s">
        <v>3998</v>
      </c>
      <c r="BI67" s="327" t="s">
        <v>3999</v>
      </c>
      <c r="BJ67" s="314" t="s">
        <v>4000</v>
      </c>
      <c r="BK67" s="314" t="s">
        <v>4001</v>
      </c>
      <c r="BL67" s="317" t="s">
        <v>3992</v>
      </c>
      <c r="BM67" s="317" t="s">
        <v>4002</v>
      </c>
      <c r="BN67" s="317" t="s">
        <v>4003</v>
      </c>
      <c r="BO67" s="317" t="s">
        <v>157</v>
      </c>
      <c r="BP67" s="317" t="s">
        <v>4004</v>
      </c>
      <c r="BQ67" s="317"/>
      <c r="BR67" s="314" t="s">
        <v>4005</v>
      </c>
      <c r="BS67" s="327" t="s">
        <v>3159</v>
      </c>
      <c r="BT67" s="314" t="s">
        <v>4006</v>
      </c>
      <c r="BU67" s="329" t="s">
        <v>269</v>
      </c>
      <c r="BV67" s="317" t="s">
        <v>2758</v>
      </c>
      <c r="BW67" s="317" t="s">
        <v>394</v>
      </c>
      <c r="BX67" s="317" t="s">
        <v>4007</v>
      </c>
      <c r="BY67" s="314" t="s">
        <v>2234</v>
      </c>
      <c r="BZ67" s="327" t="s">
        <v>4008</v>
      </c>
      <c r="CA67" s="317" t="s">
        <v>2509</v>
      </c>
      <c r="CB67" s="317" t="s">
        <v>4009</v>
      </c>
      <c r="CC67" s="317" t="s">
        <v>347</v>
      </c>
      <c r="CD67" s="317" t="s">
        <v>4010</v>
      </c>
      <c r="CE67" s="314" t="s">
        <v>4011</v>
      </c>
      <c r="CF67" s="414"/>
      <c r="CG67" s="317" t="s">
        <v>2253</v>
      </c>
      <c r="CH67" s="317" t="s">
        <v>3157</v>
      </c>
      <c r="CI67" s="317" t="s">
        <v>4012</v>
      </c>
      <c r="CJ67" s="314" t="s">
        <v>4013</v>
      </c>
      <c r="CK67" s="452"/>
      <c r="CL67" s="452" t="s">
        <v>4014</v>
      </c>
      <c r="CM67" s="317" t="s">
        <v>4015</v>
      </c>
      <c r="CN67" s="314" t="s">
        <v>3241</v>
      </c>
      <c r="CO67" s="314" t="s">
        <v>4016</v>
      </c>
      <c r="CP67" s="317" t="s">
        <v>4017</v>
      </c>
      <c r="CQ67" s="317" t="s">
        <v>4018</v>
      </c>
      <c r="CR67" s="317"/>
      <c r="CS67" s="317" t="s">
        <v>1434</v>
      </c>
      <c r="CT67" s="317" t="s">
        <v>3397</v>
      </c>
      <c r="CU67" s="154"/>
      <c r="CV67" s="317" t="s">
        <v>268</v>
      </c>
      <c r="CW67" s="317" t="s">
        <v>4019</v>
      </c>
      <c r="CX67" s="317" t="s">
        <v>3433</v>
      </c>
      <c r="CY67" s="317" t="s">
        <v>4020</v>
      </c>
      <c r="CZ67" s="317" t="s">
        <v>4021</v>
      </c>
      <c r="DA67" s="317" t="s">
        <v>4022</v>
      </c>
      <c r="DB67" s="327" t="s">
        <v>4023</v>
      </c>
      <c r="DC67" s="317" t="s">
        <v>4024</v>
      </c>
      <c r="DD67" s="317" t="s">
        <v>4025</v>
      </c>
      <c r="DE67" s="317" t="s">
        <v>2299</v>
      </c>
      <c r="DF67" s="317" t="s">
        <v>2523</v>
      </c>
      <c r="DG67" s="317" t="s">
        <v>3457</v>
      </c>
      <c r="DH67" s="317"/>
      <c r="DI67" s="317" t="s">
        <v>1904</v>
      </c>
      <c r="DJ67" s="317"/>
      <c r="DK67" s="317" t="s">
        <v>4026</v>
      </c>
      <c r="DL67" s="317" t="s">
        <v>4027</v>
      </c>
      <c r="DM67" s="317" t="s">
        <v>2641</v>
      </c>
      <c r="DN67" s="317" t="s">
        <v>698</v>
      </c>
      <c r="DO67" s="317" t="s">
        <v>4028</v>
      </c>
      <c r="DP67" s="317" t="s">
        <v>4029</v>
      </c>
      <c r="DQ67" s="317" t="s">
        <v>3739</v>
      </c>
      <c r="DR67" s="317" t="s">
        <v>3841</v>
      </c>
      <c r="DS67" s="317" t="s">
        <v>4030</v>
      </c>
      <c r="DT67" s="317" t="s">
        <v>3450</v>
      </c>
      <c r="DU67" s="317" t="s">
        <v>4031</v>
      </c>
      <c r="DV67" s="327" t="s">
        <v>4032</v>
      </c>
      <c r="DW67" s="329" t="s">
        <v>641</v>
      </c>
      <c r="DX67" s="317" t="s">
        <v>4033</v>
      </c>
      <c r="DY67" s="317" t="s">
        <v>3862</v>
      </c>
      <c r="DZ67" s="317" t="s">
        <v>3706</v>
      </c>
      <c r="EA67" s="317" t="s">
        <v>2193</v>
      </c>
      <c r="EB67" s="317" t="s">
        <v>3859</v>
      </c>
      <c r="EC67" s="317" t="s">
        <v>1971</v>
      </c>
      <c r="ED67" s="258" t="s">
        <v>4034</v>
      </c>
    </row>
    <row r="68">
      <c r="A68" s="166" t="s">
        <v>4035</v>
      </c>
      <c r="B68" s="104" t="s">
        <v>4036</v>
      </c>
      <c r="C68" s="105" t="s">
        <v>1259</v>
      </c>
      <c r="D68" s="106" t="s">
        <v>1259</v>
      </c>
      <c r="E68" s="107" t="s">
        <v>1259</v>
      </c>
      <c r="F68" s="108" t="s">
        <v>3098</v>
      </c>
      <c r="G68" s="104" t="s">
        <v>4037</v>
      </c>
      <c r="H68" s="242"/>
      <c r="I68" s="293" t="s">
        <v>4038</v>
      </c>
      <c r="J68" s="112" t="s">
        <v>4039</v>
      </c>
      <c r="K68" s="112" t="s">
        <v>1814</v>
      </c>
      <c r="L68" s="293" t="s">
        <v>4040</v>
      </c>
      <c r="M68" s="242"/>
      <c r="N68" s="112" t="s">
        <v>1729</v>
      </c>
      <c r="O68" s="112" t="s">
        <v>1641</v>
      </c>
      <c r="P68" s="112" t="s">
        <v>557</v>
      </c>
      <c r="Q68" s="242"/>
      <c r="R68" s="242"/>
      <c r="S68" s="242"/>
      <c r="T68" s="242"/>
      <c r="U68" s="242"/>
      <c r="V68" s="242"/>
      <c r="W68" s="92"/>
      <c r="X68" s="116" t="s">
        <v>696</v>
      </c>
      <c r="Y68" s="117"/>
      <c r="Z68" s="116" t="s">
        <v>4041</v>
      </c>
      <c r="AA68" s="116" t="s">
        <v>1647</v>
      </c>
      <c r="AB68" s="116" t="s">
        <v>4042</v>
      </c>
      <c r="AC68" s="116" t="s">
        <v>541</v>
      </c>
      <c r="AD68" s="116" t="s">
        <v>4043</v>
      </c>
      <c r="AE68" s="244"/>
      <c r="AF68" s="244"/>
      <c r="AG68" s="116" t="s">
        <v>3583</v>
      </c>
      <c r="AH68" s="244"/>
      <c r="AI68" s="117"/>
      <c r="AJ68" s="116" t="s">
        <v>4044</v>
      </c>
      <c r="AK68" s="244"/>
      <c r="AL68" s="97"/>
      <c r="AM68" s="245"/>
      <c r="AN68" s="121" t="s">
        <v>1743</v>
      </c>
      <c r="AO68" s="245"/>
      <c r="AP68" s="245"/>
      <c r="AQ68" s="245"/>
      <c r="AR68" s="245"/>
      <c r="AS68" s="245"/>
      <c r="AT68" s="245"/>
      <c r="AU68" s="121" t="s">
        <v>3538</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3"/>
      <c r="BL68" s="126" t="s">
        <v>4048</v>
      </c>
      <c r="BM68" s="173"/>
      <c r="BN68" s="173"/>
      <c r="BO68" s="173"/>
      <c r="BP68" s="173"/>
      <c r="BQ68" s="247"/>
      <c r="BR68" s="249"/>
      <c r="BS68" s="129" t="s">
        <v>4049</v>
      </c>
      <c r="BT68" s="129" t="s">
        <v>4050</v>
      </c>
      <c r="BU68" s="129" t="s">
        <v>255</v>
      </c>
      <c r="BV68" s="280" t="s">
        <v>1195</v>
      </c>
      <c r="BW68" s="129" t="s">
        <v>1306</v>
      </c>
      <c r="BX68" s="249"/>
      <c r="BY68" s="249"/>
      <c r="BZ68" s="249"/>
      <c r="CA68" s="129" t="s">
        <v>1796</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3181</v>
      </c>
      <c r="CZ68" s="253"/>
      <c r="DA68" s="253"/>
      <c r="DB68" s="284" t="s">
        <v>1281</v>
      </c>
      <c r="DC68" s="140" t="s">
        <v>131</v>
      </c>
      <c r="DD68" s="253"/>
      <c r="DE68" s="253"/>
      <c r="DF68" s="253"/>
      <c r="DG68" s="140" t="s">
        <v>4052</v>
      </c>
      <c r="DH68" s="140"/>
      <c r="DI68" s="255"/>
      <c r="DJ68" s="255"/>
      <c r="DK68" s="255"/>
      <c r="DL68" s="206"/>
      <c r="DM68" s="255"/>
      <c r="DN68" s="145" t="s">
        <v>2146</v>
      </c>
      <c r="DO68" s="255"/>
      <c r="DP68" s="255"/>
      <c r="DQ68" s="255"/>
      <c r="DR68" s="145" t="s">
        <v>1950</v>
      </c>
      <c r="DS68" s="305"/>
      <c r="DT68" s="255"/>
      <c r="DU68" s="145" t="s">
        <v>146</v>
      </c>
      <c r="DV68" s="255"/>
      <c r="DW68" s="145" t="s">
        <v>889</v>
      </c>
      <c r="DX68" s="255"/>
      <c r="DY68" s="255"/>
      <c r="DZ68" s="255"/>
      <c r="EA68" s="255"/>
      <c r="EB68" s="255"/>
      <c r="EC68" s="255"/>
      <c r="ED68" s="287"/>
    </row>
    <row r="69">
      <c r="A69" s="81" t="s">
        <v>4053</v>
      </c>
      <c r="B69" s="82" t="s">
        <v>4054</v>
      </c>
      <c r="C69" s="83" t="s">
        <v>1259</v>
      </c>
      <c r="D69" s="84" t="s">
        <v>547</v>
      </c>
      <c r="E69" s="85" t="s">
        <v>1259</v>
      </c>
      <c r="F69" s="86" t="s">
        <v>4055</v>
      </c>
      <c r="G69" s="82" t="s">
        <v>4056</v>
      </c>
      <c r="H69" s="94" t="s">
        <v>4057</v>
      </c>
      <c r="I69" s="94" t="s">
        <v>3975</v>
      </c>
      <c r="J69" s="94" t="s">
        <v>3746</v>
      </c>
      <c r="K69" s="94" t="s">
        <v>4058</v>
      </c>
      <c r="L69" s="162" t="s">
        <v>3529</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3233</v>
      </c>
      <c r="AK69" s="88" t="s">
        <v>703</v>
      </c>
      <c r="AL69" s="97"/>
      <c r="AM69" s="94" t="s">
        <v>3543</v>
      </c>
      <c r="AN69" s="88" t="s">
        <v>3883</v>
      </c>
      <c r="AO69" s="94" t="s">
        <v>4071</v>
      </c>
      <c r="AP69" s="94" t="s">
        <v>4072</v>
      </c>
      <c r="AQ69" s="94" t="s">
        <v>4073</v>
      </c>
      <c r="AR69" s="94" t="s">
        <v>2701</v>
      </c>
      <c r="AS69" s="99"/>
      <c r="AT69" s="99"/>
      <c r="AU69" s="94" t="s">
        <v>1942</v>
      </c>
      <c r="AV69" s="94" t="s">
        <v>1123</v>
      </c>
      <c r="AW69" s="94" t="s">
        <v>2149</v>
      </c>
      <c r="AX69" s="99"/>
      <c r="AY69" s="88" t="s">
        <v>4074</v>
      </c>
      <c r="AZ69" s="94" t="s">
        <v>4075</v>
      </c>
      <c r="BA69" s="94"/>
      <c r="BB69" s="88" t="s">
        <v>2093</v>
      </c>
      <c r="BC69" s="94" t="s">
        <v>1475</v>
      </c>
      <c r="BD69" s="88" t="s">
        <v>1393</v>
      </c>
      <c r="BE69" s="88" t="s">
        <v>3497</v>
      </c>
      <c r="BF69" s="162" t="s">
        <v>4076</v>
      </c>
      <c r="BG69" s="94" t="s">
        <v>2276</v>
      </c>
      <c r="BH69" s="94" t="s">
        <v>1979</v>
      </c>
      <c r="BI69" s="94" t="s">
        <v>3089</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1718</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2586</v>
      </c>
      <c r="DY69" s="94" t="s">
        <v>1123</v>
      </c>
      <c r="DZ69" s="94" t="s">
        <v>2607</v>
      </c>
      <c r="EA69" s="94" t="s">
        <v>1493</v>
      </c>
      <c r="EB69" s="94" t="s">
        <v>4112</v>
      </c>
      <c r="EC69" s="88" t="s">
        <v>3254</v>
      </c>
      <c r="ED69" s="258" t="s">
        <v>4113</v>
      </c>
    </row>
    <row r="70">
      <c r="A70" s="103" t="s">
        <v>4114</v>
      </c>
      <c r="B70" s="453" t="s">
        <v>4115</v>
      </c>
      <c r="C70" s="454" t="s">
        <v>1259</v>
      </c>
      <c r="D70" s="455" t="s">
        <v>547</v>
      </c>
      <c r="E70" s="456" t="s">
        <v>547</v>
      </c>
      <c r="F70" s="457" t="s">
        <v>4116</v>
      </c>
      <c r="G70" s="453" t="s">
        <v>1498</v>
      </c>
      <c r="H70" s="458" t="s">
        <v>4117</v>
      </c>
      <c r="I70" s="458" t="s">
        <v>3061</v>
      </c>
      <c r="J70" s="458" t="s">
        <v>4118</v>
      </c>
      <c r="K70" s="458" t="s">
        <v>1638</v>
      </c>
      <c r="L70" s="458" t="s">
        <v>1091</v>
      </c>
      <c r="M70" s="458" t="s">
        <v>4119</v>
      </c>
      <c r="N70" s="459" t="s">
        <v>4120</v>
      </c>
      <c r="O70" s="459" t="s">
        <v>4121</v>
      </c>
      <c r="P70" s="458" t="s">
        <v>657</v>
      </c>
      <c r="Q70" s="459"/>
      <c r="R70" s="459"/>
      <c r="S70" s="459"/>
      <c r="T70" s="459"/>
      <c r="U70" s="459"/>
      <c r="V70" s="459"/>
      <c r="W70" s="460"/>
      <c r="X70" s="461" t="s">
        <v>1427</v>
      </c>
      <c r="Y70" s="462"/>
      <c r="Z70" s="461" t="s">
        <v>4122</v>
      </c>
      <c r="AA70" s="118" t="s">
        <v>1068</v>
      </c>
      <c r="AB70" s="461" t="s">
        <v>4123</v>
      </c>
      <c r="AC70" s="461" t="s">
        <v>757</v>
      </c>
      <c r="AD70" s="463" t="s">
        <v>4068</v>
      </c>
      <c r="AE70" s="461" t="s">
        <v>996</v>
      </c>
      <c r="AF70" s="463" t="s">
        <v>4124</v>
      </c>
      <c r="AG70" s="461" t="s">
        <v>1432</v>
      </c>
      <c r="AH70" s="463"/>
      <c r="AI70" s="463"/>
      <c r="AJ70" s="463"/>
      <c r="AK70" s="463"/>
      <c r="AL70" s="460"/>
      <c r="AM70" s="464" t="s">
        <v>4125</v>
      </c>
      <c r="AN70" s="465" t="s">
        <v>1942</v>
      </c>
      <c r="AO70" s="466"/>
      <c r="AP70" s="466"/>
      <c r="AQ70" s="466"/>
      <c r="AR70" s="466"/>
      <c r="AS70" s="466" t="s">
        <v>4126</v>
      </c>
      <c r="AT70" s="466"/>
      <c r="AU70" s="465" t="s">
        <v>3209</v>
      </c>
      <c r="AV70" s="465" t="s">
        <v>4127</v>
      </c>
      <c r="AW70" s="466"/>
      <c r="AX70" s="466"/>
      <c r="AY70" s="466"/>
      <c r="AZ70" s="466"/>
      <c r="BA70" s="466"/>
      <c r="BB70" s="467" t="s">
        <v>4128</v>
      </c>
      <c r="BC70" s="467" t="s">
        <v>1293</v>
      </c>
      <c r="BD70" s="468" t="s">
        <v>2326</v>
      </c>
      <c r="BE70" s="468" t="s">
        <v>586</v>
      </c>
      <c r="BF70" s="467" t="s">
        <v>3765</v>
      </c>
      <c r="BG70" s="468"/>
      <c r="BH70" s="468"/>
      <c r="BI70" s="468" t="s">
        <v>2337</v>
      </c>
      <c r="BJ70" s="468"/>
      <c r="BK70" s="468" t="s">
        <v>4129</v>
      </c>
      <c r="BL70" s="468" t="s">
        <v>1429</v>
      </c>
      <c r="BM70" s="468"/>
      <c r="BN70" s="468"/>
      <c r="BO70" s="468"/>
      <c r="BP70" s="468"/>
      <c r="BQ70" s="468"/>
      <c r="BR70" s="469"/>
      <c r="BS70" s="469" t="s">
        <v>4130</v>
      </c>
      <c r="BT70" s="470" t="s">
        <v>2701</v>
      </c>
      <c r="BU70" s="469"/>
      <c r="BV70" s="469"/>
      <c r="BW70" s="469" t="s">
        <v>2083</v>
      </c>
      <c r="BX70" s="469"/>
      <c r="BY70" s="469"/>
      <c r="BZ70" s="469"/>
      <c r="CA70" s="469"/>
      <c r="CB70" s="469"/>
      <c r="CC70" s="469"/>
      <c r="CD70" s="469"/>
      <c r="CE70" s="469"/>
      <c r="CF70" s="249"/>
      <c r="CG70" s="471" t="s">
        <v>4131</v>
      </c>
      <c r="CH70" s="132" t="s">
        <v>1517</v>
      </c>
      <c r="CI70" s="472"/>
      <c r="CJ70" s="472"/>
      <c r="CK70" s="472"/>
      <c r="CL70" s="472"/>
      <c r="CM70" s="252"/>
      <c r="CN70" s="471" t="s">
        <v>998</v>
      </c>
      <c r="CO70" s="472" t="s">
        <v>4132</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4133</v>
      </c>
      <c r="B71" s="82" t="s">
        <v>4134</v>
      </c>
      <c r="C71" s="83" t="s">
        <v>1259</v>
      </c>
      <c r="D71" s="84" t="s">
        <v>1259</v>
      </c>
      <c r="E71" s="85" t="s">
        <v>1259</v>
      </c>
      <c r="F71" s="86" t="s">
        <v>3406</v>
      </c>
      <c r="G71" s="82" t="s">
        <v>3293</v>
      </c>
      <c r="H71" s="88" t="s">
        <v>2563</v>
      </c>
      <c r="I71" s="88" t="s">
        <v>4135</v>
      </c>
      <c r="J71" s="88" t="s">
        <v>4012</v>
      </c>
      <c r="K71" s="88" t="s">
        <v>1951</v>
      </c>
      <c r="L71" s="88" t="s">
        <v>4136</v>
      </c>
      <c r="M71" s="88" t="s">
        <v>4137</v>
      </c>
      <c r="N71" s="88" t="s">
        <v>4138</v>
      </c>
      <c r="O71" s="88" t="s">
        <v>2122</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1975</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2318</v>
      </c>
      <c r="BJ71" s="88" t="s">
        <v>4150</v>
      </c>
      <c r="BK71" s="88" t="s">
        <v>4151</v>
      </c>
      <c r="BL71" s="88" t="s">
        <v>4048</v>
      </c>
      <c r="BM71" s="88" t="s">
        <v>4152</v>
      </c>
      <c r="BN71" s="88" t="s">
        <v>4080</v>
      </c>
      <c r="BO71" s="88" t="s">
        <v>4153</v>
      </c>
      <c r="BP71" s="99"/>
      <c r="BQ71" s="237"/>
      <c r="BR71" s="88" t="s">
        <v>4154</v>
      </c>
      <c r="BS71" s="88" t="s">
        <v>4155</v>
      </c>
      <c r="BT71" s="88" t="s">
        <v>3809</v>
      </c>
      <c r="BU71" s="88" t="s">
        <v>3366</v>
      </c>
      <c r="BV71" s="88" t="s">
        <v>1467</v>
      </c>
      <c r="BW71" s="88" t="s">
        <v>1050</v>
      </c>
      <c r="BX71" s="88" t="s">
        <v>4156</v>
      </c>
      <c r="BY71" s="88" t="s">
        <v>4157</v>
      </c>
      <c r="BZ71" s="99"/>
      <c r="CA71" s="88" t="s">
        <v>2647</v>
      </c>
      <c r="CB71" s="99"/>
      <c r="CC71" s="99"/>
      <c r="CD71" s="88" t="s">
        <v>2552</v>
      </c>
      <c r="CE71" s="99"/>
      <c r="CF71" s="237"/>
      <c r="CG71" s="88" t="s">
        <v>4158</v>
      </c>
      <c r="CH71" s="88" t="s">
        <v>4159</v>
      </c>
      <c r="CI71" s="88" t="s">
        <v>2157</v>
      </c>
      <c r="CJ71" s="88" t="s">
        <v>4160</v>
      </c>
      <c r="CK71" s="93"/>
      <c r="CL71" s="88" t="s">
        <v>3164</v>
      </c>
      <c r="CM71" s="88" t="s">
        <v>368</v>
      </c>
      <c r="CN71" s="88" t="s">
        <v>1606</v>
      </c>
      <c r="CO71" s="88" t="s">
        <v>4161</v>
      </c>
      <c r="CP71" s="99"/>
      <c r="CQ71" s="99"/>
      <c r="CR71" s="99"/>
      <c r="CS71" s="99"/>
      <c r="CT71" s="99"/>
      <c r="CU71" s="92"/>
      <c r="CV71" s="88" t="s">
        <v>2005</v>
      </c>
      <c r="CW71" s="88" t="s">
        <v>552</v>
      </c>
      <c r="CX71" s="88" t="s">
        <v>4162</v>
      </c>
      <c r="CY71" s="88" t="s">
        <v>4163</v>
      </c>
      <c r="CZ71" s="88" t="s">
        <v>2731</v>
      </c>
      <c r="DA71" s="88" t="s">
        <v>1971</v>
      </c>
      <c r="DB71" s="88" t="s">
        <v>4164</v>
      </c>
      <c r="DC71" s="88" t="s">
        <v>4165</v>
      </c>
      <c r="DD71" s="99"/>
      <c r="DE71" s="99"/>
      <c r="DF71" s="88" t="s">
        <v>2384</v>
      </c>
      <c r="DG71" s="99"/>
      <c r="DH71" s="237"/>
      <c r="DI71" s="99"/>
      <c r="DJ71" s="99"/>
      <c r="DK71" s="94" t="s">
        <v>3593</v>
      </c>
      <c r="DL71" s="99"/>
      <c r="DM71" s="88" t="s">
        <v>530</v>
      </c>
      <c r="DN71" s="88" t="s">
        <v>4166</v>
      </c>
      <c r="DO71" s="94" t="s">
        <v>3617</v>
      </c>
      <c r="DP71" s="94" t="s">
        <v>4122</v>
      </c>
      <c r="DQ71" s="99"/>
      <c r="DR71" s="88" t="s">
        <v>4167</v>
      </c>
      <c r="DS71" s="88" t="s">
        <v>3756</v>
      </c>
      <c r="DT71" s="94" t="s">
        <v>4168</v>
      </c>
      <c r="DU71" s="94" t="s">
        <v>2021</v>
      </c>
      <c r="DV71" s="94" t="s">
        <v>4169</v>
      </c>
      <c r="DW71" s="88" t="s">
        <v>1714</v>
      </c>
      <c r="DX71" s="94" t="s">
        <v>3647</v>
      </c>
      <c r="DY71" s="94" t="s">
        <v>1546</v>
      </c>
      <c r="DZ71" s="88" t="s">
        <v>4170</v>
      </c>
      <c r="EA71" s="88" t="s">
        <v>2217</v>
      </c>
      <c r="EB71" s="94" t="s">
        <v>4171</v>
      </c>
      <c r="EC71" s="94" t="s">
        <v>1601</v>
      </c>
      <c r="ED71" s="479" t="s">
        <v>4172</v>
      </c>
    </row>
    <row r="72">
      <c r="A72" s="166" t="s">
        <v>4173</v>
      </c>
      <c r="B72" s="104" t="s">
        <v>4174</v>
      </c>
      <c r="C72" s="105" t="s">
        <v>1259</v>
      </c>
      <c r="D72" s="106" t="s">
        <v>1259</v>
      </c>
      <c r="E72" s="107" t="s">
        <v>1259</v>
      </c>
      <c r="F72" s="108" t="s">
        <v>1259</v>
      </c>
      <c r="G72" s="104" t="s">
        <v>4175</v>
      </c>
      <c r="H72" s="167" t="s">
        <v>1369</v>
      </c>
      <c r="I72" s="167" t="s">
        <v>4176</v>
      </c>
      <c r="J72" s="167" t="s">
        <v>4177</v>
      </c>
      <c r="K72" s="167" t="s">
        <v>3179</v>
      </c>
      <c r="L72" s="167" t="s">
        <v>3413</v>
      </c>
      <c r="M72" s="167" t="s">
        <v>522</v>
      </c>
      <c r="N72" s="167" t="s">
        <v>4178</v>
      </c>
      <c r="O72" s="167" t="s">
        <v>4179</v>
      </c>
      <c r="P72" s="167" t="s">
        <v>4180</v>
      </c>
      <c r="Q72" s="167" t="s">
        <v>4181</v>
      </c>
      <c r="R72" s="242"/>
      <c r="S72" s="167" t="s">
        <v>4182</v>
      </c>
      <c r="T72" s="242"/>
      <c r="U72" s="242"/>
      <c r="V72" s="167" t="s">
        <v>4183</v>
      </c>
      <c r="W72" s="92"/>
      <c r="X72" s="198" t="s">
        <v>1369</v>
      </c>
      <c r="Y72" s="198"/>
      <c r="Z72" s="198" t="s">
        <v>723</v>
      </c>
      <c r="AA72" s="198" t="s">
        <v>1692</v>
      </c>
      <c r="AB72" s="198" t="s">
        <v>4184</v>
      </c>
      <c r="AC72" s="198" t="s">
        <v>4185</v>
      </c>
      <c r="AD72" s="198" t="s">
        <v>1653</v>
      </c>
      <c r="AE72" s="198"/>
      <c r="AF72" s="198" t="s">
        <v>794</v>
      </c>
      <c r="AG72" s="198" t="s">
        <v>4186</v>
      </c>
      <c r="AH72" s="198" t="s">
        <v>2352</v>
      </c>
      <c r="AI72" s="198"/>
      <c r="AJ72" s="198" t="s">
        <v>4187</v>
      </c>
      <c r="AK72" s="198" t="s">
        <v>2621</v>
      </c>
      <c r="AL72" s="97"/>
      <c r="AM72" s="168" t="s">
        <v>3851</v>
      </c>
      <c r="AN72" s="168" t="s">
        <v>3459</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4130</v>
      </c>
      <c r="BC72" s="174" t="s">
        <v>2923</v>
      </c>
      <c r="BD72" s="174" t="s">
        <v>2706</v>
      </c>
      <c r="BE72" s="174" t="s">
        <v>4193</v>
      </c>
      <c r="BF72" s="174" t="s">
        <v>4194</v>
      </c>
      <c r="BG72" s="174" t="s">
        <v>412</v>
      </c>
      <c r="BH72" s="174" t="s">
        <v>4195</v>
      </c>
      <c r="BI72" s="174" t="s">
        <v>4196</v>
      </c>
      <c r="BJ72" s="174" t="s">
        <v>4197</v>
      </c>
      <c r="BK72" s="174" t="s">
        <v>4198</v>
      </c>
      <c r="BL72" s="174" t="s">
        <v>3724</v>
      </c>
      <c r="BM72" s="174" t="s">
        <v>4199</v>
      </c>
      <c r="BN72" s="173"/>
      <c r="BO72" s="173"/>
      <c r="BP72" s="173"/>
      <c r="BQ72" s="247"/>
      <c r="BR72" s="175" t="s">
        <v>4200</v>
      </c>
      <c r="BS72" s="175" t="s">
        <v>4201</v>
      </c>
      <c r="BT72" s="175" t="s">
        <v>4202</v>
      </c>
      <c r="BU72" s="175" t="s">
        <v>4203</v>
      </c>
      <c r="BV72" s="175" t="s">
        <v>4204</v>
      </c>
      <c r="BW72" s="175" t="s">
        <v>1514</v>
      </c>
      <c r="BX72" s="175" t="s">
        <v>1328</v>
      </c>
      <c r="BY72" s="175" t="s">
        <v>4205</v>
      </c>
      <c r="BZ72" s="175" t="s">
        <v>4206</v>
      </c>
      <c r="CA72" s="175" t="s">
        <v>3832</v>
      </c>
      <c r="CB72" s="175" t="s">
        <v>4207</v>
      </c>
      <c r="CC72" s="249"/>
      <c r="CD72" s="249"/>
      <c r="CE72" s="249"/>
      <c r="CF72" s="251"/>
      <c r="CG72" s="177" t="s">
        <v>4208</v>
      </c>
      <c r="CH72" s="177" t="s">
        <v>4209</v>
      </c>
      <c r="CI72" s="177" t="s">
        <v>4210</v>
      </c>
      <c r="CJ72" s="177" t="s">
        <v>4211</v>
      </c>
      <c r="CK72" s="177"/>
      <c r="CL72" s="177" t="s">
        <v>1263</v>
      </c>
      <c r="CM72" s="177" t="s">
        <v>1441</v>
      </c>
      <c r="CN72" s="177" t="s">
        <v>891</v>
      </c>
      <c r="CO72" s="177" t="s">
        <v>3726</v>
      </c>
      <c r="CP72" s="177" t="s">
        <v>4212</v>
      </c>
      <c r="CQ72" s="177" t="s">
        <v>4213</v>
      </c>
      <c r="CR72" s="252"/>
      <c r="CS72" s="252"/>
      <c r="CT72" s="252"/>
      <c r="CU72" s="92"/>
      <c r="CV72" s="204" t="s">
        <v>4214</v>
      </c>
      <c r="CW72" s="204" t="s">
        <v>4215</v>
      </c>
      <c r="CX72" s="204" t="s">
        <v>4216</v>
      </c>
      <c r="CY72" s="204" t="s">
        <v>2470</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1593</v>
      </c>
      <c r="DP72" s="205" t="s">
        <v>1081</v>
      </c>
      <c r="DQ72" s="205" t="s">
        <v>4224</v>
      </c>
      <c r="DR72" s="205" t="s">
        <v>2254</v>
      </c>
      <c r="DS72" s="205" t="s">
        <v>3271</v>
      </c>
      <c r="DT72" s="205" t="s">
        <v>4099</v>
      </c>
      <c r="DU72" s="205" t="s">
        <v>4225</v>
      </c>
      <c r="DV72" s="205" t="s">
        <v>4226</v>
      </c>
      <c r="DW72" s="205" t="s">
        <v>968</v>
      </c>
      <c r="DX72" s="205" t="s">
        <v>4227</v>
      </c>
      <c r="DY72" s="205" t="s">
        <v>1313</v>
      </c>
      <c r="DZ72" s="205" t="s">
        <v>4121</v>
      </c>
      <c r="EA72" s="205" t="s">
        <v>4228</v>
      </c>
      <c r="EB72" s="205" t="s">
        <v>3681</v>
      </c>
      <c r="EC72" s="205" t="s">
        <v>4229</v>
      </c>
      <c r="ED72" s="287" t="s">
        <v>4230</v>
      </c>
    </row>
    <row r="73">
      <c r="A73" s="480" t="s">
        <v>4231</v>
      </c>
      <c r="B73" s="82" t="s">
        <v>4232</v>
      </c>
      <c r="C73" s="83" t="s">
        <v>438</v>
      </c>
      <c r="D73" s="84" t="s">
        <v>332</v>
      </c>
      <c r="E73" s="85" t="s">
        <v>438</v>
      </c>
      <c r="F73" s="86" t="s">
        <v>2651</v>
      </c>
      <c r="G73" s="82" t="s">
        <v>2651</v>
      </c>
      <c r="H73" s="99"/>
      <c r="I73" s="88" t="s">
        <v>1132</v>
      </c>
      <c r="J73" s="99"/>
      <c r="K73" s="88" t="s">
        <v>1263</v>
      </c>
      <c r="L73" s="99"/>
      <c r="M73" s="99"/>
      <c r="N73" s="88" t="s">
        <v>4233</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4234</v>
      </c>
      <c r="Y73" s="90" t="s">
        <v>4235</v>
      </c>
      <c r="Z73" s="88" t="s">
        <v>4236</v>
      </c>
      <c r="AA73" s="88" t="s">
        <v>352</v>
      </c>
      <c r="AB73" s="88" t="s">
        <v>4237</v>
      </c>
      <c r="AC73" s="88" t="s">
        <v>459</v>
      </c>
      <c r="AD73" s="90" t="s">
        <v>1295</v>
      </c>
      <c r="AE73" s="99"/>
      <c r="AF73" s="88" t="s">
        <v>357</v>
      </c>
      <c r="AG73" s="88" t="s">
        <v>3580</v>
      </c>
      <c r="AH73" s="88" t="s">
        <v>4238</v>
      </c>
      <c r="AI73" s="99"/>
      <c r="AJ73" s="420"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9"/>
    </row>
    <row r="74">
      <c r="A74" s="166" t="s">
        <v>4244</v>
      </c>
      <c r="B74" s="104" t="s">
        <v>4245</v>
      </c>
      <c r="C74" s="105" t="s">
        <v>1259</v>
      </c>
      <c r="D74" s="106" t="s">
        <v>1259</v>
      </c>
      <c r="E74" s="107" t="s">
        <v>1259</v>
      </c>
      <c r="F74" s="108" t="s">
        <v>333</v>
      </c>
      <c r="G74" s="104" t="s">
        <v>2376</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2129</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4102</v>
      </c>
      <c r="CO74" s="177" t="s">
        <v>4095</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2344</v>
      </c>
      <c r="H75" s="88" t="s">
        <v>4117</v>
      </c>
      <c r="I75" s="99"/>
      <c r="J75" s="99"/>
      <c r="K75" s="99"/>
      <c r="L75" s="94" t="s">
        <v>345</v>
      </c>
      <c r="M75" s="99"/>
      <c r="N75" s="99"/>
      <c r="O75" s="94" t="s">
        <v>4267</v>
      </c>
      <c r="P75" s="94" t="s">
        <v>2553</v>
      </c>
      <c r="Q75" s="98" t="s">
        <v>234</v>
      </c>
      <c r="R75" s="99"/>
      <c r="S75" s="99"/>
      <c r="T75" s="94" t="s">
        <v>2274</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2368</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4238</v>
      </c>
      <c r="CO75" s="99"/>
      <c r="CP75" s="99"/>
      <c r="CQ75" s="162" t="s">
        <v>1959</v>
      </c>
      <c r="CR75" s="99"/>
      <c r="CS75" s="99"/>
      <c r="CT75" s="87" t="s">
        <v>4264</v>
      </c>
      <c r="CU75" s="92"/>
      <c r="CV75" s="99"/>
      <c r="CW75" s="99"/>
      <c r="CX75" s="99"/>
      <c r="CY75" s="99"/>
      <c r="CZ75" s="99"/>
      <c r="DA75" s="94" t="s">
        <v>2244</v>
      </c>
      <c r="DB75" s="94" t="s">
        <v>2110</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2244</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4056</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4144</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4003</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4016</v>
      </c>
      <c r="DN76" s="205" t="s">
        <v>4346</v>
      </c>
      <c r="DO76" s="205" t="s">
        <v>394</v>
      </c>
      <c r="DP76" s="205" t="s">
        <v>4347</v>
      </c>
      <c r="DQ76" s="255"/>
      <c r="DR76" s="205" t="s">
        <v>4348</v>
      </c>
      <c r="DS76" s="205" t="s">
        <v>4349</v>
      </c>
      <c r="DT76" s="255"/>
      <c r="DU76" s="205" t="s">
        <v>3620</v>
      </c>
      <c r="DV76" s="205" t="s">
        <v>1360</v>
      </c>
      <c r="DW76" s="205" t="s">
        <v>968</v>
      </c>
      <c r="DX76" s="255"/>
      <c r="DY76" s="205" t="s">
        <v>2261</v>
      </c>
      <c r="DZ76" s="205" t="s">
        <v>3365</v>
      </c>
      <c r="EA76" s="205" t="s">
        <v>1017</v>
      </c>
      <c r="EB76" s="205" t="s">
        <v>4350</v>
      </c>
      <c r="EC76" s="205" t="s">
        <v>2417</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4014</v>
      </c>
      <c r="AB77" s="94" t="s">
        <v>4358</v>
      </c>
      <c r="AC77" s="94" t="s">
        <v>4094</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4050</v>
      </c>
      <c r="BU77" s="94" t="s">
        <v>4365</v>
      </c>
      <c r="BV77" s="94" t="s">
        <v>4366</v>
      </c>
      <c r="BW77" s="94" t="s">
        <v>740</v>
      </c>
      <c r="BX77" s="87" t="s">
        <v>4367</v>
      </c>
      <c r="BY77" s="99"/>
      <c r="BZ77" s="94" t="s">
        <v>4368</v>
      </c>
      <c r="CA77" s="94" t="s">
        <v>2417</v>
      </c>
      <c r="CB77" s="93" t="s">
        <v>4369</v>
      </c>
      <c r="CC77" s="94" t="s">
        <v>4370</v>
      </c>
      <c r="CD77" s="94" t="s">
        <v>692</v>
      </c>
      <c r="CE77" s="99"/>
      <c r="CF77" s="237"/>
      <c r="CG77" s="93" t="s">
        <v>4371</v>
      </c>
      <c r="CH77" s="94" t="s">
        <v>4372</v>
      </c>
      <c r="CI77" s="93"/>
      <c r="CJ77" s="88" t="s">
        <v>4373</v>
      </c>
      <c r="CK77" s="102"/>
      <c r="CL77" s="102"/>
      <c r="CM77" s="94" t="s">
        <v>2903</v>
      </c>
      <c r="CN77" s="94" t="s">
        <v>1546</v>
      </c>
      <c r="CO77" s="94" t="s">
        <v>2553</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2154</v>
      </c>
      <c r="H78" s="167"/>
      <c r="I78" s="167" t="s">
        <v>4378</v>
      </c>
      <c r="J78" s="167" t="s">
        <v>4379</v>
      </c>
      <c r="K78" s="167" t="s">
        <v>1951</v>
      </c>
      <c r="L78" s="167" t="s">
        <v>3730</v>
      </c>
      <c r="M78" s="167" t="s">
        <v>4380</v>
      </c>
      <c r="N78" s="167" t="s">
        <v>4381</v>
      </c>
      <c r="O78" s="167" t="s">
        <v>4121</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6" t="s">
        <v>1278</v>
      </c>
      <c r="AG78" s="198" t="s">
        <v>4041</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2350</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4050</v>
      </c>
      <c r="BU78" s="175" t="s">
        <v>3079</v>
      </c>
      <c r="BV78" s="175" t="s">
        <v>922</v>
      </c>
      <c r="BW78" s="175" t="s">
        <v>4393</v>
      </c>
      <c r="BX78" s="175" t="s">
        <v>4394</v>
      </c>
      <c r="BY78" s="175" t="s">
        <v>4395</v>
      </c>
      <c r="BZ78" s="175" t="s">
        <v>4396</v>
      </c>
      <c r="CA78" s="175" t="s">
        <v>3719</v>
      </c>
      <c r="CB78" s="249"/>
      <c r="CC78" s="249"/>
      <c r="CD78" s="249"/>
      <c r="CE78" s="249"/>
      <c r="CF78" s="251"/>
      <c r="CG78" s="177" t="s">
        <v>2205</v>
      </c>
      <c r="CH78" s="177" t="s">
        <v>2839</v>
      </c>
      <c r="CI78" s="177" t="s">
        <v>3886</v>
      </c>
      <c r="CJ78" s="177" t="s">
        <v>4397</v>
      </c>
      <c r="CK78" s="177"/>
      <c r="CL78" s="177" t="s">
        <v>4398</v>
      </c>
      <c r="CM78" s="177" t="s">
        <v>558</v>
      </c>
      <c r="CN78" s="177" t="s">
        <v>3968</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2124</v>
      </c>
      <c r="I79" s="94" t="s">
        <v>4410</v>
      </c>
      <c r="J79" s="94" t="s">
        <v>3632</v>
      </c>
      <c r="K79" s="94" t="s">
        <v>2278</v>
      </c>
      <c r="L79" s="94" t="s">
        <v>1036</v>
      </c>
      <c r="M79" s="94" t="s">
        <v>4411</v>
      </c>
      <c r="N79" s="94" t="s">
        <v>4412</v>
      </c>
      <c r="O79" s="94" t="s">
        <v>4413</v>
      </c>
      <c r="P79" s="94" t="s">
        <v>2553</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3999</v>
      </c>
      <c r="AW79" s="99"/>
      <c r="AX79" s="99"/>
      <c r="AY79" s="99"/>
      <c r="AZ79" s="99"/>
      <c r="BA79" s="99"/>
      <c r="BB79" s="94" t="s">
        <v>3196</v>
      </c>
      <c r="BC79" s="94" t="s">
        <v>2158</v>
      </c>
      <c r="BD79" s="94" t="s">
        <v>296</v>
      </c>
      <c r="BE79" s="94" t="s">
        <v>4421</v>
      </c>
      <c r="BF79" s="94" t="s">
        <v>4422</v>
      </c>
      <c r="BG79" s="94" t="s">
        <v>1295</v>
      </c>
      <c r="BH79" s="99"/>
      <c r="BI79" s="94" t="s">
        <v>2216</v>
      </c>
      <c r="BJ79" s="94" t="s">
        <v>4423</v>
      </c>
      <c r="BK79" s="99"/>
      <c r="BL79" s="94" t="s">
        <v>2500</v>
      </c>
      <c r="BM79" s="99"/>
      <c r="BN79" s="99"/>
      <c r="BO79" s="94" t="s">
        <v>4424</v>
      </c>
      <c r="BP79" s="99"/>
      <c r="BQ79" s="237"/>
      <c r="BR79" s="94" t="s">
        <v>4425</v>
      </c>
      <c r="BS79" s="315" t="s">
        <v>3549</v>
      </c>
      <c r="BT79" s="315" t="s">
        <v>4426</v>
      </c>
      <c r="BU79" s="315" t="s">
        <v>4427</v>
      </c>
      <c r="BV79" s="317" t="s">
        <v>1903</v>
      </c>
      <c r="BW79" s="315" t="s">
        <v>1806</v>
      </c>
      <c r="BX79" s="88" t="s">
        <v>4428</v>
      </c>
      <c r="BY79" s="94" t="s">
        <v>4429</v>
      </c>
      <c r="BZ79" s="99"/>
      <c r="CA79" s="94" t="s">
        <v>4430</v>
      </c>
      <c r="CB79" s="99"/>
      <c r="CC79" s="99"/>
      <c r="CD79" s="99"/>
      <c r="CE79" s="99"/>
      <c r="CF79" s="237"/>
      <c r="CG79" s="315" t="s">
        <v>4431</v>
      </c>
      <c r="CH79" s="317" t="s">
        <v>1319</v>
      </c>
      <c r="CI79" s="317" t="s">
        <v>4432</v>
      </c>
      <c r="CJ79" s="317" t="s">
        <v>4433</v>
      </c>
      <c r="CK79" s="317"/>
      <c r="CL79" s="317" t="s">
        <v>552</v>
      </c>
      <c r="CM79" s="315" t="s">
        <v>4434</v>
      </c>
      <c r="CN79" s="317" t="s">
        <v>1780</v>
      </c>
      <c r="CO79" s="315" t="s">
        <v>2482</v>
      </c>
      <c r="CP79" s="99"/>
      <c r="CQ79" s="99"/>
      <c r="CR79" s="99"/>
      <c r="CS79" s="99"/>
      <c r="CT79" s="99"/>
      <c r="CU79" s="92"/>
      <c r="CV79" s="315" t="s">
        <v>4435</v>
      </c>
      <c r="CW79" s="317" t="s">
        <v>2549</v>
      </c>
      <c r="CX79" s="315" t="s">
        <v>1736</v>
      </c>
      <c r="CY79" s="315" t="s">
        <v>3149</v>
      </c>
      <c r="CZ79" s="315" t="s">
        <v>4436</v>
      </c>
      <c r="DA79" s="315" t="s">
        <v>1736</v>
      </c>
      <c r="DB79" s="317" t="s">
        <v>4437</v>
      </c>
      <c r="DC79" s="315" t="s">
        <v>3481</v>
      </c>
      <c r="DD79" s="99"/>
      <c r="DE79" s="99"/>
      <c r="DF79" s="99"/>
      <c r="DG79" s="99"/>
      <c r="DH79" s="237"/>
      <c r="DI79" s="315"/>
      <c r="DJ79" s="315"/>
      <c r="DK79" s="315"/>
      <c r="DL79" s="315"/>
      <c r="DM79" s="315"/>
      <c r="DN79" s="94" t="s">
        <v>4438</v>
      </c>
      <c r="DO79" s="315"/>
      <c r="DP79" s="315"/>
      <c r="DQ79" s="94" t="s">
        <v>3961</v>
      </c>
      <c r="DR79" s="94" t="s">
        <v>4439</v>
      </c>
      <c r="DS79" s="94" t="s">
        <v>4440</v>
      </c>
      <c r="DT79" s="94" t="s">
        <v>3764</v>
      </c>
      <c r="DU79" s="94" t="s">
        <v>3135</v>
      </c>
      <c r="DV79" s="315"/>
      <c r="DW79" s="315"/>
      <c r="DX79" s="99"/>
      <c r="DY79" s="94" t="s">
        <v>4441</v>
      </c>
      <c r="DZ79" s="315"/>
      <c r="EA79" s="315"/>
      <c r="EB79" s="315"/>
      <c r="EC79" s="94" t="s">
        <v>1002</v>
      </c>
      <c r="ED79" s="317" t="s">
        <v>4442</v>
      </c>
    </row>
    <row r="80">
      <c r="A80" s="362"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4015</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4028</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4112</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4509</v>
      </c>
      <c r="M81" s="258" t="s">
        <v>1639</v>
      </c>
      <c r="N81" s="99"/>
      <c r="O81" s="93" t="s">
        <v>4510</v>
      </c>
      <c r="P81" s="88" t="s">
        <v>2553</v>
      </c>
      <c r="Q81" s="99"/>
      <c r="R81" s="94"/>
      <c r="S81" s="94"/>
      <c r="T81" s="99"/>
      <c r="U81" s="99"/>
      <c r="V81" s="99"/>
      <c r="W81" s="92"/>
      <c r="X81" s="88" t="s">
        <v>1746</v>
      </c>
      <c r="Y81" s="94"/>
      <c r="Z81" s="94" t="s">
        <v>4416</v>
      </c>
      <c r="AA81" s="88" t="s">
        <v>1429</v>
      </c>
      <c r="AB81" s="94" t="s">
        <v>4511</v>
      </c>
      <c r="AC81" s="88" t="s">
        <v>3338</v>
      </c>
      <c r="AD81" s="94" t="s">
        <v>2854</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2904</v>
      </c>
      <c r="BU81" s="88" t="s">
        <v>3721</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4518</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2546</v>
      </c>
      <c r="H82" s="293"/>
      <c r="I82" s="322" t="s">
        <v>4522</v>
      </c>
      <c r="J82" s="293" t="s">
        <v>763</v>
      </c>
      <c r="K82" s="293" t="s">
        <v>4523</v>
      </c>
      <c r="L82" s="293" t="s">
        <v>2945</v>
      </c>
      <c r="M82" s="112" t="s">
        <v>4524</v>
      </c>
      <c r="N82" s="293" t="s">
        <v>4525</v>
      </c>
      <c r="O82" s="293" t="s">
        <v>3878</v>
      </c>
      <c r="P82" s="293" t="s">
        <v>3104</v>
      </c>
      <c r="Q82" s="494"/>
      <c r="R82" s="494"/>
      <c r="S82" s="494"/>
      <c r="T82" s="494"/>
      <c r="U82" s="494"/>
      <c r="V82" s="494"/>
      <c r="W82" s="495"/>
      <c r="X82" s="296" t="s">
        <v>1844</v>
      </c>
      <c r="Y82" s="296"/>
      <c r="Z82" s="296" t="s">
        <v>3071</v>
      </c>
      <c r="AA82" s="296" t="s">
        <v>2203</v>
      </c>
      <c r="AB82" s="296" t="s">
        <v>3898</v>
      </c>
      <c r="AC82" s="296" t="s">
        <v>1694</v>
      </c>
      <c r="AD82" s="296" t="s">
        <v>3068</v>
      </c>
      <c r="AE82" s="496"/>
      <c r="AF82" s="296" t="s">
        <v>2360</v>
      </c>
      <c r="AG82" s="296" t="s">
        <v>2759</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2737</v>
      </c>
      <c r="BC82" s="303" t="s">
        <v>4527</v>
      </c>
      <c r="BD82" s="303" t="s">
        <v>296</v>
      </c>
      <c r="BE82" s="303" t="s">
        <v>4528</v>
      </c>
      <c r="BF82" s="303" t="s">
        <v>4529</v>
      </c>
      <c r="BG82" s="303"/>
      <c r="BH82" s="500"/>
      <c r="BI82" s="303" t="s">
        <v>1370</v>
      </c>
      <c r="BJ82" s="500"/>
      <c r="BK82" s="303" t="s">
        <v>4530</v>
      </c>
      <c r="BL82" s="303" t="s">
        <v>3591</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2" t="s">
        <v>4539</v>
      </c>
      <c r="CH82" s="412" t="s">
        <v>188</v>
      </c>
      <c r="CI82" s="412" t="s">
        <v>3647</v>
      </c>
      <c r="CJ82" s="412" t="s">
        <v>4540</v>
      </c>
      <c r="CK82" s="412"/>
      <c r="CL82" s="412" t="s">
        <v>4541</v>
      </c>
      <c r="CM82" s="412" t="s">
        <v>4542</v>
      </c>
      <c r="CN82" s="412" t="s">
        <v>4543</v>
      </c>
      <c r="CO82" s="412" t="s">
        <v>4544</v>
      </c>
      <c r="CP82" s="504"/>
      <c r="CQ82" s="505"/>
      <c r="CR82" s="505"/>
      <c r="CS82" s="505"/>
      <c r="CT82" s="505"/>
      <c r="CU82" s="495"/>
      <c r="CV82" s="301" t="s">
        <v>4545</v>
      </c>
      <c r="CW82" s="301" t="s">
        <v>4546</v>
      </c>
      <c r="CX82" s="301" t="s">
        <v>1041</v>
      </c>
      <c r="CY82" s="301" t="s">
        <v>3760</v>
      </c>
      <c r="CZ82" s="301" t="s">
        <v>2197</v>
      </c>
      <c r="DA82" s="301" t="s">
        <v>3864</v>
      </c>
      <c r="DB82" s="301" t="s">
        <v>4547</v>
      </c>
      <c r="DC82" s="301" t="s">
        <v>4341</v>
      </c>
      <c r="DD82" s="506"/>
      <c r="DE82" s="506"/>
      <c r="DF82" s="506"/>
      <c r="DG82" s="506"/>
      <c r="DH82" s="507"/>
      <c r="DI82" s="305" t="s">
        <v>4548</v>
      </c>
      <c r="DJ82" s="508"/>
      <c r="DK82" s="508"/>
      <c r="DL82" s="305"/>
      <c r="DM82" s="305"/>
      <c r="DN82" s="305"/>
      <c r="DO82" s="508"/>
      <c r="DP82" s="508"/>
      <c r="DQ82" s="508"/>
      <c r="DR82" s="305" t="s">
        <v>4549</v>
      </c>
      <c r="DS82" s="305" t="s">
        <v>914</v>
      </c>
      <c r="DT82" s="508"/>
      <c r="DU82" s="305"/>
      <c r="DV82" s="508"/>
      <c r="DW82" s="508"/>
      <c r="DX82" s="508"/>
      <c r="DY82" s="508"/>
      <c r="DZ82" s="508"/>
      <c r="EA82" s="305"/>
      <c r="EB82" s="508"/>
      <c r="EC82" s="508"/>
      <c r="ED82" s="287"/>
    </row>
    <row r="83">
      <c r="A83" s="81" t="s">
        <v>4550</v>
      </c>
      <c r="B83" s="82" t="s">
        <v>4551</v>
      </c>
      <c r="C83" s="83" t="s">
        <v>1259</v>
      </c>
      <c r="D83" s="84" t="s">
        <v>1259</v>
      </c>
      <c r="E83" s="85" t="s">
        <v>1259</v>
      </c>
      <c r="F83" s="86" t="s">
        <v>2376</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2145</v>
      </c>
      <c r="U83" s="94" t="s">
        <v>4559</v>
      </c>
      <c r="V83" s="94" t="s">
        <v>4560</v>
      </c>
      <c r="W83" s="92"/>
      <c r="X83" s="88" t="s">
        <v>1467</v>
      </c>
      <c r="Y83" s="102"/>
      <c r="Z83" s="88" t="s">
        <v>468</v>
      </c>
      <c r="AA83" s="88" t="s">
        <v>294</v>
      </c>
      <c r="AB83" s="94" t="s">
        <v>4561</v>
      </c>
      <c r="AC83" s="94" t="s">
        <v>3157</v>
      </c>
      <c r="AD83" s="88" t="s">
        <v>2922</v>
      </c>
      <c r="AE83" s="88" t="s">
        <v>4562</v>
      </c>
      <c r="AF83" s="88" t="s">
        <v>4563</v>
      </c>
      <c r="AG83" s="88" t="s">
        <v>1561</v>
      </c>
      <c r="AH83" s="94" t="s">
        <v>4564</v>
      </c>
      <c r="AI83" s="94" t="s">
        <v>4565</v>
      </c>
      <c r="AJ83" s="94" t="s">
        <v>3639</v>
      </c>
      <c r="AK83" s="94" t="s">
        <v>4566</v>
      </c>
      <c r="AL83" s="97"/>
      <c r="AM83" s="94" t="s">
        <v>186</v>
      </c>
      <c r="AN83" s="94" t="s">
        <v>4567</v>
      </c>
      <c r="AO83" s="94" t="s">
        <v>4568</v>
      </c>
      <c r="AP83" s="94" t="s">
        <v>4569</v>
      </c>
      <c r="AQ83" s="94" t="s">
        <v>4570</v>
      </c>
      <c r="AR83" s="94"/>
      <c r="AS83" s="94" t="s">
        <v>3644</v>
      </c>
      <c r="AT83" s="94" t="s">
        <v>3021</v>
      </c>
      <c r="AU83" s="88" t="s">
        <v>2734</v>
      </c>
      <c r="AV83" s="88" t="s">
        <v>181</v>
      </c>
      <c r="AW83" s="88" t="s">
        <v>638</v>
      </c>
      <c r="AX83" s="94" t="s">
        <v>4571</v>
      </c>
      <c r="AY83" s="94" t="s">
        <v>3310</v>
      </c>
      <c r="AZ83" s="94" t="s">
        <v>4572</v>
      </c>
      <c r="BA83" s="94"/>
      <c r="BB83" s="88" t="s">
        <v>288</v>
      </c>
      <c r="BC83" s="88" t="s">
        <v>4315</v>
      </c>
      <c r="BD83" s="88" t="s">
        <v>4573</v>
      </c>
      <c r="BE83" s="88" t="s">
        <v>3561</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3875</v>
      </c>
      <c r="BU83" s="88" t="s">
        <v>1115</v>
      </c>
      <c r="BV83" s="88" t="s">
        <v>4583</v>
      </c>
      <c r="BW83" s="88" t="s">
        <v>2132</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3329</v>
      </c>
      <c r="CK83" s="94"/>
      <c r="CL83" s="420" t="s">
        <v>4215</v>
      </c>
      <c r="CM83" s="88" t="s">
        <v>4590</v>
      </c>
      <c r="CN83" s="88" t="s">
        <v>4483</v>
      </c>
      <c r="CO83" s="88" t="s">
        <v>1692</v>
      </c>
      <c r="CP83" s="94" t="s">
        <v>4591</v>
      </c>
      <c r="CQ83" s="94" t="s">
        <v>776</v>
      </c>
      <c r="CR83" s="94" t="s">
        <v>2300</v>
      </c>
      <c r="CS83" s="94" t="s">
        <v>4592</v>
      </c>
      <c r="CT83" s="94" t="s">
        <v>944</v>
      </c>
      <c r="CU83" s="92"/>
      <c r="CV83" s="266" t="s">
        <v>4593</v>
      </c>
      <c r="CW83" s="88" t="s">
        <v>2065</v>
      </c>
      <c r="CX83" s="94" t="s">
        <v>2505</v>
      </c>
      <c r="CY83" s="94" t="s">
        <v>3470</v>
      </c>
      <c r="CZ83" s="94" t="s">
        <v>550</v>
      </c>
      <c r="DA83" s="94" t="s">
        <v>4030</v>
      </c>
      <c r="DB83" s="88" t="s">
        <v>4594</v>
      </c>
      <c r="DC83" s="94" t="s">
        <v>362</v>
      </c>
      <c r="DD83" s="94" t="s">
        <v>4595</v>
      </c>
      <c r="DE83" s="94" t="s">
        <v>1851</v>
      </c>
      <c r="DF83" s="94" t="s">
        <v>4596</v>
      </c>
      <c r="DG83" s="94" t="s">
        <v>4597</v>
      </c>
      <c r="DH83" s="94"/>
      <c r="DI83" s="94" t="s">
        <v>4598</v>
      </c>
      <c r="DJ83" s="94" t="s">
        <v>4599</v>
      </c>
      <c r="DK83" s="94" t="s">
        <v>2666</v>
      </c>
      <c r="DL83" s="88" t="s">
        <v>1466</v>
      </c>
      <c r="DM83" s="88" t="s">
        <v>4016</v>
      </c>
      <c r="DN83" s="94" t="s">
        <v>4600</v>
      </c>
      <c r="DO83" s="94" t="s">
        <v>4601</v>
      </c>
      <c r="DP83" s="94" t="s">
        <v>3092</v>
      </c>
      <c r="DQ83" s="94" t="s">
        <v>4224</v>
      </c>
      <c r="DR83" s="88" t="s">
        <v>4602</v>
      </c>
      <c r="DS83" s="88" t="s">
        <v>3546</v>
      </c>
      <c r="DT83" s="88" t="s">
        <v>3795</v>
      </c>
      <c r="DU83" s="94" t="s">
        <v>2113</v>
      </c>
      <c r="DV83" s="94" t="s">
        <v>4603</v>
      </c>
      <c r="DW83" s="88" t="s">
        <v>2929</v>
      </c>
      <c r="DX83" s="94" t="s">
        <v>2229</v>
      </c>
      <c r="DY83" s="94" t="s">
        <v>1971</v>
      </c>
      <c r="DZ83" s="94" t="s">
        <v>2490</v>
      </c>
      <c r="EA83" s="94" t="s">
        <v>1455</v>
      </c>
      <c r="EB83" s="94" t="s">
        <v>1834</v>
      </c>
      <c r="EC83" s="94" t="s">
        <v>2768</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2300</v>
      </c>
      <c r="M84" s="167" t="s">
        <v>4611</v>
      </c>
      <c r="N84" s="167" t="s">
        <v>4612</v>
      </c>
      <c r="O84" s="167" t="s">
        <v>848</v>
      </c>
      <c r="P84" s="167" t="s">
        <v>4066</v>
      </c>
      <c r="Q84" s="242"/>
      <c r="R84" s="167" t="s">
        <v>3756</v>
      </c>
      <c r="S84" s="167" t="s">
        <v>1503</v>
      </c>
      <c r="T84" s="242"/>
      <c r="U84" s="242"/>
      <c r="V84" s="242"/>
      <c r="W84" s="92"/>
      <c r="X84" s="198" t="s">
        <v>3587</v>
      </c>
      <c r="Y84" s="198"/>
      <c r="Z84" s="198" t="s">
        <v>362</v>
      </c>
      <c r="AA84" s="198" t="s">
        <v>2553</v>
      </c>
      <c r="AB84" s="336" t="s">
        <v>4613</v>
      </c>
      <c r="AC84" s="509" t="s">
        <v>4094</v>
      </c>
      <c r="AD84" s="198" t="s">
        <v>4614</v>
      </c>
      <c r="AE84" s="198"/>
      <c r="AF84" s="198" t="s">
        <v>4615</v>
      </c>
      <c r="AG84" s="198" t="s">
        <v>4616</v>
      </c>
      <c r="AH84" s="244"/>
      <c r="AI84" s="244"/>
      <c r="AJ84" s="244"/>
      <c r="AK84" s="198" t="s">
        <v>4617</v>
      </c>
      <c r="AL84" s="97"/>
      <c r="AM84" s="168"/>
      <c r="AN84" s="168" t="s">
        <v>4618</v>
      </c>
      <c r="AO84" s="245"/>
      <c r="AP84" s="168" t="s">
        <v>3131</v>
      </c>
      <c r="AQ84" s="245"/>
      <c r="AR84" s="245"/>
      <c r="AS84" s="245"/>
      <c r="AT84" s="245"/>
      <c r="AU84" s="245"/>
      <c r="AV84" s="168" t="s">
        <v>518</v>
      </c>
      <c r="AW84" s="245"/>
      <c r="AX84" s="245"/>
      <c r="AY84" s="168" t="s">
        <v>1365</v>
      </c>
      <c r="AZ84" s="245"/>
      <c r="BA84" s="245"/>
      <c r="BB84" s="173"/>
      <c r="BC84" s="174" t="s">
        <v>680</v>
      </c>
      <c r="BD84" s="174" t="s">
        <v>2326</v>
      </c>
      <c r="BE84" s="510" t="s">
        <v>4619</v>
      </c>
      <c r="BF84" s="174" t="s">
        <v>1600</v>
      </c>
      <c r="BG84" s="173"/>
      <c r="BH84" s="173"/>
      <c r="BI84" s="174" t="s">
        <v>2326</v>
      </c>
      <c r="BJ84" s="174" t="s">
        <v>4620</v>
      </c>
      <c r="BK84" s="174"/>
      <c r="BL84" s="173"/>
      <c r="BM84" s="173"/>
      <c r="BN84" s="174" t="s">
        <v>4621</v>
      </c>
      <c r="BO84" s="173"/>
      <c r="BP84" s="173"/>
      <c r="BQ84" s="247"/>
      <c r="BR84" s="175" t="s">
        <v>4622</v>
      </c>
      <c r="BS84" s="175" t="s">
        <v>3685</v>
      </c>
      <c r="BT84" s="175" t="s">
        <v>3231</v>
      </c>
      <c r="BU84" s="175" t="s">
        <v>4286</v>
      </c>
      <c r="BV84" s="175" t="s">
        <v>3005</v>
      </c>
      <c r="BW84" s="175" t="s">
        <v>3167</v>
      </c>
      <c r="BX84" s="249"/>
      <c r="BY84" s="175" t="s">
        <v>4623</v>
      </c>
      <c r="BZ84" s="175"/>
      <c r="CA84" s="175" t="s">
        <v>4624</v>
      </c>
      <c r="CB84" s="249"/>
      <c r="CC84" s="249"/>
      <c r="CD84" s="249"/>
      <c r="CE84" s="344" t="s">
        <v>4625</v>
      </c>
      <c r="CF84" s="344"/>
      <c r="CG84" s="177" t="s">
        <v>4626</v>
      </c>
      <c r="CH84" s="177" t="s">
        <v>4627</v>
      </c>
      <c r="CI84" s="177" t="s">
        <v>4628</v>
      </c>
      <c r="CJ84" s="177" t="s">
        <v>4629</v>
      </c>
      <c r="CK84" s="177"/>
      <c r="CL84" s="177"/>
      <c r="CM84" s="177" t="s">
        <v>1659</v>
      </c>
      <c r="CN84" s="177" t="s">
        <v>2720</v>
      </c>
      <c r="CO84" s="177" t="s">
        <v>433</v>
      </c>
      <c r="CP84" s="252"/>
      <c r="CQ84" s="252"/>
      <c r="CR84" s="252"/>
      <c r="CS84" s="252"/>
      <c r="CT84" s="177" t="s">
        <v>4630</v>
      </c>
      <c r="CU84" s="92"/>
      <c r="CV84" s="204" t="s">
        <v>4631</v>
      </c>
      <c r="CW84" s="253"/>
      <c r="CX84" s="204" t="s">
        <v>3994</v>
      </c>
      <c r="CY84" s="204" t="s">
        <v>4632</v>
      </c>
      <c r="CZ84" s="204" t="s">
        <v>4633</v>
      </c>
      <c r="DA84" s="204" t="s">
        <v>929</v>
      </c>
      <c r="DB84" s="204" t="s">
        <v>4634</v>
      </c>
      <c r="DC84" s="204" t="s">
        <v>4104</v>
      </c>
      <c r="DD84" s="253"/>
      <c r="DE84" s="253"/>
      <c r="DF84" s="253"/>
      <c r="DG84" s="204" t="s">
        <v>4635</v>
      </c>
      <c r="DH84" s="204"/>
      <c r="DI84" s="205" t="s">
        <v>4636</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2875</v>
      </c>
      <c r="K85" s="94" t="s">
        <v>3908</v>
      </c>
      <c r="L85" s="94" t="s">
        <v>4641</v>
      </c>
      <c r="M85" s="99"/>
      <c r="N85" s="94" t="s">
        <v>1228</v>
      </c>
      <c r="O85" s="94" t="s">
        <v>2468</v>
      </c>
      <c r="P85" s="94" t="s">
        <v>240</v>
      </c>
      <c r="Q85" s="99"/>
      <c r="R85" s="99"/>
      <c r="S85" s="99"/>
      <c r="T85" s="99"/>
      <c r="U85" s="99"/>
      <c r="V85" s="99"/>
      <c r="W85" s="92"/>
      <c r="X85" s="94" t="s">
        <v>4642</v>
      </c>
      <c r="Y85" s="94"/>
      <c r="Z85" s="94" t="s">
        <v>580</v>
      </c>
      <c r="AA85" s="94" t="s">
        <v>3633</v>
      </c>
      <c r="AB85" s="94" t="s">
        <v>4643</v>
      </c>
      <c r="AC85" s="94" t="s">
        <v>3697</v>
      </c>
      <c r="AD85" s="94" t="s">
        <v>4644</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3608</v>
      </c>
      <c r="CN85" s="94" t="s">
        <v>2173</v>
      </c>
      <c r="CO85" s="94" t="s">
        <v>4544</v>
      </c>
      <c r="CP85" s="99"/>
      <c r="CQ85" s="99"/>
      <c r="CR85" s="99"/>
      <c r="CS85" s="99"/>
      <c r="CT85" s="99"/>
      <c r="CU85" s="92"/>
      <c r="CV85" s="94" t="s">
        <v>4648</v>
      </c>
      <c r="CW85" s="99"/>
      <c r="CX85" s="94" t="s">
        <v>1971</v>
      </c>
      <c r="CY85" s="88" t="s">
        <v>4649</v>
      </c>
      <c r="CZ85" s="94" t="s">
        <v>4650</v>
      </c>
      <c r="DA85" s="94" t="s">
        <v>3388</v>
      </c>
      <c r="DB85" s="94" t="s">
        <v>4651</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3098</v>
      </c>
      <c r="G86" s="104" t="s">
        <v>2376</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3678</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3613</v>
      </c>
      <c r="AC87" s="94" t="s">
        <v>1780</v>
      </c>
      <c r="AD87" s="94" t="s">
        <v>1731</v>
      </c>
      <c r="AE87" s="99"/>
      <c r="AF87" s="94" t="s">
        <v>3147</v>
      </c>
      <c r="AG87" s="99"/>
      <c r="AH87" s="99"/>
      <c r="AI87" s="94"/>
      <c r="AJ87" s="94" t="s">
        <v>3141</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3691</v>
      </c>
      <c r="BO87" s="99"/>
      <c r="BP87" s="99"/>
      <c r="BQ87" s="237"/>
      <c r="BR87" s="94" t="s">
        <v>4671</v>
      </c>
      <c r="BS87" s="94" t="s">
        <v>3685</v>
      </c>
      <c r="BT87" s="94" t="s">
        <v>2307</v>
      </c>
      <c r="BU87" s="94" t="s">
        <v>4672</v>
      </c>
      <c r="BV87" s="94" t="s">
        <v>244</v>
      </c>
      <c r="BW87" s="94" t="s">
        <v>3859</v>
      </c>
      <c r="BX87" s="99"/>
      <c r="BY87" s="94" t="s">
        <v>2452</v>
      </c>
      <c r="BZ87" s="94" t="s">
        <v>4673</v>
      </c>
      <c r="CA87" s="94"/>
      <c r="CB87" s="99"/>
      <c r="CC87" s="94" t="s">
        <v>1480</v>
      </c>
      <c r="CD87" s="94" t="s">
        <v>144</v>
      </c>
      <c r="CE87" s="99"/>
      <c r="CF87" s="237"/>
      <c r="CG87" s="94" t="s">
        <v>3233</v>
      </c>
      <c r="CH87" s="94" t="s">
        <v>510</v>
      </c>
      <c r="CI87" s="515"/>
      <c r="CJ87" s="94" t="s">
        <v>4674</v>
      </c>
      <c r="CK87" s="94"/>
      <c r="CL87" s="94"/>
      <c r="CM87" s="94" t="s">
        <v>4675</v>
      </c>
      <c r="CN87" s="94" t="s">
        <v>2188</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2279</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3685</v>
      </c>
      <c r="I88" s="426"/>
      <c r="J88" s="419" t="s">
        <v>4686</v>
      </c>
      <c r="K88" s="112" t="s">
        <v>1060</v>
      </c>
      <c r="L88" s="112" t="s">
        <v>2200</v>
      </c>
      <c r="M88" s="112" t="s">
        <v>4687</v>
      </c>
      <c r="N88" s="419"/>
      <c r="O88" s="419" t="s">
        <v>108</v>
      </c>
      <c r="P88" s="112" t="s">
        <v>557</v>
      </c>
      <c r="Q88" s="112" t="s">
        <v>4688</v>
      </c>
      <c r="R88" s="112" t="s">
        <v>4010</v>
      </c>
      <c r="S88" s="242"/>
      <c r="T88" s="112" t="s">
        <v>4689</v>
      </c>
      <c r="U88" s="242"/>
      <c r="V88" s="112" t="s">
        <v>4690</v>
      </c>
      <c r="W88" s="92"/>
      <c r="X88" s="117"/>
      <c r="Y88" s="117"/>
      <c r="Z88" s="117" t="s">
        <v>2763</v>
      </c>
      <c r="AA88" s="116" t="s">
        <v>322</v>
      </c>
      <c r="AB88" s="296"/>
      <c r="AC88" s="117" t="s">
        <v>1123</v>
      </c>
      <c r="AD88" s="116" t="s">
        <v>4691</v>
      </c>
      <c r="AE88" s="198" t="s">
        <v>4692</v>
      </c>
      <c r="AF88" s="116" t="s">
        <v>2281</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3"/>
      <c r="BC88" s="353"/>
      <c r="BD88" s="353"/>
      <c r="BE88" s="126" t="s">
        <v>1455</v>
      </c>
      <c r="BF88" s="353"/>
      <c r="BG88" s="126" t="s">
        <v>4695</v>
      </c>
      <c r="BH88" s="173"/>
      <c r="BI88" s="353"/>
      <c r="BJ88" s="173"/>
      <c r="BK88" s="353" t="s">
        <v>4696</v>
      </c>
      <c r="BL88" s="127" t="s">
        <v>4697</v>
      </c>
      <c r="BM88" s="173"/>
      <c r="BN88" s="126" t="s">
        <v>3878</v>
      </c>
      <c r="BO88" s="126" t="s">
        <v>4698</v>
      </c>
      <c r="BP88" s="173"/>
      <c r="BQ88" s="247"/>
      <c r="BR88" s="131"/>
      <c r="BS88" s="131"/>
      <c r="BT88" s="129" t="s">
        <v>4699</v>
      </c>
      <c r="BU88" s="131"/>
      <c r="BV88" s="131"/>
      <c r="BW88" s="131"/>
      <c r="BX88" s="249"/>
      <c r="BY88" s="131" t="s">
        <v>4700</v>
      </c>
      <c r="BZ88" s="131" t="s">
        <v>4157</v>
      </c>
      <c r="CA88" s="131"/>
      <c r="CB88" s="249"/>
      <c r="CC88" s="129" t="s">
        <v>4701</v>
      </c>
      <c r="CD88" s="249"/>
      <c r="CE88" s="249"/>
      <c r="CF88" s="251"/>
      <c r="CG88" s="135" t="s">
        <v>1390</v>
      </c>
      <c r="CH88" s="135" t="s">
        <v>2355</v>
      </c>
      <c r="CI88" s="135" t="s">
        <v>3139</v>
      </c>
      <c r="CJ88" s="136"/>
      <c r="CK88" s="136"/>
      <c r="CL88" s="136"/>
      <c r="CM88" s="136"/>
      <c r="CN88" s="135" t="s">
        <v>1694</v>
      </c>
      <c r="CO88" s="135" t="s">
        <v>3946</v>
      </c>
      <c r="CP88" s="428"/>
      <c r="CQ88" s="252"/>
      <c r="CR88" s="232" t="s">
        <v>4702</v>
      </c>
      <c r="CS88" s="135" t="s">
        <v>2068</v>
      </c>
      <c r="CT88" s="252"/>
      <c r="CU88" s="92"/>
      <c r="CV88" s="285"/>
      <c r="CW88" s="285"/>
      <c r="CX88" s="140" t="s">
        <v>4703</v>
      </c>
      <c r="CY88" s="140" t="s">
        <v>2208</v>
      </c>
      <c r="CZ88" s="285"/>
      <c r="DA88" s="285"/>
      <c r="DB88" s="140" t="s">
        <v>4219</v>
      </c>
      <c r="DC88" s="140" t="s">
        <v>3837</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3873</v>
      </c>
      <c r="H89" s="94" t="s">
        <v>4709</v>
      </c>
      <c r="I89" s="94" t="s">
        <v>4135</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3915</v>
      </c>
      <c r="AA89" s="94" t="s">
        <v>4716</v>
      </c>
      <c r="AB89" s="94" t="s">
        <v>2575</v>
      </c>
      <c r="AC89" s="94" t="s">
        <v>4162</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2196</v>
      </c>
      <c r="AZ89" s="99"/>
      <c r="BA89" s="99"/>
      <c r="BB89" s="94" t="s">
        <v>4717</v>
      </c>
      <c r="BC89" s="94" t="s">
        <v>148</v>
      </c>
      <c r="BD89" s="94" t="s">
        <v>2706</v>
      </c>
      <c r="BE89" s="94" t="s">
        <v>4718</v>
      </c>
      <c r="BF89" s="94" t="s">
        <v>3389</v>
      </c>
      <c r="BG89" s="94"/>
      <c r="BH89" s="99"/>
      <c r="BI89" s="94" t="s">
        <v>1835</v>
      </c>
      <c r="BJ89" s="94" t="s">
        <v>4719</v>
      </c>
      <c r="BK89" s="94"/>
      <c r="BL89" s="94" t="s">
        <v>2536</v>
      </c>
      <c r="BM89" s="94" t="s">
        <v>4720</v>
      </c>
      <c r="BN89" s="94" t="s">
        <v>3691</v>
      </c>
      <c r="BO89" s="99"/>
      <c r="BP89" s="99"/>
      <c r="BQ89" s="237"/>
      <c r="BR89" s="94"/>
      <c r="BS89" s="94" t="s">
        <v>2214</v>
      </c>
      <c r="BT89" s="94" t="s">
        <v>4473</v>
      </c>
      <c r="BU89" s="88" t="s">
        <v>889</v>
      </c>
      <c r="BV89" s="94" t="s">
        <v>4721</v>
      </c>
      <c r="BW89" s="88" t="s">
        <v>162</v>
      </c>
      <c r="BX89" s="94" t="s">
        <v>3410</v>
      </c>
      <c r="BY89" s="94" t="s">
        <v>4722</v>
      </c>
      <c r="BZ89" s="99"/>
      <c r="CA89" s="88" t="s">
        <v>1241</v>
      </c>
      <c r="CB89" s="94" t="s">
        <v>4723</v>
      </c>
      <c r="CC89" s="94" t="s">
        <v>4724</v>
      </c>
      <c r="CD89" s="94" t="s">
        <v>592</v>
      </c>
      <c r="CE89" s="99"/>
      <c r="CF89" s="237"/>
      <c r="CG89" s="94" t="s">
        <v>4725</v>
      </c>
      <c r="CH89" s="94" t="s">
        <v>3338</v>
      </c>
      <c r="CI89" s="94" t="s">
        <v>3529</v>
      </c>
      <c r="CJ89" s="94" t="s">
        <v>4726</v>
      </c>
      <c r="CK89" s="94"/>
      <c r="CL89" s="94"/>
      <c r="CM89" s="94" t="s">
        <v>4727</v>
      </c>
      <c r="CN89" s="94" t="s">
        <v>3842</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2960</v>
      </c>
      <c r="DT89" s="99"/>
      <c r="DU89" s="94" t="s">
        <v>4733</v>
      </c>
      <c r="DV89" s="94" t="s">
        <v>4734</v>
      </c>
      <c r="DW89" s="94" t="s">
        <v>3429</v>
      </c>
      <c r="DX89" s="99"/>
      <c r="DY89" s="99"/>
      <c r="DZ89" s="94" t="s">
        <v>4527</v>
      </c>
      <c r="EA89" s="94" t="s">
        <v>1319</v>
      </c>
      <c r="EB89" s="99"/>
      <c r="EC89" s="99"/>
      <c r="ED89" s="258"/>
    </row>
    <row r="90">
      <c r="A90" s="516" t="s">
        <v>4735</v>
      </c>
      <c r="B90" s="517" t="s">
        <v>4736</v>
      </c>
      <c r="C90" s="518" t="s">
        <v>1259</v>
      </c>
      <c r="D90" s="519" t="s">
        <v>1259</v>
      </c>
      <c r="E90" s="520" t="s">
        <v>1259</v>
      </c>
      <c r="F90" s="521" t="s">
        <v>2993</v>
      </c>
      <c r="G90" s="517" t="s">
        <v>1350</v>
      </c>
      <c r="H90" s="522" t="s">
        <v>4737</v>
      </c>
      <c r="I90" s="523" t="s">
        <v>4738</v>
      </c>
      <c r="J90" s="522" t="s">
        <v>4739</v>
      </c>
      <c r="K90" s="522" t="s">
        <v>2163</v>
      </c>
      <c r="L90" s="522" t="s">
        <v>2941</v>
      </c>
      <c r="M90" s="522" t="s">
        <v>4740</v>
      </c>
      <c r="N90" s="523" t="s">
        <v>4741</v>
      </c>
      <c r="O90" s="522" t="s">
        <v>371</v>
      </c>
      <c r="P90" s="524" t="s">
        <v>4742</v>
      </c>
      <c r="Q90" s="524" t="s">
        <v>4743</v>
      </c>
      <c r="R90" s="524" t="s">
        <v>2524</v>
      </c>
      <c r="S90" s="524" t="s">
        <v>3611</v>
      </c>
      <c r="T90" s="524" t="s">
        <v>1268</v>
      </c>
      <c r="U90" s="524" t="s">
        <v>4744</v>
      </c>
      <c r="V90" s="522" t="s">
        <v>4745</v>
      </c>
      <c r="W90" s="525"/>
      <c r="X90" s="526" t="s">
        <v>2966</v>
      </c>
      <c r="Y90" s="526"/>
      <c r="Z90" s="526" t="s">
        <v>4746</v>
      </c>
      <c r="AA90" s="527" t="s">
        <v>511</v>
      </c>
      <c r="AB90" s="527" t="s">
        <v>631</v>
      </c>
      <c r="AC90" s="526" t="s">
        <v>2298</v>
      </c>
      <c r="AD90" s="527" t="s">
        <v>4747</v>
      </c>
      <c r="AE90" s="526"/>
      <c r="AF90" s="526" t="s">
        <v>4748</v>
      </c>
      <c r="AG90" s="528" t="s">
        <v>4749</v>
      </c>
      <c r="AH90" s="526" t="s">
        <v>3627</v>
      </c>
      <c r="AI90" s="529" t="s">
        <v>1401</v>
      </c>
      <c r="AJ90" s="116" t="s">
        <v>2209</v>
      </c>
      <c r="AK90" s="529" t="s">
        <v>4750</v>
      </c>
      <c r="AL90" s="530"/>
      <c r="AM90" s="531" t="s">
        <v>3437</v>
      </c>
      <c r="AN90" s="531" t="s">
        <v>1306</v>
      </c>
      <c r="AO90" s="531" t="s">
        <v>4751</v>
      </c>
      <c r="AP90" s="532" t="s">
        <v>2997</v>
      </c>
      <c r="AQ90" s="532" t="s">
        <v>134</v>
      </c>
      <c r="AR90" s="532" t="s">
        <v>1861</v>
      </c>
      <c r="AS90" s="531" t="s">
        <v>4752</v>
      </c>
      <c r="AT90" s="532" t="s">
        <v>4753</v>
      </c>
      <c r="AU90" s="532" t="s">
        <v>3155</v>
      </c>
      <c r="AV90" s="533" t="s">
        <v>2537</v>
      </c>
      <c r="AW90" s="531" t="s">
        <v>3271</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2473</v>
      </c>
      <c r="BJ90" s="535" t="s">
        <v>4759</v>
      </c>
      <c r="BK90" s="174"/>
      <c r="BL90" s="537" t="s">
        <v>2500</v>
      </c>
      <c r="BM90" s="538"/>
      <c r="BN90" s="538"/>
      <c r="BO90" s="538"/>
      <c r="BP90" s="538"/>
      <c r="BQ90" s="539"/>
      <c r="BR90" s="540"/>
      <c r="BS90" s="541" t="s">
        <v>4760</v>
      </c>
      <c r="BT90" s="542" t="s">
        <v>4761</v>
      </c>
      <c r="BU90" s="541" t="s">
        <v>2849</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2178</v>
      </c>
      <c r="CM90" s="547" t="s">
        <v>4768</v>
      </c>
      <c r="CN90" s="547" t="s">
        <v>986</v>
      </c>
      <c r="CO90" s="548" t="s">
        <v>3610</v>
      </c>
      <c r="CP90" s="547"/>
      <c r="CQ90" s="548" t="s">
        <v>3277</v>
      </c>
      <c r="CR90" s="548" t="s">
        <v>4769</v>
      </c>
      <c r="CS90" s="549"/>
      <c r="CT90" s="549"/>
      <c r="CU90" s="525"/>
      <c r="CV90" s="550" t="s">
        <v>4575</v>
      </c>
      <c r="CW90" s="551" t="s">
        <v>2142</v>
      </c>
      <c r="CX90" s="552" t="s">
        <v>4770</v>
      </c>
      <c r="CY90" s="551" t="s">
        <v>4771</v>
      </c>
      <c r="CZ90" s="552" t="s">
        <v>4772</v>
      </c>
      <c r="DA90" s="550" t="s">
        <v>2131</v>
      </c>
      <c r="DB90" s="553" t="s">
        <v>4773</v>
      </c>
      <c r="DC90" s="554" t="s">
        <v>1127</v>
      </c>
      <c r="DD90" s="555"/>
      <c r="DE90" s="555"/>
      <c r="DF90" s="555"/>
      <c r="DG90" s="555"/>
      <c r="DH90" s="556"/>
      <c r="DI90" s="557" t="s">
        <v>3909</v>
      </c>
      <c r="DJ90" s="558"/>
      <c r="DK90" s="557" t="s">
        <v>4774</v>
      </c>
      <c r="DL90" s="557"/>
      <c r="DM90" s="559" t="s">
        <v>4775</v>
      </c>
      <c r="DN90" s="557" t="s">
        <v>4776</v>
      </c>
      <c r="DO90" s="557" t="s">
        <v>4777</v>
      </c>
      <c r="DP90" s="557" t="s">
        <v>2014</v>
      </c>
      <c r="DQ90" s="557" t="s">
        <v>4778</v>
      </c>
      <c r="DR90" s="557" t="s">
        <v>4779</v>
      </c>
      <c r="DS90" s="560" t="s">
        <v>4780</v>
      </c>
      <c r="DT90" s="557" t="s">
        <v>3350</v>
      </c>
      <c r="DU90" s="557" t="s">
        <v>4781</v>
      </c>
      <c r="DV90" s="561"/>
      <c r="DW90" s="559" t="s">
        <v>1625</v>
      </c>
      <c r="DX90" s="558"/>
      <c r="DY90" s="559" t="s">
        <v>3126</v>
      </c>
      <c r="DZ90" s="557" t="s">
        <v>2826</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2519</v>
      </c>
      <c r="J91" s="88" t="s">
        <v>2218</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2176</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2217</v>
      </c>
      <c r="BE91" s="88" t="s">
        <v>4792</v>
      </c>
      <c r="BF91" s="88" t="s">
        <v>2166</v>
      </c>
      <c r="BG91" s="99"/>
      <c r="BH91" s="99"/>
      <c r="BI91" s="88" t="s">
        <v>612</v>
      </c>
      <c r="BJ91" s="99"/>
      <c r="BK91" s="88" t="s">
        <v>4793</v>
      </c>
      <c r="BL91" s="88" t="s">
        <v>2611</v>
      </c>
      <c r="BM91" s="99"/>
      <c r="BN91" s="99"/>
      <c r="BO91" s="99"/>
      <c r="BP91" s="99"/>
      <c r="BQ91" s="237"/>
      <c r="BR91" s="88" t="s">
        <v>4794</v>
      </c>
      <c r="BS91" s="88" t="s">
        <v>2241</v>
      </c>
      <c r="BT91" s="88" t="s">
        <v>3647</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3556</v>
      </c>
      <c r="CO91" s="88" t="s">
        <v>2675</v>
      </c>
      <c r="CP91" s="99"/>
      <c r="CQ91" s="99"/>
      <c r="CR91" s="99"/>
      <c r="CS91" s="99"/>
      <c r="CT91" s="99"/>
      <c r="CU91" s="92"/>
      <c r="CV91" s="88" t="s">
        <v>4799</v>
      </c>
      <c r="CW91" s="420" t="str">
        <f>HYPERLINK("https://youtu.be/E3G9EWGMU-8?t=986", "14.55")</f>
        <v>14.55</v>
      </c>
      <c r="CX91" s="88" t="s">
        <v>3525</v>
      </c>
      <c r="CY91" s="88" t="s">
        <v>4800</v>
      </c>
      <c r="CZ91" s="88" t="s">
        <v>625</v>
      </c>
      <c r="DA91" s="99"/>
      <c r="DB91" s="88" t="s">
        <v>4801</v>
      </c>
      <c r="DC91" s="88" t="s">
        <v>3956</v>
      </c>
      <c r="DD91" s="99"/>
      <c r="DE91" s="99"/>
      <c r="DF91" s="99"/>
      <c r="DG91" s="99"/>
      <c r="DH91" s="237"/>
      <c r="DI91" s="88" t="s">
        <v>2381</v>
      </c>
      <c r="DJ91" s="99"/>
      <c r="DK91" s="99"/>
      <c r="DL91" s="99"/>
      <c r="DM91" s="88" t="s">
        <v>530</v>
      </c>
      <c r="DN91" s="99"/>
      <c r="DO91" s="99"/>
      <c r="DP91" s="99"/>
      <c r="DQ91" s="99"/>
      <c r="DR91" s="88" t="s">
        <v>2874</v>
      </c>
      <c r="DS91" s="88" t="s">
        <v>2535</v>
      </c>
      <c r="DT91" s="99"/>
      <c r="DU91" s="99"/>
      <c r="DV91" s="99"/>
      <c r="DW91" s="99"/>
      <c r="DX91" s="99"/>
      <c r="DY91" s="99"/>
      <c r="DZ91" s="99"/>
      <c r="EA91" s="94" t="s">
        <v>4802</v>
      </c>
      <c r="EB91" s="88" t="s">
        <v>2802</v>
      </c>
      <c r="EC91" s="99"/>
      <c r="ED91" s="98" t="s">
        <v>1720</v>
      </c>
    </row>
    <row r="92">
      <c r="A92" s="166" t="s">
        <v>4803</v>
      </c>
      <c r="B92" s="104" t="s">
        <v>4804</v>
      </c>
      <c r="C92" s="105" t="s">
        <v>1259</v>
      </c>
      <c r="D92" s="106" t="s">
        <v>1259</v>
      </c>
      <c r="E92" s="107" t="s">
        <v>1259</v>
      </c>
      <c r="F92" s="108" t="s">
        <v>3872</v>
      </c>
      <c r="G92" s="104" t="s">
        <v>1879</v>
      </c>
      <c r="H92" s="167" t="s">
        <v>3467</v>
      </c>
      <c r="I92" s="167" t="s">
        <v>4805</v>
      </c>
      <c r="J92" s="167" t="s">
        <v>1365</v>
      </c>
      <c r="K92" s="167" t="s">
        <v>4610</v>
      </c>
      <c r="L92" s="167" t="s">
        <v>4806</v>
      </c>
      <c r="M92" s="242"/>
      <c r="N92" s="167" t="s">
        <v>2243</v>
      </c>
      <c r="O92" s="167" t="s">
        <v>4421</v>
      </c>
      <c r="P92" s="167" t="s">
        <v>4807</v>
      </c>
      <c r="Q92" s="167" t="s">
        <v>2819</v>
      </c>
      <c r="R92" s="242"/>
      <c r="S92" s="167" t="s">
        <v>196</v>
      </c>
      <c r="T92" s="242"/>
      <c r="U92" s="242"/>
      <c r="V92" s="167" t="s">
        <v>4808</v>
      </c>
      <c r="W92" s="92"/>
      <c r="X92" s="198" t="s">
        <v>4809</v>
      </c>
      <c r="Y92" s="198"/>
      <c r="Z92" s="198" t="s">
        <v>4810</v>
      </c>
      <c r="AA92" s="198" t="s">
        <v>240</v>
      </c>
      <c r="AB92" s="198" t="s">
        <v>4811</v>
      </c>
      <c r="AC92" s="198" t="s">
        <v>4812</v>
      </c>
      <c r="AD92" s="198" t="s">
        <v>3008</v>
      </c>
      <c r="AE92" s="198" t="s">
        <v>4487</v>
      </c>
      <c r="AF92" s="198" t="s">
        <v>1383</v>
      </c>
      <c r="AG92" s="198" t="s">
        <v>4382</v>
      </c>
      <c r="AH92" s="198" t="s">
        <v>1341</v>
      </c>
      <c r="AI92" s="198"/>
      <c r="AJ92" s="116" t="s">
        <v>4813</v>
      </c>
      <c r="AK92" s="198" t="s">
        <v>4814</v>
      </c>
      <c r="AL92" s="97"/>
      <c r="AM92" s="168" t="s">
        <v>3736</v>
      </c>
      <c r="AN92" s="168" t="s">
        <v>390</v>
      </c>
      <c r="AO92" s="168" t="s">
        <v>4815</v>
      </c>
      <c r="AP92" s="168" t="s">
        <v>4816</v>
      </c>
      <c r="AQ92" s="168" t="s">
        <v>1571</v>
      </c>
      <c r="AR92" s="168"/>
      <c r="AS92" s="168" t="s">
        <v>1529</v>
      </c>
      <c r="AT92" s="168" t="s">
        <v>1816</v>
      </c>
      <c r="AU92" s="168" t="s">
        <v>2482</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3354</v>
      </c>
      <c r="BO92" s="174" t="s">
        <v>2302</v>
      </c>
      <c r="BP92" s="174" t="s">
        <v>4824</v>
      </c>
      <c r="BQ92" s="174"/>
      <c r="BR92" s="249"/>
      <c r="BS92" s="249"/>
      <c r="BT92" s="175" t="s">
        <v>4825</v>
      </c>
      <c r="BU92" s="175" t="s">
        <v>2167</v>
      </c>
      <c r="BV92" s="175" t="s">
        <v>4826</v>
      </c>
      <c r="BW92" s="175" t="s">
        <v>2990</v>
      </c>
      <c r="BX92" s="249"/>
      <c r="BY92" s="175" t="s">
        <v>4827</v>
      </c>
      <c r="BZ92" s="249"/>
      <c r="CA92" s="175" t="s">
        <v>1038</v>
      </c>
      <c r="CB92" s="175" t="s">
        <v>4828</v>
      </c>
      <c r="CC92" s="175" t="s">
        <v>671</v>
      </c>
      <c r="CD92" s="175" t="s">
        <v>4147</v>
      </c>
      <c r="CE92" s="129" t="s">
        <v>4829</v>
      </c>
      <c r="CF92" s="299"/>
      <c r="CG92" s="177" t="s">
        <v>4830</v>
      </c>
      <c r="CH92" s="177" t="s">
        <v>1962</v>
      </c>
      <c r="CI92" s="252"/>
      <c r="CJ92" s="252"/>
      <c r="CK92" s="252"/>
      <c r="CL92" s="252" t="s">
        <v>3240</v>
      </c>
      <c r="CM92" s="252"/>
      <c r="CN92" s="177" t="s">
        <v>4831</v>
      </c>
      <c r="CO92" s="177" t="s">
        <v>3418</v>
      </c>
      <c r="CP92" s="252"/>
      <c r="CQ92" s="177" t="s">
        <v>4080</v>
      </c>
      <c r="CR92" s="252"/>
      <c r="CS92" s="252"/>
      <c r="CT92" s="135" t="s">
        <v>4832</v>
      </c>
      <c r="CU92" s="92"/>
      <c r="CV92" s="204" t="s">
        <v>2632</v>
      </c>
      <c r="CW92" s="140" t="s">
        <v>2248</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3962</v>
      </c>
      <c r="DP92" s="205" t="s">
        <v>3186</v>
      </c>
      <c r="DQ92" s="205" t="s">
        <v>2293</v>
      </c>
      <c r="DR92" s="205" t="s">
        <v>1105</v>
      </c>
      <c r="DS92" s="255"/>
      <c r="DT92" s="205" t="s">
        <v>4839</v>
      </c>
      <c r="DU92" s="205" t="s">
        <v>4840</v>
      </c>
      <c r="DV92" s="205" t="s">
        <v>4841</v>
      </c>
      <c r="DW92" s="205" t="s">
        <v>4842</v>
      </c>
      <c r="DX92" s="205" t="s">
        <v>1912</v>
      </c>
      <c r="DY92" s="205" t="s">
        <v>1313</v>
      </c>
      <c r="DZ92" s="205" t="s">
        <v>3575</v>
      </c>
      <c r="EA92" s="205" t="s">
        <v>3709</v>
      </c>
      <c r="EB92" s="205" t="s">
        <v>4843</v>
      </c>
      <c r="EC92" s="205" t="s">
        <v>1585</v>
      </c>
      <c r="ED92" s="287" t="s">
        <v>4844</v>
      </c>
    </row>
    <row r="93">
      <c r="A93" s="563" t="s">
        <v>4845</v>
      </c>
      <c r="B93" s="82" t="s">
        <v>4846</v>
      </c>
      <c r="C93" s="83" t="s">
        <v>1259</v>
      </c>
      <c r="D93" s="84" t="s">
        <v>1259</v>
      </c>
      <c r="E93" s="85" t="s">
        <v>1259</v>
      </c>
      <c r="F93" s="86" t="s">
        <v>221</v>
      </c>
      <c r="G93" s="82" t="s">
        <v>4847</v>
      </c>
      <c r="H93" s="102" t="s">
        <v>4131</v>
      </c>
      <c r="I93" s="95" t="s">
        <v>4848</v>
      </c>
      <c r="J93" s="88" t="s">
        <v>4849</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4850</v>
      </c>
      <c r="AG93" s="102" t="s">
        <v>3000</v>
      </c>
      <c r="AH93" s="99"/>
      <c r="AI93" s="99"/>
      <c r="AJ93" s="102"/>
      <c r="AK93" s="99"/>
      <c r="AL93" s="97"/>
      <c r="AM93" s="102"/>
      <c r="AN93" s="88" t="s">
        <v>1830</v>
      </c>
      <c r="AO93" s="99"/>
      <c r="AP93" s="99"/>
      <c r="AQ93" s="94"/>
      <c r="AR93" s="94"/>
      <c r="AS93" s="99"/>
      <c r="AT93" s="99"/>
      <c r="AU93" s="102"/>
      <c r="AV93" s="102" t="s">
        <v>1245</v>
      </c>
      <c r="AW93" s="102" t="s">
        <v>2173</v>
      </c>
      <c r="AX93" s="99"/>
      <c r="AY93" s="99"/>
      <c r="AZ93" s="99"/>
      <c r="BA93" s="99"/>
      <c r="BB93" s="102"/>
      <c r="BC93" s="102"/>
      <c r="BD93" s="102" t="s">
        <v>1083</v>
      </c>
      <c r="BE93" s="102"/>
      <c r="BF93" s="102"/>
      <c r="BG93" s="102"/>
      <c r="BH93" s="99"/>
      <c r="BI93" s="102" t="s">
        <v>2355</v>
      </c>
      <c r="BJ93" s="99"/>
      <c r="BK93" s="102"/>
      <c r="BL93" s="102"/>
      <c r="BM93" s="99"/>
      <c r="BN93" s="94" t="s">
        <v>2895</v>
      </c>
      <c r="BO93" s="102"/>
      <c r="BP93" s="99"/>
      <c r="BQ93" s="237"/>
      <c r="BR93" s="88" t="s">
        <v>156</v>
      </c>
      <c r="BS93" s="88" t="s">
        <v>373</v>
      </c>
      <c r="BT93" s="88" t="s">
        <v>1481</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2356</v>
      </c>
      <c r="CO93" s="102" t="s">
        <v>4859</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3115</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2773</v>
      </c>
      <c r="G94" s="104" t="s">
        <v>2344</v>
      </c>
      <c r="H94" s="242"/>
      <c r="I94" s="242"/>
      <c r="J94" s="167" t="s">
        <v>4863</v>
      </c>
      <c r="K94" s="167" t="s">
        <v>1068</v>
      </c>
      <c r="L94" s="167" t="s">
        <v>4864</v>
      </c>
      <c r="M94" s="167" t="s">
        <v>4865</v>
      </c>
      <c r="N94" s="167" t="s">
        <v>4866</v>
      </c>
      <c r="O94" s="167" t="s">
        <v>2797</v>
      </c>
      <c r="P94" s="112" t="s">
        <v>3104</v>
      </c>
      <c r="Q94" s="242"/>
      <c r="R94" s="242"/>
      <c r="S94" s="242"/>
      <c r="T94" s="242"/>
      <c r="U94" s="242"/>
      <c r="V94" s="167" t="s">
        <v>4867</v>
      </c>
      <c r="W94" s="92"/>
      <c r="X94" s="296" t="s">
        <v>4868</v>
      </c>
      <c r="Y94" s="198"/>
      <c r="Z94" s="198" t="s">
        <v>1077</v>
      </c>
      <c r="AA94" s="116" t="s">
        <v>4455</v>
      </c>
      <c r="AB94" s="116" t="s">
        <v>4869</v>
      </c>
      <c r="AC94" s="116" t="s">
        <v>2336</v>
      </c>
      <c r="AD94" s="296" t="s">
        <v>4342</v>
      </c>
      <c r="AE94" s="198"/>
      <c r="AF94" s="197" t="s">
        <v>3500</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2217</v>
      </c>
      <c r="BE94" s="126" t="s">
        <v>378</v>
      </c>
      <c r="BF94" s="174" t="s">
        <v>1231</v>
      </c>
      <c r="BG94" s="173"/>
      <c r="BH94" s="173"/>
      <c r="BI94" s="303" t="s">
        <v>2696</v>
      </c>
      <c r="BJ94" s="173"/>
      <c r="BK94" s="174" t="s">
        <v>4873</v>
      </c>
      <c r="BL94" s="173"/>
      <c r="BM94" s="174"/>
      <c r="BN94" s="174" t="s">
        <v>3277</v>
      </c>
      <c r="BO94" s="174" t="s">
        <v>4495</v>
      </c>
      <c r="BP94" s="173"/>
      <c r="BQ94" s="247"/>
      <c r="BR94" s="249"/>
      <c r="BS94" s="175" t="s">
        <v>2237</v>
      </c>
      <c r="BT94" s="128" t="s">
        <v>3690</v>
      </c>
      <c r="BU94" s="175" t="s">
        <v>2084</v>
      </c>
      <c r="BV94" s="175" t="s">
        <v>4874</v>
      </c>
      <c r="BW94" s="175" t="s">
        <v>2990</v>
      </c>
      <c r="BX94" s="249"/>
      <c r="BY94" s="249"/>
      <c r="BZ94" s="249"/>
      <c r="CA94" s="129" t="s">
        <v>4765</v>
      </c>
      <c r="CB94" s="129" t="s">
        <v>4875</v>
      </c>
      <c r="CC94" s="249"/>
      <c r="CD94" s="129" t="s">
        <v>3172</v>
      </c>
      <c r="CE94" s="175" t="s">
        <v>4876</v>
      </c>
      <c r="CF94" s="175"/>
      <c r="CG94" s="177" t="s">
        <v>4877</v>
      </c>
      <c r="CH94" s="135" t="s">
        <v>296</v>
      </c>
      <c r="CI94" s="177" t="s">
        <v>1666</v>
      </c>
      <c r="CJ94" s="177" t="s">
        <v>4878</v>
      </c>
      <c r="CK94" s="177"/>
      <c r="CL94" s="177"/>
      <c r="CM94" s="252"/>
      <c r="CN94" s="177" t="s">
        <v>4686</v>
      </c>
      <c r="CO94" s="135" t="s">
        <v>2675</v>
      </c>
      <c r="CP94" s="252"/>
      <c r="CQ94" s="177"/>
      <c r="CR94" s="252"/>
      <c r="CS94" s="252"/>
      <c r="CT94" s="177" t="s">
        <v>4879</v>
      </c>
      <c r="CU94" s="92"/>
      <c r="CV94" s="204" t="s">
        <v>4744</v>
      </c>
      <c r="CW94" s="253"/>
      <c r="CX94" s="301" t="s">
        <v>1602</v>
      </c>
      <c r="CY94" s="204" t="s">
        <v>4435</v>
      </c>
      <c r="CZ94" s="204" t="s">
        <v>4880</v>
      </c>
      <c r="DA94" s="204" t="s">
        <v>4881</v>
      </c>
      <c r="DB94" s="301" t="s">
        <v>4678</v>
      </c>
      <c r="DC94" s="204" t="s">
        <v>4104</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3908</v>
      </c>
      <c r="L95" s="88" t="s">
        <v>2949</v>
      </c>
      <c r="M95" s="88" t="s">
        <v>3445</v>
      </c>
      <c r="N95" s="88" t="s">
        <v>4893</v>
      </c>
      <c r="O95" s="88" t="s">
        <v>4267</v>
      </c>
      <c r="P95" s="88" t="s">
        <v>4894</v>
      </c>
      <c r="Q95" s="88" t="s">
        <v>4895</v>
      </c>
      <c r="R95" s="99"/>
      <c r="S95" s="88" t="s">
        <v>3074</v>
      </c>
      <c r="T95" s="88" t="s">
        <v>4896</v>
      </c>
      <c r="U95" s="99"/>
      <c r="V95" s="94" t="s">
        <v>4897</v>
      </c>
      <c r="W95" s="92"/>
      <c r="X95" s="88" t="s">
        <v>1659</v>
      </c>
      <c r="Y95" s="99"/>
      <c r="Z95" s="99"/>
      <c r="AA95" s="88" t="s">
        <v>993</v>
      </c>
      <c r="AB95" s="162" t="s">
        <v>4898</v>
      </c>
      <c r="AC95" s="88" t="s">
        <v>1481</v>
      </c>
      <c r="AD95" s="94" t="s">
        <v>2881</v>
      </c>
      <c r="AE95" s="99"/>
      <c r="AF95" s="88" t="s">
        <v>3500</v>
      </c>
      <c r="AG95" s="88" t="s">
        <v>4899</v>
      </c>
      <c r="AH95" s="99"/>
      <c r="AI95" s="94" t="s">
        <v>2928</v>
      </c>
      <c r="AJ95" s="94" t="s">
        <v>758</v>
      </c>
      <c r="AK95" s="99"/>
      <c r="AL95" s="97"/>
      <c r="AM95" s="94" t="s">
        <v>4900</v>
      </c>
      <c r="AN95" s="94" t="s">
        <v>4901</v>
      </c>
      <c r="AO95" s="99"/>
      <c r="AP95" s="94" t="s">
        <v>4902</v>
      </c>
      <c r="AQ95" s="99"/>
      <c r="AR95" s="99"/>
      <c r="AS95" s="99"/>
      <c r="AT95" s="94" t="s">
        <v>3226</v>
      </c>
      <c r="AU95" s="88" t="s">
        <v>3481</v>
      </c>
      <c r="AV95" s="88" t="s">
        <v>3180</v>
      </c>
      <c r="AW95" s="88" t="s">
        <v>4903</v>
      </c>
      <c r="AX95" s="99"/>
      <c r="AY95" s="88" t="s">
        <v>4296</v>
      </c>
      <c r="AZ95" s="99"/>
      <c r="BA95" s="99"/>
      <c r="BB95" s="94" t="s">
        <v>2090</v>
      </c>
      <c r="BC95" s="94" t="s">
        <v>2827</v>
      </c>
      <c r="BD95" s="94" t="s">
        <v>1835</v>
      </c>
      <c r="BE95" s="88" t="s">
        <v>2422</v>
      </c>
      <c r="BF95" s="88" t="s">
        <v>4644</v>
      </c>
      <c r="BG95" s="99"/>
      <c r="BH95" s="99"/>
      <c r="BI95" s="88" t="s">
        <v>2930</v>
      </c>
      <c r="BJ95" s="99"/>
      <c r="BK95" s="88" t="s">
        <v>4904</v>
      </c>
      <c r="BL95" s="88" t="s">
        <v>2769</v>
      </c>
      <c r="BM95" s="99"/>
      <c r="BN95" s="88" t="s">
        <v>2490</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4074</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2327</v>
      </c>
      <c r="DD95" s="99"/>
      <c r="DE95" s="94" t="s">
        <v>4918</v>
      </c>
      <c r="DF95" s="88" t="s">
        <v>4919</v>
      </c>
      <c r="DG95" s="99"/>
      <c r="DH95" s="237"/>
      <c r="DI95" s="99"/>
      <c r="DJ95" s="99"/>
      <c r="DK95" s="99"/>
      <c r="DL95" s="99"/>
      <c r="DM95" s="99"/>
      <c r="DN95" s="99"/>
      <c r="DO95" s="88" t="s">
        <v>1192</v>
      </c>
      <c r="DP95" s="94" t="s">
        <v>3378</v>
      </c>
      <c r="DQ95" s="94" t="s">
        <v>4859</v>
      </c>
      <c r="DR95" s="99"/>
      <c r="DS95" s="99"/>
      <c r="DT95" s="94" t="s">
        <v>2925</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3872</v>
      </c>
      <c r="G96" s="104" t="s">
        <v>1878</v>
      </c>
      <c r="H96" s="242"/>
      <c r="I96" s="242"/>
      <c r="J96" s="242"/>
      <c r="K96" s="112" t="s">
        <v>2876</v>
      </c>
      <c r="L96" s="167" t="s">
        <v>4649</v>
      </c>
      <c r="M96" s="112" t="s">
        <v>4924</v>
      </c>
      <c r="N96" s="242"/>
      <c r="O96" s="167" t="s">
        <v>928</v>
      </c>
      <c r="P96" s="167" t="s">
        <v>2553</v>
      </c>
      <c r="Q96" s="242"/>
      <c r="R96" s="242"/>
      <c r="S96" s="242"/>
      <c r="T96" s="242"/>
      <c r="U96" s="242"/>
      <c r="V96" s="242"/>
      <c r="W96" s="92"/>
      <c r="X96" s="198" t="s">
        <v>4925</v>
      </c>
      <c r="Y96" s="198"/>
      <c r="Z96" s="198" t="s">
        <v>2814</v>
      </c>
      <c r="AA96" s="244"/>
      <c r="AB96" s="198" t="s">
        <v>3088</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4179</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3330</v>
      </c>
      <c r="BZ96" s="175" t="s">
        <v>4930</v>
      </c>
      <c r="CA96" s="175" t="s">
        <v>4931</v>
      </c>
      <c r="CB96" s="249"/>
      <c r="CC96" s="249"/>
      <c r="CD96" s="249"/>
      <c r="CE96" s="249"/>
      <c r="CF96" s="251"/>
      <c r="CG96" s="135" t="s">
        <v>171</v>
      </c>
      <c r="CH96" s="177" t="s">
        <v>891</v>
      </c>
      <c r="CI96" s="252"/>
      <c r="CJ96" s="135" t="s">
        <v>4932</v>
      </c>
      <c r="CK96" s="262"/>
      <c r="CL96" s="262"/>
      <c r="CM96" s="177" t="s">
        <v>3712</v>
      </c>
      <c r="CN96" s="177" t="s">
        <v>1125</v>
      </c>
      <c r="CO96" s="252"/>
      <c r="CP96" s="135" t="s">
        <v>4933</v>
      </c>
      <c r="CQ96" s="252"/>
      <c r="CR96" s="252"/>
      <c r="CS96" s="252"/>
      <c r="CT96" s="252"/>
      <c r="CU96" s="92"/>
      <c r="CV96" s="204" t="s">
        <v>1785</v>
      </c>
      <c r="CW96" s="253"/>
      <c r="CX96" s="204" t="s">
        <v>2173</v>
      </c>
      <c r="CY96" s="253"/>
      <c r="CZ96" s="204" t="s">
        <v>4934</v>
      </c>
      <c r="DA96" s="204" t="s">
        <v>1841</v>
      </c>
      <c r="DB96" s="204" t="s">
        <v>2250</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2993</v>
      </c>
      <c r="G97" s="82" t="s">
        <v>1633</v>
      </c>
      <c r="H97" s="94" t="s">
        <v>3278</v>
      </c>
      <c r="I97" s="94" t="s">
        <v>4938</v>
      </c>
      <c r="J97" s="94" t="s">
        <v>4939</v>
      </c>
      <c r="K97" s="266" t="s">
        <v>2876</v>
      </c>
      <c r="L97" s="88" t="s">
        <v>4940</v>
      </c>
      <c r="M97" s="99"/>
      <c r="N97" s="99"/>
      <c r="O97" s="99"/>
      <c r="P97" s="88" t="s">
        <v>2553</v>
      </c>
      <c r="Q97" s="99"/>
      <c r="R97" s="99"/>
      <c r="S97" s="88" t="s">
        <v>4941</v>
      </c>
      <c r="T97" s="99"/>
      <c r="U97" s="99"/>
      <c r="V97" s="88" t="s">
        <v>4942</v>
      </c>
      <c r="W97" s="92"/>
      <c r="X97" s="88" t="s">
        <v>4642</v>
      </c>
      <c r="Y97" s="102"/>
      <c r="Z97" s="88" t="s">
        <v>2202</v>
      </c>
      <c r="AA97" s="88" t="s">
        <v>4384</v>
      </c>
      <c r="AB97" s="88" t="s">
        <v>4943</v>
      </c>
      <c r="AC97" s="88" t="s">
        <v>2173</v>
      </c>
      <c r="AD97" s="99"/>
      <c r="AE97" s="99"/>
      <c r="AF97" s="99"/>
      <c r="AG97" s="88" t="s">
        <v>3854</v>
      </c>
      <c r="AH97" s="99"/>
      <c r="AI97" s="99"/>
      <c r="AJ97" s="99"/>
      <c r="AK97" s="99"/>
      <c r="AL97" s="97"/>
      <c r="AM97" s="99"/>
      <c r="AN97" s="99"/>
      <c r="AO97" s="99"/>
      <c r="AP97" s="88" t="s">
        <v>4944</v>
      </c>
      <c r="AQ97" s="99"/>
      <c r="AR97" s="88" t="s">
        <v>135</v>
      </c>
      <c r="AS97" s="99"/>
      <c r="AT97" s="99"/>
      <c r="AU97" s="99"/>
      <c r="AV97" s="99"/>
      <c r="AW97" s="88" t="s">
        <v>3256</v>
      </c>
      <c r="AX97" s="99"/>
      <c r="AY97" s="99"/>
      <c r="AZ97" s="99"/>
      <c r="BA97" s="99"/>
      <c r="BB97" s="99"/>
      <c r="BC97" s="94" t="s">
        <v>4464</v>
      </c>
      <c r="BD97" s="88" t="s">
        <v>2222</v>
      </c>
      <c r="BE97" s="88" t="s">
        <v>4118</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3717</v>
      </c>
      <c r="I98" s="293" t="s">
        <v>3653</v>
      </c>
      <c r="J98" s="293" t="s">
        <v>2113</v>
      </c>
      <c r="K98" s="112" t="s">
        <v>1951</v>
      </c>
      <c r="L98" s="293" t="s">
        <v>1016</v>
      </c>
      <c r="M98" s="112" t="s">
        <v>4959</v>
      </c>
      <c r="N98" s="293" t="s">
        <v>4960</v>
      </c>
      <c r="O98" s="293" t="s">
        <v>2422</v>
      </c>
      <c r="P98" s="293" t="s">
        <v>3104</v>
      </c>
      <c r="Q98" s="293" t="s">
        <v>4961</v>
      </c>
      <c r="R98" s="112" t="s">
        <v>3254</v>
      </c>
      <c r="S98" s="112" t="s">
        <v>4817</v>
      </c>
      <c r="T98" s="242"/>
      <c r="U98" s="112" t="s">
        <v>681</v>
      </c>
      <c r="V98" s="112" t="s">
        <v>4962</v>
      </c>
      <c r="W98" s="92"/>
      <c r="X98" s="296" t="s">
        <v>3023</v>
      </c>
      <c r="Y98" s="296"/>
      <c r="Z98" s="296" t="s">
        <v>4963</v>
      </c>
      <c r="AA98" s="296" t="s">
        <v>404</v>
      </c>
      <c r="AB98" s="296" t="s">
        <v>2162</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1500</v>
      </c>
      <c r="AZ98" s="245"/>
      <c r="BA98" s="245"/>
      <c r="BB98" s="303" t="s">
        <v>364</v>
      </c>
      <c r="BC98" s="126" t="s">
        <v>4974</v>
      </c>
      <c r="BD98" s="303" t="s">
        <v>2792</v>
      </c>
      <c r="BE98" s="303" t="s">
        <v>4975</v>
      </c>
      <c r="BF98" s="126" t="s">
        <v>3308</v>
      </c>
      <c r="BG98" s="126" t="s">
        <v>4976</v>
      </c>
      <c r="BH98" s="126" t="s">
        <v>2474</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3825</v>
      </c>
      <c r="CJ98" s="177" t="s">
        <v>4990</v>
      </c>
      <c r="CK98" s="177"/>
      <c r="CL98" s="571" t="s">
        <v>4991</v>
      </c>
      <c r="CM98" s="177" t="s">
        <v>4992</v>
      </c>
      <c r="CN98" s="135" t="s">
        <v>1436</v>
      </c>
      <c r="CO98" s="135" t="s">
        <v>3610</v>
      </c>
      <c r="CP98" s="252"/>
      <c r="CQ98" s="252"/>
      <c r="CR98" s="252"/>
      <c r="CS98" s="252"/>
      <c r="CT98" s="135" t="s">
        <v>4993</v>
      </c>
      <c r="CU98" s="92"/>
      <c r="CV98" s="140" t="s">
        <v>1820</v>
      </c>
      <c r="CW98" s="301" t="s">
        <v>4019</v>
      </c>
      <c r="CX98" s="301" t="s">
        <v>4363</v>
      </c>
      <c r="CY98" s="301" t="s">
        <v>2943</v>
      </c>
      <c r="CZ98" s="140" t="s">
        <v>4994</v>
      </c>
      <c r="DA98" s="301" t="s">
        <v>2161</v>
      </c>
      <c r="DB98" s="301" t="s">
        <v>4995</v>
      </c>
      <c r="DC98" s="301" t="s">
        <v>2892</v>
      </c>
      <c r="DD98" s="253"/>
      <c r="DE98" s="253"/>
      <c r="DF98" s="253"/>
      <c r="DG98" s="140" t="s">
        <v>478</v>
      </c>
      <c r="DH98" s="140"/>
      <c r="DI98" s="205" t="s">
        <v>1823</v>
      </c>
      <c r="DJ98" s="255"/>
      <c r="DK98" s="255"/>
      <c r="DL98" s="255"/>
      <c r="DM98" s="179" t="s">
        <v>179</v>
      </c>
      <c r="DN98" s="145" t="s">
        <v>4223</v>
      </c>
      <c r="DO98" s="255"/>
      <c r="DP98" s="255"/>
      <c r="DQ98" s="255"/>
      <c r="DR98" s="205" t="s">
        <v>2855</v>
      </c>
      <c r="DS98" s="205" t="s">
        <v>2931</v>
      </c>
      <c r="DT98" s="255"/>
      <c r="DU98" s="145" t="s">
        <v>2157</v>
      </c>
      <c r="DV98" s="255"/>
      <c r="DW98" s="205" t="s">
        <v>897</v>
      </c>
      <c r="DX98" s="255"/>
      <c r="DY98" s="145" t="s">
        <v>3030</v>
      </c>
      <c r="DZ98" s="205" t="s">
        <v>2032</v>
      </c>
      <c r="EA98" s="255"/>
      <c r="EB98" s="255"/>
      <c r="EC98" s="255"/>
      <c r="ED98" s="142" t="s">
        <v>2543</v>
      </c>
    </row>
    <row r="99">
      <c r="A99" s="572" t="s">
        <v>4996</v>
      </c>
      <c r="B99" s="447" t="s">
        <v>4997</v>
      </c>
      <c r="C99" s="448" t="s">
        <v>1259</v>
      </c>
      <c r="D99" s="449" t="s">
        <v>1259</v>
      </c>
      <c r="E99" s="450" t="s">
        <v>1259</v>
      </c>
      <c r="F99" s="451" t="s">
        <v>3872</v>
      </c>
      <c r="G99" s="447" t="s">
        <v>3382</v>
      </c>
      <c r="H99" s="315"/>
      <c r="I99" s="315"/>
      <c r="J99" s="315"/>
      <c r="K99" s="452" t="s">
        <v>1638</v>
      </c>
      <c r="L99" s="317"/>
      <c r="M99" s="315"/>
      <c r="N99" s="573" t="s">
        <v>4998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4999</v>
      </c>
      <c r="AB99" s="317" t="s">
        <v>5000</v>
      </c>
      <c r="AC99" s="574" t="s">
        <v>5001</v>
      </c>
      <c r="AD99" s="315"/>
      <c r="AE99" s="315"/>
      <c r="AF99" s="573" t="s">
        <v>760</v>
      </c>
      <c r="AG99" s="574" t="s">
        <v>247</v>
      </c>
      <c r="AH99" s="315"/>
      <c r="AI99" s="315"/>
      <c r="AJ99" s="315"/>
      <c r="AK99" s="315"/>
      <c r="AL99" s="159"/>
      <c r="AM99" s="315"/>
      <c r="AN99" s="315"/>
      <c r="AO99" s="315"/>
      <c r="AP99" s="315"/>
      <c r="AQ99" s="315"/>
      <c r="AR99" s="315"/>
      <c r="AS99" s="315"/>
      <c r="AT99" s="315"/>
      <c r="AU99" s="317" t="s">
        <v>2397</v>
      </c>
      <c r="AV99" s="317" t="s">
        <v>5002</v>
      </c>
      <c r="AW99" s="315"/>
      <c r="AX99" s="315"/>
      <c r="AY99" s="315"/>
      <c r="AZ99" s="315"/>
      <c r="BA99" s="315"/>
      <c r="BB99" s="315"/>
      <c r="BC99" s="317"/>
      <c r="BD99" s="317"/>
      <c r="BE99" s="317"/>
      <c r="BF99" s="574" t="s">
        <v>3278</v>
      </c>
      <c r="BG99" s="315"/>
      <c r="BH99" s="315"/>
      <c r="BI99" s="574" t="s">
        <v>1873</v>
      </c>
      <c r="BJ99" s="315"/>
      <c r="BK99" s="315"/>
      <c r="BL99" s="156" t="str">
        <f>HYPERLINK("https://clips.twitch.tv/LitigiousAlluringClintPeoplesChamp","12.27")</f>
        <v>12.27</v>
      </c>
      <c r="BM99" s="315"/>
      <c r="BN99" s="315"/>
      <c r="BO99" s="315"/>
      <c r="BP99" s="315"/>
      <c r="BQ99" s="328"/>
      <c r="BR99" s="315"/>
      <c r="BS99" s="315"/>
      <c r="BT99" s="315"/>
      <c r="BU99" s="317"/>
      <c r="BV99" s="315"/>
      <c r="BW99" s="156" t="str">
        <f>HYPERLINK("https://www.youtube.com/watch?v=M4YsVEbtlSY&amp;feature=youtu.be","20.70")</f>
        <v>20.70</v>
      </c>
      <c r="BX99" s="315"/>
      <c r="BY99" s="317"/>
      <c r="BZ99" s="315"/>
      <c r="CA99" s="315"/>
      <c r="CB99" s="315"/>
      <c r="CC99" s="315"/>
      <c r="CD99" s="315"/>
      <c r="CE99" s="315"/>
      <c r="CF99" s="328"/>
      <c r="CG99" s="317"/>
      <c r="CH99" s="156" t="str">
        <f>HYPERLINK("https://youtu.be/WrtP8ZKcFfA","27.54")</f>
        <v>27.54</v>
      </c>
      <c r="CI99" s="315"/>
      <c r="CJ99" s="315"/>
      <c r="CK99" s="315"/>
      <c r="CL99" s="315"/>
      <c r="CM99" s="315"/>
      <c r="CN99" s="573" t="s">
        <v>3649</v>
      </c>
      <c r="CO99" s="156" t="str">
        <f>HYPERLINK("https://www.youtube.com/watch?v=7vxyeq3ZJvE&amp;feature=youtu.be","15.49")</f>
        <v>15.49</v>
      </c>
      <c r="CP99" s="315"/>
      <c r="CQ99" s="315"/>
      <c r="CR99" s="315"/>
      <c r="CS99" s="315"/>
      <c r="CT99" s="315"/>
      <c r="CU99" s="154"/>
      <c r="CV99" s="315"/>
      <c r="CW99" s="315"/>
      <c r="CX99" s="315"/>
      <c r="CY99" s="315"/>
      <c r="CZ99" s="315"/>
      <c r="DA99" s="315"/>
      <c r="DB99" s="315"/>
      <c r="DC99" s="573" t="s">
        <v>805</v>
      </c>
      <c r="DD99" s="315"/>
      <c r="DE99" s="315"/>
      <c r="DF99" s="315"/>
      <c r="DG99" s="315"/>
      <c r="DH99" s="328"/>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74"/>
    </row>
    <row r="100">
      <c r="A100" s="166" t="s">
        <v>5003</v>
      </c>
      <c r="B100" s="104" t="s">
        <v>5004</v>
      </c>
      <c r="C100" s="105" t="s">
        <v>1259</v>
      </c>
      <c r="D100" s="106" t="s">
        <v>1259</v>
      </c>
      <c r="E100" s="107" t="s">
        <v>1259</v>
      </c>
      <c r="F100" s="108" t="s">
        <v>334</v>
      </c>
      <c r="G100" s="104" t="s">
        <v>983</v>
      </c>
      <c r="H100" s="242"/>
      <c r="I100" s="167" t="s">
        <v>2937</v>
      </c>
      <c r="J100" s="167" t="s">
        <v>3408</v>
      </c>
      <c r="K100" s="167" t="s">
        <v>1556</v>
      </c>
      <c r="L100" s="341" t="s">
        <v>5005</v>
      </c>
      <c r="M100" s="242"/>
      <c r="N100" s="167" t="s">
        <v>5006</v>
      </c>
      <c r="O100" s="167" t="s">
        <v>5007</v>
      </c>
      <c r="P100" s="167" t="s">
        <v>3104</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2"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2218</v>
      </c>
      <c r="K101" s="258" t="s">
        <v>3528</v>
      </c>
      <c r="L101" s="258" t="s">
        <v>5020</v>
      </c>
      <c r="M101" s="258"/>
      <c r="N101" s="258" t="s">
        <v>2917</v>
      </c>
      <c r="O101" s="258" t="s">
        <v>1448</v>
      </c>
      <c r="P101" s="258" t="s">
        <v>2925</v>
      </c>
      <c r="Q101" s="576"/>
      <c r="R101" s="576"/>
      <c r="S101" s="576"/>
      <c r="T101" s="576"/>
      <c r="U101" s="576"/>
      <c r="V101" s="576"/>
      <c r="W101" s="92"/>
      <c r="X101" s="258" t="s">
        <v>3984</v>
      </c>
      <c r="Y101" s="258"/>
      <c r="Z101" s="258" t="s">
        <v>362</v>
      </c>
      <c r="AA101" s="258" t="s">
        <v>2242</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3360</v>
      </c>
      <c r="AV101" s="258" t="s">
        <v>5024</v>
      </c>
      <c r="AW101" s="258"/>
      <c r="AX101" s="576"/>
      <c r="AY101" s="576"/>
      <c r="AZ101" s="576"/>
      <c r="BA101" s="576"/>
      <c r="BB101" s="258" t="s">
        <v>4057</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3425</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9" t="s">
        <v>171</v>
      </c>
      <c r="I102" s="426" t="s">
        <v>5037</v>
      </c>
      <c r="J102" s="293" t="s">
        <v>2781</v>
      </c>
      <c r="K102" s="293" t="s">
        <v>5038</v>
      </c>
      <c r="L102" s="293" t="s">
        <v>5039</v>
      </c>
      <c r="M102" s="419"/>
      <c r="N102" s="419" t="s">
        <v>4412</v>
      </c>
      <c r="O102" s="419" t="s">
        <v>418</v>
      </c>
      <c r="P102" s="293" t="s">
        <v>3104</v>
      </c>
      <c r="Q102" s="242"/>
      <c r="R102" s="242"/>
      <c r="S102" s="242"/>
      <c r="T102" s="242"/>
      <c r="U102" s="242"/>
      <c r="V102" s="242"/>
      <c r="W102" s="92"/>
      <c r="X102" s="117" t="s">
        <v>3835</v>
      </c>
      <c r="Y102" s="117"/>
      <c r="Z102" s="116" t="s">
        <v>1565</v>
      </c>
      <c r="AA102" s="117" t="s">
        <v>5040</v>
      </c>
      <c r="AB102" s="296" t="s">
        <v>5041</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3"/>
      <c r="BC102" s="353" t="s">
        <v>5042</v>
      </c>
      <c r="BD102" s="353" t="s">
        <v>2706</v>
      </c>
      <c r="BE102" s="353" t="s">
        <v>5043</v>
      </c>
      <c r="BF102" s="353"/>
      <c r="BG102" s="353" t="s">
        <v>2350</v>
      </c>
      <c r="BH102" s="173"/>
      <c r="BI102" s="353" t="s">
        <v>612</v>
      </c>
      <c r="BJ102" s="173"/>
      <c r="BK102" s="353"/>
      <c r="BL102" s="353" t="s">
        <v>5044</v>
      </c>
      <c r="BM102" s="173"/>
      <c r="BN102" s="173"/>
      <c r="BO102" s="353"/>
      <c r="BP102" s="173"/>
      <c r="BQ102" s="247"/>
      <c r="BR102" s="131" t="s">
        <v>5045</v>
      </c>
      <c r="BS102" s="131" t="s">
        <v>3725</v>
      </c>
      <c r="BT102" s="131" t="s">
        <v>3775</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2415</v>
      </c>
      <c r="CO102" s="136" t="s">
        <v>3155</v>
      </c>
      <c r="CP102" s="585" t="s">
        <v>5052</v>
      </c>
      <c r="CQ102" s="252"/>
      <c r="CR102" s="252"/>
      <c r="CS102" s="252"/>
      <c r="CT102" s="252"/>
      <c r="CU102" s="92"/>
      <c r="CV102" s="285" t="s">
        <v>5053</v>
      </c>
      <c r="CW102" s="285" t="s">
        <v>4215</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3273</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2344</v>
      </c>
      <c r="H103" s="94" t="s">
        <v>685</v>
      </c>
      <c r="I103" s="94" t="s">
        <v>5059</v>
      </c>
      <c r="J103" s="94" t="s">
        <v>5060</v>
      </c>
      <c r="K103" s="94" t="s">
        <v>5061</v>
      </c>
      <c r="L103" s="94" t="s">
        <v>2949</v>
      </c>
      <c r="M103" s="94" t="s">
        <v>5062</v>
      </c>
      <c r="N103" s="94" t="s">
        <v>5063</v>
      </c>
      <c r="O103" s="94" t="s">
        <v>1965</v>
      </c>
      <c r="P103" s="94" t="s">
        <v>5064</v>
      </c>
      <c r="Q103" s="99"/>
      <c r="R103" s="99"/>
      <c r="S103" s="94" t="s">
        <v>3202</v>
      </c>
      <c r="T103" s="99"/>
      <c r="U103" s="94" t="s">
        <v>639</v>
      </c>
      <c r="V103" s="99"/>
      <c r="W103" s="92"/>
      <c r="X103" s="94" t="s">
        <v>2071</v>
      </c>
      <c r="Y103" s="94"/>
      <c r="Z103" s="94" t="s">
        <v>1966</v>
      </c>
      <c r="AA103" s="94" t="s">
        <v>5065</v>
      </c>
      <c r="AB103" s="94" t="s">
        <v>3692</v>
      </c>
      <c r="AC103" s="424" t="s">
        <v>4238</v>
      </c>
      <c r="AD103" s="94" t="s">
        <v>4479</v>
      </c>
      <c r="AE103" s="99"/>
      <c r="AF103" s="99"/>
      <c r="AG103" s="94" t="s">
        <v>5066</v>
      </c>
      <c r="AH103" s="99"/>
      <c r="AI103" s="99"/>
      <c r="AJ103" s="99"/>
      <c r="AK103" s="99"/>
      <c r="AL103" s="97"/>
      <c r="AM103" s="94" t="s">
        <v>2399</v>
      </c>
      <c r="AN103" s="94" t="s">
        <v>5067</v>
      </c>
      <c r="AO103" s="99"/>
      <c r="AP103" s="99"/>
      <c r="AQ103" s="99"/>
      <c r="AR103" s="99"/>
      <c r="AS103" s="94" t="s">
        <v>1142</v>
      </c>
      <c r="AT103" s="99"/>
      <c r="AU103" s="94" t="s">
        <v>2602</v>
      </c>
      <c r="AV103" s="94" t="s">
        <v>146</v>
      </c>
      <c r="AW103" s="94" t="s">
        <v>4213</v>
      </c>
      <c r="AX103" s="99"/>
      <c r="AY103" s="94" t="s">
        <v>5068</v>
      </c>
      <c r="AZ103" s="94" t="s">
        <v>5069</v>
      </c>
      <c r="BA103" s="94"/>
      <c r="BB103" s="94" t="s">
        <v>5070</v>
      </c>
      <c r="BC103" s="94" t="s">
        <v>5071</v>
      </c>
      <c r="BD103" s="94" t="s">
        <v>1112</v>
      </c>
      <c r="BE103" s="94" t="s">
        <v>1091</v>
      </c>
      <c r="BF103" s="94" t="s">
        <v>3041</v>
      </c>
      <c r="BG103" s="94" t="s">
        <v>2840</v>
      </c>
      <c r="BH103" s="94" t="s">
        <v>5072</v>
      </c>
      <c r="BI103" s="94" t="s">
        <v>5073</v>
      </c>
      <c r="BJ103" s="99"/>
      <c r="BK103" s="94" t="s">
        <v>5074</v>
      </c>
      <c r="BL103" s="94" t="s">
        <v>2856</v>
      </c>
      <c r="BM103" s="99"/>
      <c r="BN103" s="99"/>
      <c r="BO103" s="94"/>
      <c r="BP103" s="99"/>
      <c r="BQ103" s="237"/>
      <c r="BR103" s="99"/>
      <c r="BS103" s="99"/>
      <c r="BT103" s="94" t="s">
        <v>5075</v>
      </c>
      <c r="BU103" s="94" t="s">
        <v>2238</v>
      </c>
      <c r="BV103" s="99"/>
      <c r="BW103" s="94" t="s">
        <v>3512</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7" t="s">
        <v>1406</v>
      </c>
      <c r="CO103" s="94" t="s">
        <v>3151</v>
      </c>
      <c r="CP103" s="99"/>
      <c r="CQ103" s="99"/>
      <c r="CR103" s="94"/>
      <c r="CS103" s="94" t="s">
        <v>5080</v>
      </c>
      <c r="CT103" s="99"/>
      <c r="CU103" s="92"/>
      <c r="CV103" s="94" t="s">
        <v>5081</v>
      </c>
      <c r="CW103" s="94" t="s">
        <v>2549</v>
      </c>
      <c r="CX103" s="94" t="s">
        <v>5082</v>
      </c>
      <c r="CY103" s="94" t="s">
        <v>4418</v>
      </c>
      <c r="CZ103" s="99"/>
      <c r="DA103" s="94" t="s">
        <v>389</v>
      </c>
      <c r="DB103" s="94" t="s">
        <v>5083</v>
      </c>
      <c r="DC103" s="94" t="s">
        <v>4273</v>
      </c>
      <c r="DD103" s="99"/>
      <c r="DE103" s="99"/>
      <c r="DF103" s="94" t="s">
        <v>3565</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3020</v>
      </c>
      <c r="J104" s="112" t="s">
        <v>4010</v>
      </c>
      <c r="K104" s="167" t="s">
        <v>1273</v>
      </c>
      <c r="L104" s="167" t="s">
        <v>5091</v>
      </c>
      <c r="M104" s="167" t="s">
        <v>5092</v>
      </c>
      <c r="N104" s="167" t="s">
        <v>5093</v>
      </c>
      <c r="O104" s="167" t="s">
        <v>5094</v>
      </c>
      <c r="P104" s="112" t="s">
        <v>4066</v>
      </c>
      <c r="Q104" s="167" t="s">
        <v>5095</v>
      </c>
      <c r="R104" s="242"/>
      <c r="S104" s="167" t="s">
        <v>1384</v>
      </c>
      <c r="T104" s="242"/>
      <c r="U104" s="167" t="s">
        <v>235</v>
      </c>
      <c r="V104" s="322" t="s">
        <v>5096</v>
      </c>
      <c r="W104" s="227"/>
      <c r="X104" s="198" t="s">
        <v>1600</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36" t="s">
        <v>5102</v>
      </c>
      <c r="AL104" s="97"/>
      <c r="AM104" s="168" t="s">
        <v>1927</v>
      </c>
      <c r="AN104" s="168" t="s">
        <v>5103</v>
      </c>
      <c r="AO104" s="168" t="s">
        <v>5104</v>
      </c>
      <c r="AP104" s="168" t="s">
        <v>1499</v>
      </c>
      <c r="AQ104" s="168" t="s">
        <v>3769</v>
      </c>
      <c r="AR104" s="168" t="s">
        <v>1356</v>
      </c>
      <c r="AS104" s="245"/>
      <c r="AT104" s="168" t="s">
        <v>5105</v>
      </c>
      <c r="AU104" s="121" t="s">
        <v>5106</v>
      </c>
      <c r="AV104" s="168" t="s">
        <v>3273</v>
      </c>
      <c r="AW104" s="168" t="s">
        <v>4162</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3713</v>
      </c>
      <c r="BH104" s="173"/>
      <c r="BI104" s="125" t="str">
        <f>HYPERLINK("https://clips.twitch.tv/SavagePeacefulEagleWOOP","29.65")</f>
        <v>29.65</v>
      </c>
      <c r="BJ104" s="173"/>
      <c r="BK104" s="173"/>
      <c r="BL104" s="126" t="s">
        <v>2109</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3822</v>
      </c>
      <c r="CA104" s="175" t="s">
        <v>642</v>
      </c>
      <c r="CB104" s="129" t="s">
        <v>5113</v>
      </c>
      <c r="CC104" s="175" t="s">
        <v>5114</v>
      </c>
      <c r="CD104" s="175" t="s">
        <v>3664</v>
      </c>
      <c r="CE104" s="175" t="s">
        <v>5115</v>
      </c>
      <c r="CF104" s="299"/>
      <c r="CG104" s="177" t="s">
        <v>1330</v>
      </c>
      <c r="CH104" s="177" t="s">
        <v>2572</v>
      </c>
      <c r="CI104" s="177" t="s">
        <v>3158</v>
      </c>
      <c r="CJ104" s="177" t="s">
        <v>5116</v>
      </c>
      <c r="CK104" s="177"/>
      <c r="CL104" s="177" t="s">
        <v>5117</v>
      </c>
      <c r="CM104" s="252"/>
      <c r="CN104" s="177" t="s">
        <v>2988</v>
      </c>
      <c r="CO104" s="177" t="s">
        <v>1542</v>
      </c>
      <c r="CP104" s="177" t="s">
        <v>5118</v>
      </c>
      <c r="CQ104" s="177" t="s">
        <v>5119</v>
      </c>
      <c r="CR104" s="177"/>
      <c r="CS104" s="177" t="s">
        <v>5120</v>
      </c>
      <c r="CT104" s="177" t="s">
        <v>5121</v>
      </c>
      <c r="CU104" s="92"/>
      <c r="CV104" s="204" t="s">
        <v>5122</v>
      </c>
      <c r="CW104" s="204" t="s">
        <v>3916</v>
      </c>
      <c r="CX104" s="140" t="s">
        <v>5123</v>
      </c>
      <c r="CY104" s="204" t="s">
        <v>1846</v>
      </c>
      <c r="CZ104" s="253"/>
      <c r="DA104" s="204" t="s">
        <v>4331</v>
      </c>
      <c r="DB104" s="204" t="s">
        <v>5124</v>
      </c>
      <c r="DC104" s="204" t="s">
        <v>3610</v>
      </c>
      <c r="DD104" s="204" t="s">
        <v>5125</v>
      </c>
      <c r="DE104" s="204" t="s">
        <v>3435</v>
      </c>
      <c r="DF104" s="204" t="s">
        <v>1557</v>
      </c>
      <c r="DG104" s="204" t="s">
        <v>5126</v>
      </c>
      <c r="DH104" s="311"/>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3098</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3106</v>
      </c>
      <c r="AA105" s="94" t="s">
        <v>1692</v>
      </c>
      <c r="AB105" s="93" t="s">
        <v>2070</v>
      </c>
      <c r="AC105" s="94" t="s">
        <v>3436</v>
      </c>
      <c r="AD105" s="94" t="s">
        <v>5051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3080</v>
      </c>
      <c r="BX105" s="99"/>
      <c r="BY105" s="94" t="s">
        <v>5144</v>
      </c>
      <c r="BZ105" s="99"/>
      <c r="CA105" s="94" t="s">
        <v>2747</v>
      </c>
      <c r="CB105" s="94" t="s">
        <v>5145</v>
      </c>
      <c r="CC105" s="99"/>
      <c r="CD105" s="99"/>
      <c r="CE105" s="99"/>
      <c r="CF105" s="237"/>
      <c r="CG105" s="94" t="s">
        <v>5146</v>
      </c>
      <c r="CH105" s="93" t="s">
        <v>1660</v>
      </c>
      <c r="CI105" s="94"/>
      <c r="CJ105" s="99"/>
      <c r="CK105" s="99"/>
      <c r="CL105" s="99" t="s">
        <v>552</v>
      </c>
      <c r="CM105" s="99"/>
      <c r="CN105" s="93" t="s">
        <v>4094</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2748</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3499</v>
      </c>
      <c r="Y106" s="198"/>
      <c r="Z106" s="198" t="s">
        <v>3538</v>
      </c>
      <c r="AA106" s="198" t="s">
        <v>4899</v>
      </c>
      <c r="AB106" s="114" t="str">
        <f>HYPERLINK("https://youtu.be/qJ6N4MrS6B4","48.05")</f>
        <v>48.05</v>
      </c>
      <c r="AC106" s="198" t="s">
        <v>2473</v>
      </c>
      <c r="AD106" s="114" t="str">
        <f>HYPERLINK("https://www.twitch.tv/videos/230818041","57.20")</f>
        <v>57.20</v>
      </c>
      <c r="AE106" s="244"/>
      <c r="AF106" s="198" t="s">
        <v>2129</v>
      </c>
      <c r="AG106" s="198" t="s">
        <v>4742</v>
      </c>
      <c r="AH106" s="244"/>
      <c r="AI106" s="244"/>
      <c r="AJ106" s="244"/>
      <c r="AK106" s="244"/>
      <c r="AL106" s="97"/>
      <c r="AM106" s="245"/>
      <c r="AN106" s="245"/>
      <c r="AO106" s="245"/>
      <c r="AP106" s="245"/>
      <c r="AQ106" s="245"/>
      <c r="AR106" s="245"/>
      <c r="AS106" s="245"/>
      <c r="AT106" s="245"/>
      <c r="AU106" s="168" t="s">
        <v>4526</v>
      </c>
      <c r="AV106" s="168" t="s">
        <v>2927</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2914</v>
      </c>
      <c r="I107" s="94" t="s">
        <v>5171</v>
      </c>
      <c r="J107" s="94" t="s">
        <v>5172</v>
      </c>
      <c r="K107" s="94" t="s">
        <v>4291</v>
      </c>
      <c r="L107" s="94" t="s">
        <v>2324</v>
      </c>
      <c r="M107" s="99"/>
      <c r="N107" s="94" t="s">
        <v>4355</v>
      </c>
      <c r="O107" s="94" t="s">
        <v>5173</v>
      </c>
      <c r="P107" s="94" t="s">
        <v>4066</v>
      </c>
      <c r="Q107" s="99"/>
      <c r="R107" s="99"/>
      <c r="S107" s="99"/>
      <c r="T107" s="99"/>
      <c r="U107" s="99"/>
      <c r="V107" s="99"/>
      <c r="W107" s="92"/>
      <c r="X107" s="94" t="s">
        <v>4813</v>
      </c>
      <c r="Y107" s="94"/>
      <c r="Z107" s="94" t="s">
        <v>3360</v>
      </c>
      <c r="AA107" s="94" t="s">
        <v>5174</v>
      </c>
      <c r="AB107" s="94" t="s">
        <v>4898</v>
      </c>
      <c r="AC107" s="99"/>
      <c r="AD107" s="94" t="s">
        <v>4187</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4148</v>
      </c>
      <c r="BG107" s="94" t="s">
        <v>1341</v>
      </c>
      <c r="BH107" s="99"/>
      <c r="BI107" s="94" t="s">
        <v>2706</v>
      </c>
      <c r="BJ107" s="94" t="s">
        <v>5178</v>
      </c>
      <c r="BK107" s="94"/>
      <c r="BL107" s="99"/>
      <c r="BM107" s="99"/>
      <c r="BN107" s="99"/>
      <c r="BO107" s="99"/>
      <c r="BP107" s="99"/>
      <c r="BQ107" s="237"/>
      <c r="BR107" s="94" t="s">
        <v>3794</v>
      </c>
      <c r="BS107" s="99"/>
      <c r="BT107" s="94" t="s">
        <v>2646</v>
      </c>
      <c r="BU107" s="94" t="s">
        <v>5179</v>
      </c>
      <c r="BV107" s="99"/>
      <c r="BW107" s="94" t="s">
        <v>5180</v>
      </c>
      <c r="BX107" s="99"/>
      <c r="BY107" s="99"/>
      <c r="BZ107" s="94" t="s">
        <v>3822</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3525</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4212</v>
      </c>
      <c r="J108" s="167" t="s">
        <v>5188</v>
      </c>
      <c r="K108" s="226" t="s">
        <v>4398</v>
      </c>
      <c r="L108" s="167" t="s">
        <v>5189</v>
      </c>
      <c r="M108" s="242"/>
      <c r="N108" s="167" t="s">
        <v>676</v>
      </c>
      <c r="O108" s="167" t="s">
        <v>3849</v>
      </c>
      <c r="P108" s="167" t="s">
        <v>4357</v>
      </c>
      <c r="Q108" s="167" t="s">
        <v>5190</v>
      </c>
      <c r="R108" s="167"/>
      <c r="S108" s="167" t="s">
        <v>232</v>
      </c>
      <c r="T108" s="242"/>
      <c r="U108" s="167" t="s">
        <v>2408</v>
      </c>
      <c r="V108" s="167" t="s">
        <v>5191</v>
      </c>
      <c r="W108" s="92"/>
      <c r="X108" s="198" t="s">
        <v>5192</v>
      </c>
      <c r="Y108" s="270"/>
      <c r="Z108" s="270" t="s">
        <v>2782</v>
      </c>
      <c r="AA108" s="198" t="s">
        <v>2948</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2137</v>
      </c>
      <c r="BC108" s="174" t="s">
        <v>2221</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3318</v>
      </c>
      <c r="Y109" s="94"/>
      <c r="Z109" s="94" t="s">
        <v>4416</v>
      </c>
      <c r="AA109" s="94" t="s">
        <v>4099</v>
      </c>
      <c r="AB109" s="94" t="s">
        <v>4940</v>
      </c>
      <c r="AC109" s="94" t="s">
        <v>4330</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4360</v>
      </c>
      <c r="AV109" s="94" t="s">
        <v>2173</v>
      </c>
      <c r="AW109" s="99"/>
      <c r="AX109" s="99"/>
      <c r="AY109" s="99"/>
      <c r="AZ109" s="99"/>
      <c r="BA109" s="99"/>
      <c r="BB109" s="94" t="s">
        <v>4463</v>
      </c>
      <c r="BC109" s="94" t="s">
        <v>3876</v>
      </c>
      <c r="BD109" s="99"/>
      <c r="BE109" s="94" t="s">
        <v>4421</v>
      </c>
      <c r="BF109" s="94" t="s">
        <v>5207</v>
      </c>
      <c r="BG109" s="99"/>
      <c r="BH109" s="99"/>
      <c r="BI109" s="94" t="s">
        <v>3357</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3501</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2546</v>
      </c>
      <c r="H110" s="322" t="s">
        <v>951</v>
      </c>
      <c r="I110" s="322" t="s">
        <v>4860</v>
      </c>
      <c r="J110" s="110" t="s">
        <v>5225</v>
      </c>
      <c r="K110" s="322" t="s">
        <v>4953</v>
      </c>
      <c r="L110" s="322" t="s">
        <v>5226</v>
      </c>
      <c r="M110" s="322" t="s">
        <v>5227</v>
      </c>
      <c r="N110" s="322" t="s">
        <v>5228</v>
      </c>
      <c r="O110" s="322" t="s">
        <v>5229</v>
      </c>
      <c r="P110" s="322" t="s">
        <v>5230</v>
      </c>
      <c r="Q110" s="594"/>
      <c r="R110" s="594"/>
      <c r="S110" s="110" t="s">
        <v>5231</v>
      </c>
      <c r="T110" s="594"/>
      <c r="U110" s="275" t="s">
        <v>5232</v>
      </c>
      <c r="V110" s="594"/>
      <c r="W110" s="583"/>
      <c r="X110" s="336" t="s">
        <v>5233</v>
      </c>
      <c r="Y110" s="336"/>
      <c r="Z110" s="336"/>
      <c r="AA110" s="336" t="s">
        <v>5147</v>
      </c>
      <c r="AB110" s="336"/>
      <c r="AC110" s="336" t="s">
        <v>5234</v>
      </c>
      <c r="AD110" s="336" t="s">
        <v>5235</v>
      </c>
      <c r="AE110" s="595"/>
      <c r="AF110" s="336"/>
      <c r="AG110" s="336"/>
      <c r="AH110" s="595"/>
      <c r="AI110" s="595"/>
      <c r="AJ110" s="336"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3869</v>
      </c>
      <c r="BD110" s="201"/>
      <c r="BE110" s="201" t="s">
        <v>5239</v>
      </c>
      <c r="BF110" s="201" t="s">
        <v>5240</v>
      </c>
      <c r="BG110" s="201"/>
      <c r="BH110" s="598"/>
      <c r="BI110" s="201" t="s">
        <v>5241</v>
      </c>
      <c r="BJ110" s="598"/>
      <c r="BK110" s="201" t="s">
        <v>5242</v>
      </c>
      <c r="BL110" s="201"/>
      <c r="BM110" s="598"/>
      <c r="BN110" s="599" t="s">
        <v>3656</v>
      </c>
      <c r="BO110" s="201" t="s">
        <v>2964</v>
      </c>
      <c r="BP110" s="598"/>
      <c r="BQ110" s="600"/>
      <c r="BR110" s="344"/>
      <c r="BS110" s="344" t="s">
        <v>5243</v>
      </c>
      <c r="BT110" s="344" t="s">
        <v>3948</v>
      </c>
      <c r="BU110" s="344" t="s">
        <v>1494</v>
      </c>
      <c r="BV110" s="128" t="s">
        <v>5244</v>
      </c>
      <c r="BW110" s="344" t="s">
        <v>5245</v>
      </c>
      <c r="BX110" s="601"/>
      <c r="BY110" s="344"/>
      <c r="BZ110" s="344"/>
      <c r="CA110" s="344"/>
      <c r="CB110" s="310" t="s">
        <v>5246</v>
      </c>
      <c r="CC110" s="310" t="s">
        <v>5247</v>
      </c>
      <c r="CD110" s="310" t="s">
        <v>2316</v>
      </c>
      <c r="CE110" s="601"/>
      <c r="CF110" s="602"/>
      <c r="CG110" s="337" t="s">
        <v>5248</v>
      </c>
      <c r="CH110" s="337" t="s">
        <v>5249</v>
      </c>
      <c r="CI110" s="337" t="s">
        <v>5250</v>
      </c>
      <c r="CJ110" s="132" t="s">
        <v>5251</v>
      </c>
      <c r="CK110" s="337" t="s">
        <v>5252</v>
      </c>
      <c r="CL110" s="337"/>
      <c r="CM110" s="337"/>
      <c r="CN110" s="337"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4148</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7" t="s">
        <v>3443</v>
      </c>
      <c r="J111" s="307" t="s">
        <v>5047</v>
      </c>
      <c r="K111" s="307" t="s">
        <v>665</v>
      </c>
      <c r="L111" s="307"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3973</v>
      </c>
      <c r="G112" s="104" t="s">
        <v>984</v>
      </c>
      <c r="H112" s="112" t="s">
        <v>5270</v>
      </c>
      <c r="I112" s="112" t="s">
        <v>5271</v>
      </c>
      <c r="J112" s="112" t="s">
        <v>4939</v>
      </c>
      <c r="K112" s="112" t="s">
        <v>4058</v>
      </c>
      <c r="L112" s="112" t="s">
        <v>4117</v>
      </c>
      <c r="M112" s="167" t="s">
        <v>866</v>
      </c>
      <c r="N112" s="167" t="s">
        <v>5272</v>
      </c>
      <c r="O112" s="293" t="s">
        <v>155</v>
      </c>
      <c r="P112" s="112" t="s">
        <v>2780</v>
      </c>
      <c r="Q112" s="242"/>
      <c r="R112" s="242"/>
      <c r="S112" s="167" t="s">
        <v>3289</v>
      </c>
      <c r="T112" s="242"/>
      <c r="U112" s="112" t="s">
        <v>5273</v>
      </c>
      <c r="V112" s="242"/>
      <c r="W112" s="92"/>
      <c r="X112" s="296" t="s">
        <v>4813</v>
      </c>
      <c r="Y112" s="296"/>
      <c r="Z112" s="296" t="s">
        <v>3915</v>
      </c>
      <c r="AA112" s="116" t="s">
        <v>5274</v>
      </c>
      <c r="AB112" s="198" t="s">
        <v>5275</v>
      </c>
      <c r="AC112" s="116" t="s">
        <v>2628</v>
      </c>
      <c r="AD112" s="296" t="s">
        <v>5276</v>
      </c>
      <c r="AE112" s="244"/>
      <c r="AF112" s="198" t="s">
        <v>5277</v>
      </c>
      <c r="AG112" s="296" t="s">
        <v>5194</v>
      </c>
      <c r="AH112" s="198" t="s">
        <v>1695</v>
      </c>
      <c r="AI112" s="244"/>
      <c r="AJ112" s="116" t="s">
        <v>3723</v>
      </c>
      <c r="AK112" s="244"/>
      <c r="AL112" s="97"/>
      <c r="AM112" s="168" t="s">
        <v>4464</v>
      </c>
      <c r="AN112" s="168" t="s">
        <v>1121</v>
      </c>
      <c r="AO112" s="245"/>
      <c r="AP112" s="168" t="s">
        <v>5278</v>
      </c>
      <c r="AQ112" s="168" t="s">
        <v>5279</v>
      </c>
      <c r="AR112" s="168" t="s">
        <v>2548</v>
      </c>
      <c r="AS112" s="121" t="s">
        <v>1747</v>
      </c>
      <c r="AT112" s="245"/>
      <c r="AU112" s="431" t="s">
        <v>3708</v>
      </c>
      <c r="AV112" s="279" t="s">
        <v>4713</v>
      </c>
      <c r="AW112" s="121" t="s">
        <v>4063</v>
      </c>
      <c r="AX112" s="245"/>
      <c r="AY112" s="168" t="s">
        <v>5280</v>
      </c>
      <c r="AZ112" s="245"/>
      <c r="BA112" s="245"/>
      <c r="BB112" s="174" t="s">
        <v>4371</v>
      </c>
      <c r="BC112" s="174" t="s">
        <v>1189</v>
      </c>
      <c r="BD112" s="126" t="s">
        <v>4682</v>
      </c>
      <c r="BE112" s="174" t="s">
        <v>3113</v>
      </c>
      <c r="BF112" s="174" t="s">
        <v>4359</v>
      </c>
      <c r="BG112" s="174" t="s">
        <v>2538</v>
      </c>
      <c r="BH112" s="174" t="s">
        <v>5281</v>
      </c>
      <c r="BI112" s="174" t="s">
        <v>3556</v>
      </c>
      <c r="BJ112" s="174" t="s">
        <v>5282</v>
      </c>
      <c r="BK112" s="173"/>
      <c r="BL112" s="174" t="s">
        <v>3350</v>
      </c>
      <c r="BM112" s="173"/>
      <c r="BN112" s="126" t="s">
        <v>3510</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3418</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3946</v>
      </c>
      <c r="DN112" s="255"/>
      <c r="DO112" s="255"/>
      <c r="DP112" s="145" t="s">
        <v>5302</v>
      </c>
      <c r="DQ112" s="255"/>
      <c r="DR112" s="205" t="s">
        <v>5303</v>
      </c>
      <c r="DS112" s="205" t="s">
        <v>5294</v>
      </c>
      <c r="DT112" s="205" t="s">
        <v>5304</v>
      </c>
      <c r="DU112" s="255"/>
      <c r="DV112" s="205" t="s">
        <v>3269</v>
      </c>
      <c r="DW112" s="145" t="s">
        <v>3370</v>
      </c>
      <c r="DX112" s="255"/>
      <c r="DY112" s="255"/>
      <c r="DZ112" s="255"/>
      <c r="EA112" s="255"/>
      <c r="EB112" s="255"/>
      <c r="EC112" s="255"/>
      <c r="ED112" s="287"/>
    </row>
    <row r="113">
      <c r="A113" s="81" t="s">
        <v>5305</v>
      </c>
      <c r="B113" s="82" t="s">
        <v>5306</v>
      </c>
      <c r="C113" s="83" t="s">
        <v>1259</v>
      </c>
      <c r="D113" s="84" t="s">
        <v>1259</v>
      </c>
      <c r="E113" s="85" t="s">
        <v>1259</v>
      </c>
      <c r="F113" s="86" t="s">
        <v>547</v>
      </c>
      <c r="G113" s="82" t="s">
        <v>3346</v>
      </c>
      <c r="H113" s="99"/>
      <c r="I113" s="94" t="s">
        <v>5307</v>
      </c>
      <c r="J113" s="88" t="s">
        <v>5308</v>
      </c>
      <c r="K113" s="94" t="s">
        <v>4508</v>
      </c>
      <c r="L113" s="266" t="s">
        <v>566</v>
      </c>
      <c r="M113" s="99"/>
      <c r="N113" s="94" t="s">
        <v>5309</v>
      </c>
      <c r="O113" s="94" t="s">
        <v>1091</v>
      </c>
      <c r="P113" s="94" t="s">
        <v>3633</v>
      </c>
      <c r="Q113" s="99"/>
      <c r="R113" s="99"/>
      <c r="S113" s="99"/>
      <c r="T113" s="99"/>
      <c r="U113" s="99"/>
      <c r="V113" s="99"/>
      <c r="W113" s="92"/>
      <c r="X113" s="94" t="s">
        <v>2640</v>
      </c>
      <c r="Y113" s="94"/>
      <c r="Z113" s="94" t="s">
        <v>1077</v>
      </c>
      <c r="AA113" s="94" t="s">
        <v>3265</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3418</v>
      </c>
      <c r="AV113" s="94" t="s">
        <v>5312</v>
      </c>
      <c r="AW113" s="99"/>
      <c r="AX113" s="99"/>
      <c r="AY113" s="99"/>
      <c r="AZ113" s="99"/>
      <c r="BA113" s="99"/>
      <c r="BB113" s="94" t="s">
        <v>1202</v>
      </c>
      <c r="BC113" s="94" t="s">
        <v>371</v>
      </c>
      <c r="BD113" s="94" t="s">
        <v>4682</v>
      </c>
      <c r="BE113" s="94" t="s">
        <v>2422</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2911</v>
      </c>
      <c r="CI113" s="99"/>
      <c r="CJ113" s="99"/>
      <c r="CK113" s="99"/>
      <c r="CL113" s="99"/>
      <c r="CM113" s="94" t="s">
        <v>5318</v>
      </c>
      <c r="CN113" s="94" t="s">
        <v>2415</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3517</v>
      </c>
      <c r="L114" s="167" t="s">
        <v>5323</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6"/>
      <c r="Z114" s="336"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4896</v>
      </c>
      <c r="BC114" s="174" t="s">
        <v>3321</v>
      </c>
      <c r="BD114" s="174" t="s">
        <v>2182</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5331</v>
      </c>
      <c r="CW114" s="204" t="s">
        <v>3000</v>
      </c>
      <c r="CX114" s="204" t="s">
        <v>5024</v>
      </c>
      <c r="CY114" s="204" t="s">
        <v>1147</v>
      </c>
      <c r="CZ114" s="204" t="s">
        <v>5332</v>
      </c>
      <c r="DA114" s="204"/>
      <c r="DB114" s="204" t="s">
        <v>5333</v>
      </c>
      <c r="DC114" s="204" t="s">
        <v>3071</v>
      </c>
      <c r="DD114" s="204"/>
      <c r="DE114" s="204"/>
      <c r="DF114" s="204"/>
      <c r="DG114" s="204"/>
      <c r="DH114" s="311"/>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3573</v>
      </c>
      <c r="H115" s="94" t="s">
        <v>779</v>
      </c>
      <c r="I115" s="307" t="s">
        <v>3607</v>
      </c>
      <c r="J115" s="94" t="s">
        <v>5336</v>
      </c>
      <c r="K115" s="88" t="s">
        <v>2876</v>
      </c>
      <c r="L115" s="94" t="s">
        <v>4857</v>
      </c>
      <c r="M115" s="99"/>
      <c r="N115" s="99"/>
      <c r="O115" s="94" t="s">
        <v>261</v>
      </c>
      <c r="P115" s="94" t="s">
        <v>109</v>
      </c>
      <c r="Q115" s="99"/>
      <c r="R115" s="99"/>
      <c r="S115" s="94" t="s">
        <v>2644</v>
      </c>
      <c r="T115" s="99"/>
      <c r="U115" s="99"/>
      <c r="V115" s="99"/>
      <c r="W115" s="92"/>
      <c r="X115" s="88" t="s">
        <v>3084</v>
      </c>
      <c r="Y115" s="93"/>
      <c r="Z115" s="93" t="s">
        <v>2578</v>
      </c>
      <c r="AA115" s="93" t="s">
        <v>4099</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3114</v>
      </c>
      <c r="P116" s="620" t="s">
        <v>4859</v>
      </c>
      <c r="Q116" s="242"/>
      <c r="R116" s="242"/>
      <c r="S116" s="620" t="s">
        <v>5352</v>
      </c>
      <c r="T116" s="242"/>
      <c r="U116" s="242"/>
      <c r="V116" s="242"/>
      <c r="W116" s="92"/>
      <c r="X116" s="621" t="s">
        <v>1977</v>
      </c>
      <c r="Y116" s="270"/>
      <c r="Z116" s="622" t="s">
        <v>2747</v>
      </c>
      <c r="AA116" s="198" t="s">
        <v>456</v>
      </c>
      <c r="AB116" s="623" t="s">
        <v>3314</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2253</v>
      </c>
      <c r="AR116" s="168"/>
      <c r="AS116" s="245"/>
      <c r="AT116" s="245"/>
      <c r="AU116" s="624" t="s">
        <v>5216</v>
      </c>
      <c r="AV116" s="624" t="s">
        <v>5358</v>
      </c>
      <c r="AW116" s="245"/>
      <c r="AX116" s="245"/>
      <c r="AY116" s="624" t="s">
        <v>5359</v>
      </c>
      <c r="AZ116" s="245"/>
      <c r="BA116" s="245"/>
      <c r="BB116" s="297" t="s">
        <v>5360</v>
      </c>
      <c r="BC116" s="297" t="s">
        <v>2125</v>
      </c>
      <c r="BD116" s="297" t="s">
        <v>4682</v>
      </c>
      <c r="BE116" s="625" t="s">
        <v>2143</v>
      </c>
      <c r="BF116" s="174" t="s">
        <v>4298</v>
      </c>
      <c r="BG116" s="173"/>
      <c r="BH116" s="173"/>
      <c r="BI116" s="297" t="s">
        <v>1962</v>
      </c>
      <c r="BJ116" s="626"/>
      <c r="BK116" s="297" t="s">
        <v>5361</v>
      </c>
      <c r="BL116" s="297" t="s">
        <v>5362</v>
      </c>
      <c r="BM116" s="174"/>
      <c r="BN116" s="126" t="s">
        <v>3277</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3370</v>
      </c>
      <c r="CB116" s="249"/>
      <c r="CC116" s="249"/>
      <c r="CD116" s="299" t="s">
        <v>2689</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1" t="s">
        <v>5371</v>
      </c>
      <c r="DA116" s="253"/>
      <c r="DB116" s="631" t="s">
        <v>5372</v>
      </c>
      <c r="DC116" s="311"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3546</v>
      </c>
      <c r="EA116" s="632" t="s">
        <v>3115</v>
      </c>
      <c r="EB116" s="255"/>
      <c r="EC116" s="255"/>
      <c r="ED116" s="287"/>
    </row>
    <row r="117">
      <c r="A117" s="429" t="s">
        <v>5376</v>
      </c>
      <c r="B117" s="82" t="s">
        <v>5377</v>
      </c>
      <c r="C117" s="83" t="s">
        <v>1259</v>
      </c>
      <c r="D117" s="84" t="s">
        <v>1259</v>
      </c>
      <c r="E117" s="85" t="s">
        <v>1259</v>
      </c>
      <c r="F117" s="86" t="s">
        <v>2682</v>
      </c>
      <c r="G117" s="82" t="s">
        <v>5089</v>
      </c>
      <c r="H117" s="94" t="s">
        <v>3358</v>
      </c>
      <c r="I117" s="94" t="s">
        <v>5378</v>
      </c>
      <c r="J117" s="94" t="s">
        <v>5379</v>
      </c>
      <c r="K117" s="94" t="s">
        <v>755</v>
      </c>
      <c r="L117" s="94" t="s">
        <v>830</v>
      </c>
      <c r="M117" s="99"/>
      <c r="N117" s="94" t="s">
        <v>5380</v>
      </c>
      <c r="O117" s="94" t="s">
        <v>4527</v>
      </c>
      <c r="P117" s="88" t="s">
        <v>557</v>
      </c>
      <c r="Q117" s="94" t="s">
        <v>2441</v>
      </c>
      <c r="R117" s="99"/>
      <c r="S117" s="88" t="s">
        <v>2701</v>
      </c>
      <c r="T117" s="99"/>
      <c r="U117" s="94" t="s">
        <v>5381</v>
      </c>
      <c r="V117" s="88" t="s">
        <v>5382</v>
      </c>
      <c r="W117" s="92"/>
      <c r="X117" s="94" t="s">
        <v>4275</v>
      </c>
      <c r="Y117" s="94"/>
      <c r="Z117" s="94" t="s">
        <v>1574</v>
      </c>
      <c r="AA117" s="94" t="s">
        <v>1511</v>
      </c>
      <c r="AB117" s="94" t="s">
        <v>611</v>
      </c>
      <c r="AC117" s="94" t="s">
        <v>3829</v>
      </c>
      <c r="AD117" s="94" t="s">
        <v>5383</v>
      </c>
      <c r="AE117" s="94"/>
      <c r="AF117" s="94" t="s">
        <v>4001</v>
      </c>
      <c r="AG117" s="88" t="s">
        <v>2067</v>
      </c>
      <c r="AH117" s="94" t="s">
        <v>2804</v>
      </c>
      <c r="AI117" s="102"/>
      <c r="AJ117" s="88" t="s">
        <v>3068</v>
      </c>
      <c r="AK117" s="94" t="s">
        <v>5384</v>
      </c>
      <c r="AL117" s="97"/>
      <c r="AM117" s="94" t="s">
        <v>3578</v>
      </c>
      <c r="AN117" s="94" t="s">
        <v>1306</v>
      </c>
      <c r="AO117" s="99"/>
      <c r="AP117" s="88" t="s">
        <v>5385</v>
      </c>
      <c r="AQ117" s="94" t="s">
        <v>969</v>
      </c>
      <c r="AR117" s="94"/>
      <c r="AS117" s="94" t="s">
        <v>5386</v>
      </c>
      <c r="AT117" s="94" t="s">
        <v>5387</v>
      </c>
      <c r="AU117" s="88" t="s">
        <v>3343</v>
      </c>
      <c r="AV117" s="94" t="s">
        <v>5388</v>
      </c>
      <c r="AW117" s="94" t="s">
        <v>5389</v>
      </c>
      <c r="AX117" s="99"/>
      <c r="AY117" s="88" t="s">
        <v>1750</v>
      </c>
      <c r="AZ117" s="94" t="s">
        <v>5390</v>
      </c>
      <c r="BA117" s="94"/>
      <c r="BB117" s="99"/>
      <c r="BC117" s="94" t="s">
        <v>5391</v>
      </c>
      <c r="BD117" s="94" t="s">
        <v>3498</v>
      </c>
      <c r="BE117" s="94" t="s">
        <v>838</v>
      </c>
      <c r="BF117" s="94" t="s">
        <v>2609</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2752</v>
      </c>
      <c r="CH117" s="94" t="s">
        <v>3458</v>
      </c>
      <c r="CI117" s="94" t="s">
        <v>482</v>
      </c>
      <c r="CJ117" s="94" t="s">
        <v>5401</v>
      </c>
      <c r="CK117" s="94"/>
      <c r="CL117" s="94"/>
      <c r="CM117" s="94" t="s">
        <v>5402</v>
      </c>
      <c r="CN117" s="266" t="s">
        <v>5403</v>
      </c>
      <c r="CO117" s="88" t="s">
        <v>3633</v>
      </c>
      <c r="CP117" s="99"/>
      <c r="CQ117" s="94" t="s">
        <v>5404</v>
      </c>
      <c r="CR117" s="99"/>
      <c r="CS117" s="99"/>
      <c r="CT117" s="94" t="s">
        <v>3550</v>
      </c>
      <c r="CU117" s="92"/>
      <c r="CV117" s="94" t="s">
        <v>2619</v>
      </c>
      <c r="CW117" s="94" t="s">
        <v>4729</v>
      </c>
      <c r="CX117" s="94" t="s">
        <v>3326</v>
      </c>
      <c r="CY117" s="94" t="s">
        <v>662</v>
      </c>
      <c r="CZ117" s="99"/>
      <c r="DA117" s="99"/>
      <c r="DB117" s="88" t="s">
        <v>5405</v>
      </c>
      <c r="DC117" s="88" t="s">
        <v>2419</v>
      </c>
      <c r="DD117" s="94" t="s">
        <v>5406</v>
      </c>
      <c r="DE117" s="94" t="s">
        <v>5323</v>
      </c>
      <c r="DF117" s="94" t="s">
        <v>5407</v>
      </c>
      <c r="DG117" s="94" t="s">
        <v>5408</v>
      </c>
      <c r="DH117" s="94"/>
      <c r="DI117" s="94" t="s">
        <v>4140</v>
      </c>
      <c r="DJ117" s="94"/>
      <c r="DK117" s="94" t="s">
        <v>5409</v>
      </c>
      <c r="DL117" s="94"/>
      <c r="DM117" s="94" t="s">
        <v>5410</v>
      </c>
      <c r="DN117" s="94" t="s">
        <v>2561</v>
      </c>
      <c r="DO117" s="162" t="s">
        <v>5411</v>
      </c>
      <c r="DP117" s="94" t="s">
        <v>4122</v>
      </c>
      <c r="DQ117" s="99"/>
      <c r="DR117" s="94" t="s">
        <v>5412</v>
      </c>
      <c r="DS117" s="94" t="s">
        <v>5413</v>
      </c>
      <c r="DT117" s="94" t="s">
        <v>3771</v>
      </c>
      <c r="DU117" s="94" t="s">
        <v>3497</v>
      </c>
      <c r="DV117" s="94" t="s">
        <v>1001</v>
      </c>
      <c r="DW117" s="94" t="s">
        <v>1343</v>
      </c>
      <c r="DX117" s="94" t="s">
        <v>4170</v>
      </c>
      <c r="DY117" s="94" t="s">
        <v>1086</v>
      </c>
      <c r="DZ117" s="94" t="s">
        <v>2861</v>
      </c>
      <c r="EA117" s="94" t="s">
        <v>3982</v>
      </c>
      <c r="EB117" s="94" t="s">
        <v>1665</v>
      </c>
      <c r="EC117" s="94" t="s">
        <v>1007</v>
      </c>
      <c r="ED117" s="258" t="s">
        <v>5414</v>
      </c>
    </row>
    <row r="118">
      <c r="A118" s="166" t="s">
        <v>5415</v>
      </c>
      <c r="B118" s="104" t="s">
        <v>5416</v>
      </c>
      <c r="C118" s="105" t="s">
        <v>1259</v>
      </c>
      <c r="D118" s="106" t="s">
        <v>1259</v>
      </c>
      <c r="E118" s="107" t="s">
        <v>1259</v>
      </c>
      <c r="F118" s="108" t="s">
        <v>1259</v>
      </c>
      <c r="G118" s="104" t="s">
        <v>2191</v>
      </c>
      <c r="H118" s="167" t="s">
        <v>4760</v>
      </c>
      <c r="I118" s="167" t="s">
        <v>2320</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4256</v>
      </c>
      <c r="BH118" s="174" t="s">
        <v>4574</v>
      </c>
      <c r="BI118" s="174" t="s">
        <v>5433</v>
      </c>
      <c r="BJ118" s="174" t="s">
        <v>965</v>
      </c>
      <c r="BK118" s="174"/>
      <c r="BL118" s="174" t="s">
        <v>5434</v>
      </c>
      <c r="BM118" s="173"/>
      <c r="BN118" s="174" t="s">
        <v>1912</v>
      </c>
      <c r="BO118" s="174" t="s">
        <v>2985</v>
      </c>
      <c r="BP118" s="173"/>
      <c r="BQ118" s="247"/>
      <c r="BR118" s="175"/>
      <c r="BS118" s="175" t="s">
        <v>5435</v>
      </c>
      <c r="BT118" s="175" t="s">
        <v>2931</v>
      </c>
      <c r="BU118" s="175" t="s">
        <v>2456</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3111</v>
      </c>
      <c r="CP118" s="177" t="s">
        <v>5445</v>
      </c>
      <c r="CQ118" s="177" t="s">
        <v>551</v>
      </c>
      <c r="CR118" s="177"/>
      <c r="CS118" s="177" t="s">
        <v>5293</v>
      </c>
      <c r="CT118" s="252"/>
      <c r="CU118" s="92"/>
      <c r="CV118" s="204" t="s">
        <v>5446</v>
      </c>
      <c r="CW118" s="204" t="s">
        <v>5447</v>
      </c>
      <c r="CX118" s="204" t="s">
        <v>3399</v>
      </c>
      <c r="CY118" s="204" t="s">
        <v>1853</v>
      </c>
      <c r="CZ118" s="204" t="s">
        <v>5448</v>
      </c>
      <c r="DA118" s="204" t="s">
        <v>4031</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2502</v>
      </c>
      <c r="J119" s="94" t="s">
        <v>1751</v>
      </c>
      <c r="K119" s="94" t="s">
        <v>4058</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5341</v>
      </c>
      <c r="CP119" s="99"/>
      <c r="CQ119" s="99"/>
      <c r="CR119" s="99"/>
      <c r="CS119" s="99"/>
      <c r="CT119" s="99"/>
      <c r="CU119" s="92"/>
      <c r="CV119" s="94" t="s">
        <v>5122</v>
      </c>
      <c r="CW119" s="94" t="s">
        <v>3033</v>
      </c>
      <c r="CX119" s="94" t="s">
        <v>4227</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3748</v>
      </c>
      <c r="AO120" s="245"/>
      <c r="AP120" s="245"/>
      <c r="AQ120" s="245"/>
      <c r="AR120" s="245"/>
      <c r="AS120" s="168" t="s">
        <v>5492</v>
      </c>
      <c r="AT120" s="245"/>
      <c r="AU120" s="168" t="s">
        <v>1710</v>
      </c>
      <c r="AV120" s="168" t="s">
        <v>2113</v>
      </c>
      <c r="AW120" s="168" t="s">
        <v>5493</v>
      </c>
      <c r="AX120" s="245"/>
      <c r="AY120" s="168" t="s">
        <v>5488</v>
      </c>
      <c r="AZ120" s="245"/>
      <c r="BA120" s="245"/>
      <c r="BB120" s="174" t="s">
        <v>5494</v>
      </c>
      <c r="BC120" s="174" t="s">
        <v>2709</v>
      </c>
      <c r="BD120" s="174" t="s">
        <v>5495</v>
      </c>
      <c r="BE120" s="174" t="s">
        <v>4545</v>
      </c>
      <c r="BF120" s="174" t="s">
        <v>5496</v>
      </c>
      <c r="BG120" s="174" t="s">
        <v>5497</v>
      </c>
      <c r="BH120" s="174" t="s">
        <v>4689</v>
      </c>
      <c r="BI120" s="174" t="s">
        <v>2326</v>
      </c>
      <c r="BJ120" s="174" t="s">
        <v>5498</v>
      </c>
      <c r="BK120" s="174" t="s">
        <v>5499</v>
      </c>
      <c r="BL120" s="174" t="s">
        <v>5500</v>
      </c>
      <c r="BM120" s="173"/>
      <c r="BN120" s="174" t="s">
        <v>2326</v>
      </c>
      <c r="BO120" s="174" t="s">
        <v>3576</v>
      </c>
      <c r="BP120" s="173"/>
      <c r="BQ120" s="247"/>
      <c r="BR120" s="175" t="s">
        <v>5501</v>
      </c>
      <c r="BS120" s="249"/>
      <c r="BT120" s="175" t="s">
        <v>4473</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4180</v>
      </c>
      <c r="CM120" s="177" t="s">
        <v>5509</v>
      </c>
      <c r="CN120" s="177" t="s">
        <v>5510</v>
      </c>
      <c r="CO120" s="177" t="s">
        <v>4161</v>
      </c>
      <c r="CP120" s="252"/>
      <c r="CQ120" s="177" t="s">
        <v>5511</v>
      </c>
      <c r="CR120" s="252"/>
      <c r="CS120" s="252"/>
      <c r="CT120" s="252"/>
      <c r="CU120" s="92"/>
      <c r="CV120" s="204" t="s">
        <v>1646</v>
      </c>
      <c r="CW120" s="204" t="s">
        <v>5512</v>
      </c>
      <c r="CX120" s="204" t="s">
        <v>5513</v>
      </c>
      <c r="CY120" s="204" t="s">
        <v>3499</v>
      </c>
      <c r="CZ120" s="204" t="s">
        <v>5514</v>
      </c>
      <c r="DA120" s="204" t="s">
        <v>1978</v>
      </c>
      <c r="DB120" s="204" t="s">
        <v>5515</v>
      </c>
      <c r="DC120" s="204" t="s">
        <v>5516</v>
      </c>
      <c r="DD120" s="253"/>
      <c r="DE120" s="253"/>
      <c r="DF120" s="204" t="s">
        <v>355</v>
      </c>
      <c r="DG120" s="253"/>
      <c r="DH120" s="263"/>
      <c r="DI120" s="205" t="s">
        <v>2495</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3406</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3963</v>
      </c>
      <c r="AA121" s="266" t="s">
        <v>5533</v>
      </c>
      <c r="AB121" s="266" t="s">
        <v>3540</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4449</v>
      </c>
      <c r="BP121" s="94" t="s">
        <v>5547</v>
      </c>
      <c r="BQ121" s="94"/>
      <c r="BR121" s="94"/>
      <c r="BS121" s="94" t="s">
        <v>3902</v>
      </c>
      <c r="BT121" s="94" t="s">
        <v>3812</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4180</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1962</v>
      </c>
      <c r="DB121" s="94" t="s">
        <v>5562</v>
      </c>
      <c r="DC121" s="94" t="s">
        <v>3209</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2493</v>
      </c>
      <c r="EA121" s="99"/>
      <c r="EB121" s="99"/>
      <c r="EC121" s="99"/>
      <c r="ED121" s="258" t="s">
        <v>5566</v>
      </c>
    </row>
    <row r="122">
      <c r="A122" s="443" t="s">
        <v>5567</v>
      </c>
      <c r="B122" s="104" t="s">
        <v>5568</v>
      </c>
      <c r="C122" s="105" t="s">
        <v>1259</v>
      </c>
      <c r="D122" s="106" t="s">
        <v>1259</v>
      </c>
      <c r="E122" s="107" t="s">
        <v>1259</v>
      </c>
      <c r="F122" s="108" t="s">
        <v>2154</v>
      </c>
      <c r="G122" s="104" t="s">
        <v>5347</v>
      </c>
      <c r="H122" s="419"/>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1516</v>
      </c>
      <c r="AD122" s="116" t="s">
        <v>3762</v>
      </c>
      <c r="AE122" s="116" t="s">
        <v>3110</v>
      </c>
      <c r="AF122" s="116" t="s">
        <v>2725</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3"/>
      <c r="BH122" s="173"/>
      <c r="BI122" s="126" t="s">
        <v>1546</v>
      </c>
      <c r="BJ122" s="173"/>
      <c r="BK122" s="126" t="s">
        <v>5581</v>
      </c>
      <c r="BL122" s="126" t="s">
        <v>1775</v>
      </c>
      <c r="BM122" s="173"/>
      <c r="BN122" s="173"/>
      <c r="BO122" s="353"/>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2307</v>
      </c>
      <c r="CI122" s="135" t="s">
        <v>882</v>
      </c>
      <c r="CJ122" s="135" t="s">
        <v>5104</v>
      </c>
      <c r="CK122" s="135" t="s">
        <v>4794</v>
      </c>
      <c r="CL122" s="135" t="s">
        <v>5588</v>
      </c>
      <c r="CM122" s="135" t="s">
        <v>5430</v>
      </c>
      <c r="CN122" s="135" t="s">
        <v>2268</v>
      </c>
      <c r="CO122" s="135" t="s">
        <v>3610</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1809</v>
      </c>
      <c r="H124" s="167"/>
      <c r="I124" s="167" t="s">
        <v>5601</v>
      </c>
      <c r="J124" s="112" t="s">
        <v>656</v>
      </c>
      <c r="K124" s="112" t="s">
        <v>5443</v>
      </c>
      <c r="L124" s="167" t="s">
        <v>5053</v>
      </c>
      <c r="M124" s="242"/>
      <c r="N124" s="167" t="s">
        <v>5602</v>
      </c>
      <c r="O124" s="167" t="s">
        <v>1208</v>
      </c>
      <c r="P124" s="112" t="s">
        <v>4180</v>
      </c>
      <c r="Q124" s="242"/>
      <c r="R124" s="242"/>
      <c r="S124" s="242"/>
      <c r="T124" s="242"/>
      <c r="U124" s="242"/>
      <c r="V124" s="242"/>
      <c r="W124" s="92"/>
      <c r="X124" s="198" t="s">
        <v>3005</v>
      </c>
      <c r="Y124" s="198"/>
      <c r="Z124" s="198" t="s">
        <v>5603</v>
      </c>
      <c r="AA124" s="198" t="s">
        <v>4746</v>
      </c>
      <c r="AB124" s="198" t="s">
        <v>1066</v>
      </c>
      <c r="AC124" s="198" t="s">
        <v>4141</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4149</v>
      </c>
      <c r="BH124" s="173"/>
      <c r="BI124" s="303" t="s">
        <v>612</v>
      </c>
      <c r="BJ124" s="174" t="s">
        <v>5610</v>
      </c>
      <c r="BK124" s="174" t="s">
        <v>5611</v>
      </c>
      <c r="BL124" s="174" t="s">
        <v>5612</v>
      </c>
      <c r="BM124" s="173"/>
      <c r="BN124" s="173"/>
      <c r="BO124" s="173"/>
      <c r="BP124" s="173"/>
      <c r="BQ124" s="247"/>
      <c r="BR124" s="175" t="s">
        <v>5613</v>
      </c>
      <c r="BS124" s="175" t="s">
        <v>3109</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1626</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2162</v>
      </c>
      <c r="M125" s="94" t="s">
        <v>5629</v>
      </c>
      <c r="N125" s="94" t="s">
        <v>5630</v>
      </c>
      <c r="O125" s="94" t="s">
        <v>3077</v>
      </c>
      <c r="P125" s="94" t="s">
        <v>5631</v>
      </c>
      <c r="Q125" s="99"/>
      <c r="R125" s="99"/>
      <c r="S125" s="99"/>
      <c r="T125" s="99"/>
      <c r="U125" s="99"/>
      <c r="V125" s="99"/>
      <c r="W125" s="92"/>
      <c r="X125" s="94" t="s">
        <v>3423</v>
      </c>
      <c r="Y125" s="94"/>
      <c r="Z125" s="94" t="s">
        <v>575</v>
      </c>
      <c r="AA125" s="94" t="s">
        <v>4749</v>
      </c>
      <c r="AB125" s="94" t="s">
        <v>620</v>
      </c>
      <c r="AC125" s="94" t="s">
        <v>4780</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2379</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3255</v>
      </c>
      <c r="CY125" s="94" t="s">
        <v>4559</v>
      </c>
      <c r="CZ125" s="94" t="s">
        <v>5313</v>
      </c>
      <c r="DA125" s="94" t="s">
        <v>4788</v>
      </c>
      <c r="DB125" s="94" t="s">
        <v>5651</v>
      </c>
      <c r="DC125" s="94" t="s">
        <v>3883</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9"/>
    </row>
    <row r="126">
      <c r="A126" s="639" t="s">
        <v>5653</v>
      </c>
      <c r="B126" s="104" t="s">
        <v>5654</v>
      </c>
      <c r="C126" s="105" t="s">
        <v>1259</v>
      </c>
      <c r="D126" s="106" t="s">
        <v>1259</v>
      </c>
      <c r="E126" s="107" t="s">
        <v>1259</v>
      </c>
      <c r="F126" s="108" t="s">
        <v>332</v>
      </c>
      <c r="G126" s="104" t="s">
        <v>2376</v>
      </c>
      <c r="H126" s="167"/>
      <c r="I126" s="167" t="s">
        <v>5655</v>
      </c>
      <c r="J126" s="167" t="s">
        <v>5314</v>
      </c>
      <c r="K126" s="167" t="s">
        <v>5656</v>
      </c>
      <c r="L126" s="112" t="s">
        <v>5657</v>
      </c>
      <c r="M126" s="242"/>
      <c r="N126" s="242"/>
      <c r="O126" s="242"/>
      <c r="P126" s="167" t="s">
        <v>5658</v>
      </c>
      <c r="Q126" s="242"/>
      <c r="R126" s="242"/>
      <c r="S126" s="167" t="s">
        <v>4185</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3516</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2932</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2690</v>
      </c>
      <c r="M127" s="99"/>
      <c r="N127" s="94" t="s">
        <v>5683</v>
      </c>
      <c r="O127" s="94" t="s">
        <v>692</v>
      </c>
      <c r="P127" s="94" t="s">
        <v>1272</v>
      </c>
      <c r="Q127" s="99"/>
      <c r="R127" s="99"/>
      <c r="S127" s="99"/>
      <c r="T127" s="99"/>
      <c r="U127" s="99"/>
      <c r="V127" s="99"/>
      <c r="W127" s="92"/>
      <c r="X127" s="94" t="s">
        <v>2484</v>
      </c>
      <c r="Y127" s="94"/>
      <c r="Z127" s="94" t="s">
        <v>3837</v>
      </c>
      <c r="AA127" s="94" t="s">
        <v>5660</v>
      </c>
      <c r="AB127" s="94" t="s">
        <v>5684</v>
      </c>
      <c r="AC127" s="94" t="s">
        <v>4228</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2153</v>
      </c>
      <c r="H128" s="242"/>
      <c r="I128" s="112" t="s">
        <v>5698</v>
      </c>
      <c r="J128" s="112" t="s">
        <v>5699</v>
      </c>
      <c r="K128" s="112" t="s">
        <v>5700</v>
      </c>
      <c r="L128" s="112" t="s">
        <v>2470</v>
      </c>
      <c r="M128" s="112" t="s">
        <v>1463</v>
      </c>
      <c r="N128" s="112" t="s">
        <v>5701</v>
      </c>
      <c r="O128" s="112" t="s">
        <v>1300</v>
      </c>
      <c r="P128" s="167" t="s">
        <v>5460</v>
      </c>
      <c r="Q128" s="242"/>
      <c r="R128" s="242"/>
      <c r="S128" s="242"/>
      <c r="T128" s="242"/>
      <c r="U128" s="242"/>
      <c r="V128" s="242"/>
      <c r="W128" s="92"/>
      <c r="X128" s="116" t="s">
        <v>3189</v>
      </c>
      <c r="Y128" s="117"/>
      <c r="Z128" s="116" t="s">
        <v>2482</v>
      </c>
      <c r="AA128" s="296" t="s">
        <v>5702</v>
      </c>
      <c r="AB128" s="198" t="s">
        <v>5703</v>
      </c>
      <c r="AC128" s="116" t="s">
        <v>3888</v>
      </c>
      <c r="AD128" s="296" t="s">
        <v>3484</v>
      </c>
      <c r="AE128" s="244"/>
      <c r="AF128" s="296" t="s">
        <v>5704</v>
      </c>
      <c r="AG128" s="116" t="s">
        <v>4749</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3" t="s">
        <v>4237</v>
      </c>
      <c r="BD128" s="303" t="s">
        <v>5617</v>
      </c>
      <c r="BE128" s="126" t="s">
        <v>3355</v>
      </c>
      <c r="BF128" s="126" t="s">
        <v>5706</v>
      </c>
      <c r="BG128" s="173"/>
      <c r="BH128" s="173"/>
      <c r="BI128" s="126" t="s">
        <v>4018</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2773</v>
      </c>
      <c r="G129" s="82" t="s">
        <v>2153</v>
      </c>
      <c r="H129" s="102"/>
      <c r="I129" s="98" t="s">
        <v>5731</v>
      </c>
      <c r="J129" s="93" t="s">
        <v>4739</v>
      </c>
      <c r="K129" s="88" t="s">
        <v>2278</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2988</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5232</v>
      </c>
      <c r="BF129" s="102" t="s">
        <v>5738</v>
      </c>
      <c r="BG129" s="102" t="s">
        <v>709</v>
      </c>
      <c r="BH129" s="94"/>
      <c r="BI129" s="102" t="s">
        <v>3067</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2816</v>
      </c>
      <c r="CL129" s="102" t="s">
        <v>5588</v>
      </c>
      <c r="CM129" s="102" t="s">
        <v>3313</v>
      </c>
      <c r="CN129" s="102" t="s">
        <v>1581</v>
      </c>
      <c r="CO129" s="102" t="s">
        <v>3360</v>
      </c>
      <c r="CP129" s="222"/>
      <c r="CQ129" s="99"/>
      <c r="CR129" s="99"/>
      <c r="CS129" s="99"/>
      <c r="CT129" s="99"/>
      <c r="CU129" s="92"/>
      <c r="CV129" s="102" t="s">
        <v>4304</v>
      </c>
      <c r="CW129" s="102" t="s">
        <v>5751</v>
      </c>
      <c r="CX129" s="102" t="s">
        <v>2637</v>
      </c>
      <c r="CY129" s="102" t="s">
        <v>5752</v>
      </c>
      <c r="CZ129" s="102" t="s">
        <v>1012</v>
      </c>
      <c r="DA129" s="102" t="s">
        <v>3785</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220</v>
      </c>
      <c r="H130" s="167" t="s">
        <v>3836</v>
      </c>
      <c r="I130" s="167" t="s">
        <v>5758</v>
      </c>
      <c r="J130" s="167" t="s">
        <v>1267</v>
      </c>
      <c r="K130" s="167" t="s">
        <v>3976</v>
      </c>
      <c r="L130" s="226" t="s">
        <v>4046</v>
      </c>
      <c r="M130" s="242"/>
      <c r="N130" s="242"/>
      <c r="O130" s="226" t="s">
        <v>1371</v>
      </c>
      <c r="P130" s="644" t="s">
        <v>5759</v>
      </c>
      <c r="Q130" s="242"/>
      <c r="R130" s="167"/>
      <c r="S130" s="167"/>
      <c r="T130" s="242"/>
      <c r="U130" s="242"/>
      <c r="V130" s="242"/>
      <c r="W130" s="92"/>
      <c r="X130" s="198" t="s">
        <v>3161</v>
      </c>
      <c r="Y130" s="244"/>
      <c r="Z130" s="244"/>
      <c r="AA130" s="198" t="s">
        <v>1272</v>
      </c>
      <c r="AB130" s="244"/>
      <c r="AC130" s="198" t="s">
        <v>3697</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3875</v>
      </c>
      <c r="BF130" s="174" t="s">
        <v>3233</v>
      </c>
      <c r="BG130" s="173"/>
      <c r="BH130" s="173"/>
      <c r="BI130" s="173"/>
      <c r="BJ130" s="174" t="s">
        <v>5760</v>
      </c>
      <c r="BK130" s="174"/>
      <c r="BL130" s="173"/>
      <c r="BM130" s="173"/>
      <c r="BN130" s="173"/>
      <c r="BO130" s="173"/>
      <c r="BP130" s="173"/>
      <c r="BQ130" s="247"/>
      <c r="BR130" s="249"/>
      <c r="BS130" s="176" t="s">
        <v>3919</v>
      </c>
      <c r="BT130" s="175" t="s">
        <v>5352</v>
      </c>
      <c r="BU130" s="249"/>
      <c r="BV130" s="249"/>
      <c r="BW130" s="175" t="s">
        <v>5761</v>
      </c>
      <c r="BX130" s="249"/>
      <c r="BY130" s="249"/>
      <c r="BZ130" s="249"/>
      <c r="CA130" s="249"/>
      <c r="CB130" s="249"/>
      <c r="CC130" s="249"/>
      <c r="CD130" s="249"/>
      <c r="CE130" s="249"/>
      <c r="CF130" s="251"/>
      <c r="CG130" s="177" t="s">
        <v>2205</v>
      </c>
      <c r="CH130" s="262" t="s">
        <v>4403</v>
      </c>
      <c r="CI130" s="252"/>
      <c r="CJ130" s="252"/>
      <c r="CK130" s="252"/>
      <c r="CL130" s="252"/>
      <c r="CM130" s="177" t="s">
        <v>2484</v>
      </c>
      <c r="CN130" s="177" t="s">
        <v>1606</v>
      </c>
      <c r="CO130" s="132" t="str">
        <f>HYPERLINK("https://clips.twitch.tv/GlutenFreeFlirtyAmazonNinjaGrumpy","18.93")</f>
        <v>18.93</v>
      </c>
      <c r="CP130" s="252"/>
      <c r="CQ130" s="252"/>
      <c r="CR130" s="252"/>
      <c r="CS130" s="252"/>
      <c r="CT130" s="252"/>
      <c r="CU130" s="92"/>
      <c r="CV130" s="253"/>
      <c r="CW130" s="253"/>
      <c r="CX130" s="233" t="s">
        <v>2321</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1259</v>
      </c>
      <c r="D131" s="84" t="s">
        <v>1259</v>
      </c>
      <c r="E131" s="85" t="s">
        <v>1259</v>
      </c>
      <c r="F131" s="86" t="s">
        <v>547</v>
      </c>
      <c r="G131" s="82" t="s">
        <v>1947</v>
      </c>
      <c r="H131" s="99"/>
      <c r="I131" s="99"/>
      <c r="J131" s="94" t="s">
        <v>5764</v>
      </c>
      <c r="K131" s="94" t="s">
        <v>4610</v>
      </c>
      <c r="L131" s="94" t="s">
        <v>838</v>
      </c>
      <c r="M131" s="99"/>
      <c r="N131" s="94" t="s">
        <v>4960</v>
      </c>
      <c r="O131" s="94" t="s">
        <v>2676</v>
      </c>
      <c r="P131" s="94" t="s">
        <v>3577</v>
      </c>
      <c r="Q131" s="99"/>
      <c r="R131" s="99"/>
      <c r="S131" s="99"/>
      <c r="T131" s="99"/>
      <c r="U131" s="99"/>
      <c r="V131" s="99"/>
      <c r="W131" s="92"/>
      <c r="X131" s="94" t="s">
        <v>4593</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2911</v>
      </c>
      <c r="AW131" s="99"/>
      <c r="AX131" s="99"/>
      <c r="AY131" s="99"/>
      <c r="AZ131" s="99"/>
      <c r="BA131" s="99"/>
      <c r="BB131" s="99"/>
      <c r="BC131" s="99"/>
      <c r="BD131" s="99"/>
      <c r="BE131" s="99"/>
      <c r="BF131" s="94" t="s">
        <v>5765</v>
      </c>
      <c r="BG131" s="99"/>
      <c r="BH131" s="99"/>
      <c r="BI131" s="94" t="s">
        <v>3388</v>
      </c>
      <c r="BJ131" s="99"/>
      <c r="BK131" s="94" t="s">
        <v>5766</v>
      </c>
      <c r="BL131" s="99"/>
      <c r="BM131" s="99"/>
      <c r="BN131" s="99"/>
      <c r="BO131" s="99"/>
      <c r="BP131" s="99"/>
      <c r="BQ131" s="237"/>
      <c r="BR131" s="94" t="s">
        <v>5767</v>
      </c>
      <c r="BS131" s="99"/>
      <c r="BT131" s="99"/>
      <c r="BU131" s="94" t="s">
        <v>4795</v>
      </c>
      <c r="BV131" s="99"/>
      <c r="BW131" s="99"/>
      <c r="BX131" s="99"/>
      <c r="BY131" s="99"/>
      <c r="BZ131" s="99"/>
      <c r="CA131" s="99"/>
      <c r="CB131" s="99"/>
      <c r="CC131" s="99"/>
      <c r="CD131" s="99"/>
      <c r="CE131" s="99"/>
      <c r="CF131" s="237"/>
      <c r="CG131" s="94" t="s">
        <v>5768</v>
      </c>
      <c r="CH131" s="94" t="s">
        <v>1444</v>
      </c>
      <c r="CI131" s="99"/>
      <c r="CJ131" s="94" t="s">
        <v>5769</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9"/>
    </row>
    <row r="132">
      <c r="A132" s="645" t="s">
        <v>5770</v>
      </c>
      <c r="B132" s="104" t="s">
        <v>5771</v>
      </c>
      <c r="C132" s="105" t="s">
        <v>1259</v>
      </c>
      <c r="D132" s="106" t="s">
        <v>1259</v>
      </c>
      <c r="E132" s="107" t="s">
        <v>1259</v>
      </c>
      <c r="F132" s="108" t="s">
        <v>1200</v>
      </c>
      <c r="G132" s="104" t="s">
        <v>2871</v>
      </c>
      <c r="H132" s="419"/>
      <c r="I132" s="426"/>
      <c r="J132" s="419"/>
      <c r="K132" s="112" t="s">
        <v>2163</v>
      </c>
      <c r="L132" s="419" t="s">
        <v>562</v>
      </c>
      <c r="M132" s="419"/>
      <c r="N132" s="419"/>
      <c r="O132" s="112" t="s">
        <v>5772</v>
      </c>
      <c r="P132" s="112" t="s">
        <v>109</v>
      </c>
      <c r="Q132" s="242"/>
      <c r="R132" s="242"/>
      <c r="S132" s="242"/>
      <c r="T132" s="242"/>
      <c r="U132" s="242"/>
      <c r="V132" s="242"/>
      <c r="W132" s="92"/>
      <c r="X132" s="117" t="s">
        <v>5773</v>
      </c>
      <c r="Y132" s="270"/>
      <c r="Z132" s="116" t="s">
        <v>1565</v>
      </c>
      <c r="AA132" s="116" t="s">
        <v>1531</v>
      </c>
      <c r="AB132" s="296" t="s">
        <v>3142</v>
      </c>
      <c r="AC132" s="116" t="s">
        <v>2188</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3"/>
      <c r="BC132" s="353" t="s">
        <v>3376</v>
      </c>
      <c r="BD132" s="353" t="s">
        <v>1319</v>
      </c>
      <c r="BE132" s="353"/>
      <c r="BF132" s="353"/>
      <c r="BG132" s="353"/>
      <c r="BH132" s="173"/>
      <c r="BI132" s="353"/>
      <c r="BJ132" s="173"/>
      <c r="BK132" s="353"/>
      <c r="BL132" s="353"/>
      <c r="BM132" s="173"/>
      <c r="BN132" s="173"/>
      <c r="BO132" s="353"/>
      <c r="BP132" s="173"/>
      <c r="BQ132" s="247"/>
      <c r="BR132" s="131"/>
      <c r="BS132" s="131"/>
      <c r="BT132" s="131"/>
      <c r="BU132" s="131" t="s">
        <v>1627</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7" t="s">
        <v>1282</v>
      </c>
      <c r="CO132" s="135" t="s">
        <v>1249</v>
      </c>
      <c r="CP132" s="428"/>
      <c r="CQ132" s="252"/>
      <c r="CR132" s="252"/>
      <c r="CS132" s="252"/>
      <c r="CT132" s="252"/>
      <c r="CU132" s="92"/>
      <c r="CV132" s="285"/>
      <c r="CW132" s="285"/>
      <c r="CX132" s="140" t="s">
        <v>2000</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1259</v>
      </c>
      <c r="D133" s="84" t="s">
        <v>1259</v>
      </c>
      <c r="E133" s="85" t="s">
        <v>1259</v>
      </c>
      <c r="F133" s="86" t="s">
        <v>1259</v>
      </c>
      <c r="G133" s="82" t="s">
        <v>4055</v>
      </c>
      <c r="H133" s="99"/>
      <c r="I133" s="94" t="s">
        <v>5779</v>
      </c>
      <c r="J133" s="99"/>
      <c r="K133" s="99"/>
      <c r="L133" s="94" t="s">
        <v>3560</v>
      </c>
      <c r="M133" s="99"/>
      <c r="N133" s="94" t="s">
        <v>5454</v>
      </c>
      <c r="O133" s="94" t="s">
        <v>853</v>
      </c>
      <c r="P133" s="94" t="s">
        <v>3265</v>
      </c>
      <c r="Q133" s="99"/>
      <c r="R133" s="99"/>
      <c r="S133" s="99"/>
      <c r="T133" s="99"/>
      <c r="U133" s="94" t="s">
        <v>3215</v>
      </c>
      <c r="V133" s="99"/>
      <c r="W133" s="92"/>
      <c r="X133" s="99"/>
      <c r="Y133" s="94"/>
      <c r="Z133" s="94" t="s">
        <v>580</v>
      </c>
      <c r="AA133" s="94" t="s">
        <v>1531</v>
      </c>
      <c r="AB133" s="99"/>
      <c r="AC133" s="94" t="s">
        <v>4903</v>
      </c>
      <c r="AD133" s="99"/>
      <c r="AE133" s="99"/>
      <c r="AF133" s="94" t="s">
        <v>2129</v>
      </c>
      <c r="AG133" s="99"/>
      <c r="AH133" s="99"/>
      <c r="AI133" s="99"/>
      <c r="AJ133" s="99"/>
      <c r="AK133" s="99"/>
      <c r="AL133" s="97"/>
      <c r="AM133" s="94"/>
      <c r="AN133" s="94" t="s">
        <v>5780</v>
      </c>
      <c r="AO133" s="99"/>
      <c r="AP133" s="99"/>
      <c r="AQ133" s="99"/>
      <c r="AR133" s="99"/>
      <c r="AS133" s="99"/>
      <c r="AT133" s="99"/>
      <c r="AU133" s="94" t="s">
        <v>3187</v>
      </c>
      <c r="AV133" s="99"/>
      <c r="AW133" s="99"/>
      <c r="AX133" s="99"/>
      <c r="AY133" s="94" t="s">
        <v>5461</v>
      </c>
      <c r="AZ133" s="99"/>
      <c r="BA133" s="99"/>
      <c r="BB133" s="99"/>
      <c r="BC133" s="99"/>
      <c r="BD133" s="99"/>
      <c r="BE133" s="94" t="s">
        <v>5094</v>
      </c>
      <c r="BF133" s="94" t="s">
        <v>5781</v>
      </c>
      <c r="BG133" s="99"/>
      <c r="BH133" s="99"/>
      <c r="BI133" s="94" t="s">
        <v>5495</v>
      </c>
      <c r="BJ133" s="99"/>
      <c r="BK133" s="99"/>
      <c r="BL133" s="99"/>
      <c r="BM133" s="99"/>
      <c r="BN133" s="99"/>
      <c r="BO133" s="99"/>
      <c r="BP133" s="99"/>
      <c r="BQ133" s="237"/>
      <c r="BR133" s="99"/>
      <c r="BS133" s="94" t="s">
        <v>5782</v>
      </c>
      <c r="BT133" s="94" t="s">
        <v>1726</v>
      </c>
      <c r="BU133" s="99"/>
      <c r="BV133" s="99"/>
      <c r="BW133" s="94" t="s">
        <v>1806</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4800</v>
      </c>
      <c r="CW133" s="99"/>
      <c r="CX133" s="94" t="s">
        <v>2562</v>
      </c>
      <c r="CY133" s="99"/>
      <c r="CZ133" s="99"/>
      <c r="DA133" s="99"/>
      <c r="DB133" s="94" t="s">
        <v>5785</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5786</v>
      </c>
      <c r="B134" s="104" t="s">
        <v>5787</v>
      </c>
      <c r="C134" s="105" t="s">
        <v>1259</v>
      </c>
      <c r="D134" s="106" t="s">
        <v>1259</v>
      </c>
      <c r="E134" s="107" t="s">
        <v>1259</v>
      </c>
      <c r="F134" s="108" t="s">
        <v>1259</v>
      </c>
      <c r="G134" s="104" t="s">
        <v>1056</v>
      </c>
      <c r="H134" s="647" t="s">
        <v>4582</v>
      </c>
      <c r="I134" s="322" t="s">
        <v>5788</v>
      </c>
      <c r="J134" s="322" t="s">
        <v>5789</v>
      </c>
      <c r="K134" s="322" t="s">
        <v>2658</v>
      </c>
      <c r="L134" s="322" t="s">
        <v>2098</v>
      </c>
      <c r="M134" s="322" t="s">
        <v>5790</v>
      </c>
      <c r="N134" s="322" t="s">
        <v>5791</v>
      </c>
      <c r="O134" s="322" t="s">
        <v>3958</v>
      </c>
      <c r="P134" s="322" t="s">
        <v>4966</v>
      </c>
      <c r="Q134" s="167" t="s">
        <v>5792</v>
      </c>
      <c r="R134" s="242"/>
      <c r="S134" s="167" t="s">
        <v>3811</v>
      </c>
      <c r="T134" s="242"/>
      <c r="U134" s="167" t="s">
        <v>1267</v>
      </c>
      <c r="V134" s="167" t="s">
        <v>5793</v>
      </c>
      <c r="W134" s="92"/>
      <c r="X134" s="336" t="s">
        <v>5016</v>
      </c>
      <c r="Y134" s="336"/>
      <c r="Z134" s="336" t="s">
        <v>3597</v>
      </c>
      <c r="AA134" s="336" t="s">
        <v>1442</v>
      </c>
      <c r="AB134" s="296" t="s">
        <v>5794</v>
      </c>
      <c r="AC134" s="336" t="s">
        <v>1912</v>
      </c>
      <c r="AD134" s="336" t="s">
        <v>4989</v>
      </c>
      <c r="AE134" s="244"/>
      <c r="AF134" s="336" t="s">
        <v>2423</v>
      </c>
      <c r="AG134" s="336" t="s">
        <v>5460</v>
      </c>
      <c r="AH134" s="198" t="s">
        <v>1745</v>
      </c>
      <c r="AI134" s="244"/>
      <c r="AJ134" s="336" t="s">
        <v>2438</v>
      </c>
      <c r="AK134" s="198" t="s">
        <v>5795</v>
      </c>
      <c r="AL134" s="97"/>
      <c r="AM134" s="431" t="s">
        <v>1372</v>
      </c>
      <c r="AN134" s="431" t="s">
        <v>1082</v>
      </c>
      <c r="AO134" s="245"/>
      <c r="AP134" s="245"/>
      <c r="AQ134" s="168" t="s">
        <v>5796</v>
      </c>
      <c r="AR134" s="168" t="s">
        <v>1097</v>
      </c>
      <c r="AS134" s="168" t="s">
        <v>1142</v>
      </c>
      <c r="AT134" s="245"/>
      <c r="AU134" s="431" t="s">
        <v>5578</v>
      </c>
      <c r="AV134" s="431" t="s">
        <v>4733</v>
      </c>
      <c r="AW134" s="124"/>
      <c r="AX134" s="245"/>
      <c r="AY134" s="168" t="s">
        <v>952</v>
      </c>
      <c r="AZ134" s="168" t="s">
        <v>5797</v>
      </c>
      <c r="BA134" s="245"/>
      <c r="BB134" s="201" t="s">
        <v>5798</v>
      </c>
      <c r="BC134" s="201" t="s">
        <v>5799</v>
      </c>
      <c r="BD134" s="201" t="s">
        <v>5800</v>
      </c>
      <c r="BE134" s="201" t="s">
        <v>2438</v>
      </c>
      <c r="BF134" s="201" t="s">
        <v>5801</v>
      </c>
      <c r="BG134" s="201" t="s">
        <v>4342</v>
      </c>
      <c r="BH134" s="174" t="s">
        <v>5802</v>
      </c>
      <c r="BI134" s="201" t="s">
        <v>4440</v>
      </c>
      <c r="BJ134" s="173"/>
      <c r="BK134" s="201" t="s">
        <v>5803</v>
      </c>
      <c r="BL134" s="201" t="s">
        <v>2856</v>
      </c>
      <c r="BM134" s="173"/>
      <c r="BN134" s="173"/>
      <c r="BO134" s="353"/>
      <c r="BP134" s="173"/>
      <c r="BQ134" s="247"/>
      <c r="BR134" s="344" t="s">
        <v>5804</v>
      </c>
      <c r="BS134" s="344" t="s">
        <v>5805</v>
      </c>
      <c r="BT134" s="344" t="s">
        <v>5806</v>
      </c>
      <c r="BU134" s="344" t="s">
        <v>5807</v>
      </c>
      <c r="BV134" s="344" t="s">
        <v>5462</v>
      </c>
      <c r="BW134" s="344" t="s">
        <v>328</v>
      </c>
      <c r="BX134" s="175" t="s">
        <v>5808</v>
      </c>
      <c r="BY134" s="131"/>
      <c r="BZ134" s="344" t="s">
        <v>5809</v>
      </c>
      <c r="CA134" s="344" t="s">
        <v>5810</v>
      </c>
      <c r="CB134" s="175" t="s">
        <v>5811</v>
      </c>
      <c r="CC134" s="249"/>
      <c r="CD134" s="249"/>
      <c r="CE134" s="175" t="s">
        <v>5812</v>
      </c>
      <c r="CF134" s="251"/>
      <c r="CG134" s="337" t="s">
        <v>3446</v>
      </c>
      <c r="CH134" s="337" t="s">
        <v>5261</v>
      </c>
      <c r="CI134" s="337" t="s">
        <v>1120</v>
      </c>
      <c r="CJ134" s="337" t="s">
        <v>5813</v>
      </c>
      <c r="CK134" s="337" t="s">
        <v>5814</v>
      </c>
      <c r="CL134" s="337" t="s">
        <v>5815</v>
      </c>
      <c r="CM134" s="337" t="s">
        <v>5816</v>
      </c>
      <c r="CN134" s="337" t="s">
        <v>1085</v>
      </c>
      <c r="CO134" s="337" t="s">
        <v>1412</v>
      </c>
      <c r="CP134" s="428"/>
      <c r="CQ134" s="252"/>
      <c r="CR134" s="252"/>
      <c r="CS134" s="252"/>
      <c r="CT134" s="177" t="s">
        <v>5817</v>
      </c>
      <c r="CU134" s="92"/>
      <c r="CV134" s="284" t="s">
        <v>2619</v>
      </c>
      <c r="CW134" s="284" t="s">
        <v>5818</v>
      </c>
      <c r="CX134" s="648" t="s">
        <v>5819</v>
      </c>
      <c r="CY134" s="284" t="s">
        <v>3328</v>
      </c>
      <c r="CZ134" s="284" t="s">
        <v>5820</v>
      </c>
      <c r="DA134" s="284" t="s">
        <v>4057</v>
      </c>
      <c r="DB134" s="284" t="s">
        <v>5821</v>
      </c>
      <c r="DC134" s="284" t="s">
        <v>5822</v>
      </c>
      <c r="DD134" s="204" t="s">
        <v>5823</v>
      </c>
      <c r="DE134" s="253"/>
      <c r="DF134" s="253"/>
      <c r="DG134" s="204" t="s">
        <v>5824</v>
      </c>
      <c r="DH134" s="263"/>
      <c r="DI134" s="287" t="s">
        <v>570</v>
      </c>
      <c r="DJ134" s="255"/>
      <c r="DK134" s="205" t="s">
        <v>4026</v>
      </c>
      <c r="DL134" s="287" t="s">
        <v>5825</v>
      </c>
      <c r="DM134" s="287" t="s">
        <v>3985</v>
      </c>
      <c r="DN134" s="287" t="s">
        <v>3160</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3952</v>
      </c>
      <c r="ED134" s="287" t="s">
        <v>5833</v>
      </c>
    </row>
    <row r="135">
      <c r="A135" s="649" t="s">
        <v>5834</v>
      </c>
      <c r="B135" s="82" t="s">
        <v>5835</v>
      </c>
      <c r="C135" s="83" t="s">
        <v>1259</v>
      </c>
      <c r="D135" s="84" t="s">
        <v>1259</v>
      </c>
      <c r="E135" s="85" t="s">
        <v>1259</v>
      </c>
      <c r="F135" s="86" t="s">
        <v>3973</v>
      </c>
      <c r="G135" s="82" t="s">
        <v>3973</v>
      </c>
      <c r="H135" s="88" t="s">
        <v>5836</v>
      </c>
      <c r="I135" s="88" t="s">
        <v>5837</v>
      </c>
      <c r="J135" s="88" t="s">
        <v>4668</v>
      </c>
      <c r="K135" s="99"/>
      <c r="L135" s="88" t="s">
        <v>5838</v>
      </c>
      <c r="M135" s="88" t="s">
        <v>5839</v>
      </c>
      <c r="N135" s="99"/>
      <c r="O135" s="99"/>
      <c r="P135" s="88" t="s">
        <v>3633</v>
      </c>
      <c r="Q135" s="99"/>
      <c r="R135" s="99"/>
      <c r="S135" s="99"/>
      <c r="T135" s="99"/>
      <c r="U135" s="99"/>
      <c r="V135" s="99"/>
      <c r="W135" s="92"/>
      <c r="X135" s="88" t="s">
        <v>2301</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5842</v>
      </c>
      <c r="BS135" s="99"/>
      <c r="BT135" s="88" t="s">
        <v>4063</v>
      </c>
      <c r="BU135" s="99"/>
      <c r="BV135" s="99"/>
      <c r="BW135" s="99"/>
      <c r="BX135" s="99"/>
      <c r="BY135" s="99"/>
      <c r="BZ135" s="99"/>
      <c r="CA135" s="88" t="s">
        <v>5843</v>
      </c>
      <c r="CB135" s="99"/>
      <c r="CC135" s="99"/>
      <c r="CD135" s="99"/>
      <c r="CE135" s="99"/>
      <c r="CF135" s="237"/>
      <c r="CG135" s="88" t="s">
        <v>5844</v>
      </c>
      <c r="CH135" s="88" t="s">
        <v>2371</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9"/>
    </row>
    <row r="136">
      <c r="A136" s="103" t="s">
        <v>5846</v>
      </c>
      <c r="B136" s="104" t="s">
        <v>5847</v>
      </c>
      <c r="C136" s="105" t="s">
        <v>1259</v>
      </c>
      <c r="D136" s="106" t="s">
        <v>1259</v>
      </c>
      <c r="E136" s="107" t="s">
        <v>1259</v>
      </c>
      <c r="F136" s="108" t="s">
        <v>1259</v>
      </c>
      <c r="G136" s="104" t="s">
        <v>2993</v>
      </c>
      <c r="H136" s="167" t="s">
        <v>5848</v>
      </c>
      <c r="I136" s="167" t="s">
        <v>5849</v>
      </c>
      <c r="J136" s="167" t="s">
        <v>918</v>
      </c>
      <c r="K136" s="167" t="s">
        <v>3908</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5606</v>
      </c>
      <c r="AB136" s="198" t="s">
        <v>2384</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3161</v>
      </c>
      <c r="BC136" s="174" t="s">
        <v>5856</v>
      </c>
      <c r="BD136" s="174" t="s">
        <v>4159</v>
      </c>
      <c r="BE136" s="173"/>
      <c r="BF136" s="173"/>
      <c r="BG136" s="173"/>
      <c r="BH136" s="173"/>
      <c r="BI136" s="174" t="s">
        <v>913</v>
      </c>
      <c r="BJ136" s="173"/>
      <c r="BK136" s="173"/>
      <c r="BL136" s="173"/>
      <c r="BM136" s="173"/>
      <c r="BN136" s="173"/>
      <c r="BO136" s="173"/>
      <c r="BP136" s="173"/>
      <c r="BQ136" s="247"/>
      <c r="BR136" s="175"/>
      <c r="BS136" s="175" t="s">
        <v>3272</v>
      </c>
      <c r="BT136" s="175" t="s">
        <v>4825</v>
      </c>
      <c r="BU136" s="175" t="s">
        <v>1841</v>
      </c>
      <c r="BV136" s="175" t="s">
        <v>5674</v>
      </c>
      <c r="BW136" s="175" t="s">
        <v>5666</v>
      </c>
      <c r="BX136" s="249"/>
      <c r="BY136" s="249"/>
      <c r="BZ136" s="249"/>
      <c r="CA136" s="249"/>
      <c r="CB136" s="249"/>
      <c r="CC136" s="249"/>
      <c r="CD136" s="249"/>
      <c r="CE136" s="249"/>
      <c r="CF136" s="251"/>
      <c r="CG136" s="177" t="s">
        <v>5857</v>
      </c>
      <c r="CH136" s="177" t="s">
        <v>3918</v>
      </c>
      <c r="CI136" s="252"/>
      <c r="CJ136" s="252"/>
      <c r="CK136" s="252"/>
      <c r="CL136" s="252"/>
      <c r="CM136" s="252"/>
      <c r="CN136" s="252"/>
      <c r="CO136" s="252"/>
      <c r="CP136" s="252"/>
      <c r="CQ136" s="252"/>
      <c r="CR136" s="252"/>
      <c r="CS136" s="252"/>
      <c r="CT136" s="252"/>
      <c r="CU136" s="92"/>
      <c r="CV136" s="204" t="s">
        <v>4675</v>
      </c>
      <c r="CW136" s="204" t="s">
        <v>5858</v>
      </c>
      <c r="CX136" s="204" t="s">
        <v>2646</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1259</v>
      </c>
      <c r="D137" s="84" t="s">
        <v>1259</v>
      </c>
      <c r="E137" s="85" t="s">
        <v>1259</v>
      </c>
      <c r="F137" s="86" t="s">
        <v>547</v>
      </c>
      <c r="G137" s="82" t="s">
        <v>3098</v>
      </c>
      <c r="H137" s="94" t="s">
        <v>4208</v>
      </c>
      <c r="I137" s="94" t="s">
        <v>5863</v>
      </c>
      <c r="J137" s="94" t="s">
        <v>3361</v>
      </c>
      <c r="K137" s="94" t="s">
        <v>2278</v>
      </c>
      <c r="L137" s="94" t="s">
        <v>5232</v>
      </c>
      <c r="M137" s="94" t="s">
        <v>5864</v>
      </c>
      <c r="N137" s="94" t="s">
        <v>5865</v>
      </c>
      <c r="O137" s="94" t="s">
        <v>5866</v>
      </c>
      <c r="P137" s="94" t="s">
        <v>1211</v>
      </c>
      <c r="Q137" s="94"/>
      <c r="R137" s="99"/>
      <c r="S137" s="99"/>
      <c r="T137" s="99"/>
      <c r="U137" s="99"/>
      <c r="V137" s="99"/>
      <c r="W137" s="92"/>
      <c r="X137" s="94" t="s">
        <v>5867</v>
      </c>
      <c r="Y137" s="94"/>
      <c r="Z137" s="94" t="s">
        <v>5868</v>
      </c>
      <c r="AA137" s="94" t="s">
        <v>2067</v>
      </c>
      <c r="AB137" s="94" t="s">
        <v>5869</v>
      </c>
      <c r="AC137" s="94" t="s">
        <v>3888</v>
      </c>
      <c r="AD137" s="94" t="s">
        <v>5870</v>
      </c>
      <c r="AE137" s="99"/>
      <c r="AF137" s="94" t="s">
        <v>5791</v>
      </c>
      <c r="AG137" s="94" t="s">
        <v>4144</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4823</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1904</v>
      </c>
      <c r="CY137" s="94" t="s">
        <v>5081</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2701</v>
      </c>
      <c r="ED137" s="258" t="s">
        <v>5877</v>
      </c>
    </row>
    <row r="138">
      <c r="A138" s="650" t="s">
        <v>5878</v>
      </c>
      <c r="B138" s="453" t="s">
        <v>5879</v>
      </c>
      <c r="C138" s="454" t="s">
        <v>1259</v>
      </c>
      <c r="D138" s="455" t="s">
        <v>1259</v>
      </c>
      <c r="E138" s="456" t="s">
        <v>1259</v>
      </c>
      <c r="F138" s="457" t="s">
        <v>1054</v>
      </c>
      <c r="G138" s="453" t="s">
        <v>5880</v>
      </c>
      <c r="H138" s="459"/>
      <c r="I138" s="459" t="s">
        <v>5881</v>
      </c>
      <c r="J138" s="459"/>
      <c r="K138" s="459" t="s">
        <v>3107</v>
      </c>
      <c r="L138" s="458" t="s">
        <v>5217</v>
      </c>
      <c r="M138" s="459"/>
      <c r="N138" s="410" t="s">
        <v>5882</v>
      </c>
      <c r="O138" s="410" t="s">
        <v>5772</v>
      </c>
      <c r="P138" s="458" t="s">
        <v>3265</v>
      </c>
      <c r="Q138" s="459"/>
      <c r="R138" s="459"/>
      <c r="S138" s="459" t="s">
        <v>4102</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5476</v>
      </c>
      <c r="AX138" s="466"/>
      <c r="AY138" s="466" t="s">
        <v>4503</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3"/>
      <c r="BR138" s="469"/>
      <c r="BS138" s="469"/>
      <c r="BT138" s="469" t="s">
        <v>5888</v>
      </c>
      <c r="BU138" s="469"/>
      <c r="BV138" s="129" t="s">
        <v>2600</v>
      </c>
      <c r="BW138" s="129" t="s">
        <v>5504</v>
      </c>
      <c r="BX138" s="469"/>
      <c r="BY138" s="469"/>
      <c r="BZ138" s="469"/>
      <c r="CA138" s="129" t="s">
        <v>3740</v>
      </c>
      <c r="CB138" s="469" t="s">
        <v>5889</v>
      </c>
      <c r="CC138" s="469"/>
      <c r="CD138" s="469"/>
      <c r="CE138" s="469"/>
      <c r="CF138" s="654"/>
      <c r="CG138" s="472" t="s">
        <v>769</v>
      </c>
      <c r="CH138" s="472"/>
      <c r="CI138" s="472"/>
      <c r="CJ138" s="472" t="s">
        <v>5890</v>
      </c>
      <c r="CK138" s="472"/>
      <c r="CL138" s="472"/>
      <c r="CM138" s="655" t="s">
        <v>5891</v>
      </c>
      <c r="CN138" s="177" t="s">
        <v>5292</v>
      </c>
      <c r="CO138" s="472"/>
      <c r="CP138" s="472"/>
      <c r="CQ138" s="472"/>
      <c r="CR138" s="472"/>
      <c r="CS138" s="472"/>
      <c r="CT138" s="472" t="s">
        <v>5892</v>
      </c>
      <c r="CU138" s="460"/>
      <c r="CV138" s="473"/>
      <c r="CW138" s="473"/>
      <c r="CX138" s="656" t="s">
        <v>3420</v>
      </c>
      <c r="CY138" s="473" t="s">
        <v>5893</v>
      </c>
      <c r="CZ138" s="656" t="s">
        <v>5894</v>
      </c>
      <c r="DA138" s="474" t="s">
        <v>1854</v>
      </c>
      <c r="DB138" s="474" t="s">
        <v>5895</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1259</v>
      </c>
      <c r="D139" s="84" t="s">
        <v>1259</v>
      </c>
      <c r="E139" s="85" t="s">
        <v>1259</v>
      </c>
      <c r="F139" s="86" t="s">
        <v>650</v>
      </c>
      <c r="G139" s="82" t="s">
        <v>5899</v>
      </c>
      <c r="H139" s="258" t="s">
        <v>3785</v>
      </c>
      <c r="I139" s="266" t="s">
        <v>5900</v>
      </c>
      <c r="J139" s="266" t="s">
        <v>1730</v>
      </c>
      <c r="K139" s="258" t="s">
        <v>352</v>
      </c>
      <c r="L139" s="258" t="s">
        <v>611</v>
      </c>
      <c r="M139" s="258" t="s">
        <v>5901</v>
      </c>
      <c r="N139" s="258" t="s">
        <v>5902</v>
      </c>
      <c r="O139" s="93" t="s">
        <v>242</v>
      </c>
      <c r="P139" s="258" t="s">
        <v>4859</v>
      </c>
      <c r="Q139" s="94" t="s">
        <v>5903</v>
      </c>
      <c r="R139" s="99"/>
      <c r="S139" s="94" t="s">
        <v>4102</v>
      </c>
      <c r="T139" s="99"/>
      <c r="U139" s="94" t="s">
        <v>2096</v>
      </c>
      <c r="V139" s="94" t="s">
        <v>5904</v>
      </c>
      <c r="W139" s="92"/>
      <c r="X139" s="433" t="s">
        <v>5013</v>
      </c>
      <c r="Y139" s="162"/>
      <c r="Z139" s="162" t="s">
        <v>5516</v>
      </c>
      <c r="AA139" s="88" t="s">
        <v>415</v>
      </c>
      <c r="AB139" s="266" t="s">
        <v>2731</v>
      </c>
      <c r="AC139" s="266" t="s">
        <v>3884</v>
      </c>
      <c r="AD139" s="258" t="s">
        <v>1571</v>
      </c>
      <c r="AE139" s="99"/>
      <c r="AF139" s="93" t="s">
        <v>5905</v>
      </c>
      <c r="AG139" s="258" t="s">
        <v>5906</v>
      </c>
      <c r="AH139" s="99"/>
      <c r="AI139" s="99"/>
      <c r="AJ139" s="102"/>
      <c r="AK139" s="99"/>
      <c r="AL139" s="97"/>
      <c r="AM139" s="258" t="s">
        <v>3561</v>
      </c>
      <c r="AN139" s="258" t="s">
        <v>5907</v>
      </c>
      <c r="AO139" s="94" t="s">
        <v>5908</v>
      </c>
      <c r="AP139" s="94" t="s">
        <v>102</v>
      </c>
      <c r="AQ139" s="94" t="s">
        <v>5909</v>
      </c>
      <c r="AR139" s="94" t="s">
        <v>5137</v>
      </c>
      <c r="AS139" s="94" t="s">
        <v>5910</v>
      </c>
      <c r="AT139" s="94" t="s">
        <v>5911</v>
      </c>
      <c r="AU139" s="258" t="s">
        <v>4307</v>
      </c>
      <c r="AV139" s="258" t="s">
        <v>3497</v>
      </c>
      <c r="AW139" s="258" t="s">
        <v>4191</v>
      </c>
      <c r="AX139" s="99"/>
      <c r="AY139" s="99"/>
      <c r="AZ139" s="99"/>
      <c r="BA139" s="99"/>
      <c r="BB139" s="258" t="s">
        <v>5912</v>
      </c>
      <c r="BC139" s="258" t="s">
        <v>2061</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5800</v>
      </c>
      <c r="BV139" s="258" t="s">
        <v>5918</v>
      </c>
      <c r="BW139" s="258" t="s">
        <v>4600</v>
      </c>
      <c r="BX139" s="99"/>
      <c r="BY139" s="258" t="s">
        <v>5919</v>
      </c>
      <c r="BZ139" s="102"/>
      <c r="CA139" s="258" t="s">
        <v>976</v>
      </c>
      <c r="CB139" s="99"/>
      <c r="CC139" s="99"/>
      <c r="CD139" s="99"/>
      <c r="CE139" s="99"/>
      <c r="CF139" s="237"/>
      <c r="CG139" s="258" t="s">
        <v>5920</v>
      </c>
      <c r="CH139" s="258" t="s">
        <v>5921</v>
      </c>
      <c r="CI139" s="258" t="s">
        <v>4421</v>
      </c>
      <c r="CJ139" s="102"/>
      <c r="CK139" s="102"/>
      <c r="CL139" s="258" t="s">
        <v>2141</v>
      </c>
      <c r="CM139" s="102"/>
      <c r="CN139" s="102"/>
      <c r="CO139" s="102"/>
      <c r="CP139" s="222"/>
      <c r="CQ139" s="99"/>
      <c r="CR139" s="99"/>
      <c r="CS139" s="99"/>
      <c r="CT139" s="99"/>
      <c r="CU139" s="92"/>
      <c r="CV139" s="258" t="s">
        <v>5922</v>
      </c>
      <c r="CW139" s="258" t="s">
        <v>5923</v>
      </c>
      <c r="CX139" s="433" t="s">
        <v>5924</v>
      </c>
      <c r="CY139" s="88" t="s">
        <v>4514</v>
      </c>
      <c r="CZ139" s="258" t="s">
        <v>3403</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1259</v>
      </c>
      <c r="D140" s="106" t="s">
        <v>1259</v>
      </c>
      <c r="E140" s="107" t="s">
        <v>1259</v>
      </c>
      <c r="F140" s="108" t="s">
        <v>1259</v>
      </c>
      <c r="G140" s="104" t="s">
        <v>221</v>
      </c>
      <c r="H140" s="226" t="s">
        <v>5930</v>
      </c>
      <c r="I140" s="341" t="s">
        <v>5931</v>
      </c>
      <c r="J140" s="226" t="s">
        <v>2826</v>
      </c>
      <c r="K140" s="226" t="s">
        <v>4508</v>
      </c>
      <c r="L140" s="226"/>
      <c r="M140" s="226"/>
      <c r="N140" s="226"/>
      <c r="O140" s="226"/>
      <c r="P140" s="226"/>
      <c r="Q140" s="242"/>
      <c r="R140" s="242"/>
      <c r="S140" s="242"/>
      <c r="T140" s="242"/>
      <c r="U140" s="242"/>
      <c r="V140" s="242"/>
      <c r="W140" s="92"/>
      <c r="X140" s="342" t="s">
        <v>1977</v>
      </c>
      <c r="Y140" s="270"/>
      <c r="Z140" s="270" t="s">
        <v>1428</v>
      </c>
      <c r="AA140" s="270"/>
      <c r="AB140" s="270"/>
      <c r="AC140" s="270"/>
      <c r="AD140" s="270"/>
      <c r="AE140" s="244"/>
      <c r="AF140" s="270"/>
      <c r="AG140" s="342"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5932</v>
      </c>
      <c r="B141" s="82" t="s">
        <v>5933</v>
      </c>
      <c r="C141" s="83" t="s">
        <v>1259</v>
      </c>
      <c r="D141" s="84" t="s">
        <v>1259</v>
      </c>
      <c r="E141" s="85" t="s">
        <v>1259</v>
      </c>
      <c r="F141" s="86" t="s">
        <v>438</v>
      </c>
      <c r="G141" s="82" t="s">
        <v>4785</v>
      </c>
      <c r="H141" s="94"/>
      <c r="I141" s="94" t="s">
        <v>5934</v>
      </c>
      <c r="J141" s="94" t="s">
        <v>4147</v>
      </c>
      <c r="K141" s="88" t="s">
        <v>2278</v>
      </c>
      <c r="L141" s="94" t="s">
        <v>2477</v>
      </c>
      <c r="M141" s="94" t="s">
        <v>5935</v>
      </c>
      <c r="N141" s="94" t="s">
        <v>5936</v>
      </c>
      <c r="O141" s="94" t="s">
        <v>5158</v>
      </c>
      <c r="P141" s="94" t="s">
        <v>564</v>
      </c>
      <c r="Q141" s="99"/>
      <c r="R141" s="99"/>
      <c r="S141" s="99"/>
      <c r="T141" s="99"/>
      <c r="U141" s="99"/>
      <c r="V141" s="99"/>
      <c r="W141" s="92"/>
      <c r="X141" s="94" t="s">
        <v>4626</v>
      </c>
      <c r="Y141" s="94"/>
      <c r="Z141" s="94" t="s">
        <v>5855</v>
      </c>
      <c r="AA141" s="94" t="s">
        <v>2242</v>
      </c>
      <c r="AB141" s="94" t="s">
        <v>5937</v>
      </c>
      <c r="AC141" s="94" t="s">
        <v>4971</v>
      </c>
      <c r="AD141" s="94" t="s">
        <v>5938</v>
      </c>
      <c r="AE141" s="99"/>
      <c r="AF141" s="94" t="s">
        <v>5939</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5940</v>
      </c>
      <c r="BF141" s="99"/>
      <c r="BG141" s="94" t="s">
        <v>2919</v>
      </c>
      <c r="BH141" s="99"/>
      <c r="BI141" s="94" t="s">
        <v>902</v>
      </c>
      <c r="BJ141" s="99"/>
      <c r="BK141" s="99"/>
      <c r="BL141" s="99"/>
      <c r="BM141" s="99"/>
      <c r="BN141" s="99"/>
      <c r="BO141" s="99"/>
      <c r="BP141" s="99"/>
      <c r="BQ141" s="237"/>
      <c r="BR141" s="94" t="s">
        <v>5941</v>
      </c>
      <c r="BS141" s="94" t="s">
        <v>5942</v>
      </c>
      <c r="BT141" s="94" t="s">
        <v>496</v>
      </c>
      <c r="BU141" s="266" t="s">
        <v>3093</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3708</v>
      </c>
      <c r="CP141" s="99"/>
      <c r="CQ141" s="99"/>
      <c r="CR141" s="99"/>
      <c r="CS141" s="99"/>
      <c r="CT141" s="99"/>
      <c r="CU141" s="92"/>
      <c r="CV141" s="94" t="s">
        <v>2914</v>
      </c>
      <c r="CW141" s="94" t="s">
        <v>3671</v>
      </c>
      <c r="CX141" s="94" t="s">
        <v>2806</v>
      </c>
      <c r="CY141" s="94" t="s">
        <v>5952</v>
      </c>
      <c r="CZ141" s="94" t="s">
        <v>3728</v>
      </c>
      <c r="DA141" s="94" t="s">
        <v>1813</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9"/>
    </row>
    <row r="142">
      <c r="A142" s="661" t="s">
        <v>5955</v>
      </c>
      <c r="B142" s="104" t="s">
        <v>5933</v>
      </c>
      <c r="C142" s="105" t="s">
        <v>1259</v>
      </c>
      <c r="D142" s="106" t="s">
        <v>1259</v>
      </c>
      <c r="E142" s="107" t="s">
        <v>1259</v>
      </c>
      <c r="F142" s="108" t="s">
        <v>438</v>
      </c>
      <c r="G142" s="104" t="s">
        <v>2683</v>
      </c>
      <c r="H142" s="167" t="s">
        <v>5956</v>
      </c>
      <c r="I142" s="293" t="s">
        <v>1589</v>
      </c>
      <c r="J142" s="167" t="s">
        <v>5957</v>
      </c>
      <c r="K142" s="167" t="s">
        <v>5958</v>
      </c>
      <c r="L142" s="167" t="s">
        <v>5959</v>
      </c>
      <c r="M142" s="242"/>
      <c r="N142" s="167" t="s">
        <v>5960</v>
      </c>
      <c r="O142" s="167" t="s">
        <v>3588</v>
      </c>
      <c r="P142" s="167" t="s">
        <v>1000</v>
      </c>
      <c r="Q142" s="242"/>
      <c r="R142" s="167" t="s">
        <v>324</v>
      </c>
      <c r="S142" s="167" t="s">
        <v>2217</v>
      </c>
      <c r="T142" s="242"/>
      <c r="U142" s="167" t="s">
        <v>3227</v>
      </c>
      <c r="V142" s="242"/>
      <c r="W142" s="92"/>
      <c r="X142" s="198" t="s">
        <v>5961</v>
      </c>
      <c r="Y142" s="117"/>
      <c r="Z142" s="116" t="s">
        <v>2394</v>
      </c>
      <c r="AA142" s="198" t="s">
        <v>4526</v>
      </c>
      <c r="AB142" s="198" t="s">
        <v>1678</v>
      </c>
      <c r="AC142" s="198" t="s">
        <v>3886</v>
      </c>
      <c r="AD142" s="198" t="s">
        <v>2392</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1958</v>
      </c>
      <c r="BD142" s="174" t="s">
        <v>5964</v>
      </c>
      <c r="BE142" s="174" t="s">
        <v>3578</v>
      </c>
      <c r="BF142" s="174" t="s">
        <v>5782</v>
      </c>
      <c r="BG142" s="173"/>
      <c r="BH142" s="173"/>
      <c r="BI142" s="174" t="s">
        <v>4022</v>
      </c>
      <c r="BJ142" s="174" t="s">
        <v>5965</v>
      </c>
      <c r="BK142" s="174"/>
      <c r="BL142" s="174" t="s">
        <v>2627</v>
      </c>
      <c r="BM142" s="173"/>
      <c r="BN142" s="174" t="s">
        <v>4229</v>
      </c>
      <c r="BO142" s="173"/>
      <c r="BP142" s="173"/>
      <c r="BQ142" s="247"/>
      <c r="BR142" s="175" t="s">
        <v>5966</v>
      </c>
      <c r="BS142" s="175" t="s">
        <v>4248</v>
      </c>
      <c r="BT142" s="175" t="s">
        <v>3408</v>
      </c>
      <c r="BU142" s="175" t="s">
        <v>5967</v>
      </c>
      <c r="BV142" s="175" t="s">
        <v>5968</v>
      </c>
      <c r="BW142" s="175" t="s">
        <v>5210</v>
      </c>
      <c r="BX142" s="249"/>
      <c r="BY142" s="175" t="s">
        <v>2878</v>
      </c>
      <c r="BZ142" s="249"/>
      <c r="CA142" s="175" t="s">
        <v>5969</v>
      </c>
      <c r="CB142" s="249"/>
      <c r="CC142" s="249"/>
      <c r="CD142" s="249"/>
      <c r="CE142" s="249"/>
      <c r="CF142" s="251"/>
      <c r="CG142" s="177" t="s">
        <v>5970</v>
      </c>
      <c r="CH142" s="177" t="s">
        <v>4486</v>
      </c>
      <c r="CI142" s="177" t="s">
        <v>2219</v>
      </c>
      <c r="CJ142" s="177" t="s">
        <v>5971</v>
      </c>
      <c r="CK142" s="177"/>
      <c r="CL142" s="177" t="s">
        <v>5972</v>
      </c>
      <c r="CM142" s="177" t="s">
        <v>5973</v>
      </c>
      <c r="CN142" s="177" t="s">
        <v>1730</v>
      </c>
      <c r="CO142" s="177" t="s">
        <v>4307</v>
      </c>
      <c r="CP142" s="252"/>
      <c r="CQ142" s="252"/>
      <c r="CR142" s="252"/>
      <c r="CS142" s="252"/>
      <c r="CT142" s="252"/>
      <c r="CU142" s="92"/>
      <c r="CV142" s="204" t="s">
        <v>5974</v>
      </c>
      <c r="CW142" s="204" t="s">
        <v>2835</v>
      </c>
      <c r="CX142" s="204" t="s">
        <v>3756</v>
      </c>
      <c r="CY142" s="204" t="s">
        <v>5975</v>
      </c>
      <c r="CZ142" s="253"/>
      <c r="DA142" s="204" t="s">
        <v>5976</v>
      </c>
      <c r="DB142" s="140" t="s">
        <v>5977</v>
      </c>
      <c r="DC142" s="204" t="s">
        <v>4484</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2188</v>
      </c>
      <c r="DZ142" s="205" t="s">
        <v>5981</v>
      </c>
      <c r="EA142" s="205" t="s">
        <v>3444</v>
      </c>
      <c r="EB142" s="255"/>
      <c r="EC142" s="255"/>
      <c r="ED142" s="287" t="s">
        <v>5982</v>
      </c>
    </row>
    <row r="143">
      <c r="A143" s="662" t="s">
        <v>5983</v>
      </c>
      <c r="B143" s="82" t="s">
        <v>5984</v>
      </c>
      <c r="C143" s="83" t="s">
        <v>1259</v>
      </c>
      <c r="D143" s="84" t="s">
        <v>1259</v>
      </c>
      <c r="E143" s="85" t="s">
        <v>1259</v>
      </c>
      <c r="F143" s="86" t="s">
        <v>547</v>
      </c>
      <c r="G143" s="82" t="s">
        <v>222</v>
      </c>
      <c r="H143" s="94"/>
      <c r="I143" s="94" t="s">
        <v>5985</v>
      </c>
      <c r="J143" s="94"/>
      <c r="K143" s="94"/>
      <c r="L143" s="94" t="s">
        <v>1898</v>
      </c>
      <c r="M143" s="94"/>
      <c r="N143" s="94" t="s">
        <v>5986</v>
      </c>
      <c r="O143" s="94" t="s">
        <v>5987</v>
      </c>
      <c r="P143" s="99"/>
      <c r="Q143" s="99"/>
      <c r="R143" s="99"/>
      <c r="S143" s="99"/>
      <c r="T143" s="99"/>
      <c r="U143" s="99"/>
      <c r="V143" s="99"/>
      <c r="W143" s="92"/>
      <c r="X143" s="93"/>
      <c r="Y143" s="94"/>
      <c r="Z143" s="94"/>
      <c r="AA143" s="94" t="s">
        <v>2925</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2120</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1259</v>
      </c>
      <c r="D144" s="106" t="s">
        <v>1259</v>
      </c>
      <c r="E144" s="107" t="s">
        <v>1259</v>
      </c>
      <c r="F144" s="108" t="s">
        <v>1259</v>
      </c>
      <c r="G144" s="104" t="s">
        <v>2651</v>
      </c>
      <c r="H144" s="322" t="s">
        <v>5995</v>
      </c>
      <c r="I144" s="322" t="s">
        <v>5996</v>
      </c>
      <c r="J144" s="322" t="s">
        <v>5997</v>
      </c>
      <c r="K144" s="322" t="s">
        <v>1951</v>
      </c>
      <c r="L144" s="523" t="s">
        <v>3685</v>
      </c>
      <c r="M144" s="322" t="s">
        <v>5998</v>
      </c>
      <c r="N144" s="322" t="s">
        <v>5999</v>
      </c>
      <c r="O144" s="322" t="s">
        <v>3139</v>
      </c>
      <c r="P144" s="322" t="s">
        <v>251</v>
      </c>
      <c r="Q144" s="663"/>
      <c r="R144" s="663"/>
      <c r="S144" s="664">
        <v>37.85</v>
      </c>
      <c r="T144" s="663"/>
      <c r="U144" s="167" t="s">
        <v>1904</v>
      </c>
      <c r="V144" s="664" t="s">
        <v>6000</v>
      </c>
      <c r="W144" s="665"/>
      <c r="X144" s="666"/>
      <c r="Y144" s="666"/>
      <c r="Z144" s="666"/>
      <c r="AA144" s="117" t="s">
        <v>3035</v>
      </c>
      <c r="AB144" s="667"/>
      <c r="AC144" s="336" t="s">
        <v>3556</v>
      </c>
      <c r="AD144" s="666"/>
      <c r="AE144" s="668"/>
      <c r="AF144" s="666"/>
      <c r="AG144" s="666"/>
      <c r="AH144" s="668"/>
      <c r="AI144" s="668"/>
      <c r="AJ144" s="117" t="s">
        <v>2299</v>
      </c>
      <c r="AK144" s="668"/>
      <c r="AL144" s="669"/>
      <c r="AM144" s="670"/>
      <c r="AN144" s="124" t="s">
        <v>2506</v>
      </c>
      <c r="AO144" s="671"/>
      <c r="AP144" s="671"/>
      <c r="AQ144" s="672"/>
      <c r="AR144" s="672"/>
      <c r="AS144" s="671"/>
      <c r="AT144" s="671"/>
      <c r="AU144" s="431" t="s">
        <v>5855</v>
      </c>
      <c r="AV144" s="431" t="s">
        <v>5954</v>
      </c>
      <c r="AW144" s="431" t="s">
        <v>482</v>
      </c>
      <c r="AX144" s="671"/>
      <c r="AY144" s="671"/>
      <c r="AZ144" s="671"/>
      <c r="BA144" s="671"/>
      <c r="BB144" s="673"/>
      <c r="BC144" s="673"/>
      <c r="BD144" s="353" t="s">
        <v>1649</v>
      </c>
      <c r="BE144" s="201" t="s">
        <v>371</v>
      </c>
      <c r="BF144" s="673"/>
      <c r="BG144" s="673"/>
      <c r="BH144" s="674"/>
      <c r="BI144" s="201" t="s">
        <v>3067</v>
      </c>
      <c r="BJ144" s="674"/>
      <c r="BK144" s="353" t="s">
        <v>6001</v>
      </c>
      <c r="BL144" s="201" t="s">
        <v>3781</v>
      </c>
      <c r="BM144" s="674"/>
      <c r="BN144" s="675">
        <v>35.32</v>
      </c>
      <c r="BO144" s="673"/>
      <c r="BP144" s="674"/>
      <c r="BQ144" s="676"/>
      <c r="BR144" s="677"/>
      <c r="BS144" s="677"/>
      <c r="BT144" s="344" t="s">
        <v>2776</v>
      </c>
      <c r="BU144" s="344" t="s">
        <v>6002</v>
      </c>
      <c r="BV144" s="677"/>
      <c r="BW144" s="344" t="s">
        <v>3116</v>
      </c>
      <c r="BX144" s="678"/>
      <c r="BY144" s="677"/>
      <c r="BZ144" s="677"/>
      <c r="CA144" s="131" t="s">
        <v>5564</v>
      </c>
      <c r="CB144" s="679" t="s">
        <v>6003</v>
      </c>
      <c r="CC144" s="678"/>
      <c r="CD144" s="679">
        <v>37.19</v>
      </c>
      <c r="CE144" s="679" t="s">
        <v>6004</v>
      </c>
      <c r="CF144" s="680"/>
      <c r="CG144" s="681"/>
      <c r="CH144" s="681"/>
      <c r="CI144" s="681"/>
      <c r="CJ144" s="681"/>
      <c r="CK144" s="681"/>
      <c r="CL144" s="681"/>
      <c r="CM144" s="337" t="s">
        <v>6005</v>
      </c>
      <c r="CN144" s="337" t="s">
        <v>914</v>
      </c>
      <c r="CO144" s="681"/>
      <c r="CP144" s="682"/>
      <c r="CQ144" s="683"/>
      <c r="CR144" s="683"/>
      <c r="CS144" s="684">
        <v>52.7</v>
      </c>
      <c r="CT144" s="683"/>
      <c r="CU144" s="665"/>
      <c r="CV144" s="685"/>
      <c r="CW144" s="284" t="s">
        <v>3307</v>
      </c>
      <c r="CX144" s="285" t="s">
        <v>2988</v>
      </c>
      <c r="CY144" s="685"/>
      <c r="CZ144" s="685"/>
      <c r="DA144" s="284" t="s">
        <v>2367</v>
      </c>
      <c r="DB144" s="686" t="s">
        <v>6006</v>
      </c>
      <c r="DC144" s="685"/>
      <c r="DD144" s="687"/>
      <c r="DE144" s="687"/>
      <c r="DF144" s="687"/>
      <c r="DG144" s="687"/>
      <c r="DH144" s="688"/>
      <c r="DI144" s="689"/>
      <c r="DJ144" s="690"/>
      <c r="DK144" s="690"/>
      <c r="DL144" s="689"/>
      <c r="DM144" s="689"/>
      <c r="DN144" s="287" t="s">
        <v>3918</v>
      </c>
      <c r="DO144" s="690"/>
      <c r="DP144" s="690"/>
      <c r="DQ144" s="690"/>
      <c r="DR144" s="287" t="s">
        <v>6007</v>
      </c>
      <c r="DS144" s="287" t="s">
        <v>4548</v>
      </c>
      <c r="DT144" s="690"/>
      <c r="DU144" s="689"/>
      <c r="DV144" s="690"/>
      <c r="DW144" s="690"/>
      <c r="DX144" s="690"/>
      <c r="DY144" s="690"/>
      <c r="DZ144" s="690"/>
      <c r="EA144" s="689"/>
      <c r="EB144" s="690"/>
      <c r="EC144" s="690"/>
      <c r="ED144" s="691"/>
    </row>
    <row r="145">
      <c r="A145" s="429" t="s">
        <v>6008</v>
      </c>
      <c r="B145" s="82" t="s">
        <v>6009</v>
      </c>
      <c r="C145" s="83" t="s">
        <v>1259</v>
      </c>
      <c r="D145" s="84" t="s">
        <v>1259</v>
      </c>
      <c r="E145" s="85" t="s">
        <v>1259</v>
      </c>
      <c r="F145" s="86" t="s">
        <v>1259</v>
      </c>
      <c r="G145" s="82" t="s">
        <v>5880</v>
      </c>
      <c r="H145" s="94" t="s">
        <v>1851</v>
      </c>
      <c r="I145" s="94" t="s">
        <v>3716</v>
      </c>
      <c r="J145" s="94" t="s">
        <v>574</v>
      </c>
      <c r="K145" s="94" t="s">
        <v>2658</v>
      </c>
      <c r="L145" s="94" t="s">
        <v>4117</v>
      </c>
      <c r="M145" s="94" t="s">
        <v>6010</v>
      </c>
      <c r="N145" s="94" t="s">
        <v>6011</v>
      </c>
      <c r="O145" s="94" t="s">
        <v>445</v>
      </c>
      <c r="P145" s="94" t="s">
        <v>3956</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5060</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6015</v>
      </c>
      <c r="DC145" s="99"/>
      <c r="DD145" s="99"/>
      <c r="DE145" s="99"/>
      <c r="DF145" s="94" t="s">
        <v>2143</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6026</v>
      </c>
      <c r="B147" s="82" t="s">
        <v>6027</v>
      </c>
      <c r="C147" s="83" t="s">
        <v>1259</v>
      </c>
      <c r="D147" s="84" t="s">
        <v>1259</v>
      </c>
      <c r="E147" s="85" t="s">
        <v>1259</v>
      </c>
      <c r="F147" s="86" t="s">
        <v>438</v>
      </c>
      <c r="G147" s="82" t="s">
        <v>220</v>
      </c>
      <c r="H147" s="693"/>
      <c r="I147" s="94" t="s">
        <v>5731</v>
      </c>
      <c r="J147" s="94" t="s">
        <v>6028</v>
      </c>
      <c r="K147" s="94" t="s">
        <v>5923</v>
      </c>
      <c r="L147" s="94" t="s">
        <v>2955</v>
      </c>
      <c r="M147" s="99"/>
      <c r="N147" s="99"/>
      <c r="O147" s="99"/>
      <c r="P147" s="88" t="s">
        <v>6029</v>
      </c>
      <c r="Q147" s="99"/>
      <c r="R147" s="99"/>
      <c r="S147" s="99"/>
      <c r="T147" s="99"/>
      <c r="U147" s="99"/>
      <c r="V147" s="99"/>
      <c r="W147" s="92"/>
      <c r="X147" s="94" t="s">
        <v>4093</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4518</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4236</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9"/>
    </row>
    <row r="148">
      <c r="A148" s="166" t="s">
        <v>6035</v>
      </c>
      <c r="B148" s="104" t="s">
        <v>6036</v>
      </c>
      <c r="C148" s="105" t="s">
        <v>1259</v>
      </c>
      <c r="D148" s="106" t="s">
        <v>1259</v>
      </c>
      <c r="E148" s="107" t="s">
        <v>1259</v>
      </c>
      <c r="F148" s="108" t="s">
        <v>2871</v>
      </c>
      <c r="G148" s="104" t="s">
        <v>2871</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6039</v>
      </c>
      <c r="BE148" s="173"/>
      <c r="BF148" s="173"/>
      <c r="BG148" s="173"/>
      <c r="BH148" s="173"/>
      <c r="BI148" s="126" t="s">
        <v>4045</v>
      </c>
      <c r="BJ148" s="173"/>
      <c r="BK148" s="173"/>
      <c r="BL148" s="126" t="s">
        <v>2109</v>
      </c>
      <c r="BM148" s="173"/>
      <c r="BN148" s="173"/>
      <c r="BO148" s="173"/>
      <c r="BP148" s="173"/>
      <c r="BQ148" s="247"/>
      <c r="BR148" s="249"/>
      <c r="BS148" s="249"/>
      <c r="BT148" s="249"/>
      <c r="BU148" s="129" t="s">
        <v>1078</v>
      </c>
      <c r="BV148" s="249"/>
      <c r="BW148" s="129" t="s">
        <v>3167</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6043</v>
      </c>
      <c r="B149" s="82" t="s">
        <v>6044</v>
      </c>
      <c r="C149" s="83" t="s">
        <v>1259</v>
      </c>
      <c r="D149" s="84" t="s">
        <v>1259</v>
      </c>
      <c r="E149" s="85" t="s">
        <v>1259</v>
      </c>
      <c r="F149" s="86" t="s">
        <v>1259</v>
      </c>
      <c r="G149" s="82" t="s">
        <v>6045</v>
      </c>
      <c r="H149" s="94" t="s">
        <v>3933</v>
      </c>
      <c r="I149" s="94" t="s">
        <v>4082</v>
      </c>
      <c r="J149" s="94" t="s">
        <v>680</v>
      </c>
      <c r="K149" s="94" t="s">
        <v>6030</v>
      </c>
      <c r="L149" s="94" t="s">
        <v>6046</v>
      </c>
      <c r="M149" s="94" t="s">
        <v>6047</v>
      </c>
      <c r="N149" s="94" t="s">
        <v>6048</v>
      </c>
      <c r="O149" s="94" t="s">
        <v>3134</v>
      </c>
      <c r="P149" s="94" t="s">
        <v>4161</v>
      </c>
      <c r="Q149" s="94" t="s">
        <v>6049</v>
      </c>
      <c r="R149" s="99"/>
      <c r="S149" s="94" t="s">
        <v>974</v>
      </c>
      <c r="T149" s="99"/>
      <c r="U149" s="94" t="s">
        <v>6050</v>
      </c>
      <c r="V149" s="94" t="s">
        <v>6051</v>
      </c>
      <c r="W149" s="92"/>
      <c r="X149" s="94" t="s">
        <v>6052</v>
      </c>
      <c r="Y149" s="94"/>
      <c r="Z149" s="94" t="s">
        <v>2085</v>
      </c>
      <c r="AA149" s="94" t="s">
        <v>3637</v>
      </c>
      <c r="AB149" s="94" t="s">
        <v>3685</v>
      </c>
      <c r="AC149" s="94" t="s">
        <v>5948</v>
      </c>
      <c r="AD149" s="94" t="s">
        <v>6053</v>
      </c>
      <c r="AE149" s="94"/>
      <c r="AF149" s="94" t="s">
        <v>6054</v>
      </c>
      <c r="AG149" s="94" t="s">
        <v>6055</v>
      </c>
      <c r="AH149" s="94" t="s">
        <v>6056</v>
      </c>
      <c r="AI149" s="99"/>
      <c r="AJ149" s="94" t="s">
        <v>4718</v>
      </c>
      <c r="AK149" s="94" t="s">
        <v>6057</v>
      </c>
      <c r="AL149" s="97"/>
      <c r="AM149" s="94" t="s">
        <v>6058</v>
      </c>
      <c r="AN149" s="94" t="s">
        <v>5030</v>
      </c>
      <c r="AO149" s="94" t="s">
        <v>6059</v>
      </c>
      <c r="AP149" s="94" t="s">
        <v>2056</v>
      </c>
      <c r="AQ149" s="94" t="s">
        <v>6060</v>
      </c>
      <c r="AR149" s="94" t="s">
        <v>6061</v>
      </c>
      <c r="AS149" s="94" t="s">
        <v>6062</v>
      </c>
      <c r="AT149" s="94" t="s">
        <v>6063</v>
      </c>
      <c r="AU149" s="94" t="s">
        <v>602</v>
      </c>
      <c r="AV149" s="94" t="s">
        <v>1581</v>
      </c>
      <c r="AW149" s="94" t="s">
        <v>6064</v>
      </c>
      <c r="AX149" s="99"/>
      <c r="AY149" s="94" t="s">
        <v>6065</v>
      </c>
      <c r="AZ149" s="94" t="s">
        <v>6066</v>
      </c>
      <c r="BA149" s="99"/>
      <c r="BB149" s="94" t="s">
        <v>6067</v>
      </c>
      <c r="BC149" s="94" t="s">
        <v>6068</v>
      </c>
      <c r="BD149" s="94" t="s">
        <v>3180</v>
      </c>
      <c r="BE149" s="94" t="s">
        <v>3765</v>
      </c>
      <c r="BF149" s="94" t="s">
        <v>6069</v>
      </c>
      <c r="BG149" s="94" t="s">
        <v>6070</v>
      </c>
      <c r="BH149" s="94" t="s">
        <v>6071</v>
      </c>
      <c r="BI149" s="94" t="s">
        <v>6072</v>
      </c>
      <c r="BJ149" s="99"/>
      <c r="BK149" s="99"/>
      <c r="BL149" s="94" t="s">
        <v>457</v>
      </c>
      <c r="BM149" s="94" t="s">
        <v>6073</v>
      </c>
      <c r="BN149" s="94" t="s">
        <v>4284</v>
      </c>
      <c r="BO149" s="94" t="s">
        <v>561</v>
      </c>
      <c r="BP149" s="94" t="s">
        <v>6074</v>
      </c>
      <c r="BQ149" s="237"/>
      <c r="BR149" s="94" t="s">
        <v>6075</v>
      </c>
      <c r="BS149" s="94" t="s">
        <v>1160</v>
      </c>
      <c r="BT149" s="94" t="s">
        <v>951</v>
      </c>
      <c r="BU149" s="94" t="s">
        <v>2355</v>
      </c>
      <c r="BV149" s="94" t="s">
        <v>6076</v>
      </c>
      <c r="BW149" s="94" t="s">
        <v>6077</v>
      </c>
      <c r="BX149" s="94" t="s">
        <v>1582</v>
      </c>
      <c r="BY149" s="94" t="s">
        <v>1252</v>
      </c>
      <c r="BZ149" s="99"/>
      <c r="CA149" s="94" t="s">
        <v>6078</v>
      </c>
      <c r="CB149" s="94" t="s">
        <v>6079</v>
      </c>
      <c r="CC149" s="94" t="s">
        <v>453</v>
      </c>
      <c r="CD149" s="94" t="s">
        <v>181</v>
      </c>
      <c r="CE149" s="94" t="s">
        <v>6080</v>
      </c>
      <c r="CF149" s="237"/>
      <c r="CG149" s="94" t="s">
        <v>6081</v>
      </c>
      <c r="CH149" s="94" t="s">
        <v>1448</v>
      </c>
      <c r="CI149" s="94" t="s">
        <v>489</v>
      </c>
      <c r="CJ149" s="94" t="s">
        <v>6082</v>
      </c>
      <c r="CK149" s="94"/>
      <c r="CL149" s="94" t="s">
        <v>5065</v>
      </c>
      <c r="CM149" s="94" t="s">
        <v>6083</v>
      </c>
      <c r="CN149" s="94" t="s">
        <v>3812</v>
      </c>
      <c r="CO149" s="94" t="s">
        <v>2120</v>
      </c>
      <c r="CP149" s="94" t="s">
        <v>6084</v>
      </c>
      <c r="CQ149" s="94" t="s">
        <v>6085</v>
      </c>
      <c r="CR149" s="99"/>
      <c r="CS149" s="94" t="s">
        <v>5039</v>
      </c>
      <c r="CT149" s="94" t="s">
        <v>6086</v>
      </c>
      <c r="CU149" s="92"/>
      <c r="CV149" s="94" t="s">
        <v>2898</v>
      </c>
      <c r="CW149" s="94" t="s">
        <v>6087</v>
      </c>
      <c r="CX149" s="94" t="s">
        <v>2442</v>
      </c>
      <c r="CY149" s="94" t="s">
        <v>6088</v>
      </c>
      <c r="CZ149" s="94" t="s">
        <v>1431</v>
      </c>
      <c r="DA149" s="94" t="s">
        <v>4217</v>
      </c>
      <c r="DB149" s="94" t="s">
        <v>6089</v>
      </c>
      <c r="DC149" s="94" t="s">
        <v>6090</v>
      </c>
      <c r="DD149" s="94" t="s">
        <v>6091</v>
      </c>
      <c r="DE149" s="94" t="s">
        <v>4179</v>
      </c>
      <c r="DF149" s="94" t="s">
        <v>1887</v>
      </c>
      <c r="DG149" s="94" t="s">
        <v>6092</v>
      </c>
      <c r="DH149" s="237"/>
      <c r="DI149" s="94" t="s">
        <v>4046</v>
      </c>
      <c r="DJ149" s="99"/>
      <c r="DK149" s="94" t="s">
        <v>2796</v>
      </c>
      <c r="DL149" s="94" t="s">
        <v>2111</v>
      </c>
      <c r="DM149" s="94" t="s">
        <v>3701</v>
      </c>
      <c r="DN149" s="94" t="s">
        <v>2417</v>
      </c>
      <c r="DO149" s="94" t="s">
        <v>4132</v>
      </c>
      <c r="DP149" s="94" t="s">
        <v>6093</v>
      </c>
      <c r="DQ149" s="94" t="s">
        <v>179</v>
      </c>
      <c r="DR149" s="94" t="s">
        <v>6094</v>
      </c>
      <c r="DS149" s="94" t="s">
        <v>3135</v>
      </c>
      <c r="DT149" s="94" t="s">
        <v>4835</v>
      </c>
      <c r="DU149" s="94" t="s">
        <v>6095</v>
      </c>
      <c r="DV149" s="94" t="s">
        <v>6096</v>
      </c>
      <c r="DW149" s="94" t="s">
        <v>1048</v>
      </c>
      <c r="DX149" s="94" t="s">
        <v>3886</v>
      </c>
      <c r="DY149" s="94" t="s">
        <v>6097</v>
      </c>
      <c r="DZ149" s="94" t="s">
        <v>4464</v>
      </c>
      <c r="EA149" s="94" t="s">
        <v>2585</v>
      </c>
      <c r="EB149" s="94" t="s">
        <v>5024</v>
      </c>
      <c r="EC149" s="94" t="s">
        <v>2319</v>
      </c>
      <c r="ED149" s="578" t="s">
        <v>4442</v>
      </c>
    </row>
    <row r="150">
      <c r="A150" s="695" t="s">
        <v>6098</v>
      </c>
      <c r="B150" s="104" t="s">
        <v>6099</v>
      </c>
      <c r="C150" s="105" t="s">
        <v>1259</v>
      </c>
      <c r="D150" s="106" t="s">
        <v>547</v>
      </c>
      <c r="E150" s="107" t="s">
        <v>1259</v>
      </c>
      <c r="F150" s="108" t="s">
        <v>1055</v>
      </c>
      <c r="G150" s="104" t="s">
        <v>983</v>
      </c>
      <c r="H150" s="242"/>
      <c r="I150" s="167" t="s">
        <v>6100</v>
      </c>
      <c r="J150" s="167" t="s">
        <v>4358</v>
      </c>
      <c r="K150" s="112" t="s">
        <v>665</v>
      </c>
      <c r="L150" s="112" t="s">
        <v>6101</v>
      </c>
      <c r="M150" s="242"/>
      <c r="N150" s="242"/>
      <c r="O150" s="112" t="s">
        <v>560</v>
      </c>
      <c r="P150" s="112" t="s">
        <v>240</v>
      </c>
      <c r="Q150" s="242"/>
      <c r="R150" s="242"/>
      <c r="S150" s="242"/>
      <c r="T150" s="242"/>
      <c r="U150" s="242"/>
      <c r="V150" s="242"/>
      <c r="W150" s="92"/>
      <c r="X150" s="244"/>
      <c r="Y150" s="244"/>
      <c r="Z150" s="244"/>
      <c r="AA150" s="116" t="s">
        <v>5341</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2635</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4838</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6" t="s">
        <v>6105</v>
      </c>
    </row>
    <row r="151">
      <c r="A151" s="694" t="s">
        <v>6106</v>
      </c>
      <c r="B151" s="82" t="s">
        <v>6107</v>
      </c>
      <c r="C151" s="83" t="s">
        <v>1259</v>
      </c>
      <c r="D151" s="84" t="s">
        <v>1259</v>
      </c>
      <c r="E151" s="85" t="s">
        <v>1259</v>
      </c>
      <c r="F151" s="86" t="s">
        <v>222</v>
      </c>
      <c r="G151" s="82" t="s">
        <v>5880</v>
      </c>
      <c r="H151" s="93"/>
      <c r="I151" s="98" t="s">
        <v>6108</v>
      </c>
      <c r="J151" s="88" t="s">
        <v>4739</v>
      </c>
      <c r="K151" s="88" t="s">
        <v>6109</v>
      </c>
      <c r="L151" s="88" t="s">
        <v>2098</v>
      </c>
      <c r="M151" s="102"/>
      <c r="N151" s="88" t="s">
        <v>715</v>
      </c>
      <c r="O151" s="266" t="s">
        <v>6110</v>
      </c>
      <c r="P151" s="88" t="s">
        <v>1931</v>
      </c>
      <c r="Q151" s="99"/>
      <c r="R151" s="99"/>
      <c r="S151" s="99"/>
      <c r="T151" s="99"/>
      <c r="U151" s="99"/>
      <c r="V151" s="99"/>
      <c r="W151" s="92"/>
      <c r="X151" s="88" t="s">
        <v>5574</v>
      </c>
      <c r="Y151" s="102"/>
      <c r="Z151" s="102" t="s">
        <v>6111</v>
      </c>
      <c r="AA151" s="102" t="s">
        <v>6112</v>
      </c>
      <c r="AB151" s="266" t="s">
        <v>2873</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1537</v>
      </c>
      <c r="BF151" s="88" t="s">
        <v>4574</v>
      </c>
      <c r="BG151" s="102"/>
      <c r="BH151" s="99"/>
      <c r="BI151" s="88" t="s">
        <v>3055</v>
      </c>
      <c r="BJ151" s="266" t="s">
        <v>6117</v>
      </c>
      <c r="BK151" s="102"/>
      <c r="BL151" s="102"/>
      <c r="BM151" s="99"/>
      <c r="BN151" s="99"/>
      <c r="BO151" s="102"/>
      <c r="BP151" s="99"/>
      <c r="BQ151" s="237"/>
      <c r="BR151" s="102" t="s">
        <v>2508</v>
      </c>
      <c r="BS151" s="102" t="s">
        <v>6118</v>
      </c>
      <c r="BT151" s="102"/>
      <c r="BU151" s="102" t="s">
        <v>3108</v>
      </c>
      <c r="BV151" s="102" t="s">
        <v>6119</v>
      </c>
      <c r="BW151" s="102"/>
      <c r="BX151" s="99"/>
      <c r="BY151" s="102"/>
      <c r="BZ151" s="102"/>
      <c r="CA151" s="102"/>
      <c r="CB151" s="99"/>
      <c r="CC151" s="99"/>
      <c r="CD151" s="99"/>
      <c r="CE151" s="99"/>
      <c r="CF151" s="237"/>
      <c r="CG151" s="102" t="s">
        <v>6120</v>
      </c>
      <c r="CH151" s="102" t="s">
        <v>1865</v>
      </c>
      <c r="CI151" s="102" t="s">
        <v>3537</v>
      </c>
      <c r="CJ151" s="102" t="s">
        <v>6121</v>
      </c>
      <c r="CK151" s="102"/>
      <c r="CL151" s="102"/>
      <c r="CM151" s="102" t="s">
        <v>6122</v>
      </c>
      <c r="CN151" s="88" t="s">
        <v>2655</v>
      </c>
      <c r="CO151" s="102"/>
      <c r="CP151" s="222"/>
      <c r="CQ151" s="99"/>
      <c r="CR151" s="99"/>
      <c r="CS151" s="99"/>
      <c r="CT151" s="99"/>
      <c r="CU151" s="92"/>
      <c r="CV151" s="88" t="s">
        <v>5275</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547</v>
      </c>
      <c r="G152" s="104" t="s">
        <v>3060</v>
      </c>
      <c r="H152" s="242"/>
      <c r="I152" s="242"/>
      <c r="J152" s="167" t="s">
        <v>6129</v>
      </c>
      <c r="K152" s="167" t="s">
        <v>665</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6134</v>
      </c>
      <c r="B153" s="82" t="s">
        <v>6135</v>
      </c>
      <c r="C153" s="83" t="s">
        <v>1259</v>
      </c>
      <c r="D153" s="84" t="s">
        <v>1259</v>
      </c>
      <c r="E153" s="85" t="s">
        <v>1259</v>
      </c>
      <c r="F153" s="86" t="s">
        <v>332</v>
      </c>
      <c r="G153" s="82" t="s">
        <v>2936</v>
      </c>
      <c r="H153" s="258"/>
      <c r="I153" s="258" t="s">
        <v>2816</v>
      </c>
      <c r="J153" s="98" t="s">
        <v>6136</v>
      </c>
      <c r="K153" s="258" t="s">
        <v>6137</v>
      </c>
      <c r="L153" s="102" t="s">
        <v>4148</v>
      </c>
      <c r="M153" s="102" t="s">
        <v>6138</v>
      </c>
      <c r="N153" s="102" t="s">
        <v>5841</v>
      </c>
      <c r="O153" s="102" t="s">
        <v>6139</v>
      </c>
      <c r="P153" s="102" t="s">
        <v>3104</v>
      </c>
      <c r="Q153" s="99"/>
      <c r="R153" s="99"/>
      <c r="S153" s="99"/>
      <c r="T153" s="99"/>
      <c r="U153" s="99"/>
      <c r="V153" s="99"/>
      <c r="W153" s="92"/>
      <c r="X153" s="102"/>
      <c r="Y153" s="93"/>
      <c r="Z153" s="88" t="s">
        <v>2838</v>
      </c>
      <c r="AA153" s="102" t="s">
        <v>5147</v>
      </c>
      <c r="AB153" s="266"/>
      <c r="AC153" s="102" t="s">
        <v>4363</v>
      </c>
      <c r="AD153" s="102"/>
      <c r="AE153" s="99"/>
      <c r="AF153" s="102" t="s">
        <v>6140</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3452</v>
      </c>
      <c r="BC153" s="102"/>
      <c r="BD153" s="102"/>
      <c r="BE153" s="102" t="s">
        <v>4559</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5467</v>
      </c>
      <c r="CY153" s="697"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6147</v>
      </c>
      <c r="B154" s="104" t="s">
        <v>6148</v>
      </c>
      <c r="C154" s="105" t="s">
        <v>1259</v>
      </c>
      <c r="D154" s="106" t="s">
        <v>1259</v>
      </c>
      <c r="E154" s="107" t="s">
        <v>1259</v>
      </c>
      <c r="F154" s="108" t="s">
        <v>1259</v>
      </c>
      <c r="G154" s="104" t="s">
        <v>4685</v>
      </c>
      <c r="H154" s="699"/>
      <c r="I154" s="322"/>
      <c r="J154" s="322" t="s">
        <v>1182</v>
      </c>
      <c r="K154" s="322" t="s">
        <v>352</v>
      </c>
      <c r="L154" s="322" t="s">
        <v>662</v>
      </c>
      <c r="M154" s="322"/>
      <c r="N154" s="322"/>
      <c r="O154" s="322" t="s">
        <v>6149</v>
      </c>
      <c r="P154" s="322" t="s">
        <v>6150</v>
      </c>
      <c r="Q154" s="594"/>
      <c r="R154" s="594"/>
      <c r="S154" s="275" t="s">
        <v>3013</v>
      </c>
      <c r="T154" s="594"/>
      <c r="U154" s="594"/>
      <c r="V154" s="594"/>
      <c r="W154" s="583"/>
      <c r="X154" s="336" t="s">
        <v>6151</v>
      </c>
      <c r="Y154" s="336"/>
      <c r="Z154" s="336" t="s">
        <v>2838</v>
      </c>
      <c r="AA154" s="336" t="s">
        <v>131</v>
      </c>
      <c r="AB154" s="336" t="s">
        <v>6152</v>
      </c>
      <c r="AC154" s="336" t="s">
        <v>3884</v>
      </c>
      <c r="AD154" s="336" t="s">
        <v>6153</v>
      </c>
      <c r="AE154" s="595"/>
      <c r="AF154" s="336" t="s">
        <v>6154</v>
      </c>
      <c r="AG154" s="336" t="s">
        <v>4749</v>
      </c>
      <c r="AH154" s="595"/>
      <c r="AI154" s="595"/>
      <c r="AJ154" s="336"/>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6155</v>
      </c>
      <c r="BD154" s="201" t="s">
        <v>3338</v>
      </c>
      <c r="BE154" s="201" t="s">
        <v>6156</v>
      </c>
      <c r="BF154" s="201" t="s">
        <v>2424</v>
      </c>
      <c r="BG154" s="201" t="s">
        <v>6157</v>
      </c>
      <c r="BH154" s="598"/>
      <c r="BI154" s="201" t="s">
        <v>2820</v>
      </c>
      <c r="BJ154" s="598"/>
      <c r="BK154" s="201" t="s">
        <v>6158</v>
      </c>
      <c r="BL154" s="201" t="s">
        <v>4215</v>
      </c>
      <c r="BM154" s="598"/>
      <c r="BN154" s="598"/>
      <c r="BO154" s="201"/>
      <c r="BP154" s="598"/>
      <c r="BQ154" s="600"/>
      <c r="BR154" s="344"/>
      <c r="BS154" s="344" t="s">
        <v>6159</v>
      </c>
      <c r="BT154" s="344" t="s">
        <v>4234</v>
      </c>
      <c r="BU154" s="344" t="s">
        <v>6160</v>
      </c>
      <c r="BV154" s="344" t="s">
        <v>6161</v>
      </c>
      <c r="BW154" s="344" t="s">
        <v>1398</v>
      </c>
      <c r="BX154" s="601"/>
      <c r="BY154" s="344"/>
      <c r="BZ154" s="344" t="s">
        <v>6162</v>
      </c>
      <c r="CA154" s="344" t="s">
        <v>6163</v>
      </c>
      <c r="CB154" s="310"/>
      <c r="CC154" s="601"/>
      <c r="CD154" s="601"/>
      <c r="CE154" s="601"/>
      <c r="CF154" s="602"/>
      <c r="CG154" s="337" t="s">
        <v>5979</v>
      </c>
      <c r="CH154" s="337" t="s">
        <v>6164</v>
      </c>
      <c r="CI154" s="337"/>
      <c r="CJ154" s="337"/>
      <c r="CK154" s="337" t="s">
        <v>6165</v>
      </c>
      <c r="CL154" s="337"/>
      <c r="CM154" s="337"/>
      <c r="CN154" s="337" t="s">
        <v>2655</v>
      </c>
      <c r="CO154" s="337" t="s">
        <v>6166</v>
      </c>
      <c r="CP154" s="604"/>
      <c r="CQ154" s="606"/>
      <c r="CR154" s="606"/>
      <c r="CS154" s="606"/>
      <c r="CT154" s="606"/>
      <c r="CU154" s="583"/>
      <c r="CV154" s="284" t="s">
        <v>2075</v>
      </c>
      <c r="CW154" s="284"/>
      <c r="CX154" s="284" t="s">
        <v>3944</v>
      </c>
      <c r="CY154" s="284"/>
      <c r="CZ154" s="284"/>
      <c r="DA154" s="284"/>
      <c r="DB154" s="284" t="s">
        <v>6167</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1259</v>
      </c>
      <c r="D155" s="84" t="s">
        <v>1259</v>
      </c>
      <c r="E155" s="85" t="s">
        <v>1259</v>
      </c>
      <c r="F155" s="86" t="s">
        <v>1259</v>
      </c>
      <c r="G155" s="82" t="s">
        <v>2546</v>
      </c>
      <c r="H155" s="102"/>
      <c r="I155" s="95" t="s">
        <v>5181</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4362</v>
      </c>
      <c r="Y155" s="102"/>
      <c r="Z155" s="102" t="s">
        <v>2085</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6069</v>
      </c>
      <c r="BC155" s="102" t="s">
        <v>4969</v>
      </c>
      <c r="BD155" s="102" t="s">
        <v>998</v>
      </c>
      <c r="BE155" s="102" t="s">
        <v>6178</v>
      </c>
      <c r="BF155" s="102" t="s">
        <v>6179</v>
      </c>
      <c r="BG155" s="102"/>
      <c r="BH155" s="99"/>
      <c r="BI155" s="102" t="s">
        <v>6180</v>
      </c>
      <c r="BJ155" s="94" t="s">
        <v>6181</v>
      </c>
      <c r="BK155" s="102"/>
      <c r="BL155" s="102" t="s">
        <v>1951</v>
      </c>
      <c r="BM155" s="99"/>
      <c r="BN155" s="99"/>
      <c r="BO155" s="102"/>
      <c r="BP155" s="99"/>
      <c r="BQ155" s="237"/>
      <c r="BR155" s="701" t="s">
        <v>6182</v>
      </c>
      <c r="BS155" s="102" t="s">
        <v>1355</v>
      </c>
      <c r="BT155" s="102" t="s">
        <v>5637</v>
      </c>
      <c r="BU155" s="102" t="s">
        <v>6183</v>
      </c>
      <c r="BV155" s="102" t="s">
        <v>6184</v>
      </c>
      <c r="BW155" s="102" t="s">
        <v>1517</v>
      </c>
      <c r="BX155" s="94" t="s">
        <v>4206</v>
      </c>
      <c r="BY155" s="102" t="s">
        <v>6185</v>
      </c>
      <c r="BZ155" s="102"/>
      <c r="CA155" s="102" t="s">
        <v>1443</v>
      </c>
      <c r="CB155" s="99"/>
      <c r="CC155" s="99"/>
      <c r="CD155" s="99"/>
      <c r="CE155" s="99"/>
      <c r="CF155" s="237"/>
      <c r="CG155" s="102" t="s">
        <v>6186</v>
      </c>
      <c r="CH155" s="102" t="s">
        <v>2125</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1790</v>
      </c>
      <c r="CY155" s="102" t="s">
        <v>4226</v>
      </c>
      <c r="CZ155" s="102" t="s">
        <v>6192</v>
      </c>
      <c r="DA155" s="102" t="s">
        <v>5235</v>
      </c>
      <c r="DB155" s="102" t="s">
        <v>6074</v>
      </c>
      <c r="DC155" s="102" t="s">
        <v>6173</v>
      </c>
      <c r="DD155" s="99"/>
      <c r="DE155" s="99"/>
      <c r="DF155" s="99"/>
      <c r="DG155" s="99"/>
      <c r="DH155" s="237"/>
      <c r="DI155" s="102" t="s">
        <v>2848</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439</v>
      </c>
      <c r="G156" s="104" t="s">
        <v>5880</v>
      </c>
      <c r="H156" s="167"/>
      <c r="I156" s="112" t="s">
        <v>6196</v>
      </c>
      <c r="J156" s="112" t="s">
        <v>1742</v>
      </c>
      <c r="K156" s="112" t="s">
        <v>1892</v>
      </c>
      <c r="L156" s="112" t="s">
        <v>6197</v>
      </c>
      <c r="M156" s="167" t="s">
        <v>6198</v>
      </c>
      <c r="N156" s="167" t="s">
        <v>3743</v>
      </c>
      <c r="O156" s="167" t="s">
        <v>5292</v>
      </c>
      <c r="P156" s="167" t="s">
        <v>3956</v>
      </c>
      <c r="Q156" s="242"/>
      <c r="R156" s="242"/>
      <c r="S156" s="242"/>
      <c r="T156" s="242"/>
      <c r="U156" s="242"/>
      <c r="V156" s="242"/>
      <c r="W156" s="92"/>
      <c r="X156" s="198" t="s">
        <v>6199</v>
      </c>
      <c r="Y156" s="244"/>
      <c r="Z156" s="244"/>
      <c r="AA156" s="198" t="s">
        <v>678</v>
      </c>
      <c r="AB156" s="198" t="s">
        <v>5233</v>
      </c>
      <c r="AC156" s="116" t="s">
        <v>5534</v>
      </c>
      <c r="AD156" s="244"/>
      <c r="AE156" s="244"/>
      <c r="AF156" s="198" t="s">
        <v>6200</v>
      </c>
      <c r="AG156" s="198" t="s">
        <v>305</v>
      </c>
      <c r="AH156" s="244"/>
      <c r="AI156" s="244"/>
      <c r="AJ156" s="244"/>
      <c r="AK156" s="244"/>
      <c r="AL156" s="97"/>
      <c r="AM156" s="168"/>
      <c r="AN156" s="168" t="s">
        <v>5557</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1457</v>
      </c>
      <c r="BG156" s="174" t="s">
        <v>4769</v>
      </c>
      <c r="BH156" s="173"/>
      <c r="BI156" s="126" t="s">
        <v>6203</v>
      </c>
      <c r="BJ156" s="173"/>
      <c r="BK156" s="173"/>
      <c r="BL156" s="174" t="s">
        <v>104</v>
      </c>
      <c r="BM156" s="173"/>
      <c r="BN156" s="173"/>
      <c r="BO156" s="173"/>
      <c r="BP156" s="173"/>
      <c r="BQ156" s="247"/>
      <c r="BR156" s="175"/>
      <c r="BS156" s="249"/>
      <c r="BT156" s="249"/>
      <c r="BU156" s="175" t="s">
        <v>6204</v>
      </c>
      <c r="BV156" s="249"/>
      <c r="BW156" s="175" t="s">
        <v>1834</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5720</v>
      </c>
      <c r="CX156" s="204" t="s">
        <v>6209</v>
      </c>
      <c r="CY156" s="253"/>
      <c r="CZ156" s="253"/>
      <c r="DA156" s="204" t="s">
        <v>5502</v>
      </c>
      <c r="DB156" s="233" t="s">
        <v>5645</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438</v>
      </c>
      <c r="G158" s="104" t="s">
        <v>5697</v>
      </c>
      <c r="H158" s="242"/>
      <c r="I158" s="167" t="s">
        <v>1980</v>
      </c>
      <c r="J158" s="167" t="s">
        <v>2597</v>
      </c>
      <c r="K158" s="167" t="s">
        <v>3107</v>
      </c>
      <c r="L158" s="167" t="s">
        <v>2563</v>
      </c>
      <c r="M158" s="167" t="s">
        <v>6215</v>
      </c>
      <c r="N158" s="167" t="s">
        <v>6216</v>
      </c>
      <c r="O158" s="167" t="s">
        <v>6217</v>
      </c>
      <c r="P158" s="167" t="s">
        <v>4161</v>
      </c>
      <c r="Q158" s="242"/>
      <c r="R158" s="242"/>
      <c r="S158" s="242"/>
      <c r="T158" s="242"/>
      <c r="U158" s="242"/>
      <c r="V158" s="242"/>
      <c r="W158" s="92"/>
      <c r="X158" s="198" t="s">
        <v>5420</v>
      </c>
      <c r="Y158" s="198"/>
      <c r="Z158" s="198" t="s">
        <v>2132</v>
      </c>
      <c r="AA158" s="198" t="s">
        <v>2251</v>
      </c>
      <c r="AB158" s="198" t="s">
        <v>1853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3310</v>
      </c>
      <c r="AW158" s="245"/>
      <c r="AX158" s="245"/>
      <c r="AY158" s="245"/>
      <c r="AZ158" s="245"/>
      <c r="BA158" s="245"/>
      <c r="BB158" s="173"/>
      <c r="BC158" s="174" t="s">
        <v>1213</v>
      </c>
      <c r="BD158" s="173"/>
      <c r="BE158" s="174" t="s">
        <v>1776</v>
      </c>
      <c r="BF158" s="173"/>
      <c r="BG158" s="174" t="s">
        <v>6220</v>
      </c>
      <c r="BH158" s="173"/>
      <c r="BI158" s="126" t="s">
        <v>1602</v>
      </c>
      <c r="BJ158" s="173"/>
      <c r="BK158" s="173"/>
      <c r="BL158" s="174" t="s">
        <v>5044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6221</v>
      </c>
      <c r="CY158" s="204" t="s">
        <v>4260</v>
      </c>
      <c r="CZ158" s="253"/>
      <c r="DA158" s="253"/>
      <c r="DB158" s="253"/>
      <c r="DC158" s="204" t="s">
        <v>1010</v>
      </c>
      <c r="DD158" s="253"/>
      <c r="DE158" s="253"/>
      <c r="DF158" s="253"/>
      <c r="DG158" s="253"/>
      <c r="DH158" s="263"/>
      <c r="DI158" s="205" t="s">
        <v>6222</v>
      </c>
      <c r="DJ158" s="255"/>
      <c r="DK158" s="255"/>
      <c r="DL158" s="205"/>
      <c r="DM158" s="255"/>
      <c r="DN158" s="205" t="s">
        <v>1845</v>
      </c>
      <c r="DO158" s="205" t="s">
        <v>6223</v>
      </c>
      <c r="DP158" s="255"/>
      <c r="DQ158" s="255"/>
      <c r="DR158" s="255"/>
      <c r="DS158" s="255"/>
      <c r="DT158" s="255"/>
      <c r="DU158" s="255"/>
      <c r="DV158" s="255"/>
      <c r="DW158" s="255"/>
      <c r="DX158" s="255"/>
      <c r="DY158" s="255"/>
      <c r="DZ158" s="205" t="s">
        <v>6224</v>
      </c>
      <c r="EA158" s="255"/>
      <c r="EB158" s="255"/>
      <c r="EC158" s="205" t="s">
        <v>4254</v>
      </c>
      <c r="ED158" s="287"/>
    </row>
    <row r="159">
      <c r="A159" s="81" t="s">
        <v>6225</v>
      </c>
      <c r="B159" s="82" t="s">
        <v>6226</v>
      </c>
      <c r="C159" s="83" t="s">
        <v>1259</v>
      </c>
      <c r="D159" s="84" t="s">
        <v>1259</v>
      </c>
      <c r="E159" s="85" t="s">
        <v>1259</v>
      </c>
      <c r="F159" s="86" t="s">
        <v>1259</v>
      </c>
      <c r="G159" s="82" t="s">
        <v>2936</v>
      </c>
      <c r="H159" s="94" t="s">
        <v>2794</v>
      </c>
      <c r="I159" s="94" t="s">
        <v>6227</v>
      </c>
      <c r="J159" s="94" t="s">
        <v>4863</v>
      </c>
      <c r="K159" s="94" t="s">
        <v>552</v>
      </c>
      <c r="L159" s="94" t="s">
        <v>6228</v>
      </c>
      <c r="M159" s="99"/>
      <c r="N159" s="99"/>
      <c r="O159" s="94" t="s">
        <v>1902</v>
      </c>
      <c r="P159" s="94" t="s">
        <v>351</v>
      </c>
      <c r="Q159" s="94"/>
      <c r="R159" s="99"/>
      <c r="S159" s="94" t="s">
        <v>6229</v>
      </c>
      <c r="T159" s="99"/>
      <c r="U159" s="94" t="s">
        <v>2956</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34" t="s">
        <v>6237</v>
      </c>
      <c r="B160" s="104" t="s">
        <v>6238</v>
      </c>
      <c r="C160" s="105" t="s">
        <v>1259</v>
      </c>
      <c r="D160" s="106" t="s">
        <v>1259</v>
      </c>
      <c r="E160" s="107" t="s">
        <v>1259</v>
      </c>
      <c r="F160" s="108" t="s">
        <v>3872</v>
      </c>
      <c r="G160" s="104" t="s">
        <v>333</v>
      </c>
      <c r="H160" s="242"/>
      <c r="I160" s="242"/>
      <c r="J160" s="167" t="s">
        <v>6239</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4286</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1259</v>
      </c>
      <c r="D161" s="84" t="s">
        <v>1259</v>
      </c>
      <c r="E161" s="85" t="s">
        <v>1259</v>
      </c>
      <c r="F161" s="86" t="s">
        <v>334</v>
      </c>
      <c r="G161" s="82" t="s">
        <v>3973</v>
      </c>
      <c r="H161" s="94" t="s">
        <v>6245</v>
      </c>
      <c r="I161" s="94" t="s">
        <v>4946</v>
      </c>
      <c r="J161" s="94" t="s">
        <v>2393</v>
      </c>
      <c r="K161" s="94" t="s">
        <v>1429</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6246</v>
      </c>
      <c r="AA161" s="94" t="s">
        <v>6247</v>
      </c>
      <c r="AB161" s="94" t="s">
        <v>4552</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6252</v>
      </c>
      <c r="B162" s="104" t="s">
        <v>6253</v>
      </c>
      <c r="C162" s="105" t="s">
        <v>1259</v>
      </c>
      <c r="D162" s="106" t="s">
        <v>1259</v>
      </c>
      <c r="E162" s="107" t="s">
        <v>1259</v>
      </c>
      <c r="F162" s="108" t="s">
        <v>438</v>
      </c>
      <c r="G162" s="104" t="s">
        <v>6254</v>
      </c>
      <c r="H162" s="419"/>
      <c r="I162" s="322" t="s">
        <v>1591</v>
      </c>
      <c r="J162" s="419"/>
      <c r="K162" s="322" t="s">
        <v>4058</v>
      </c>
      <c r="L162" s="419"/>
      <c r="M162" s="419"/>
      <c r="N162" s="419"/>
      <c r="O162" s="419"/>
      <c r="P162" s="322" t="s">
        <v>4894</v>
      </c>
      <c r="Q162" s="242"/>
      <c r="R162" s="242"/>
      <c r="S162" s="242"/>
      <c r="T162" s="242"/>
      <c r="U162" s="242"/>
      <c r="V162" s="242"/>
      <c r="W162" s="92"/>
      <c r="X162" s="336" t="s">
        <v>6255</v>
      </c>
      <c r="Y162" s="117"/>
      <c r="Z162" s="117"/>
      <c r="AA162" s="336" t="s">
        <v>1511</v>
      </c>
      <c r="AB162" s="296"/>
      <c r="AC162" s="114" t="s">
        <v>1694</v>
      </c>
      <c r="AD162" s="117"/>
      <c r="AE162" s="244"/>
      <c r="AF162" s="117"/>
      <c r="AG162" s="336" t="s">
        <v>5906</v>
      </c>
      <c r="AH162" s="244"/>
      <c r="AI162" s="244"/>
      <c r="AJ162" s="117"/>
      <c r="AK162" s="244"/>
      <c r="AL162" s="97"/>
      <c r="AM162" s="124"/>
      <c r="AN162" s="124"/>
      <c r="AO162" s="245"/>
      <c r="AP162" s="245"/>
      <c r="AQ162" s="168"/>
      <c r="AR162" s="168"/>
      <c r="AS162" s="245"/>
      <c r="AT162" s="245"/>
      <c r="AU162" s="431" t="s">
        <v>6256</v>
      </c>
      <c r="AV162" s="431" t="s">
        <v>5261</v>
      </c>
      <c r="AW162" s="124"/>
      <c r="AX162" s="245"/>
      <c r="AY162" s="245"/>
      <c r="AZ162" s="245"/>
      <c r="BA162" s="168"/>
      <c r="BB162" s="353"/>
      <c r="BC162" s="125" t="s">
        <v>1069</v>
      </c>
      <c r="BD162" s="201"/>
      <c r="BE162" s="201" t="s">
        <v>6257</v>
      </c>
      <c r="BF162" s="353"/>
      <c r="BG162" s="353"/>
      <c r="BH162" s="173"/>
      <c r="BI162" s="201" t="s">
        <v>1541</v>
      </c>
      <c r="BJ162" s="173"/>
      <c r="BK162" s="353"/>
      <c r="BL162" s="201" t="s">
        <v>6258</v>
      </c>
      <c r="BM162" s="173"/>
      <c r="BN162" s="173"/>
      <c r="BO162" s="353"/>
      <c r="BP162" s="173"/>
      <c r="BQ162" s="247"/>
      <c r="BR162" s="131"/>
      <c r="BS162" s="131"/>
      <c r="BT162" s="131"/>
      <c r="BU162" s="131"/>
      <c r="BV162" s="131"/>
      <c r="BW162" s="344" t="s">
        <v>6259</v>
      </c>
      <c r="BX162" s="249"/>
      <c r="BY162" s="131"/>
      <c r="BZ162" s="131"/>
      <c r="CA162" s="344" t="s">
        <v>2238</v>
      </c>
      <c r="CB162" s="249"/>
      <c r="CC162" s="249"/>
      <c r="CD162" s="249"/>
      <c r="CE162" s="249"/>
      <c r="CF162" s="251"/>
      <c r="CG162" s="136"/>
      <c r="CH162" s="136"/>
      <c r="CI162" s="136"/>
      <c r="CJ162" s="136"/>
      <c r="CK162" s="136"/>
      <c r="CL162" s="136"/>
      <c r="CM162" s="136"/>
      <c r="CN162" s="136"/>
      <c r="CO162" s="337" t="s">
        <v>2766</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6266</v>
      </c>
      <c r="B164" s="104" t="s">
        <v>6267</v>
      </c>
      <c r="C164" s="105" t="s">
        <v>1259</v>
      </c>
      <c r="D164" s="106" t="s">
        <v>1259</v>
      </c>
      <c r="E164" s="107" t="s">
        <v>1259</v>
      </c>
      <c r="F164" s="108" t="s">
        <v>547</v>
      </c>
      <c r="G164" s="104" t="s">
        <v>3382</v>
      </c>
      <c r="H164" s="167" t="s">
        <v>3725</v>
      </c>
      <c r="I164" s="242"/>
      <c r="J164" s="167" t="s">
        <v>5295</v>
      </c>
      <c r="K164" s="167" t="s">
        <v>4058</v>
      </c>
      <c r="L164" s="167" t="s">
        <v>5108</v>
      </c>
      <c r="M164" s="242"/>
      <c r="N164" s="242"/>
      <c r="O164" s="167" t="s">
        <v>1928</v>
      </c>
      <c r="P164" s="242"/>
      <c r="Q164" s="242"/>
      <c r="R164" s="242"/>
      <c r="S164" s="242"/>
      <c r="T164" s="242"/>
      <c r="U164" s="242"/>
      <c r="V164" s="242"/>
      <c r="W164" s="92"/>
      <c r="X164" s="198" t="s">
        <v>6268</v>
      </c>
      <c r="Y164" s="198"/>
      <c r="Z164" s="198" t="s">
        <v>3826</v>
      </c>
      <c r="AA164" s="198" t="s">
        <v>6269</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2155</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1259</v>
      </c>
      <c r="D165" s="84" t="s">
        <v>1259</v>
      </c>
      <c r="E165" s="85" t="s">
        <v>1259</v>
      </c>
      <c r="F165" s="86" t="s">
        <v>1259</v>
      </c>
      <c r="G165" s="82" t="s">
        <v>649</v>
      </c>
      <c r="H165" s="93" t="s">
        <v>3540</v>
      </c>
      <c r="I165" s="93" t="s">
        <v>6273</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6274</v>
      </c>
      <c r="B166" s="104" t="s">
        <v>6275</v>
      </c>
      <c r="C166" s="105" t="s">
        <v>1259</v>
      </c>
      <c r="D166" s="106" t="s">
        <v>1259</v>
      </c>
      <c r="E166" s="107" t="s">
        <v>1259</v>
      </c>
      <c r="F166" s="108" t="s">
        <v>1259</v>
      </c>
      <c r="G166" s="104" t="s">
        <v>3382</v>
      </c>
      <c r="H166" s="167" t="s">
        <v>1977</v>
      </c>
      <c r="I166" s="167" t="s">
        <v>2177</v>
      </c>
      <c r="J166" s="242"/>
      <c r="K166" s="167" t="s">
        <v>2658</v>
      </c>
      <c r="L166" s="242"/>
      <c r="M166" s="242"/>
      <c r="N166" s="242"/>
      <c r="O166" s="167" t="s">
        <v>6276</v>
      </c>
      <c r="P166" s="167" t="s">
        <v>6277</v>
      </c>
      <c r="Q166" s="242"/>
      <c r="R166" s="242"/>
      <c r="S166" s="242"/>
      <c r="T166" s="242"/>
      <c r="U166" s="242"/>
      <c r="V166" s="242"/>
      <c r="W166" s="92"/>
      <c r="X166" s="198" t="s">
        <v>3499</v>
      </c>
      <c r="Y166" s="244"/>
      <c r="Z166" s="244"/>
      <c r="AA166" s="198" t="s">
        <v>4679</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6281</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1259</v>
      </c>
      <c r="D167" s="84" t="s">
        <v>1259</v>
      </c>
      <c r="E167" s="85" t="s">
        <v>1259</v>
      </c>
      <c r="F167" s="86" t="s">
        <v>6285</v>
      </c>
      <c r="G167" s="82" t="s">
        <v>2651</v>
      </c>
      <c r="H167" s="102"/>
      <c r="I167" s="95"/>
      <c r="J167" s="102"/>
      <c r="K167" s="88" t="s">
        <v>2351</v>
      </c>
      <c r="L167" s="88" t="s">
        <v>6286</v>
      </c>
      <c r="M167" s="102" t="s">
        <v>6287</v>
      </c>
      <c r="N167" s="102"/>
      <c r="O167" s="102"/>
      <c r="P167" s="102" t="s">
        <v>4161</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3256</v>
      </c>
      <c r="BE167" s="88" t="s">
        <v>958</v>
      </c>
      <c r="BF167" s="88" t="s">
        <v>6295</v>
      </c>
      <c r="BG167" s="88" t="s">
        <v>3717</v>
      </c>
      <c r="BH167" s="94" t="s">
        <v>5063</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1327</v>
      </c>
      <c r="CB167" s="99"/>
      <c r="CC167" s="99"/>
      <c r="CD167" s="94"/>
      <c r="CE167" s="99"/>
      <c r="CF167" s="237"/>
      <c r="CG167" s="88" t="s">
        <v>6300</v>
      </c>
      <c r="CH167" s="88" t="s">
        <v>1925</v>
      </c>
      <c r="CI167" s="88" t="s">
        <v>5511</v>
      </c>
      <c r="CJ167" s="102"/>
      <c r="CK167" s="102"/>
      <c r="CL167" s="102"/>
      <c r="CM167" s="88" t="s">
        <v>6301</v>
      </c>
      <c r="CN167" s="88" t="s">
        <v>2300</v>
      </c>
      <c r="CO167" s="88" t="s">
        <v>6302</v>
      </c>
      <c r="CP167" s="222"/>
      <c r="CQ167" s="99"/>
      <c r="CR167" s="99"/>
      <c r="CS167" s="99"/>
      <c r="CT167" s="99"/>
      <c r="CU167" s="92"/>
      <c r="CV167" s="88" t="s">
        <v>5466</v>
      </c>
      <c r="CW167" s="102"/>
      <c r="CX167" s="88" t="s">
        <v>906</v>
      </c>
      <c r="CY167" s="88" t="s">
        <v>5211</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5" t="s">
        <v>6307</v>
      </c>
      <c r="B168" s="104" t="s">
        <v>6308</v>
      </c>
      <c r="C168" s="105" t="s">
        <v>1259</v>
      </c>
      <c r="D168" s="106" t="s">
        <v>1259</v>
      </c>
      <c r="E168" s="107" t="s">
        <v>1259</v>
      </c>
      <c r="F168" s="108" t="s">
        <v>334</v>
      </c>
      <c r="G168" s="104" t="s">
        <v>6254</v>
      </c>
      <c r="H168" s="706" t="s">
        <v>3581</v>
      </c>
      <c r="I168" s="242" t="s">
        <v>6309</v>
      </c>
      <c r="J168" s="242" t="s">
        <v>451</v>
      </c>
      <c r="K168" s="242" t="s">
        <v>4384</v>
      </c>
      <c r="L168" s="242" t="s">
        <v>2841</v>
      </c>
      <c r="M168" s="242" t="s">
        <v>6310</v>
      </c>
      <c r="N168" s="242"/>
      <c r="O168" s="242"/>
      <c r="P168" s="242" t="s">
        <v>2202</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5" t="s">
        <v>672</v>
      </c>
      <c r="CH168" s="252" t="s">
        <v>4483</v>
      </c>
      <c r="CI168" s="252"/>
      <c r="CJ168" s="252"/>
      <c r="CK168" s="252"/>
      <c r="CL168" s="252"/>
      <c r="CM168" s="252"/>
      <c r="CN168" s="252" t="s">
        <v>3546</v>
      </c>
      <c r="CO168" s="325" t="s">
        <v>6311</v>
      </c>
      <c r="CP168" s="252"/>
      <c r="CQ168" s="262"/>
      <c r="CR168" s="252"/>
      <c r="CS168" s="252"/>
      <c r="CT168" s="252"/>
      <c r="CU168" s="92"/>
      <c r="CV168" s="253"/>
      <c r="CW168" s="253"/>
      <c r="CX168" s="253" t="s">
        <v>5203</v>
      </c>
      <c r="CY168" s="253" t="s">
        <v>3536</v>
      </c>
      <c r="CZ168" s="253"/>
      <c r="DA168" s="253"/>
      <c r="DB168" s="710"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547</v>
      </c>
      <c r="G169" s="82" t="s">
        <v>649</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6320</v>
      </c>
      <c r="B170" s="104" t="s">
        <v>6321</v>
      </c>
      <c r="C170" s="105" t="s">
        <v>1259</v>
      </c>
      <c r="D170" s="106" t="s">
        <v>1259</v>
      </c>
      <c r="E170" s="107" t="s">
        <v>1259</v>
      </c>
      <c r="F170" s="108" t="s">
        <v>547</v>
      </c>
      <c r="G170" s="104" t="s">
        <v>6322</v>
      </c>
      <c r="H170" s="242"/>
      <c r="I170" s="196" t="s">
        <v>6323</v>
      </c>
      <c r="J170" s="167" t="s">
        <v>6239</v>
      </c>
      <c r="K170" s="167" t="s">
        <v>3107</v>
      </c>
      <c r="L170" s="167" t="s">
        <v>5752</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4903</v>
      </c>
      <c r="AD170" s="198" t="s">
        <v>6153</v>
      </c>
      <c r="AE170" s="244"/>
      <c r="AF170" s="244"/>
      <c r="AG170" s="198" t="s">
        <v>2722</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6325</v>
      </c>
      <c r="CX170" s="204" t="s">
        <v>5467</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6330</v>
      </c>
      <c r="B172" s="104" t="s">
        <v>6331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7"/>
      <c r="I174" s="167" t="s">
        <v>6338</v>
      </c>
      <c r="J174" s="167" t="s">
        <v>3019</v>
      </c>
      <c r="K174" s="167" t="s">
        <v>755</v>
      </c>
      <c r="L174" s="167" t="s">
        <v>6339</v>
      </c>
      <c r="M174" s="167" t="s">
        <v>6340</v>
      </c>
      <c r="N174" s="167" t="s">
        <v>6341</v>
      </c>
      <c r="O174" s="167" t="s">
        <v>6342</v>
      </c>
      <c r="P174" s="167" t="s">
        <v>1942</v>
      </c>
      <c r="Q174" s="242"/>
      <c r="R174" s="242"/>
      <c r="S174" s="242"/>
      <c r="T174" s="242"/>
      <c r="U174" s="242"/>
      <c r="V174" s="242"/>
      <c r="W174" s="92"/>
      <c r="X174" s="198" t="s">
        <v>6343</v>
      </c>
      <c r="Y174" s="198"/>
      <c r="Z174" s="198"/>
      <c r="AA174" s="198" t="s">
        <v>6256</v>
      </c>
      <c r="AB174" s="244"/>
      <c r="AC174" s="198" t="s">
        <v>6344</v>
      </c>
      <c r="AD174" s="198" t="s">
        <v>3553</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3673</v>
      </c>
      <c r="BF174" s="174" t="s">
        <v>6346</v>
      </c>
      <c r="BG174" s="173"/>
      <c r="BH174" s="173"/>
      <c r="BI174" s="174" t="s">
        <v>3271</v>
      </c>
      <c r="BJ174" s="173"/>
      <c r="BK174" s="173"/>
      <c r="BL174" s="174" t="s">
        <v>530</v>
      </c>
      <c r="BM174" s="173"/>
      <c r="BN174" s="173"/>
      <c r="BO174" s="173"/>
      <c r="BP174" s="173"/>
      <c r="BQ174" s="247"/>
      <c r="BR174" s="175" t="s">
        <v>6347</v>
      </c>
      <c r="BS174" s="175" t="s">
        <v>6348</v>
      </c>
      <c r="BT174" s="175" t="s">
        <v>951</v>
      </c>
      <c r="BU174" s="175" t="s">
        <v>536</v>
      </c>
      <c r="BV174" s="175" t="s">
        <v>6349</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6350</v>
      </c>
      <c r="CY174" s="204" t="s">
        <v>3109</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6354</v>
      </c>
      <c r="B175" s="82" t="s">
        <v>6355</v>
      </c>
      <c r="C175" s="83" t="s">
        <v>547</v>
      </c>
      <c r="D175" s="84" t="s">
        <v>1259</v>
      </c>
      <c r="E175" s="85" t="s">
        <v>1259</v>
      </c>
      <c r="F175" s="86" t="s">
        <v>547</v>
      </c>
      <c r="G175" s="82" t="s">
        <v>4055</v>
      </c>
      <c r="H175" s="711" t="s">
        <v>3005</v>
      </c>
      <c r="I175" s="711" t="s">
        <v>6356</v>
      </c>
      <c r="J175" s="711" t="s">
        <v>6357</v>
      </c>
      <c r="K175" s="711" t="s">
        <v>755</v>
      </c>
      <c r="L175" s="711" t="s">
        <v>908</v>
      </c>
      <c r="M175" s="720"/>
      <c r="N175" s="711" t="s">
        <v>6358</v>
      </c>
      <c r="O175" s="711" t="s">
        <v>5832</v>
      </c>
      <c r="P175" s="711" t="s">
        <v>5490</v>
      </c>
      <c r="Q175" s="720"/>
      <c r="R175" s="720"/>
      <c r="S175" s="720"/>
      <c r="T175" s="720"/>
      <c r="U175" s="720"/>
      <c r="V175" s="720"/>
      <c r="W175" s="721"/>
      <c r="X175" s="711" t="s">
        <v>6359</v>
      </c>
      <c r="Y175" s="711"/>
      <c r="Z175" s="722" t="s">
        <v>379</v>
      </c>
      <c r="AA175" s="722" t="s">
        <v>868</v>
      </c>
      <c r="AB175" s="722" t="s">
        <v>3900</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4191</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5342</v>
      </c>
      <c r="CW175" s="711" t="s">
        <v>2472</v>
      </c>
      <c r="CX175" s="711" t="s">
        <v>5204</v>
      </c>
      <c r="CY175" s="720"/>
      <c r="CZ175" s="720"/>
      <c r="DA175" s="720"/>
      <c r="DB175" s="711" t="s">
        <v>6363</v>
      </c>
      <c r="DC175" s="722" t="s">
        <v>5822</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6364</v>
      </c>
      <c r="B176" s="104" t="s">
        <v>6365</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0" t="s">
        <v>6366</v>
      </c>
      <c r="B177" s="82" t="s">
        <v>6367</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6369</v>
      </c>
      <c r="B178" s="104" t="s">
        <v>6370</v>
      </c>
      <c r="C178" s="105" t="s">
        <v>1259</v>
      </c>
      <c r="D178" s="106" t="s">
        <v>1259</v>
      </c>
      <c r="E178" s="107" t="s">
        <v>1259</v>
      </c>
      <c r="F178" s="108" t="s">
        <v>439</v>
      </c>
      <c r="G178" s="104" t="s">
        <v>439</v>
      </c>
      <c r="H178" s="419"/>
      <c r="I178" s="426"/>
      <c r="J178" s="419"/>
      <c r="K178" s="419"/>
      <c r="L178" s="419"/>
      <c r="M178" s="419"/>
      <c r="N178" s="419"/>
      <c r="O178" s="419"/>
      <c r="P178" s="112" t="s">
        <v>5490</v>
      </c>
      <c r="Q178" s="242"/>
      <c r="R178" s="242"/>
      <c r="S178" s="242"/>
      <c r="T178" s="242"/>
      <c r="U178" s="242"/>
      <c r="V178" s="242"/>
      <c r="W178" s="92"/>
      <c r="X178" s="116" t="s">
        <v>6371</v>
      </c>
      <c r="Y178" s="117"/>
      <c r="Z178" s="117"/>
      <c r="AA178" s="116" t="s">
        <v>4886</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3"/>
      <c r="BC178" s="353"/>
      <c r="BD178" s="353"/>
      <c r="BE178" s="353"/>
      <c r="BF178" s="353"/>
      <c r="BG178" s="353"/>
      <c r="BH178" s="173"/>
      <c r="BI178" s="353"/>
      <c r="BJ178" s="173"/>
      <c r="BK178" s="353"/>
      <c r="BL178" s="353"/>
      <c r="BM178" s="173"/>
      <c r="BN178" s="173"/>
      <c r="BO178" s="353"/>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1259</v>
      </c>
      <c r="D179" s="84" t="s">
        <v>1259</v>
      </c>
      <c r="E179" s="85" t="s">
        <v>1259</v>
      </c>
      <c r="F179" s="86" t="s">
        <v>1259</v>
      </c>
      <c r="G179" s="82" t="s">
        <v>222</v>
      </c>
      <c r="H179" s="99"/>
      <c r="I179" s="99"/>
      <c r="J179" s="162" t="s">
        <v>6136</v>
      </c>
      <c r="K179" s="99"/>
      <c r="L179" s="94" t="s">
        <v>6375</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9"/>
    </row>
    <row r="180">
      <c r="A180" s="166" t="s">
        <v>6379</v>
      </c>
      <c r="B180" s="104" t="s">
        <v>6380</v>
      </c>
      <c r="C180" s="105" t="s">
        <v>1259</v>
      </c>
      <c r="D180" s="106" t="s">
        <v>1259</v>
      </c>
      <c r="E180" s="107" t="s">
        <v>1259</v>
      </c>
      <c r="F180" s="108" t="s">
        <v>1259</v>
      </c>
      <c r="G180" s="104" t="s">
        <v>4847</v>
      </c>
      <c r="H180" s="242"/>
      <c r="I180" s="167" t="s">
        <v>6381</v>
      </c>
      <c r="J180" s="167" t="s">
        <v>5139</v>
      </c>
      <c r="K180" s="167" t="s">
        <v>2387</v>
      </c>
      <c r="L180" s="167" t="s">
        <v>4106</v>
      </c>
      <c r="M180" s="167" t="s">
        <v>6382</v>
      </c>
      <c r="N180" s="242"/>
      <c r="O180" s="167" t="s">
        <v>1927</v>
      </c>
      <c r="P180" s="167" t="s">
        <v>6383</v>
      </c>
      <c r="Q180" s="242"/>
      <c r="R180" s="242"/>
      <c r="S180" s="242"/>
      <c r="T180" s="242"/>
      <c r="U180" s="242"/>
      <c r="V180" s="242"/>
      <c r="W180" s="92"/>
      <c r="X180" s="198" t="s">
        <v>4450</v>
      </c>
      <c r="Y180" s="198"/>
      <c r="Z180" s="198" t="s">
        <v>5747</v>
      </c>
      <c r="AA180" s="198" t="s">
        <v>4484</v>
      </c>
      <c r="AB180" s="198" t="s">
        <v>6384</v>
      </c>
      <c r="AC180" s="198" t="s">
        <v>6385</v>
      </c>
      <c r="AD180" s="198" t="s">
        <v>4720</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4191</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2837</v>
      </c>
      <c r="BZ180" s="249"/>
      <c r="CA180" s="175" t="s">
        <v>2082</v>
      </c>
      <c r="CB180" s="249"/>
      <c r="CC180" s="249"/>
      <c r="CD180" s="249"/>
      <c r="CE180" s="249"/>
      <c r="CF180" s="251"/>
      <c r="CG180" s="177" t="s">
        <v>4961</v>
      </c>
      <c r="CH180" s="177" t="s">
        <v>2525</v>
      </c>
      <c r="CI180" s="177" t="s">
        <v>2625</v>
      </c>
      <c r="CJ180" s="177" t="s">
        <v>6393</v>
      </c>
      <c r="CK180" s="177"/>
      <c r="CL180" s="177" t="s">
        <v>2763</v>
      </c>
      <c r="CM180" s="252"/>
      <c r="CN180" s="177" t="s">
        <v>3278</v>
      </c>
      <c r="CO180" s="177" t="s">
        <v>3327</v>
      </c>
      <c r="CP180" s="252"/>
      <c r="CQ180" s="252"/>
      <c r="CR180" s="252"/>
      <c r="CS180" s="252"/>
      <c r="CT180" s="252"/>
      <c r="CU180" s="92"/>
      <c r="CV180" s="204" t="s">
        <v>5961</v>
      </c>
      <c r="CW180" s="204" t="s">
        <v>6394</v>
      </c>
      <c r="CX180" s="204" t="s">
        <v>2030</v>
      </c>
      <c r="CY180" s="253"/>
      <c r="CZ180" s="253"/>
      <c r="DA180" s="253"/>
      <c r="DB180" s="204" t="s">
        <v>6395</v>
      </c>
      <c r="DC180" s="204"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1054</v>
      </c>
      <c r="G182" s="104" t="s">
        <v>983</v>
      </c>
      <c r="H182" s="167" t="s">
        <v>2633</v>
      </c>
      <c r="I182" s="242"/>
      <c r="J182" s="167" t="s">
        <v>6400</v>
      </c>
      <c r="K182" s="112" t="s">
        <v>4999</v>
      </c>
      <c r="L182" s="239" t="s">
        <v>3454</v>
      </c>
      <c r="M182" s="242"/>
      <c r="N182" s="242"/>
      <c r="O182" s="242"/>
      <c r="P182" s="167" t="s">
        <v>6401</v>
      </c>
      <c r="Q182" s="242"/>
      <c r="R182" s="242"/>
      <c r="S182" s="242"/>
      <c r="T182" s="242"/>
      <c r="U182" s="242"/>
      <c r="V182" s="242"/>
      <c r="W182" s="92"/>
      <c r="X182" s="116" t="s">
        <v>6402</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6403</v>
      </c>
      <c r="AW182" s="245"/>
      <c r="AX182" s="245"/>
      <c r="AY182" s="245"/>
      <c r="AZ182" s="245"/>
      <c r="BA182" s="245"/>
      <c r="BB182" s="173"/>
      <c r="BC182" s="174" t="s">
        <v>854</v>
      </c>
      <c r="BD182" s="174" t="s">
        <v>534</v>
      </c>
      <c r="BE182" s="174" t="s">
        <v>6404</v>
      </c>
      <c r="BF182" s="173"/>
      <c r="BG182" s="174" t="s">
        <v>4705</v>
      </c>
      <c r="BH182" s="174" t="s">
        <v>6405</v>
      </c>
      <c r="BI182" s="174" t="s">
        <v>6406</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4838</v>
      </c>
      <c r="CB182" s="249"/>
      <c r="CC182" s="249"/>
      <c r="CD182" s="249"/>
      <c r="CE182" s="249"/>
      <c r="CF182" s="251"/>
      <c r="CG182" s="135" t="s">
        <v>6407</v>
      </c>
      <c r="CH182" s="177" t="s">
        <v>6408</v>
      </c>
      <c r="CI182" s="252"/>
      <c r="CJ182" s="252"/>
      <c r="CK182" s="252"/>
      <c r="CL182" s="252"/>
      <c r="CM182" s="252"/>
      <c r="CN182" s="135" t="s">
        <v>5152</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6412</v>
      </c>
      <c r="B183" s="82" t="s">
        <v>6413</v>
      </c>
      <c r="C183" s="83" t="s">
        <v>1259</v>
      </c>
      <c r="D183" s="84" t="s">
        <v>1259</v>
      </c>
      <c r="E183" s="85" t="s">
        <v>1259</v>
      </c>
      <c r="F183" s="86" t="s">
        <v>1200</v>
      </c>
      <c r="G183" s="82" t="s">
        <v>1200</v>
      </c>
      <c r="H183" s="102"/>
      <c r="I183" s="95"/>
      <c r="J183" s="102"/>
      <c r="K183" s="88" t="s">
        <v>4999</v>
      </c>
      <c r="L183" s="102"/>
      <c r="M183" s="102"/>
      <c r="N183" s="102"/>
      <c r="O183" s="102"/>
      <c r="P183" s="102"/>
      <c r="Q183" s="99"/>
      <c r="R183" s="99"/>
      <c r="S183" s="88" t="s">
        <v>2739</v>
      </c>
      <c r="T183" s="99"/>
      <c r="U183" s="93"/>
      <c r="V183" s="99"/>
      <c r="W183" s="92"/>
      <c r="X183" s="102"/>
      <c r="Y183" s="102"/>
      <c r="Z183" s="88" t="s">
        <v>6414</v>
      </c>
      <c r="AA183" s="102"/>
      <c r="AB183" s="266"/>
      <c r="AC183" s="88" t="s">
        <v>2485</v>
      </c>
      <c r="AD183" s="102"/>
      <c r="AE183" s="88" t="s">
        <v>6415</v>
      </c>
      <c r="AF183" s="88" t="s">
        <v>2441</v>
      </c>
      <c r="AG183" s="102"/>
      <c r="AH183" s="99"/>
      <c r="AI183" s="99"/>
      <c r="AJ183" s="88" t="s">
        <v>5952</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3"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1259</v>
      </c>
      <c r="D185" s="84" t="s">
        <v>1259</v>
      </c>
      <c r="E185" s="85" t="s">
        <v>1259</v>
      </c>
      <c r="F185" s="86" t="s">
        <v>1259</v>
      </c>
      <c r="G185" s="82" t="s">
        <v>1878</v>
      </c>
      <c r="H185" s="94" t="s">
        <v>6423</v>
      </c>
      <c r="I185" s="94" t="s">
        <v>6424</v>
      </c>
      <c r="J185" s="94" t="s">
        <v>619</v>
      </c>
      <c r="K185" s="94" t="s">
        <v>2658</v>
      </c>
      <c r="L185" s="94" t="s">
        <v>2947</v>
      </c>
      <c r="M185" s="94" t="s">
        <v>6425</v>
      </c>
      <c r="N185" s="94" t="s">
        <v>6426</v>
      </c>
      <c r="O185" s="94" t="s">
        <v>849</v>
      </c>
      <c r="P185" s="94" t="s">
        <v>495</v>
      </c>
      <c r="Q185" s="94"/>
      <c r="R185" s="94"/>
      <c r="S185" s="94"/>
      <c r="T185" s="94"/>
      <c r="U185" s="94"/>
      <c r="V185" s="94"/>
      <c r="W185" s="92"/>
      <c r="X185" s="94" t="s">
        <v>6427</v>
      </c>
      <c r="Y185" s="94"/>
      <c r="Z185" s="94" t="s">
        <v>5316</v>
      </c>
      <c r="AA185" s="94" t="s">
        <v>2557</v>
      </c>
      <c r="AB185" s="94" t="s">
        <v>2694</v>
      </c>
      <c r="AC185" s="94" t="s">
        <v>5997</v>
      </c>
      <c r="AD185" s="94" t="s">
        <v>6428</v>
      </c>
      <c r="AE185" s="94" t="s">
        <v>4129</v>
      </c>
      <c r="AF185" s="94" t="s">
        <v>6429</v>
      </c>
      <c r="AG185" s="94" t="s">
        <v>369</v>
      </c>
      <c r="AH185" s="94"/>
      <c r="AI185" s="94"/>
      <c r="AJ185" s="94"/>
      <c r="AK185" s="94"/>
      <c r="AL185" s="97"/>
      <c r="AM185" s="94"/>
      <c r="AN185" s="94"/>
      <c r="AO185" s="94"/>
      <c r="AP185" s="94"/>
      <c r="AQ185" s="94"/>
      <c r="AR185" s="94"/>
      <c r="AS185" s="94"/>
      <c r="AT185" s="94"/>
      <c r="AU185" s="94" t="s">
        <v>6430</v>
      </c>
      <c r="AV185" s="94" t="s">
        <v>1373</v>
      </c>
      <c r="AW185" s="94"/>
      <c r="AX185" s="94"/>
      <c r="AY185" s="94"/>
      <c r="AZ185" s="94"/>
      <c r="BA185" s="94"/>
      <c r="BB185" s="94" t="s">
        <v>6431</v>
      </c>
      <c r="BC185" s="94" t="s">
        <v>4262</v>
      </c>
      <c r="BD185" s="94" t="s">
        <v>3772</v>
      </c>
      <c r="BE185" s="94" t="s">
        <v>6432</v>
      </c>
      <c r="BF185" s="94" t="s">
        <v>6433</v>
      </c>
      <c r="BG185" s="94" t="s">
        <v>6434</v>
      </c>
      <c r="BH185" s="94" t="s">
        <v>5193</v>
      </c>
      <c r="BI185" s="94" t="s">
        <v>6435</v>
      </c>
      <c r="BJ185" s="99"/>
      <c r="BK185" s="99"/>
      <c r="BL185" s="99"/>
      <c r="BM185" s="94"/>
      <c r="BN185" s="94"/>
      <c r="BO185" s="94"/>
      <c r="BP185" s="94"/>
      <c r="BQ185" s="100"/>
      <c r="BR185" s="94"/>
      <c r="BS185" s="99"/>
      <c r="BT185" s="317" t="s">
        <v>6436</v>
      </c>
      <c r="BU185" s="94" t="s">
        <v>6437</v>
      </c>
      <c r="BV185" s="317"/>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6217</v>
      </c>
      <c r="CY185" s="99"/>
      <c r="CZ185" s="94" t="s">
        <v>6438</v>
      </c>
      <c r="DA185" s="99"/>
      <c r="DB185" s="99"/>
      <c r="DC185" s="99"/>
      <c r="DD185" s="99"/>
      <c r="DE185" s="99"/>
      <c r="DF185" s="99"/>
      <c r="DG185" s="99"/>
      <c r="DH185" s="237"/>
      <c r="DI185" s="94" t="s">
        <v>3287</v>
      </c>
      <c r="DJ185" s="99"/>
      <c r="DK185" s="99"/>
      <c r="DL185" s="99"/>
      <c r="DM185" s="99"/>
      <c r="DN185" s="99"/>
      <c r="DO185" s="99"/>
      <c r="DP185" s="99"/>
      <c r="DQ185" s="99"/>
      <c r="DR185" s="94" t="s">
        <v>6439</v>
      </c>
      <c r="DS185" s="94"/>
      <c r="DT185" s="317"/>
      <c r="DU185" s="99"/>
      <c r="DV185" s="99"/>
      <c r="DW185" s="99"/>
      <c r="DX185" s="99"/>
      <c r="DY185" s="99"/>
      <c r="DZ185" s="99"/>
      <c r="EA185" s="99"/>
      <c r="EB185" s="99"/>
      <c r="EC185" s="99"/>
      <c r="ED185" s="258"/>
    </row>
    <row r="186">
      <c r="A186" s="166" t="s">
        <v>6440</v>
      </c>
      <c r="B186" s="104" t="s">
        <v>6441</v>
      </c>
      <c r="C186" s="105" t="s">
        <v>1259</v>
      </c>
      <c r="D186" s="106" t="s">
        <v>1259</v>
      </c>
      <c r="E186" s="107" t="s">
        <v>1259</v>
      </c>
      <c r="F186" s="108" t="s">
        <v>1259</v>
      </c>
      <c r="G186" s="104" t="s">
        <v>2651</v>
      </c>
      <c r="H186" s="242"/>
      <c r="I186" s="167" t="s">
        <v>6442</v>
      </c>
      <c r="J186" s="167" t="s">
        <v>302</v>
      </c>
      <c r="K186" s="167" t="s">
        <v>125</v>
      </c>
      <c r="L186" s="167" t="s">
        <v>4027</v>
      </c>
      <c r="M186" s="167" t="s">
        <v>6443</v>
      </c>
      <c r="N186" s="242"/>
      <c r="O186" s="167" t="s">
        <v>3598</v>
      </c>
      <c r="P186" s="167" t="s">
        <v>1616</v>
      </c>
      <c r="Q186" s="242"/>
      <c r="R186" s="242"/>
      <c r="S186" s="242"/>
      <c r="T186" s="242"/>
      <c r="U186" s="242"/>
      <c r="V186" s="242"/>
      <c r="W186" s="92"/>
      <c r="X186" s="198" t="s">
        <v>6444</v>
      </c>
      <c r="Y186" s="198"/>
      <c r="Z186" s="198" t="s">
        <v>3622</v>
      </c>
      <c r="AA186" s="198" t="s">
        <v>390</v>
      </c>
      <c r="AB186" s="244"/>
      <c r="AC186" s="198" t="s">
        <v>6445</v>
      </c>
      <c r="AD186" s="244"/>
      <c r="AE186" s="244"/>
      <c r="AF186" s="244"/>
      <c r="AG186" s="198" t="s">
        <v>4104</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5072</v>
      </c>
      <c r="BD186" s="173"/>
      <c r="BE186" s="174" t="s">
        <v>5723</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3864</v>
      </c>
      <c r="CB186" s="249"/>
      <c r="CC186" s="249"/>
      <c r="CD186" s="249"/>
      <c r="CE186" s="249"/>
      <c r="CF186" s="251"/>
      <c r="CG186" s="177" t="s">
        <v>1706</v>
      </c>
      <c r="CH186" s="177" t="s">
        <v>3535</v>
      </c>
      <c r="CI186" s="177" t="s">
        <v>756</v>
      </c>
      <c r="CJ186" s="177" t="s">
        <v>6449</v>
      </c>
      <c r="CK186" s="177"/>
      <c r="CL186" s="177"/>
      <c r="CM186" s="252"/>
      <c r="CN186" s="177" t="s">
        <v>3821</v>
      </c>
      <c r="CO186" s="177" t="s">
        <v>6324</v>
      </c>
      <c r="CP186" s="252"/>
      <c r="CQ186" s="252"/>
      <c r="CR186" s="252"/>
      <c r="CS186" s="252"/>
      <c r="CT186" s="252"/>
      <c r="CU186" s="92"/>
      <c r="CV186" s="204" t="s">
        <v>5140</v>
      </c>
      <c r="CW186" s="204" t="s">
        <v>1931</v>
      </c>
      <c r="CX186" s="204" t="s">
        <v>3077</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1259</v>
      </c>
      <c r="D187" s="84" t="s">
        <v>1259</v>
      </c>
      <c r="E187" s="85" t="s">
        <v>1259</v>
      </c>
      <c r="F187" s="86" t="s">
        <v>1259</v>
      </c>
      <c r="G187" s="82" t="s">
        <v>2773</v>
      </c>
      <c r="H187" s="94" t="s">
        <v>6457</v>
      </c>
      <c r="I187" s="94" t="s">
        <v>6458</v>
      </c>
      <c r="J187" s="94" t="s">
        <v>1815</v>
      </c>
      <c r="K187" s="94" t="s">
        <v>6109</v>
      </c>
      <c r="L187" s="94" t="s">
        <v>6459</v>
      </c>
      <c r="M187" s="99"/>
      <c r="N187" s="99"/>
      <c r="O187" s="99"/>
      <c r="P187" s="94" t="s">
        <v>6460</v>
      </c>
      <c r="Q187" s="99"/>
      <c r="R187" s="99"/>
      <c r="S187" s="99"/>
      <c r="T187" s="99"/>
      <c r="U187" s="99"/>
      <c r="V187" s="99"/>
      <c r="W187" s="92"/>
      <c r="X187" s="99"/>
      <c r="Y187" s="99"/>
      <c r="Z187" s="99"/>
      <c r="AA187" s="94" t="s">
        <v>4236</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9"/>
    </row>
    <row r="188">
      <c r="A188" s="166" t="s">
        <v>6462</v>
      </c>
      <c r="B188" s="104" t="s">
        <v>6463</v>
      </c>
      <c r="C188" s="105" t="s">
        <v>1259</v>
      </c>
      <c r="D188" s="106" t="s">
        <v>1259</v>
      </c>
      <c r="E188" s="107" t="s">
        <v>1259</v>
      </c>
      <c r="F188" s="108" t="s">
        <v>1259</v>
      </c>
      <c r="G188" s="104" t="s">
        <v>334</v>
      </c>
      <c r="H188" s="242"/>
      <c r="I188" s="242"/>
      <c r="J188" s="242"/>
      <c r="K188" s="167" t="s">
        <v>6137</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0" t="s">
        <v>6464</v>
      </c>
      <c r="B189" s="82" t="s">
        <v>6465</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2200</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1259</v>
      </c>
      <c r="D190" s="106" t="s">
        <v>1259</v>
      </c>
      <c r="E190" s="107" t="s">
        <v>1259</v>
      </c>
      <c r="F190" s="108" t="s">
        <v>1259</v>
      </c>
      <c r="G190" s="104" t="s">
        <v>2871</v>
      </c>
      <c r="H190" s="419"/>
      <c r="I190" s="426"/>
      <c r="J190" s="419" t="s">
        <v>553</v>
      </c>
      <c r="K190" s="419" t="s">
        <v>6030</v>
      </c>
      <c r="L190" s="419" t="s">
        <v>6469</v>
      </c>
      <c r="M190" s="419"/>
      <c r="N190" s="419"/>
      <c r="O190" s="419"/>
      <c r="P190" s="419"/>
      <c r="Q190" s="242"/>
      <c r="R190" s="242"/>
      <c r="S190" s="242"/>
      <c r="T190" s="242"/>
      <c r="U190" s="242"/>
      <c r="V190" s="242"/>
      <c r="W190" s="92"/>
      <c r="X190" s="117" t="s">
        <v>5146</v>
      </c>
      <c r="Y190" s="117"/>
      <c r="Z190" s="117"/>
      <c r="AA190" s="117" t="s">
        <v>1895</v>
      </c>
      <c r="AB190" s="296" t="s">
        <v>1145</v>
      </c>
      <c r="AC190" s="117" t="s">
        <v>2239</v>
      </c>
      <c r="AD190" s="117" t="s">
        <v>5343</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3"/>
      <c r="BC190" s="353"/>
      <c r="BD190" s="353"/>
      <c r="BE190" s="353"/>
      <c r="BF190" s="353"/>
      <c r="BG190" s="353"/>
      <c r="BH190" s="173"/>
      <c r="BI190" s="353" t="s">
        <v>3399</v>
      </c>
      <c r="BJ190" s="173"/>
      <c r="BK190" s="353"/>
      <c r="BL190" s="353" t="s">
        <v>3370</v>
      </c>
      <c r="BM190" s="173"/>
      <c r="BN190" s="173"/>
      <c r="BO190" s="353"/>
      <c r="BP190" s="173"/>
      <c r="BQ190" s="247"/>
      <c r="BR190" s="131"/>
      <c r="BS190" s="131" t="s">
        <v>6471</v>
      </c>
      <c r="BT190" s="131" t="s">
        <v>3932</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6475</v>
      </c>
      <c r="B191" s="82" t="s">
        <v>6476</v>
      </c>
      <c r="C191" s="83" t="s">
        <v>1259</v>
      </c>
      <c r="D191" s="84" t="s">
        <v>1259</v>
      </c>
      <c r="E191" s="85" t="s">
        <v>1259</v>
      </c>
      <c r="F191" s="86" t="s">
        <v>438</v>
      </c>
      <c r="G191" s="82" t="s">
        <v>438</v>
      </c>
      <c r="H191" s="99"/>
      <c r="I191" s="88" t="s">
        <v>6477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9"/>
    </row>
    <row r="192">
      <c r="A192" s="166" t="s">
        <v>6478</v>
      </c>
      <c r="B192" s="104" t="s">
        <v>6479</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1259</v>
      </c>
      <c r="D193" s="84" t="s">
        <v>1259</v>
      </c>
      <c r="E193" s="85" t="s">
        <v>1259</v>
      </c>
      <c r="F193" s="86" t="s">
        <v>547</v>
      </c>
      <c r="G193" s="82" t="s">
        <v>222</v>
      </c>
      <c r="H193" s="102"/>
      <c r="I193" s="95" t="s">
        <v>6482</v>
      </c>
      <c r="J193" s="102" t="s">
        <v>144</v>
      </c>
      <c r="K193" s="88" t="s">
        <v>5958</v>
      </c>
      <c r="L193" s="102" t="s">
        <v>4142</v>
      </c>
      <c r="M193" s="102"/>
      <c r="N193" s="102"/>
      <c r="O193" s="102" t="s">
        <v>3159</v>
      </c>
      <c r="P193" s="102" t="s">
        <v>1442</v>
      </c>
      <c r="Q193" s="99"/>
      <c r="R193" s="99"/>
      <c r="S193" s="99"/>
      <c r="T193" s="99"/>
      <c r="U193" s="99"/>
      <c r="V193" s="99"/>
      <c r="W193" s="92"/>
      <c r="X193" s="102" t="s">
        <v>4576</v>
      </c>
      <c r="Y193" s="102"/>
      <c r="Z193" s="102"/>
      <c r="AA193" s="102"/>
      <c r="AB193" s="266" t="s">
        <v>6483</v>
      </c>
      <c r="AC193" s="102" t="s">
        <v>2644</v>
      </c>
      <c r="AD193" s="102"/>
      <c r="AE193" s="99"/>
      <c r="AF193" s="102"/>
      <c r="AG193" s="102" t="s">
        <v>5490</v>
      </c>
      <c r="AH193" s="99"/>
      <c r="AI193" s="99"/>
      <c r="AJ193" s="102"/>
      <c r="AK193" s="99"/>
      <c r="AL193" s="97"/>
      <c r="AM193" s="102"/>
      <c r="AN193" s="102" t="s">
        <v>3254</v>
      </c>
      <c r="AO193" s="99"/>
      <c r="AP193" s="99"/>
      <c r="AQ193" s="94"/>
      <c r="AR193" s="94"/>
      <c r="AS193" s="99"/>
      <c r="AT193" s="99"/>
      <c r="AU193" s="102" t="s">
        <v>2313</v>
      </c>
      <c r="AV193" s="102" t="s">
        <v>2645</v>
      </c>
      <c r="AW193" s="102"/>
      <c r="AX193" s="99"/>
      <c r="AY193" s="99"/>
      <c r="AZ193" s="99"/>
      <c r="BA193" s="99"/>
      <c r="BB193" s="102"/>
      <c r="BC193" s="102"/>
      <c r="BD193" s="102" t="s">
        <v>4094</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4730</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3450</v>
      </c>
      <c r="CM195" s="99"/>
      <c r="CN195" s="94" t="s">
        <v>4819</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1259</v>
      </c>
      <c r="D196" s="106" t="s">
        <v>1259</v>
      </c>
      <c r="E196" s="107" t="s">
        <v>1259</v>
      </c>
      <c r="F196" s="108" t="s">
        <v>1259</v>
      </c>
      <c r="G196" s="104" t="s">
        <v>6254</v>
      </c>
      <c r="H196" s="242"/>
      <c r="I196" s="167" t="s">
        <v>6495</v>
      </c>
      <c r="J196" s="167" t="s">
        <v>4251</v>
      </c>
      <c r="K196" s="167" t="s">
        <v>4384</v>
      </c>
      <c r="L196" s="167" t="s">
        <v>6496</v>
      </c>
      <c r="M196" s="242"/>
      <c r="N196" s="242"/>
      <c r="O196" s="167" t="s">
        <v>1225</v>
      </c>
      <c r="P196" s="242"/>
      <c r="Q196" s="242"/>
      <c r="R196" s="242"/>
      <c r="S196" s="167" t="s">
        <v>2145</v>
      </c>
      <c r="T196" s="242"/>
      <c r="U196" s="242"/>
      <c r="V196" s="242"/>
      <c r="W196" s="92"/>
      <c r="X196" s="244"/>
      <c r="Y196" s="244"/>
      <c r="Z196" s="244"/>
      <c r="AA196" s="198" t="s">
        <v>2147</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6497</v>
      </c>
      <c r="BD196" s="172" t="s">
        <v>5419</v>
      </c>
      <c r="BE196" s="173"/>
      <c r="BF196" s="173"/>
      <c r="BG196" s="173"/>
      <c r="BH196" s="173"/>
      <c r="BI196" s="173"/>
      <c r="BJ196" s="173"/>
      <c r="BK196" s="174" t="s">
        <v>2452</v>
      </c>
      <c r="BL196" s="173"/>
      <c r="BM196" s="173"/>
      <c r="BN196" s="173"/>
      <c r="BO196" s="173"/>
      <c r="BP196" s="173"/>
      <c r="BQ196" s="247"/>
      <c r="BR196" s="249"/>
      <c r="BS196" s="249"/>
      <c r="BT196" s="249"/>
      <c r="BU196" s="175" t="s">
        <v>5591</v>
      </c>
      <c r="BV196" s="249"/>
      <c r="BW196" s="175" t="s">
        <v>6498</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4681</v>
      </c>
      <c r="DU196" s="255"/>
      <c r="DV196" s="255"/>
      <c r="DW196" s="255"/>
      <c r="DX196" s="255"/>
      <c r="DY196" s="255"/>
      <c r="DZ196" s="255"/>
      <c r="EA196" s="255"/>
      <c r="EB196" s="255"/>
      <c r="EC196" s="255"/>
      <c r="ED196" s="287" t="s">
        <v>6501</v>
      </c>
    </row>
    <row r="197">
      <c r="A197" s="734" t="s">
        <v>6502</v>
      </c>
      <c r="B197" s="82" t="s">
        <v>6503</v>
      </c>
      <c r="C197" s="83" t="s">
        <v>1259</v>
      </c>
      <c r="D197" s="84" t="s">
        <v>547</v>
      </c>
      <c r="E197" s="85" t="s">
        <v>1259</v>
      </c>
      <c r="F197" s="86" t="s">
        <v>650</v>
      </c>
      <c r="G197" s="82" t="s">
        <v>221</v>
      </c>
      <c r="H197" s="102"/>
      <c r="I197" s="95"/>
      <c r="J197" s="102"/>
      <c r="K197" s="102" t="s">
        <v>1957</v>
      </c>
      <c r="L197" s="102" t="s">
        <v>5768</v>
      </c>
      <c r="M197" s="102"/>
      <c r="N197" s="102"/>
      <c r="O197" s="102" t="s">
        <v>2947</v>
      </c>
      <c r="P197" s="102"/>
      <c r="Q197" s="99"/>
      <c r="R197" s="99"/>
      <c r="S197" s="99"/>
      <c r="T197" s="99"/>
      <c r="U197" s="99"/>
      <c r="V197" s="99"/>
      <c r="W197" s="92"/>
      <c r="X197" s="88" t="s">
        <v>3639</v>
      </c>
      <c r="Y197" s="102"/>
      <c r="Z197" s="102" t="s">
        <v>6504</v>
      </c>
      <c r="AA197" s="102"/>
      <c r="AB197" s="266"/>
      <c r="AC197" s="102"/>
      <c r="AD197" s="102"/>
      <c r="AE197" s="88" t="s">
        <v>2692</v>
      </c>
      <c r="AF197" s="102" t="s">
        <v>311</v>
      </c>
      <c r="AG197" s="102"/>
      <c r="AH197" s="99"/>
      <c r="AI197" s="99"/>
      <c r="AJ197" s="102"/>
      <c r="AK197" s="99"/>
      <c r="AL197" s="97"/>
      <c r="AM197" s="102"/>
      <c r="AN197" s="102" t="s">
        <v>5131</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1259</v>
      </c>
      <c r="D198" s="106" t="s">
        <v>1259</v>
      </c>
      <c r="E198" s="107" t="s">
        <v>1259</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4216</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1259</v>
      </c>
      <c r="D200" s="106" t="s">
        <v>1259</v>
      </c>
      <c r="E200" s="107" t="s">
        <v>1259</v>
      </c>
      <c r="F200" s="108" t="s">
        <v>650</v>
      </c>
      <c r="G200" s="104" t="s">
        <v>333</v>
      </c>
      <c r="H200" s="112" t="s">
        <v>5013</v>
      </c>
      <c r="I200" s="242"/>
      <c r="J200" s="167" t="s">
        <v>198</v>
      </c>
      <c r="K200" s="112" t="s">
        <v>2351</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1259</v>
      </c>
      <c r="D201" s="84" t="s">
        <v>1259</v>
      </c>
      <c r="E201" s="85" t="s">
        <v>1259</v>
      </c>
      <c r="F201" s="86" t="s">
        <v>1259</v>
      </c>
      <c r="G201" s="82" t="s">
        <v>4607</v>
      </c>
      <c r="H201" s="94" t="s">
        <v>6518</v>
      </c>
      <c r="I201" s="94" t="s">
        <v>2480</v>
      </c>
      <c r="J201" s="94" t="s">
        <v>1210</v>
      </c>
      <c r="K201" s="94" t="s">
        <v>6519</v>
      </c>
      <c r="L201" s="94" t="s">
        <v>6520</v>
      </c>
      <c r="M201" s="94" t="s">
        <v>6521</v>
      </c>
      <c r="N201" s="94" t="s">
        <v>6522</v>
      </c>
      <c r="O201" s="94" t="s">
        <v>5048</v>
      </c>
      <c r="P201" s="94" t="s">
        <v>4146</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5631</v>
      </c>
      <c r="AH201" s="99"/>
      <c r="AI201" s="99"/>
      <c r="AJ201" s="99"/>
      <c r="AK201" s="99"/>
      <c r="AL201" s="97"/>
      <c r="AM201" s="99"/>
      <c r="AN201" s="99"/>
      <c r="AO201" s="99"/>
      <c r="AP201" s="99"/>
      <c r="AQ201" s="99"/>
      <c r="AR201" s="99"/>
      <c r="AS201" s="99"/>
      <c r="AT201" s="99"/>
      <c r="AU201" s="94" t="s">
        <v>214</v>
      </c>
      <c r="AV201" s="99" t="s">
        <v>4463</v>
      </c>
      <c r="AW201" s="94" t="s">
        <v>6529</v>
      </c>
      <c r="AX201" s="99"/>
      <c r="AY201" s="99"/>
      <c r="AZ201" s="99"/>
      <c r="BA201" s="99"/>
      <c r="BB201" s="94"/>
      <c r="BC201" s="99" t="s">
        <v>2139</v>
      </c>
      <c r="BD201" s="94" t="s">
        <v>1705</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2175</v>
      </c>
      <c r="BT201" s="99" t="s">
        <v>6537</v>
      </c>
      <c r="BU201" s="94" t="s">
        <v>6202</v>
      </c>
      <c r="BV201" s="99" t="s">
        <v>6538</v>
      </c>
      <c r="BW201" s="99" t="s">
        <v>6539</v>
      </c>
      <c r="BX201" s="94" t="s">
        <v>6540</v>
      </c>
      <c r="BY201" s="94" t="s">
        <v>6541</v>
      </c>
      <c r="BZ201" s="99"/>
      <c r="CA201" s="94" t="s">
        <v>4721</v>
      </c>
      <c r="CB201" s="99"/>
      <c r="CC201" s="99"/>
      <c r="CD201" s="99"/>
      <c r="CE201" s="99"/>
      <c r="CF201" s="237"/>
      <c r="CG201" s="94" t="s">
        <v>5709</v>
      </c>
      <c r="CH201" s="94" t="s">
        <v>1559</v>
      </c>
      <c r="CI201" s="94" t="s">
        <v>2479</v>
      </c>
      <c r="CJ201" s="94" t="s">
        <v>3636</v>
      </c>
      <c r="CK201" s="94"/>
      <c r="CL201" s="94" t="s">
        <v>370</v>
      </c>
      <c r="CM201" s="94" t="s">
        <v>6542</v>
      </c>
      <c r="CN201" s="94" t="s">
        <v>6543</v>
      </c>
      <c r="CO201" s="94" t="s">
        <v>3890</v>
      </c>
      <c r="CP201" s="99"/>
      <c r="CQ201" s="99"/>
      <c r="CR201" s="99"/>
      <c r="CS201" s="99"/>
      <c r="CT201" s="99"/>
      <c r="CU201" s="92"/>
      <c r="CV201" s="99" t="s">
        <v>6544</v>
      </c>
      <c r="CW201" s="99" t="s">
        <v>2186</v>
      </c>
      <c r="CX201" s="99" t="s">
        <v>1024</v>
      </c>
      <c r="CY201" s="99" t="s">
        <v>6545</v>
      </c>
      <c r="CZ201" s="99" t="s">
        <v>6546</v>
      </c>
      <c r="DA201" s="99" t="s">
        <v>4525</v>
      </c>
      <c r="DB201" s="99" t="s">
        <v>6547</v>
      </c>
      <c r="DC201" s="94" t="s">
        <v>3338</v>
      </c>
      <c r="DD201" s="99"/>
      <c r="DE201" s="99"/>
      <c r="DF201" s="99"/>
      <c r="DG201" s="99"/>
      <c r="DH201" s="237"/>
      <c r="DI201" s="99"/>
      <c r="DJ201" s="99"/>
      <c r="DK201" s="99"/>
      <c r="DL201" s="99"/>
      <c r="DM201" s="99" t="s">
        <v>5603</v>
      </c>
      <c r="DN201" s="94"/>
      <c r="DO201" s="94" t="s">
        <v>6548</v>
      </c>
      <c r="DP201" s="94" t="s">
        <v>3881</v>
      </c>
      <c r="DQ201" s="94" t="s">
        <v>3010</v>
      </c>
      <c r="DR201" s="99"/>
      <c r="DS201" s="99"/>
      <c r="DT201" s="99"/>
      <c r="DU201" s="99"/>
      <c r="DV201" s="99"/>
      <c r="DW201" s="99"/>
      <c r="DX201" s="99"/>
      <c r="DY201" s="99"/>
      <c r="DZ201" s="99"/>
      <c r="EA201" s="99"/>
      <c r="EB201" s="99"/>
      <c r="EC201" s="99"/>
      <c r="ED201" s="258"/>
    </row>
    <row r="202">
      <c r="A202" s="736" t="s">
        <v>6549</v>
      </c>
      <c r="B202" s="104" t="s">
        <v>6550</v>
      </c>
      <c r="C202" s="105" t="s">
        <v>1259</v>
      </c>
      <c r="D202" s="106" t="s">
        <v>1259</v>
      </c>
      <c r="E202" s="107" t="s">
        <v>1259</v>
      </c>
      <c r="F202" s="108" t="s">
        <v>1259</v>
      </c>
      <c r="G202" s="104" t="s">
        <v>220</v>
      </c>
      <c r="H202" s="419"/>
      <c r="I202" s="426"/>
      <c r="J202" s="419"/>
      <c r="K202" s="419"/>
      <c r="L202" s="419"/>
      <c r="M202" s="419"/>
      <c r="N202" s="419"/>
      <c r="O202" s="322" t="s">
        <v>5952</v>
      </c>
      <c r="P202" s="322" t="s">
        <v>2866</v>
      </c>
      <c r="Q202" s="242"/>
      <c r="R202" s="242"/>
      <c r="S202" s="242"/>
      <c r="T202" s="242"/>
      <c r="U202" s="242"/>
      <c r="V202" s="242"/>
      <c r="W202" s="92"/>
      <c r="X202" s="117"/>
      <c r="Y202" s="117"/>
      <c r="Z202" s="117"/>
      <c r="AA202" s="117"/>
      <c r="AB202" s="296"/>
      <c r="AC202" s="336" t="s">
        <v>1817</v>
      </c>
      <c r="AD202" s="117"/>
      <c r="AE202" s="244"/>
      <c r="AF202" s="117"/>
      <c r="AG202" s="336"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3"/>
      <c r="BC202" s="353"/>
      <c r="BD202" s="353"/>
      <c r="BE202" s="353"/>
      <c r="BF202" s="353"/>
      <c r="BG202" s="353"/>
      <c r="BH202" s="173"/>
      <c r="BI202" s="201" t="s">
        <v>6095</v>
      </c>
      <c r="BJ202" s="173"/>
      <c r="BK202" s="353"/>
      <c r="BL202" s="201" t="s">
        <v>6554</v>
      </c>
      <c r="BM202" s="173"/>
      <c r="BN202" s="173"/>
      <c r="BO202" s="353"/>
      <c r="BP202" s="173"/>
      <c r="BQ202" s="247"/>
      <c r="BR202" s="344" t="s">
        <v>6555</v>
      </c>
      <c r="BS202" s="344" t="s">
        <v>6556</v>
      </c>
      <c r="BT202" s="131"/>
      <c r="BU202" s="344" t="s">
        <v>2586</v>
      </c>
      <c r="BV202" s="344" t="s">
        <v>6557</v>
      </c>
      <c r="BW202" s="344" t="s">
        <v>1017</v>
      </c>
      <c r="BX202" s="249"/>
      <c r="BY202" s="131"/>
      <c r="BZ202" s="344" t="s">
        <v>6558</v>
      </c>
      <c r="CA202" s="344" t="s">
        <v>1919</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2085</v>
      </c>
      <c r="DU202" s="206"/>
      <c r="DV202" s="255"/>
      <c r="DW202" s="205" t="s">
        <v>278</v>
      </c>
      <c r="DX202" s="255"/>
      <c r="DY202" s="255"/>
      <c r="DZ202" s="255"/>
      <c r="EA202" s="206" t="s">
        <v>5819</v>
      </c>
      <c r="EB202" s="255"/>
      <c r="EC202" s="255"/>
      <c r="ED202" s="287"/>
    </row>
    <row r="203">
      <c r="A203" s="572" t="s">
        <v>6562</v>
      </c>
      <c r="B203" s="82" t="s">
        <v>6563</v>
      </c>
      <c r="C203" s="83" t="s">
        <v>1259</v>
      </c>
      <c r="D203" s="84" t="s">
        <v>1259</v>
      </c>
      <c r="E203" s="85" t="s">
        <v>1259</v>
      </c>
      <c r="F203" s="86" t="s">
        <v>1259</v>
      </c>
      <c r="G203" s="82" t="s">
        <v>3060</v>
      </c>
      <c r="H203" s="99"/>
      <c r="I203" s="94" t="s">
        <v>6564</v>
      </c>
      <c r="J203" s="94" t="s">
        <v>6565</v>
      </c>
      <c r="K203" s="94" t="s">
        <v>2040</v>
      </c>
      <c r="L203" s="94" t="s">
        <v>6566</v>
      </c>
      <c r="M203" s="94" t="s">
        <v>6567</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9"/>
    </row>
    <row r="204">
      <c r="A204" s="166" t="s">
        <v>6570</v>
      </c>
      <c r="B204" s="104" t="s">
        <v>6571</v>
      </c>
      <c r="C204" s="105" t="s">
        <v>1259</v>
      </c>
      <c r="D204" s="106" t="s">
        <v>1259</v>
      </c>
      <c r="E204" s="107" t="s">
        <v>1259</v>
      </c>
      <c r="F204" s="108" t="s">
        <v>1259</v>
      </c>
      <c r="G204" s="104" t="s">
        <v>3494</v>
      </c>
      <c r="H204" s="242"/>
      <c r="I204" s="167" t="s">
        <v>6572</v>
      </c>
      <c r="J204" s="167" t="s">
        <v>1297</v>
      </c>
      <c r="K204" s="167" t="s">
        <v>1127</v>
      </c>
      <c r="L204" s="167" t="s">
        <v>6573</v>
      </c>
      <c r="M204" s="167" t="s">
        <v>6574</v>
      </c>
      <c r="N204" s="167" t="s">
        <v>6575</v>
      </c>
      <c r="O204" s="167" t="s">
        <v>6576</v>
      </c>
      <c r="P204" s="167" t="s">
        <v>4621</v>
      </c>
      <c r="Q204" s="242"/>
      <c r="R204" s="242"/>
      <c r="S204" s="242"/>
      <c r="T204" s="242"/>
      <c r="U204" s="242"/>
      <c r="V204" s="242"/>
      <c r="W204" s="92"/>
      <c r="X204" s="198" t="s">
        <v>336</v>
      </c>
      <c r="Y204" s="198"/>
      <c r="Z204" s="198" t="s">
        <v>2211</v>
      </c>
      <c r="AA204" s="198" t="s">
        <v>3249</v>
      </c>
      <c r="AB204" s="198" t="s">
        <v>6577</v>
      </c>
      <c r="AC204" s="198" t="s">
        <v>6578</v>
      </c>
      <c r="AD204" s="198" t="s">
        <v>3211</v>
      </c>
      <c r="AE204" s="244"/>
      <c r="AF204" s="198" t="s">
        <v>6579</v>
      </c>
      <c r="AG204" s="198" t="s">
        <v>1356</v>
      </c>
      <c r="AH204" s="244"/>
      <c r="AI204" s="244"/>
      <c r="AJ204" s="244"/>
      <c r="AK204" s="244"/>
      <c r="AL204" s="97"/>
      <c r="AM204" s="168" t="s">
        <v>5146</v>
      </c>
      <c r="AN204" s="168" t="s">
        <v>1370</v>
      </c>
      <c r="AO204" s="168" t="s">
        <v>6580</v>
      </c>
      <c r="AP204" s="168" t="s">
        <v>6581</v>
      </c>
      <c r="AQ204" s="168" t="s">
        <v>6582</v>
      </c>
      <c r="AR204" s="168"/>
      <c r="AS204" s="168" t="s">
        <v>2178</v>
      </c>
      <c r="AT204" s="168" t="s">
        <v>6583</v>
      </c>
      <c r="AU204" s="168" t="s">
        <v>3856</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5291</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3585</v>
      </c>
      <c r="CB204" s="249"/>
      <c r="CC204" s="249"/>
      <c r="CD204" s="249"/>
      <c r="CE204" s="249"/>
      <c r="CF204" s="251"/>
      <c r="CG204" s="177" t="s">
        <v>6595</v>
      </c>
      <c r="CH204" s="177" t="s">
        <v>6596</v>
      </c>
      <c r="CI204" s="177" t="s">
        <v>2937</v>
      </c>
      <c r="CJ204" s="177" t="s">
        <v>6597</v>
      </c>
      <c r="CK204" s="177"/>
      <c r="CL204" s="177" t="s">
        <v>4250</v>
      </c>
      <c r="CM204" s="177" t="s">
        <v>6598</v>
      </c>
      <c r="CN204" s="177" t="s">
        <v>966</v>
      </c>
      <c r="CO204" s="177" t="s">
        <v>1430</v>
      </c>
      <c r="CP204" s="252"/>
      <c r="CQ204" s="252"/>
      <c r="CR204" s="252"/>
      <c r="CS204" s="252"/>
      <c r="CT204" s="252"/>
      <c r="CU204" s="92"/>
      <c r="CV204" s="204" t="s">
        <v>6599</v>
      </c>
      <c r="CW204" s="204" t="s">
        <v>6600</v>
      </c>
      <c r="CX204" s="204" t="s">
        <v>1648</v>
      </c>
      <c r="CY204" s="204" t="s">
        <v>6601</v>
      </c>
      <c r="CZ204" s="204" t="s">
        <v>6602</v>
      </c>
      <c r="DA204" s="204" t="s">
        <v>6603</v>
      </c>
      <c r="DB204" s="204" t="s">
        <v>1508</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1259</v>
      </c>
      <c r="D205" s="84" t="s">
        <v>1259</v>
      </c>
      <c r="E205" s="85" t="s">
        <v>1259</v>
      </c>
      <c r="F205" s="86" t="s">
        <v>1259</v>
      </c>
      <c r="G205" s="82" t="s">
        <v>4055</v>
      </c>
      <c r="H205" s="94" t="s">
        <v>6608</v>
      </c>
      <c r="I205" s="94" t="s">
        <v>6609</v>
      </c>
      <c r="J205" s="94" t="s">
        <v>6610</v>
      </c>
      <c r="K205" s="94" t="s">
        <v>1616</v>
      </c>
      <c r="L205" s="94" t="s">
        <v>4073</v>
      </c>
      <c r="M205" s="94" t="s">
        <v>6611</v>
      </c>
      <c r="N205" s="94" t="s">
        <v>6612</v>
      </c>
      <c r="O205" s="94" t="s">
        <v>4436</v>
      </c>
      <c r="P205" s="94" t="s">
        <v>4679</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3987</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5233</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1551</v>
      </c>
      <c r="C208" s="105" t="s">
        <v>1259</v>
      </c>
      <c r="D208" s="106" t="s">
        <v>1259</v>
      </c>
      <c r="E208" s="107" t="s">
        <v>1259</v>
      </c>
      <c r="F208" s="108" t="s">
        <v>1259</v>
      </c>
      <c r="G208" s="104" t="s">
        <v>438</v>
      </c>
      <c r="H208" s="419"/>
      <c r="I208" s="426"/>
      <c r="J208" s="419"/>
      <c r="K208" s="419"/>
      <c r="L208" s="419"/>
      <c r="M208" s="419"/>
      <c r="N208" s="419"/>
      <c r="O208" s="419"/>
      <c r="P208" s="419"/>
      <c r="Q208" s="242"/>
      <c r="R208" s="242"/>
      <c r="S208" s="242"/>
      <c r="T208" s="242"/>
      <c r="U208" s="242"/>
      <c r="V208" s="242"/>
      <c r="W208" s="92"/>
      <c r="X208" s="117"/>
      <c r="Y208" s="117"/>
      <c r="Z208" s="117"/>
      <c r="AA208" s="738"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3"/>
      <c r="BC208" s="353"/>
      <c r="BD208" s="353"/>
      <c r="BE208" s="353"/>
      <c r="BF208" s="353"/>
      <c r="BG208" s="353"/>
      <c r="BH208" s="173"/>
      <c r="BI208" s="353"/>
      <c r="BJ208" s="173"/>
      <c r="BK208" s="353"/>
      <c r="BL208" s="353"/>
      <c r="BM208" s="173"/>
      <c r="BN208" s="173"/>
      <c r="BO208" s="353"/>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4175</v>
      </c>
      <c r="C209" s="83" t="s">
        <v>1259</v>
      </c>
      <c r="D209" s="84" t="s">
        <v>1259</v>
      </c>
      <c r="E209" s="85" t="s">
        <v>1259</v>
      </c>
      <c r="F209" s="86" t="s">
        <v>1259</v>
      </c>
      <c r="G209" s="82" t="s">
        <v>2871</v>
      </c>
      <c r="H209" s="94"/>
      <c r="I209" s="94" t="s">
        <v>6622</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4447</v>
      </c>
      <c r="BJ209" s="99"/>
      <c r="BK209" s="99"/>
      <c r="BL209" s="99"/>
      <c r="BM209" s="99"/>
      <c r="BN209" s="99"/>
      <c r="BO209" s="99"/>
      <c r="BP209" s="99"/>
      <c r="BQ209" s="237"/>
      <c r="BR209" s="99"/>
      <c r="BS209" s="94" t="s">
        <v>4912</v>
      </c>
      <c r="BT209" s="94" t="s">
        <v>6624</v>
      </c>
      <c r="BU209" s="94" t="s">
        <v>5359</v>
      </c>
      <c r="BV209" s="99"/>
      <c r="BW209" s="99"/>
      <c r="BX209" s="99"/>
      <c r="BY209" s="99"/>
      <c r="BZ209" s="99"/>
      <c r="CA209" s="99"/>
      <c r="CB209" s="99"/>
      <c r="CC209" s="99"/>
      <c r="CD209" s="99"/>
      <c r="CE209" s="99"/>
      <c r="CF209" s="237"/>
      <c r="CG209" s="94" t="s">
        <v>6625</v>
      </c>
      <c r="CH209" s="94" t="s">
        <v>1635</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9"/>
    </row>
    <row r="210">
      <c r="A210" s="739" t="s">
        <v>6627</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0" t="s">
        <v>6628</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9"/>
    </row>
    <row r="214">
      <c r="A214" s="740" t="s">
        <v>6633</v>
      </c>
      <c r="B214" s="104" t="s">
        <v>1416</v>
      </c>
      <c r="C214" s="105" t="s">
        <v>1259</v>
      </c>
      <c r="D214" s="106" t="s">
        <v>1259</v>
      </c>
      <c r="E214" s="107" t="s">
        <v>1259</v>
      </c>
      <c r="F214" s="108" t="s">
        <v>547</v>
      </c>
      <c r="G214" s="104" t="s">
        <v>334</v>
      </c>
      <c r="H214" s="419"/>
      <c r="I214" s="426"/>
      <c r="J214" s="419"/>
      <c r="K214" s="112" t="s">
        <v>2658</v>
      </c>
      <c r="L214" s="419"/>
      <c r="M214" s="419"/>
      <c r="N214" s="419"/>
      <c r="O214" s="419"/>
      <c r="P214" s="419"/>
      <c r="Q214" s="242"/>
      <c r="R214" s="242"/>
      <c r="S214" s="242"/>
      <c r="T214" s="242"/>
      <c r="U214" s="242"/>
      <c r="V214" s="242"/>
      <c r="W214" s="92"/>
      <c r="X214" s="117"/>
      <c r="Y214" s="117"/>
      <c r="Z214" s="117"/>
      <c r="AA214" s="117" t="s">
        <v>3080</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3"/>
      <c r="BC214" s="353"/>
      <c r="BD214" s="353"/>
      <c r="BE214" s="353"/>
      <c r="BF214" s="353"/>
      <c r="BG214" s="353"/>
      <c r="BH214" s="173"/>
      <c r="BI214" s="353"/>
      <c r="BJ214" s="173"/>
      <c r="BK214" s="353"/>
      <c r="BL214" s="353"/>
      <c r="BM214" s="173"/>
      <c r="BN214" s="173"/>
      <c r="BO214" s="353"/>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4607</v>
      </c>
      <c r="C215" s="83" t="s">
        <v>1259</v>
      </c>
      <c r="D215" s="84" t="s">
        <v>1259</v>
      </c>
      <c r="E215" s="85" t="s">
        <v>1259</v>
      </c>
      <c r="F215" s="86" t="s">
        <v>2773</v>
      </c>
      <c r="G215" s="82" t="s">
        <v>2773</v>
      </c>
      <c r="H215" s="424" t="s">
        <v>6636</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3156</v>
      </c>
      <c r="AO215" s="99"/>
      <c r="AP215" s="424" t="s">
        <v>6637</v>
      </c>
      <c r="AQ215" s="99"/>
      <c r="AR215" s="99"/>
      <c r="AS215" s="99"/>
      <c r="AT215" s="99"/>
      <c r="AU215" s="99"/>
      <c r="AV215" s="99"/>
      <c r="AW215" s="99"/>
      <c r="AX215" s="99"/>
      <c r="AY215" s="424" t="s">
        <v>521</v>
      </c>
      <c r="AZ215" s="99"/>
      <c r="BA215" s="99"/>
      <c r="BB215" s="424" t="s">
        <v>6638</v>
      </c>
      <c r="BC215" s="99"/>
      <c r="BD215" s="424" t="s">
        <v>4780</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6640</v>
      </c>
      <c r="DR215" s="99"/>
      <c r="DS215" s="99"/>
      <c r="DT215" s="99"/>
      <c r="DU215" s="99"/>
      <c r="DV215" s="99"/>
      <c r="DW215" s="99"/>
      <c r="DX215" s="99"/>
      <c r="DY215" s="99"/>
      <c r="DZ215" s="99"/>
      <c r="EA215" s="99"/>
      <c r="EB215" s="99"/>
      <c r="EC215" s="99"/>
      <c r="ED215" s="717" t="s">
        <v>1907</v>
      </c>
    </row>
    <row r="216">
      <c r="A216" s="103" t="s">
        <v>6641</v>
      </c>
      <c r="B216" s="104" t="s">
        <v>2432</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1259</v>
      </c>
      <c r="D217" s="84" t="s">
        <v>1259</v>
      </c>
      <c r="E217" s="85" t="s">
        <v>1259</v>
      </c>
      <c r="F217" s="86" t="s">
        <v>1259</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1259</v>
      </c>
      <c r="D219" s="84" t="s">
        <v>1259</v>
      </c>
      <c r="E219" s="85" t="s">
        <v>1259</v>
      </c>
      <c r="F219" s="86" t="s">
        <v>1259</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9"/>
    </row>
    <row r="220">
      <c r="A220" s="634" t="s">
        <v>6647</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4691</v>
      </c>
      <c r="CI220" s="177" t="s">
        <v>1768</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1259</v>
      </c>
      <c r="D224" s="106" t="s">
        <v>1259</v>
      </c>
      <c r="E224" s="107" t="s">
        <v>1259</v>
      </c>
      <c r="F224" s="108" t="s">
        <v>438</v>
      </c>
      <c r="G224" s="104" t="s">
        <v>438</v>
      </c>
      <c r="H224" s="112" t="s">
        <v>6655</v>
      </c>
      <c r="I224" s="426"/>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3"/>
      <c r="BC224" s="353"/>
      <c r="BD224" s="353"/>
      <c r="BE224" s="353"/>
      <c r="BF224" s="353"/>
      <c r="BG224" s="353"/>
      <c r="BH224" s="173"/>
      <c r="BI224" s="353"/>
      <c r="BJ224" s="173"/>
      <c r="BK224" s="353"/>
      <c r="BL224" s="353"/>
      <c r="BM224" s="173"/>
      <c r="BN224" s="173"/>
      <c r="BO224" s="353"/>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1259</v>
      </c>
      <c r="D225" s="84" t="s">
        <v>1259</v>
      </c>
      <c r="E225" s="85" t="s">
        <v>1259</v>
      </c>
      <c r="F225" s="86" t="s">
        <v>1259</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1259</v>
      </c>
      <c r="D228" s="106" t="s">
        <v>1259</v>
      </c>
      <c r="E228" s="107" t="s">
        <v>1259</v>
      </c>
      <c r="F228" s="108" t="s">
        <v>1259</v>
      </c>
      <c r="G228" s="104" t="s">
        <v>650</v>
      </c>
      <c r="H228" s="419"/>
      <c r="I228" s="426"/>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3"/>
      <c r="BC228" s="353"/>
      <c r="BD228" s="353"/>
      <c r="BE228" s="353"/>
      <c r="BF228" s="353"/>
      <c r="BG228" s="353"/>
      <c r="BH228" s="173"/>
      <c r="BI228" s="353"/>
      <c r="BJ228" s="173"/>
      <c r="BK228" s="353"/>
      <c r="BL228" s="353"/>
      <c r="BM228" s="173"/>
      <c r="BN228" s="173"/>
      <c r="BO228" s="353"/>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1259</v>
      </c>
      <c r="C230" s="105" t="s">
        <v>1259</v>
      </c>
      <c r="D230" s="106" t="s">
        <v>1259</v>
      </c>
      <c r="E230" s="107" t="s">
        <v>1259</v>
      </c>
      <c r="F230" s="108" t="s">
        <v>1259</v>
      </c>
      <c r="G230" s="104" t="s">
        <v>1259</v>
      </c>
      <c r="H230" s="419"/>
      <c r="I230" s="426"/>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3"/>
      <c r="BC230" s="353"/>
      <c r="BD230" s="353"/>
      <c r="BE230" s="353"/>
      <c r="BF230" s="353"/>
      <c r="BG230" s="353"/>
      <c r="BH230" s="173"/>
      <c r="BI230" s="353"/>
      <c r="BJ230" s="173"/>
      <c r="BK230" s="353"/>
      <c r="BL230" s="353"/>
      <c r="BM230" s="173"/>
      <c r="BN230" s="173"/>
      <c r="BO230" s="353"/>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9"/>
      <c r="I232" s="426"/>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3"/>
      <c r="BC232" s="353"/>
      <c r="BD232" s="353"/>
      <c r="BE232" s="353"/>
      <c r="BF232" s="353"/>
      <c r="BG232" s="353"/>
      <c r="BH232" s="173"/>
      <c r="BI232" s="353"/>
      <c r="BJ232" s="173"/>
      <c r="BK232" s="353"/>
      <c r="BL232" s="353"/>
      <c r="BM232" s="173"/>
      <c r="BN232" s="173"/>
      <c r="BO232" s="353"/>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9"/>
      <c r="I234" s="426"/>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3"/>
      <c r="BC234" s="353"/>
      <c r="BD234" s="353"/>
      <c r="BE234" s="353"/>
      <c r="BF234" s="353"/>
      <c r="BG234" s="353"/>
      <c r="BH234" s="173"/>
      <c r="BI234" s="353"/>
      <c r="BJ234" s="173"/>
      <c r="BK234" s="353"/>
      <c r="BL234" s="353"/>
      <c r="BM234" s="173"/>
      <c r="BN234" s="173"/>
      <c r="BO234" s="353"/>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9"/>
      <c r="I236" s="426"/>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3"/>
      <c r="BC236" s="353"/>
      <c r="BD236" s="353"/>
      <c r="BE236" s="353"/>
      <c r="BF236" s="353"/>
      <c r="BG236" s="353"/>
      <c r="BH236" s="173"/>
      <c r="BI236" s="353"/>
      <c r="BJ236" s="173"/>
      <c r="BK236" s="353"/>
      <c r="BL236" s="353"/>
      <c r="BM236" s="173"/>
      <c r="BN236" s="173"/>
      <c r="BO236" s="353"/>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9"/>
      <c r="I238" s="426"/>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3"/>
      <c r="BC238" s="353"/>
      <c r="BD238" s="353"/>
      <c r="BE238" s="353"/>
      <c r="BF238" s="353"/>
      <c r="BG238" s="353"/>
      <c r="BH238" s="173"/>
      <c r="BI238" s="353"/>
      <c r="BJ238" s="173"/>
      <c r="BK238" s="353"/>
      <c r="BL238" s="353"/>
      <c r="BM238" s="173"/>
      <c r="BN238" s="173"/>
      <c r="BO238" s="353"/>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9"/>
      <c r="I240" s="426"/>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3"/>
      <c r="BC240" s="353"/>
      <c r="BD240" s="353"/>
      <c r="BE240" s="353"/>
      <c r="BF240" s="353"/>
      <c r="BG240" s="353"/>
      <c r="BH240" s="173"/>
      <c r="BI240" s="353"/>
      <c r="BJ240" s="173"/>
      <c r="BK240" s="353"/>
      <c r="BL240" s="353"/>
      <c r="BM240" s="173"/>
      <c r="BN240" s="173"/>
      <c r="BO240" s="353"/>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9"/>
      <c r="I242" s="426"/>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3"/>
      <c r="BC242" s="353"/>
      <c r="BD242" s="353"/>
      <c r="BE242" s="353"/>
      <c r="BF242" s="353"/>
      <c r="BG242" s="353"/>
      <c r="BH242" s="173"/>
      <c r="BI242" s="353"/>
      <c r="BJ242" s="173"/>
      <c r="BK242" s="353"/>
      <c r="BL242" s="353"/>
      <c r="BM242" s="173"/>
      <c r="BN242" s="173"/>
      <c r="BO242" s="353"/>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9"/>
      <c r="I244" s="426"/>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3"/>
      <c r="BC244" s="353"/>
      <c r="BD244" s="353"/>
      <c r="BE244" s="353"/>
      <c r="BF244" s="353"/>
      <c r="BG244" s="353"/>
      <c r="BH244" s="173"/>
      <c r="BI244" s="353"/>
      <c r="BJ244" s="173"/>
      <c r="BK244" s="353"/>
      <c r="BL244" s="353"/>
      <c r="BM244" s="173"/>
      <c r="BN244" s="173"/>
      <c r="BO244" s="353"/>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9"/>
      <c r="I246" s="426"/>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3"/>
      <c r="BC246" s="353"/>
      <c r="BD246" s="353"/>
      <c r="BE246" s="353"/>
      <c r="BF246" s="353"/>
      <c r="BG246" s="353"/>
      <c r="BH246" s="173"/>
      <c r="BI246" s="353"/>
      <c r="BJ246" s="173"/>
      <c r="BK246" s="353"/>
      <c r="BL246" s="353"/>
      <c r="BM246" s="173"/>
      <c r="BN246" s="173"/>
      <c r="BO246" s="353"/>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9"/>
      <c r="I248" s="426"/>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3"/>
      <c r="BC248" s="353"/>
      <c r="BD248" s="353"/>
      <c r="BE248" s="353"/>
      <c r="BF248" s="353"/>
      <c r="BG248" s="353"/>
      <c r="BH248" s="173"/>
      <c r="BI248" s="353"/>
      <c r="BJ248" s="173"/>
      <c r="BK248" s="353"/>
      <c r="BL248" s="353"/>
      <c r="BM248" s="173"/>
      <c r="BN248" s="173"/>
      <c r="BO248" s="353"/>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9"/>
      <c r="I250" s="426"/>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3"/>
      <c r="BC250" s="353"/>
      <c r="BD250" s="353"/>
      <c r="BE250" s="353"/>
      <c r="BF250" s="353"/>
      <c r="BG250" s="353"/>
      <c r="BH250" s="173"/>
      <c r="BI250" s="353"/>
      <c r="BJ250" s="173"/>
      <c r="BK250" s="353"/>
      <c r="BL250" s="353"/>
      <c r="BM250" s="173"/>
      <c r="BN250" s="173"/>
      <c r="BO250" s="353"/>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9"/>
      <c r="I252" s="426"/>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3"/>
      <c r="BC252" s="353"/>
      <c r="BD252" s="353"/>
      <c r="BE252" s="353"/>
      <c r="BF252" s="353"/>
      <c r="BG252" s="353"/>
      <c r="BH252" s="173"/>
      <c r="BI252" s="353"/>
      <c r="BJ252" s="173"/>
      <c r="BK252" s="353"/>
      <c r="BL252" s="353"/>
      <c r="BM252" s="173"/>
      <c r="BN252" s="173"/>
      <c r="BO252" s="353"/>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9"/>
      <c r="I254" s="426"/>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3"/>
      <c r="BC254" s="353"/>
      <c r="BD254" s="353"/>
      <c r="BE254" s="353"/>
      <c r="BF254" s="353"/>
      <c r="BG254" s="353"/>
      <c r="BH254" s="173"/>
      <c r="BI254" s="353"/>
      <c r="BJ254" s="173"/>
      <c r="BK254" s="353"/>
      <c r="BL254" s="353"/>
      <c r="BM254" s="173"/>
      <c r="BN254" s="173"/>
      <c r="BO254" s="353"/>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9"/>
      <c r="I256" s="426"/>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3"/>
      <c r="BC256" s="353"/>
      <c r="BD256" s="353"/>
      <c r="BE256" s="353"/>
      <c r="BF256" s="353"/>
      <c r="BG256" s="353"/>
      <c r="BH256" s="173"/>
      <c r="BI256" s="353"/>
      <c r="BJ256" s="173"/>
      <c r="BK256" s="353"/>
      <c r="BL256" s="353"/>
      <c r="BM256" s="173"/>
      <c r="BN256" s="173"/>
      <c r="BO256" s="353"/>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9"/>
      <c r="I258" s="426"/>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3"/>
      <c r="BC258" s="353"/>
      <c r="BD258" s="353"/>
      <c r="BE258" s="353"/>
      <c r="BF258" s="353"/>
      <c r="BG258" s="353"/>
      <c r="BH258" s="173"/>
      <c r="BI258" s="353"/>
      <c r="BJ258" s="173"/>
      <c r="BK258" s="353"/>
      <c r="BL258" s="353"/>
      <c r="BM258" s="173"/>
      <c r="BN258" s="173"/>
      <c r="BO258" s="353"/>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9"/>
      <c r="I260" s="426"/>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3"/>
      <c r="BC260" s="353"/>
      <c r="BD260" s="353"/>
      <c r="BE260" s="353"/>
      <c r="BF260" s="353"/>
      <c r="BG260" s="353"/>
      <c r="BH260" s="173"/>
      <c r="BI260" s="353"/>
      <c r="BJ260" s="173"/>
      <c r="BK260" s="353"/>
      <c r="BL260" s="353"/>
      <c r="BM260" s="173"/>
      <c r="BN260" s="173"/>
      <c r="BO260" s="353"/>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9"/>
      <c r="I262" s="426"/>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3"/>
      <c r="BC262" s="353"/>
      <c r="BD262" s="353"/>
      <c r="BE262" s="353"/>
      <c r="BF262" s="353"/>
      <c r="BG262" s="353"/>
      <c r="BH262" s="173"/>
      <c r="BI262" s="353"/>
      <c r="BJ262" s="173"/>
      <c r="BK262" s="353"/>
      <c r="BL262" s="353"/>
      <c r="BM262" s="173"/>
      <c r="BN262" s="173"/>
      <c r="BO262" s="353"/>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9"/>
      <c r="I264" s="426"/>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3"/>
      <c r="BC264" s="353"/>
      <c r="BD264" s="353"/>
      <c r="BE264" s="353"/>
      <c r="BF264" s="353"/>
      <c r="BG264" s="353"/>
      <c r="BH264" s="173"/>
      <c r="BI264" s="353"/>
      <c r="BJ264" s="173"/>
      <c r="BK264" s="353"/>
      <c r="BL264" s="353"/>
      <c r="BM264" s="173"/>
      <c r="BN264" s="173"/>
      <c r="BO264" s="353"/>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9"/>
      <c r="I266" s="426"/>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3"/>
      <c r="BC266" s="353"/>
      <c r="BD266" s="353"/>
      <c r="BE266" s="353"/>
      <c r="BF266" s="353"/>
      <c r="BG266" s="353"/>
      <c r="BH266" s="173"/>
      <c r="BI266" s="353"/>
      <c r="BJ266" s="173"/>
      <c r="BK266" s="353"/>
      <c r="BL266" s="353"/>
      <c r="BM266" s="173"/>
      <c r="BN266" s="173"/>
      <c r="BO266" s="353"/>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9"/>
      <c r="I268" s="426"/>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3"/>
      <c r="BC268" s="353"/>
      <c r="BD268" s="353"/>
      <c r="BE268" s="353"/>
      <c r="BF268" s="353"/>
      <c r="BG268" s="353"/>
      <c r="BH268" s="173"/>
      <c r="BI268" s="353"/>
      <c r="BJ268" s="173"/>
      <c r="BK268" s="353"/>
      <c r="BL268" s="353"/>
      <c r="BM268" s="173"/>
      <c r="BN268" s="173"/>
      <c r="BO268" s="353"/>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9"/>
      <c r="I270" s="426"/>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3"/>
      <c r="BC270" s="353"/>
      <c r="BD270" s="353"/>
      <c r="BE270" s="353"/>
      <c r="BF270" s="353"/>
      <c r="BG270" s="353"/>
      <c r="BH270" s="173"/>
      <c r="BI270" s="353"/>
      <c r="BJ270" s="173"/>
      <c r="BK270" s="353"/>
      <c r="BL270" s="353"/>
      <c r="BM270" s="173"/>
      <c r="BN270" s="173"/>
      <c r="BO270" s="353"/>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9"/>
      <c r="I272" s="426"/>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3"/>
      <c r="BC272" s="353"/>
      <c r="BD272" s="353"/>
      <c r="BE272" s="353"/>
      <c r="BF272" s="353"/>
      <c r="BG272" s="353"/>
      <c r="BH272" s="173"/>
      <c r="BI272" s="353"/>
      <c r="BJ272" s="173"/>
      <c r="BK272" s="353"/>
      <c r="BL272" s="353"/>
      <c r="BM272" s="173"/>
      <c r="BN272" s="173"/>
      <c r="BO272" s="353"/>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9"/>
      <c r="I274" s="426"/>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3"/>
      <c r="BC274" s="353"/>
      <c r="BD274" s="353"/>
      <c r="BE274" s="353"/>
      <c r="BF274" s="353"/>
      <c r="BG274" s="353"/>
      <c r="BH274" s="173"/>
      <c r="BI274" s="353"/>
      <c r="BJ274" s="173"/>
      <c r="BK274" s="353"/>
      <c r="BL274" s="353"/>
      <c r="BM274" s="173"/>
      <c r="BN274" s="173"/>
      <c r="BO274" s="353"/>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9"/>
      <c r="I276" s="426"/>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3"/>
      <c r="BC276" s="353"/>
      <c r="BD276" s="353"/>
      <c r="BE276" s="353"/>
      <c r="BF276" s="353"/>
      <c r="BG276" s="353"/>
      <c r="BH276" s="173"/>
      <c r="BI276" s="353"/>
      <c r="BJ276" s="173"/>
      <c r="BK276" s="353"/>
      <c r="BL276" s="353"/>
      <c r="BM276" s="173"/>
      <c r="BN276" s="173"/>
      <c r="BO276" s="353"/>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9"/>
      <c r="I278" s="426"/>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3"/>
      <c r="BC278" s="353"/>
      <c r="BD278" s="353"/>
      <c r="BE278" s="353"/>
      <c r="BF278" s="353"/>
      <c r="BG278" s="353"/>
      <c r="BH278" s="173"/>
      <c r="BI278" s="353"/>
      <c r="BJ278" s="173"/>
      <c r="BK278" s="353"/>
      <c r="BL278" s="353"/>
      <c r="BM278" s="173"/>
      <c r="BN278" s="173"/>
      <c r="BO278" s="353"/>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9"/>
      <c r="I280" s="426"/>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3"/>
      <c r="BC280" s="353"/>
      <c r="BD280" s="353"/>
      <c r="BE280" s="353"/>
      <c r="BF280" s="353"/>
      <c r="BG280" s="353"/>
      <c r="BH280" s="173"/>
      <c r="BI280" s="353"/>
      <c r="BJ280" s="173"/>
      <c r="BK280" s="353"/>
      <c r="BL280" s="353"/>
      <c r="BM280" s="173"/>
      <c r="BN280" s="173"/>
      <c r="BO280" s="353"/>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9"/>
      <c r="I282" s="426"/>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3"/>
      <c r="BC282" s="353"/>
      <c r="BD282" s="353"/>
      <c r="BE282" s="353"/>
      <c r="BF282" s="353"/>
      <c r="BG282" s="353"/>
      <c r="BH282" s="173"/>
      <c r="BI282" s="353"/>
      <c r="BJ282" s="173"/>
      <c r="BK282" s="353"/>
      <c r="BL282" s="353"/>
      <c r="BM282" s="173"/>
      <c r="BN282" s="173"/>
      <c r="BO282" s="353"/>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9"/>
      <c r="I284" s="426"/>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3"/>
      <c r="BC284" s="353"/>
      <c r="BD284" s="353"/>
      <c r="BE284" s="353"/>
      <c r="BF284" s="353"/>
      <c r="BG284" s="353"/>
      <c r="BH284" s="173"/>
      <c r="BI284" s="353"/>
      <c r="BJ284" s="173"/>
      <c r="BK284" s="353"/>
      <c r="BL284" s="353"/>
      <c r="BM284" s="173"/>
      <c r="BN284" s="173"/>
      <c r="BO284" s="353"/>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9"/>
      <c r="I286" s="426"/>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3"/>
      <c r="BC286" s="353"/>
      <c r="BD286" s="353"/>
      <c r="BE286" s="353"/>
      <c r="BF286" s="353"/>
      <c r="BG286" s="353"/>
      <c r="BH286" s="173"/>
      <c r="BI286" s="353"/>
      <c r="BJ286" s="173"/>
      <c r="BK286" s="353"/>
      <c r="BL286" s="353"/>
      <c r="BM286" s="173"/>
      <c r="BN286" s="173"/>
      <c r="BO286" s="353"/>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9"/>
      <c r="I288" s="426"/>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3"/>
      <c r="BC288" s="353"/>
      <c r="BD288" s="353"/>
      <c r="BE288" s="353"/>
      <c r="BF288" s="353"/>
      <c r="BG288" s="353"/>
      <c r="BH288" s="173"/>
      <c r="BI288" s="353"/>
      <c r="BJ288" s="173"/>
      <c r="BK288" s="353"/>
      <c r="BL288" s="353"/>
      <c r="BM288" s="173"/>
      <c r="BN288" s="173"/>
      <c r="BO288" s="353"/>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9"/>
      <c r="I292" s="426"/>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3"/>
      <c r="BC292" s="353"/>
      <c r="BD292" s="353"/>
      <c r="BE292" s="353"/>
      <c r="BF292" s="353"/>
      <c r="BG292" s="353"/>
      <c r="BH292" s="173"/>
      <c r="BI292" s="353"/>
      <c r="BJ292" s="173"/>
      <c r="BK292" s="353"/>
      <c r="BL292" s="353"/>
      <c r="BM292" s="173"/>
      <c r="BN292" s="173"/>
      <c r="BO292" s="353"/>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9"/>
      <c r="I294" s="426"/>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3"/>
      <c r="BC294" s="353"/>
      <c r="BD294" s="353"/>
      <c r="BE294" s="353"/>
      <c r="BF294" s="353"/>
      <c r="BG294" s="353"/>
      <c r="BH294" s="173"/>
      <c r="BI294" s="353"/>
      <c r="BJ294" s="173"/>
      <c r="BK294" s="353"/>
      <c r="BL294" s="353"/>
      <c r="BM294" s="173"/>
      <c r="BN294" s="173"/>
      <c r="BO294" s="353"/>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9"/>
      <c r="I296" s="426"/>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3"/>
      <c r="BC296" s="353"/>
      <c r="BD296" s="353"/>
      <c r="BE296" s="353"/>
      <c r="BF296" s="353"/>
      <c r="BG296" s="353"/>
      <c r="BH296" s="173"/>
      <c r="BI296" s="353"/>
      <c r="BJ296" s="173"/>
      <c r="BK296" s="353"/>
      <c r="BL296" s="353"/>
      <c r="BM296" s="173"/>
      <c r="BN296" s="173"/>
      <c r="BO296" s="353"/>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9"/>
      <c r="I298" s="426"/>
      <c r="J298" s="419"/>
      <c r="K298" s="419"/>
      <c r="L298" s="419"/>
      <c r="M298" s="419"/>
      <c r="N298" s="419"/>
      <c r="O298" s="419"/>
      <c r="P298" s="41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3"/>
      <c r="BC298" s="353"/>
      <c r="BD298" s="353"/>
      <c r="BE298" s="353"/>
      <c r="BF298" s="353"/>
      <c r="BG298" s="353"/>
      <c r="BH298" s="173"/>
      <c r="BI298" s="353"/>
      <c r="BJ298" s="173"/>
      <c r="BK298" s="353"/>
      <c r="BL298" s="353"/>
      <c r="BM298" s="173"/>
      <c r="BN298" s="173"/>
      <c r="BO298" s="353"/>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T24"/>
    <hyperlink r:id="rId1738" ref="DU24"/>
    <hyperlink r:id="rId1739" ref="DV24"/>
    <hyperlink r:id="rId1740" ref="DW24"/>
    <hyperlink r:id="rId1741" ref="DY24"/>
    <hyperlink r:id="rId1742" ref="DZ24"/>
    <hyperlink r:id="rId1743" ref="EB24"/>
    <hyperlink r:id="rId1744" ref="EC24"/>
    <hyperlink r:id="rId1745" ref="H25"/>
    <hyperlink r:id="rId1746" ref="I25"/>
    <hyperlink r:id="rId1747" ref="J25"/>
    <hyperlink r:id="rId1748" ref="K25"/>
    <hyperlink r:id="rId1749" ref="L25"/>
    <hyperlink r:id="rId1750" ref="N25"/>
    <hyperlink r:id="rId1751" ref="O25"/>
    <hyperlink r:id="rId1752" ref="P25"/>
    <hyperlink r:id="rId1753" ref="X25"/>
    <hyperlink r:id="rId1754" ref="Z25"/>
    <hyperlink r:id="rId1755" ref="AC25"/>
    <hyperlink r:id="rId1756" ref="AD25"/>
    <hyperlink r:id="rId1757" ref="AF25"/>
    <hyperlink r:id="rId1758" ref="AO25"/>
    <hyperlink r:id="rId1759" ref="AU25"/>
    <hyperlink r:id="rId1760" ref="BN25"/>
    <hyperlink r:id="rId1761" ref="BR25"/>
    <hyperlink r:id="rId1762" ref="BS25"/>
    <hyperlink r:id="rId1763" ref="BT25"/>
    <hyperlink r:id="rId1764" ref="BV25"/>
    <hyperlink r:id="rId1765" ref="CC25"/>
    <hyperlink r:id="rId1766" ref="CD25"/>
    <hyperlink r:id="rId1767" ref="CG25"/>
    <hyperlink r:id="rId1768" ref="CH25"/>
    <hyperlink r:id="rId1769" ref="CJ25"/>
    <hyperlink r:id="rId1770" ref="CM25"/>
    <hyperlink r:id="rId1771" ref="CN25"/>
    <hyperlink r:id="rId1772" ref="CT25"/>
    <hyperlink r:id="rId1773" ref="CV25"/>
    <hyperlink r:id="rId1774" ref="CY25"/>
    <hyperlink r:id="rId1775" ref="CZ25"/>
    <hyperlink r:id="rId1776" ref="DA25"/>
    <hyperlink r:id="rId1777" ref="DB25"/>
    <hyperlink r:id="rId1778" ref="DC25"/>
    <hyperlink r:id="rId1779" ref="DM25"/>
    <hyperlink r:id="rId1780" ref="DR25"/>
    <hyperlink r:id="rId1781" ref="EB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B56"/>
    <hyperlink r:id="rId2888" ref="DD56"/>
    <hyperlink r:id="rId2889" ref="DG56"/>
    <hyperlink r:id="rId2890" ref="K57"/>
    <hyperlink r:id="rId2891" ref="O57"/>
    <hyperlink r:id="rId2892" ref="X57"/>
    <hyperlink r:id="rId2893" ref="BG57"/>
    <hyperlink r:id="rId2894" ref="BU57"/>
    <hyperlink r:id="rId2895" ref="DM57"/>
    <hyperlink r:id="rId2896" ref="K58"/>
    <hyperlink r:id="rId2897" ref="O58"/>
    <hyperlink r:id="rId2898" ref="P58"/>
    <hyperlink r:id="rId2899" ref="Q58"/>
    <hyperlink r:id="rId2900" ref="U58"/>
    <hyperlink r:id="rId2901" ref="X58"/>
    <hyperlink r:id="rId2902" ref="AC58"/>
    <hyperlink r:id="rId2903" ref="BF58"/>
    <hyperlink r:id="rId2904" ref="BG58"/>
    <hyperlink r:id="rId2905" ref="BW58"/>
    <hyperlink r:id="rId2906" ref="CC58"/>
    <hyperlink r:id="rId2907" ref="CD58"/>
    <hyperlink r:id="rId2908" ref="DA58"/>
    <hyperlink r:id="rId2909" ref="DM58"/>
    <hyperlink r:id="rId2910" ref="DZ58"/>
    <hyperlink r:id="rId2911" ref="H59"/>
    <hyperlink r:id="rId2912" ref="I59"/>
    <hyperlink r:id="rId2913" ref="J59"/>
    <hyperlink r:id="rId2914" ref="K59"/>
    <hyperlink r:id="rId2915" ref="L59"/>
    <hyperlink r:id="rId2916" ref="N59"/>
    <hyperlink r:id="rId2917" ref="O59"/>
    <hyperlink r:id="rId2918" ref="P59"/>
    <hyperlink r:id="rId2919" ref="AA59"/>
    <hyperlink r:id="rId2920" ref="AD59"/>
    <hyperlink r:id="rId2921" ref="AF59"/>
    <hyperlink r:id="rId2922" ref="AG59"/>
    <hyperlink r:id="rId2923" ref="AZ59"/>
    <hyperlink r:id="rId2924" ref="BB59"/>
    <hyperlink r:id="rId2925" ref="BC59"/>
    <hyperlink r:id="rId2926" ref="BD59"/>
    <hyperlink r:id="rId2927" ref="BF59"/>
    <hyperlink r:id="rId2928" ref="BL59"/>
    <hyperlink r:id="rId2929" ref="BM59"/>
    <hyperlink r:id="rId2930" ref="BR59"/>
    <hyperlink r:id="rId2931" ref="BS59"/>
    <hyperlink r:id="rId2932" ref="BT59"/>
    <hyperlink r:id="rId2933" ref="BV59"/>
    <hyperlink r:id="rId2934" ref="BW59"/>
    <hyperlink r:id="rId2935" ref="BZ59"/>
    <hyperlink r:id="rId2936" ref="CA59"/>
    <hyperlink r:id="rId2937" ref="CB59"/>
    <hyperlink r:id="rId2938" ref="CC59"/>
    <hyperlink r:id="rId2939" ref="CD59"/>
    <hyperlink r:id="rId2940" ref="CH59"/>
    <hyperlink r:id="rId2941" ref="CQ59"/>
    <hyperlink r:id="rId2942" ref="CS59"/>
    <hyperlink r:id="rId2943" ref="CW59"/>
    <hyperlink r:id="rId2944" ref="DC59"/>
    <hyperlink r:id="rId2945" ref="DM59"/>
    <hyperlink r:id="rId2946" ref="DU59"/>
    <hyperlink r:id="rId2947" ref="H60"/>
    <hyperlink r:id="rId2948" ref="I60"/>
    <hyperlink r:id="rId2949" ref="J60"/>
    <hyperlink r:id="rId2950" ref="K60"/>
    <hyperlink r:id="rId2951" ref="L60"/>
    <hyperlink r:id="rId2952" ref="M60"/>
    <hyperlink r:id="rId2953" ref="N60"/>
    <hyperlink r:id="rId2954" ref="O60"/>
    <hyperlink r:id="rId2955" ref="P60"/>
    <hyperlink r:id="rId2956" ref="S60"/>
    <hyperlink r:id="rId2957" ref="U60"/>
    <hyperlink r:id="rId2958" ref="X60"/>
    <hyperlink r:id="rId2959" ref="Z60"/>
    <hyperlink r:id="rId2960" ref="AA60"/>
    <hyperlink r:id="rId2961" ref="AB60"/>
    <hyperlink r:id="rId2962" ref="AC60"/>
    <hyperlink r:id="rId2963" ref="AD60"/>
    <hyperlink r:id="rId2964" ref="AF60"/>
    <hyperlink r:id="rId2965" ref="AG60"/>
    <hyperlink r:id="rId2966" ref="AJ60"/>
    <hyperlink r:id="rId2967" ref="AN60"/>
    <hyperlink r:id="rId2968" ref="AP60"/>
    <hyperlink r:id="rId2969" ref="AU60"/>
    <hyperlink r:id="rId2970" ref="AV60"/>
    <hyperlink r:id="rId2971" ref="AY60"/>
    <hyperlink r:id="rId2972" ref="BB60"/>
    <hyperlink r:id="rId2973" ref="BC60"/>
    <hyperlink r:id="rId2974" ref="BD60"/>
    <hyperlink r:id="rId2975" ref="BF60"/>
    <hyperlink r:id="rId2976" ref="BG60"/>
    <hyperlink r:id="rId2977" ref="BI60"/>
    <hyperlink r:id="rId2978" ref="BJ60"/>
    <hyperlink r:id="rId2979" ref="BK60"/>
    <hyperlink r:id="rId2980" ref="BL60"/>
    <hyperlink r:id="rId2981" ref="BN60"/>
    <hyperlink r:id="rId2982" ref="BO60"/>
    <hyperlink r:id="rId2983" ref="BR60"/>
    <hyperlink r:id="rId2984" ref="BS60"/>
    <hyperlink r:id="rId2985" ref="BT60"/>
    <hyperlink r:id="rId2986" ref="BU60"/>
    <hyperlink r:id="rId2987" ref="BV60"/>
    <hyperlink r:id="rId2988" ref="BW60"/>
    <hyperlink r:id="rId2989" ref="BY60"/>
    <hyperlink r:id="rId2990" ref="BZ60"/>
    <hyperlink r:id="rId2991" ref="CA60"/>
    <hyperlink r:id="rId2992" ref="CB60"/>
    <hyperlink r:id="rId2993" ref="CC60"/>
    <hyperlink r:id="rId2994" ref="CD60"/>
    <hyperlink r:id="rId2995" ref="CG60"/>
    <hyperlink r:id="rId2996" ref="CH60"/>
    <hyperlink r:id="rId2997" ref="CI60"/>
    <hyperlink r:id="rId2998" ref="CJ60"/>
    <hyperlink r:id="rId2999" ref="CL60"/>
    <hyperlink r:id="rId3000" ref="CM60"/>
    <hyperlink r:id="rId3001" ref="CN60"/>
    <hyperlink r:id="rId3002" ref="CO60"/>
    <hyperlink r:id="rId3003" ref="CS60"/>
    <hyperlink r:id="rId3004" ref="CV60"/>
    <hyperlink r:id="rId3005" ref="CW60"/>
    <hyperlink r:id="rId3006" ref="CX60"/>
    <hyperlink r:id="rId3007" ref="CY60"/>
    <hyperlink r:id="rId3008" ref="CZ60"/>
    <hyperlink r:id="rId3009" ref="DB60"/>
    <hyperlink r:id="rId3010" ref="DC60"/>
    <hyperlink r:id="rId3011" ref="DI60"/>
    <hyperlink r:id="rId3012" ref="DM60"/>
    <hyperlink r:id="rId3013" ref="DP60"/>
    <hyperlink r:id="rId3014" ref="DR60"/>
    <hyperlink r:id="rId3015" ref="DW60"/>
    <hyperlink r:id="rId3016" ref="EA60"/>
    <hyperlink r:id="rId3017" ref="EC60"/>
    <hyperlink r:id="rId3018" ref="ED60"/>
    <hyperlink r:id="rId3019" ref="K61"/>
    <hyperlink r:id="rId3020" ref="L61"/>
    <hyperlink r:id="rId3021" ref="N61"/>
    <hyperlink r:id="rId3022" ref="R61"/>
    <hyperlink r:id="rId3023" ref="U61"/>
    <hyperlink r:id="rId3024" ref="AV61"/>
    <hyperlink r:id="rId3025" ref="BC61"/>
    <hyperlink r:id="rId3026" ref="BD61"/>
    <hyperlink r:id="rId3027" ref="BI61"/>
    <hyperlink r:id="rId3028" ref="BN61"/>
    <hyperlink r:id="rId3029" ref="BR61"/>
    <hyperlink r:id="rId3030" ref="CQ61"/>
    <hyperlink r:id="rId3031" ref="CX61"/>
    <hyperlink r:id="rId3032" ref="DC61"/>
    <hyperlink r:id="rId3033" ref="H63"/>
    <hyperlink r:id="rId3034" ref="I63"/>
    <hyperlink r:id="rId3035" ref="J63"/>
    <hyperlink r:id="rId3036" ref="K63"/>
    <hyperlink r:id="rId3037" ref="L63"/>
    <hyperlink r:id="rId3038" ref="X63"/>
    <hyperlink r:id="rId3039" ref="Z63"/>
    <hyperlink r:id="rId3040" ref="AA63"/>
    <hyperlink r:id="rId3041" ref="AU63"/>
    <hyperlink r:id="rId3042" ref="AV63"/>
    <hyperlink r:id="rId3043" ref="BD63"/>
    <hyperlink r:id="rId3044" ref="BE63"/>
    <hyperlink r:id="rId3045" ref="CH63"/>
    <hyperlink r:id="rId3046" ref="CM63"/>
    <hyperlink r:id="rId3047" ref="CX63"/>
    <hyperlink r:id="rId3048" ref="CG64"/>
    <hyperlink r:id="rId3049" ref="CY64"/>
    <hyperlink r:id="rId3050" ref="L65"/>
    <hyperlink r:id="rId3051" ref="P65"/>
    <hyperlink r:id="rId3052" ref="S65"/>
    <hyperlink r:id="rId3053" ref="BE65"/>
    <hyperlink r:id="rId3054" ref="BF65"/>
    <hyperlink r:id="rId3055" ref="BN65"/>
    <hyperlink r:id="rId3056" ref="DB65"/>
    <hyperlink r:id="rId3057" ref="H66"/>
    <hyperlink r:id="rId3058" ref="S66"/>
    <hyperlink r:id="rId3059" ref="X66"/>
    <hyperlink r:id="rId3060" ref="AY66"/>
    <hyperlink r:id="rId3061" ref="BE66"/>
    <hyperlink r:id="rId3062" ref="BS66"/>
    <hyperlink r:id="rId3063" ref="CG66"/>
    <hyperlink r:id="rId3064" ref="CW66"/>
    <hyperlink r:id="rId3065" ref="DC66"/>
    <hyperlink r:id="rId3066" ref="DI66"/>
    <hyperlink r:id="rId3067" ref="DS66"/>
    <hyperlink r:id="rId3068" ref="J67"/>
    <hyperlink r:id="rId3069" ref="N67"/>
    <hyperlink r:id="rId3070" ref="X67"/>
    <hyperlink r:id="rId3071" ref="Z67"/>
    <hyperlink r:id="rId3072" ref="AB67"/>
    <hyperlink r:id="rId3073" ref="AC67"/>
    <hyperlink r:id="rId3074" ref="AD67"/>
    <hyperlink r:id="rId3075" ref="AG67"/>
    <hyperlink r:id="rId3076" ref="AI67"/>
    <hyperlink r:id="rId3077" ref="AM67"/>
    <hyperlink r:id="rId3078" ref="AV67"/>
    <hyperlink r:id="rId3079" ref="BC67"/>
    <hyperlink r:id="rId3080" ref="BH67"/>
    <hyperlink r:id="rId3081" ref="BJ67"/>
    <hyperlink r:id="rId3082" ref="BK67"/>
    <hyperlink r:id="rId3083" ref="BR67"/>
    <hyperlink r:id="rId3084" ref="BT67"/>
    <hyperlink r:id="rId3085" ref="BY67"/>
    <hyperlink r:id="rId3086" ref="CE67"/>
    <hyperlink r:id="rId3087" ref="CJ67"/>
    <hyperlink r:id="rId3088" ref="CN67"/>
    <hyperlink r:id="rId3089" ref="CO67"/>
    <hyperlink r:id="rId3090" ref="J68"/>
    <hyperlink r:id="rId3091" ref="K68"/>
    <hyperlink r:id="rId3092" ref="N68"/>
    <hyperlink r:id="rId3093" ref="O68"/>
    <hyperlink r:id="rId3094" ref="P68"/>
    <hyperlink r:id="rId3095" ref="X68"/>
    <hyperlink r:id="rId3096" ref="Z68"/>
    <hyperlink r:id="rId3097" ref="AA68"/>
    <hyperlink r:id="rId3098" ref="AB68"/>
    <hyperlink r:id="rId3099" ref="AC68"/>
    <hyperlink r:id="rId3100" ref="AD68"/>
    <hyperlink r:id="rId3101" ref="AG68"/>
    <hyperlink r:id="rId3102" ref="AJ68"/>
    <hyperlink r:id="rId3103" ref="AN68"/>
    <hyperlink r:id="rId3104" ref="AU68"/>
    <hyperlink r:id="rId3105" ref="AV68"/>
    <hyperlink r:id="rId3106" ref="BB68"/>
    <hyperlink r:id="rId3107" ref="BD68"/>
    <hyperlink r:id="rId3108" ref="BE68"/>
    <hyperlink r:id="rId3109" ref="BF68"/>
    <hyperlink r:id="rId3110" ref="BG68"/>
    <hyperlink r:id="rId3111" ref="BI68"/>
    <hyperlink r:id="rId3112" ref="BJ68"/>
    <hyperlink r:id="rId3113" ref="BL68"/>
    <hyperlink r:id="rId3114" ref="BS68"/>
    <hyperlink r:id="rId3115" ref="BT68"/>
    <hyperlink r:id="rId3116" ref="BU68"/>
    <hyperlink r:id="rId3117" ref="BW68"/>
    <hyperlink r:id="rId3118" ref="CA68"/>
    <hyperlink r:id="rId3119" ref="CN68"/>
    <hyperlink r:id="rId3120" ref="CO68"/>
    <hyperlink r:id="rId3121" ref="CW68"/>
    <hyperlink r:id="rId3122" ref="CX68"/>
    <hyperlink r:id="rId3123" ref="CY68"/>
    <hyperlink r:id="rId3124" ref="DC68"/>
    <hyperlink r:id="rId3125" ref="DG68"/>
    <hyperlink r:id="rId3126" ref="DN68"/>
    <hyperlink r:id="rId3127" ref="DR68"/>
    <hyperlink r:id="rId3128" ref="DU68"/>
    <hyperlink r:id="rId3129" ref="DW68"/>
    <hyperlink r:id="rId3130" ref="P69"/>
    <hyperlink r:id="rId3131" ref="U69"/>
    <hyperlink r:id="rId3132" ref="X69"/>
    <hyperlink r:id="rId3133" ref="AB69"/>
    <hyperlink r:id="rId3134" ref="AC69"/>
    <hyperlink r:id="rId3135" ref="AK69"/>
    <hyperlink r:id="rId3136" ref="AN69"/>
    <hyperlink r:id="rId3137" ref="AY69"/>
    <hyperlink r:id="rId3138" ref="BB69"/>
    <hyperlink r:id="rId3139" ref="BD69"/>
    <hyperlink r:id="rId3140" ref="BE69"/>
    <hyperlink r:id="rId3141" ref="BM69"/>
    <hyperlink r:id="rId3142" ref="BN69"/>
    <hyperlink r:id="rId3143" ref="BR69"/>
    <hyperlink r:id="rId3144" ref="BT69"/>
    <hyperlink r:id="rId3145" ref="CB69"/>
    <hyperlink r:id="rId3146" ref="CC69"/>
    <hyperlink r:id="rId3147" ref="CG69"/>
    <hyperlink r:id="rId3148" ref="CH69"/>
    <hyperlink r:id="rId3149" ref="CJ69"/>
    <hyperlink r:id="rId3150" ref="CN69"/>
    <hyperlink r:id="rId3151" ref="CY69"/>
    <hyperlink r:id="rId3152" ref="DE69"/>
    <hyperlink r:id="rId3153" ref="DG69"/>
    <hyperlink r:id="rId3154" ref="DM69"/>
    <hyperlink r:id="rId3155" ref="EC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H71"/>
    <hyperlink r:id="rId3186" ref="I71"/>
    <hyperlink r:id="rId3187" ref="J71"/>
    <hyperlink r:id="rId3188" ref="K71"/>
    <hyperlink r:id="rId3189" ref="L71"/>
    <hyperlink r:id="rId3190" ref="M71"/>
    <hyperlink r:id="rId3191" ref="N71"/>
    <hyperlink r:id="rId3192" ref="O71"/>
    <hyperlink r:id="rId3193" ref="P71"/>
    <hyperlink r:id="rId3194" ref="X71"/>
    <hyperlink r:id="rId3195" ref="Z71"/>
    <hyperlink r:id="rId3196" ref="AA71"/>
    <hyperlink r:id="rId3197" ref="AB71"/>
    <hyperlink r:id="rId3198" ref="AC71"/>
    <hyperlink r:id="rId3199" ref="AD71"/>
    <hyperlink r:id="rId3200" ref="AF71"/>
    <hyperlink r:id="rId3201" ref="AG71"/>
    <hyperlink r:id="rId3202" ref="AH71"/>
    <hyperlink r:id="rId3203" ref="AM71"/>
    <hyperlink r:id="rId3204" ref="AN71"/>
    <hyperlink r:id="rId3205" ref="AU71"/>
    <hyperlink r:id="rId3206" ref="AV71"/>
    <hyperlink r:id="rId3207" ref="BB71"/>
    <hyperlink r:id="rId3208" ref="BC71"/>
    <hyperlink r:id="rId3209" ref="BD71"/>
    <hyperlink r:id="rId3210" ref="BE71"/>
    <hyperlink r:id="rId3211" ref="BF71"/>
    <hyperlink r:id="rId3212" ref="BG71"/>
    <hyperlink r:id="rId3213" ref="BH71"/>
    <hyperlink r:id="rId3214" ref="BI71"/>
    <hyperlink r:id="rId3215" ref="BJ71"/>
    <hyperlink r:id="rId3216" ref="BK71"/>
    <hyperlink r:id="rId3217" ref="BL71"/>
    <hyperlink r:id="rId3218" ref="BM71"/>
    <hyperlink r:id="rId3219" ref="BN71"/>
    <hyperlink r:id="rId3220" ref="BO71"/>
    <hyperlink r:id="rId3221" ref="BR71"/>
    <hyperlink r:id="rId3222" ref="BS71"/>
    <hyperlink r:id="rId3223" ref="BT71"/>
    <hyperlink r:id="rId3224" ref="BU71"/>
    <hyperlink r:id="rId3225" ref="BV71"/>
    <hyperlink r:id="rId3226" ref="BW71"/>
    <hyperlink r:id="rId3227" ref="BX71"/>
    <hyperlink r:id="rId3228" ref="BY71"/>
    <hyperlink r:id="rId3229" ref="CA71"/>
    <hyperlink r:id="rId3230" ref="CD71"/>
    <hyperlink r:id="rId3231" ref="CG71"/>
    <hyperlink r:id="rId3232" ref="CH71"/>
    <hyperlink r:id="rId3233" ref="CI71"/>
    <hyperlink r:id="rId3234" ref="CJ71"/>
    <hyperlink r:id="rId3235" ref="CL71"/>
    <hyperlink r:id="rId3236" ref="CM71"/>
    <hyperlink r:id="rId3237" ref="CN71"/>
    <hyperlink r:id="rId3238" ref="CO71"/>
    <hyperlink r:id="rId3239" ref="CV71"/>
    <hyperlink r:id="rId3240" ref="CW71"/>
    <hyperlink r:id="rId3241" ref="CX71"/>
    <hyperlink r:id="rId3242" ref="CY71"/>
    <hyperlink r:id="rId3243" ref="CZ71"/>
    <hyperlink r:id="rId3244" ref="DA71"/>
    <hyperlink r:id="rId3245" ref="DB71"/>
    <hyperlink r:id="rId3246" ref="DC71"/>
    <hyperlink r:id="rId3247" ref="DF71"/>
    <hyperlink r:id="rId3248" ref="DM71"/>
    <hyperlink r:id="rId3249" ref="DN71"/>
    <hyperlink r:id="rId3250" ref="DR71"/>
    <hyperlink r:id="rId3251" ref="DS71"/>
    <hyperlink r:id="rId3252" ref="DW71"/>
    <hyperlink r:id="rId3253" ref="DZ71"/>
    <hyperlink r:id="rId3254" ref="EA71"/>
    <hyperlink r:id="rId3255" ref="I73"/>
    <hyperlink r:id="rId3256" ref="K73"/>
    <hyperlink r:id="rId3257" ref="N73"/>
    <hyperlink r:id="rId3258" ref="O73"/>
    <hyperlink r:id="rId3259" ref="X73"/>
    <hyperlink r:id="rId3260" ref="Y73"/>
    <hyperlink r:id="rId3261" ref="Z73"/>
    <hyperlink r:id="rId3262" ref="AA73"/>
    <hyperlink r:id="rId3263" ref="AB73"/>
    <hyperlink r:id="rId3264" ref="AC73"/>
    <hyperlink r:id="rId3265" ref="AD73"/>
    <hyperlink r:id="rId3266" ref="AF73"/>
    <hyperlink r:id="rId3267" ref="AG73"/>
    <hyperlink r:id="rId3268" ref="AH73"/>
    <hyperlink r:id="rId3269" ref="AK73"/>
    <hyperlink r:id="rId3270" ref="BD73"/>
    <hyperlink r:id="rId3271" ref="BE73"/>
    <hyperlink r:id="rId3272" ref="BG73"/>
    <hyperlink r:id="rId3273" ref="BI73"/>
    <hyperlink r:id="rId3274" ref="BT73"/>
    <hyperlink r:id="rId3275" ref="CG73"/>
    <hyperlink r:id="rId3276" ref="CH73"/>
    <hyperlink r:id="rId3277" ref="CI73"/>
    <hyperlink r:id="rId3278" ref="CX73"/>
    <hyperlink r:id="rId3279" ref="DA73"/>
    <hyperlink r:id="rId3280" ref="DB73"/>
    <hyperlink r:id="rId3281" ref="H75"/>
    <hyperlink r:id="rId3282" ref="Q75"/>
    <hyperlink r:id="rId3283" ref="V75"/>
    <hyperlink r:id="rId3284" ref="AC75"/>
    <hyperlink r:id="rId3285" ref="AK75"/>
    <hyperlink r:id="rId3286" ref="AO75"/>
    <hyperlink r:id="rId3287" ref="AR75"/>
    <hyperlink r:id="rId3288" ref="AV75"/>
    <hyperlink r:id="rId3289" ref="AW75"/>
    <hyperlink r:id="rId3290" ref="AZ75"/>
    <hyperlink r:id="rId3291" ref="BE75"/>
    <hyperlink r:id="rId3292" ref="BG75"/>
    <hyperlink r:id="rId3293" ref="BI75"/>
    <hyperlink r:id="rId3294" ref="BM75"/>
    <hyperlink r:id="rId3295" ref="BP75"/>
    <hyperlink r:id="rId3296" ref="CB75"/>
    <hyperlink r:id="rId3297" ref="CE75"/>
    <hyperlink r:id="rId3298" ref="CH75"/>
    <hyperlink r:id="rId3299" ref="CT75"/>
    <hyperlink r:id="rId3300" ref="DD75"/>
    <hyperlink r:id="rId3301" ref="DF75"/>
    <hyperlink r:id="rId3302" ref="DG75"/>
    <hyperlink r:id="rId3303" ref="DL75"/>
    <hyperlink r:id="rId3304" ref="DS75"/>
    <hyperlink r:id="rId3305" ref="DZ75"/>
    <hyperlink r:id="rId3306" ref="BX77"/>
    <hyperlink r:id="rId3307" ref="CJ77"/>
    <hyperlink r:id="rId3308" ref="BX79"/>
    <hyperlink r:id="rId3309" ref="H80"/>
    <hyperlink r:id="rId3310" ref="Q80"/>
    <hyperlink r:id="rId3311" ref="AD80"/>
    <hyperlink r:id="rId3312" ref="AF80"/>
    <hyperlink r:id="rId3313" ref="BD80"/>
    <hyperlink r:id="rId3314" ref="BR80"/>
    <hyperlink r:id="rId3315" ref="BU80"/>
    <hyperlink r:id="rId3316" ref="CN80"/>
    <hyperlink r:id="rId3317" ref="CT80"/>
    <hyperlink r:id="rId3318" ref="DG80"/>
    <hyperlink r:id="rId3319" ref="DM80"/>
    <hyperlink r:id="rId3320" ref="EB80"/>
    <hyperlink r:id="rId3321" ref="EC80"/>
    <hyperlink r:id="rId3322" ref="ED80"/>
    <hyperlink r:id="rId3323" ref="I81"/>
    <hyperlink r:id="rId3324" ref="L81"/>
    <hyperlink r:id="rId3325" ref="P81"/>
    <hyperlink r:id="rId3326" ref="X81"/>
    <hyperlink r:id="rId3327" ref="AA81"/>
    <hyperlink r:id="rId3328" ref="AC81"/>
    <hyperlink r:id="rId3329" ref="BE81"/>
    <hyperlink r:id="rId3330" ref="BU81"/>
    <hyperlink r:id="rId3331" ref="BW81"/>
    <hyperlink r:id="rId3332" ref="CN81"/>
    <hyperlink r:id="rId3333" ref="CO81"/>
    <hyperlink r:id="rId3334" ref="DB81"/>
    <hyperlink r:id="rId3335" ref="M82"/>
    <hyperlink r:id="rId3336" ref="BX82"/>
    <hyperlink r:id="rId3337" ref="H83"/>
    <hyperlink r:id="rId3338" ref="I83"/>
    <hyperlink r:id="rId3339" ref="K83"/>
    <hyperlink r:id="rId3340" ref="L83"/>
    <hyperlink r:id="rId3341" ref="M83"/>
    <hyperlink r:id="rId3342" ref="N83"/>
    <hyperlink r:id="rId3343" ref="O83"/>
    <hyperlink r:id="rId3344" ref="P83"/>
    <hyperlink r:id="rId3345" ref="Q83"/>
    <hyperlink r:id="rId3346" ref="X83"/>
    <hyperlink r:id="rId3347" ref="Z83"/>
    <hyperlink r:id="rId3348" ref="AA83"/>
    <hyperlink r:id="rId3349" ref="AD83"/>
    <hyperlink r:id="rId3350" ref="AE83"/>
    <hyperlink r:id="rId3351" ref="AF83"/>
    <hyperlink r:id="rId3352" ref="AG83"/>
    <hyperlink r:id="rId3353" ref="AU83"/>
    <hyperlink r:id="rId3354" ref="AV83"/>
    <hyperlink r:id="rId3355" ref="AW83"/>
    <hyperlink r:id="rId3356" ref="BB83"/>
    <hyperlink r:id="rId3357" ref="BC83"/>
    <hyperlink r:id="rId3358" ref="BD83"/>
    <hyperlink r:id="rId3359" ref="BE83"/>
    <hyperlink r:id="rId3360" ref="BI83"/>
    <hyperlink r:id="rId3361" ref="BL83"/>
    <hyperlink r:id="rId3362" ref="BO83"/>
    <hyperlink r:id="rId3363" ref="BT83"/>
    <hyperlink r:id="rId3364" ref="BU83"/>
    <hyperlink r:id="rId3365" ref="BV83"/>
    <hyperlink r:id="rId3366" ref="BW83"/>
    <hyperlink r:id="rId3367" ref="CA83"/>
    <hyperlink r:id="rId3368" ref="CB83"/>
    <hyperlink r:id="rId3369" ref="CC83"/>
    <hyperlink r:id="rId3370" ref="CH83"/>
    <hyperlink r:id="rId3371" ref="CI83"/>
    <hyperlink r:id="rId3372" ref="CL83"/>
    <hyperlink r:id="rId3373" ref="CM83"/>
    <hyperlink r:id="rId3374" ref="CN83"/>
    <hyperlink r:id="rId3375" ref="CO83"/>
    <hyperlink r:id="rId3376" ref="CW83"/>
    <hyperlink r:id="rId3377" ref="DB83"/>
    <hyperlink r:id="rId3378" ref="DL83"/>
    <hyperlink r:id="rId3379" ref="DM83"/>
    <hyperlink r:id="rId3380" ref="DR83"/>
    <hyperlink r:id="rId3381" ref="DS83"/>
    <hyperlink r:id="rId3382" ref="DT83"/>
    <hyperlink r:id="rId3383" ref="DW83"/>
    <hyperlink r:id="rId3384" ref="ED83"/>
    <hyperlink r:id="rId3385" ref="CI85"/>
    <hyperlink r:id="rId3386" ref="CY85"/>
    <hyperlink r:id="rId3387" ref="H88"/>
    <hyperlink r:id="rId3388" ref="K88"/>
    <hyperlink r:id="rId3389" ref="L88"/>
    <hyperlink r:id="rId3390" ref="M88"/>
    <hyperlink r:id="rId3391" ref="P88"/>
    <hyperlink r:id="rId3392" ref="Q88"/>
    <hyperlink r:id="rId3393" ref="R88"/>
    <hyperlink r:id="rId3394" ref="T88"/>
    <hyperlink r:id="rId3395" ref="V88"/>
    <hyperlink r:id="rId3396" ref="AA88"/>
    <hyperlink r:id="rId3397" ref="AD88"/>
    <hyperlink r:id="rId3398" ref="AF88"/>
    <hyperlink r:id="rId3399" ref="AG88"/>
    <hyperlink r:id="rId3400" ref="AH88"/>
    <hyperlink r:id="rId3401" ref="AI88"/>
    <hyperlink r:id="rId3402" ref="AJ88"/>
    <hyperlink r:id="rId3403" ref="AK88"/>
    <hyperlink r:id="rId3404" ref="AV88"/>
    <hyperlink r:id="rId3405" ref="AX88"/>
    <hyperlink r:id="rId3406" ref="AY88"/>
    <hyperlink r:id="rId3407" ref="BE88"/>
    <hyperlink r:id="rId3408" ref="BG88"/>
    <hyperlink r:id="rId3409" ref="BL88"/>
    <hyperlink r:id="rId3410" ref="BN88"/>
    <hyperlink r:id="rId3411" ref="BO88"/>
    <hyperlink r:id="rId3412" ref="BT88"/>
    <hyperlink r:id="rId3413" ref="CC88"/>
    <hyperlink r:id="rId3414" ref="CG88"/>
    <hyperlink r:id="rId3415" ref="CH88"/>
    <hyperlink r:id="rId3416" ref="CI88"/>
    <hyperlink r:id="rId3417" ref="CN88"/>
    <hyperlink r:id="rId3418" ref="CO88"/>
    <hyperlink r:id="rId3419" ref="CR88"/>
    <hyperlink r:id="rId3420" ref="CS88"/>
    <hyperlink r:id="rId3421" ref="CX88"/>
    <hyperlink r:id="rId3422" ref="CY88"/>
    <hyperlink r:id="rId3423" ref="DB88"/>
    <hyperlink r:id="rId3424" ref="DC88"/>
    <hyperlink r:id="rId3425" ref="DD88"/>
    <hyperlink r:id="rId3426" ref="DE88"/>
    <hyperlink r:id="rId3427" ref="DX88"/>
    <hyperlink r:id="rId3428" ref="BU89"/>
    <hyperlink r:id="rId3429" ref="BW89"/>
    <hyperlink r:id="rId3430" ref="CA89"/>
    <hyperlink r:id="rId3431" ref="P90"/>
    <hyperlink r:id="rId3432" ref="Q90"/>
    <hyperlink r:id="rId3433" ref="R90"/>
    <hyperlink r:id="rId3434" ref="S90"/>
    <hyperlink r:id="rId3435" ref="T90"/>
    <hyperlink r:id="rId3436" ref="U90"/>
    <hyperlink r:id="rId3437" ref="AG90"/>
    <hyperlink r:id="rId3438" ref="AI90"/>
    <hyperlink r:id="rId3439" ref="AJ90"/>
    <hyperlink r:id="rId3440" ref="AK90"/>
    <hyperlink r:id="rId3441" ref="AP90"/>
    <hyperlink r:id="rId3442" ref="AQ90"/>
    <hyperlink r:id="rId3443" ref="AR90"/>
    <hyperlink r:id="rId3444" ref="AT90"/>
    <hyperlink r:id="rId3445" ref="AU90"/>
    <hyperlink r:id="rId3446" ref="AV90"/>
    <hyperlink r:id="rId3447" ref="AX90"/>
    <hyperlink r:id="rId3448" ref="AY90"/>
    <hyperlink r:id="rId3449" ref="AZ90"/>
    <hyperlink r:id="rId3450" ref="BC90"/>
    <hyperlink r:id="rId3451" ref="BS90"/>
    <hyperlink r:id="rId3452" ref="BU90"/>
    <hyperlink r:id="rId3453" ref="CA90"/>
    <hyperlink r:id="rId3454" ref="CI90"/>
    <hyperlink r:id="rId3455" ref="CO90"/>
    <hyperlink r:id="rId3456" ref="CQ90"/>
    <hyperlink r:id="rId3457" ref="CR90"/>
    <hyperlink r:id="rId3458" ref="CX90"/>
    <hyperlink r:id="rId3459" ref="CZ90"/>
    <hyperlink r:id="rId3460" ref="DC90"/>
    <hyperlink r:id="rId3461" ref="DS90"/>
    <hyperlink r:id="rId3462" ref="ED90"/>
    <hyperlink r:id="rId3463" ref="I91"/>
    <hyperlink r:id="rId3464" ref="J91"/>
    <hyperlink r:id="rId3465" ref="K91"/>
    <hyperlink r:id="rId3466" ref="L91"/>
    <hyperlink r:id="rId3467" ref="M91"/>
    <hyperlink r:id="rId3468" ref="N91"/>
    <hyperlink r:id="rId3469" ref="O91"/>
    <hyperlink r:id="rId3470" ref="P91"/>
    <hyperlink r:id="rId3471" ref="X91"/>
    <hyperlink r:id="rId3472" ref="AA91"/>
    <hyperlink r:id="rId3473" ref="AB91"/>
    <hyperlink r:id="rId3474" ref="AC91"/>
    <hyperlink r:id="rId3475" ref="AD91"/>
    <hyperlink r:id="rId3476" ref="AG91"/>
    <hyperlink r:id="rId3477" ref="AU91"/>
    <hyperlink r:id="rId3478" ref="AV91"/>
    <hyperlink r:id="rId3479" ref="BC91"/>
    <hyperlink r:id="rId3480" ref="BD91"/>
    <hyperlink r:id="rId3481" ref="BE91"/>
    <hyperlink r:id="rId3482" ref="BF91"/>
    <hyperlink r:id="rId3483" ref="BI91"/>
    <hyperlink r:id="rId3484" ref="BK91"/>
    <hyperlink r:id="rId3485" ref="BL91"/>
    <hyperlink r:id="rId3486" ref="BR91"/>
    <hyperlink r:id="rId3487" ref="BS91"/>
    <hyperlink r:id="rId3488" ref="BT91"/>
    <hyperlink r:id="rId3489" ref="BU91"/>
    <hyperlink r:id="rId3490" ref="BW91"/>
    <hyperlink r:id="rId3491" ref="BZ91"/>
    <hyperlink r:id="rId3492" ref="CA91"/>
    <hyperlink r:id="rId3493" ref="CH91"/>
    <hyperlink r:id="rId3494" ref="CN91"/>
    <hyperlink r:id="rId3495" ref="CO91"/>
    <hyperlink r:id="rId3496" ref="CV91"/>
    <hyperlink r:id="rId3497" ref="CX91"/>
    <hyperlink r:id="rId3498" ref="CY91"/>
    <hyperlink r:id="rId3499" ref="CZ91"/>
    <hyperlink r:id="rId3500" ref="DB91"/>
    <hyperlink r:id="rId3501" ref="DC91"/>
    <hyperlink r:id="rId3502" ref="DI91"/>
    <hyperlink r:id="rId3503" ref="DM91"/>
    <hyperlink r:id="rId3504" ref="DR91"/>
    <hyperlink r:id="rId3505" ref="DS91"/>
    <hyperlink r:id="rId3506" ref="EB91"/>
    <hyperlink r:id="rId3507" ref="ED91"/>
    <hyperlink r:id="rId3508" ref="AJ92"/>
    <hyperlink r:id="rId3509" ref="AV92"/>
    <hyperlink r:id="rId3510" ref="CE92"/>
    <hyperlink r:id="rId3511" ref="CT92"/>
    <hyperlink r:id="rId3512" ref="CW92"/>
    <hyperlink r:id="rId3513" ref="DD92"/>
    <hyperlink r:id="rId3514" ref="DO92"/>
    <hyperlink r:id="rId3515" ref="J93"/>
    <hyperlink r:id="rId3516" ref="K93"/>
    <hyperlink r:id="rId3517" ref="AN93"/>
    <hyperlink r:id="rId3518" ref="BR93"/>
    <hyperlink r:id="rId3519" ref="BS93"/>
    <hyperlink r:id="rId3520" ref="BT93"/>
    <hyperlink r:id="rId3521" ref="BU93"/>
    <hyperlink r:id="rId3522" ref="BV93"/>
    <hyperlink r:id="rId3523" ref="BW93"/>
    <hyperlink r:id="rId3524" ref="BX93"/>
    <hyperlink r:id="rId3525" ref="CA93"/>
    <hyperlink r:id="rId3526" ref="CB93"/>
    <hyperlink r:id="rId3527" ref="CC93"/>
    <hyperlink r:id="rId3528" ref="P94"/>
    <hyperlink r:id="rId3529" ref="AA94"/>
    <hyperlink r:id="rId3530" ref="AB94"/>
    <hyperlink r:id="rId3531" ref="AC94"/>
    <hyperlink r:id="rId3532" ref="AG94"/>
    <hyperlink r:id="rId3533" ref="AY94"/>
    <hyperlink r:id="rId3534" ref="BE94"/>
    <hyperlink r:id="rId3535" ref="BT94"/>
    <hyperlink r:id="rId3536" ref="CA94"/>
    <hyperlink r:id="rId3537" ref="CB94"/>
    <hyperlink r:id="rId3538" ref="CD94"/>
    <hyperlink r:id="rId3539" ref="CH94"/>
    <hyperlink r:id="rId3540" ref="CO94"/>
    <hyperlink r:id="rId3541" ref="DG94"/>
    <hyperlink r:id="rId3542" ref="I95"/>
    <hyperlink r:id="rId3543" ref="J95"/>
    <hyperlink r:id="rId3544" ref="K95"/>
    <hyperlink r:id="rId3545" ref="L95"/>
    <hyperlink r:id="rId3546" ref="M95"/>
    <hyperlink r:id="rId3547" ref="N95"/>
    <hyperlink r:id="rId3548" ref="O95"/>
    <hyperlink r:id="rId3549" ref="P95"/>
    <hyperlink r:id="rId3550" ref="Q95"/>
    <hyperlink r:id="rId3551" ref="S95"/>
    <hyperlink r:id="rId3552" ref="T95"/>
    <hyperlink r:id="rId3553" ref="X95"/>
    <hyperlink r:id="rId3554" ref="AA95"/>
    <hyperlink r:id="rId3555" ref="AC95"/>
    <hyperlink r:id="rId3556" ref="AF95"/>
    <hyperlink r:id="rId3557" ref="AG95"/>
    <hyperlink r:id="rId3558" ref="AU95"/>
    <hyperlink r:id="rId3559" ref="AV95"/>
    <hyperlink r:id="rId3560" ref="AW95"/>
    <hyperlink r:id="rId3561" ref="AY95"/>
    <hyperlink r:id="rId3562" ref="BE95"/>
    <hyperlink r:id="rId3563" ref="BF95"/>
    <hyperlink r:id="rId3564" ref="BI95"/>
    <hyperlink r:id="rId3565" ref="BK95"/>
    <hyperlink r:id="rId3566" ref="BL95"/>
    <hyperlink r:id="rId3567" ref="BN95"/>
    <hyperlink r:id="rId3568" ref="BR95"/>
    <hyperlink r:id="rId3569" ref="BU95"/>
    <hyperlink r:id="rId3570" ref="CA95"/>
    <hyperlink r:id="rId3571" ref="CB95"/>
    <hyperlink r:id="rId3572" ref="CD95"/>
    <hyperlink r:id="rId3573" ref="CG95"/>
    <hyperlink r:id="rId3574" ref="CH95"/>
    <hyperlink r:id="rId3575" ref="CJ95"/>
    <hyperlink r:id="rId3576" ref="CL95"/>
    <hyperlink r:id="rId3577" ref="CM95"/>
    <hyperlink r:id="rId3578" ref="CO95"/>
    <hyperlink r:id="rId3579" ref="CS95"/>
    <hyperlink r:id="rId3580" ref="CY95"/>
    <hyperlink r:id="rId3581" ref="DC95"/>
    <hyperlink r:id="rId3582" ref="DF95"/>
    <hyperlink r:id="rId3583" ref="DO95"/>
    <hyperlink r:id="rId3584" ref="EA95"/>
    <hyperlink r:id="rId3585" ref="K96"/>
    <hyperlink r:id="rId3586" ref="M96"/>
    <hyperlink r:id="rId3587" ref="AG96"/>
    <hyperlink r:id="rId3588" ref="BR96"/>
    <hyperlink r:id="rId3589" ref="CG96"/>
    <hyperlink r:id="rId3590" ref="CJ96"/>
    <hyperlink r:id="rId3591" ref="CP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Z102"/>
    <hyperlink r:id="rId3673" ref="AF102"/>
    <hyperlink r:id="rId3674" ref="CN102"/>
    <hyperlink r:id="rId3675" ref="DM102"/>
    <hyperlink r:id="rId3676" ref="AC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J110"/>
    <hyperlink r:id="rId3689" ref="S110"/>
    <hyperlink r:id="rId3690" ref="AY110"/>
    <hyperlink r:id="rId3691" ref="BV110"/>
    <hyperlink r:id="rId3692" ref="CJ110"/>
    <hyperlink r:id="rId3693" ref="CV110"/>
    <hyperlink r:id="rId3694" ref="H112"/>
    <hyperlink r:id="rId3695" ref="I112"/>
    <hyperlink r:id="rId3696" ref="J112"/>
    <hyperlink r:id="rId3697" ref="K112"/>
    <hyperlink r:id="rId3698" ref="L112"/>
    <hyperlink r:id="rId3699" ref="P112"/>
    <hyperlink r:id="rId3700" ref="U112"/>
    <hyperlink r:id="rId3701" ref="AA112"/>
    <hyperlink r:id="rId3702" ref="AC112"/>
    <hyperlink r:id="rId3703" ref="AJ112"/>
    <hyperlink r:id="rId3704" ref="AS112"/>
    <hyperlink r:id="rId3705" ref="AW112"/>
    <hyperlink r:id="rId3706" ref="BD112"/>
    <hyperlink r:id="rId3707" ref="BN112"/>
    <hyperlink r:id="rId3708" ref="BO112"/>
    <hyperlink r:id="rId3709" ref="CC112"/>
    <hyperlink r:id="rId3710" ref="CD112"/>
    <hyperlink r:id="rId3711" ref="CS112"/>
    <hyperlink r:id="rId3712" ref="CW112"/>
    <hyperlink r:id="rId3713" ref="DE112"/>
    <hyperlink r:id="rId3714" ref="DP112"/>
    <hyperlink r:id="rId3715" ref="DW112"/>
    <hyperlink r:id="rId3716" ref="J113"/>
    <hyperlink r:id="rId3717" ref="K115"/>
    <hyperlink r:id="rId3718" ref="X115"/>
    <hyperlink r:id="rId3719" ref="BW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1"/>
    <hyperlink r:id="rId3862" ref="K132"/>
    <hyperlink r:id="rId3863" ref="O132"/>
    <hyperlink r:id="rId3864" ref="P132"/>
    <hyperlink r:id="rId3865" ref="Z132"/>
    <hyperlink r:id="rId3866" ref="AA132"/>
    <hyperlink r:id="rId3867" ref="AC132"/>
    <hyperlink r:id="rId3868" ref="BW132"/>
    <hyperlink r:id="rId3869" ref="CO132"/>
    <hyperlink r:id="rId3870" ref="CX132"/>
    <hyperlink r:id="rId3871" ref="DB132"/>
    <hyperlink r:id="rId3872" ref="H135"/>
    <hyperlink r:id="rId3873" ref="I135"/>
    <hyperlink r:id="rId3874" ref="J135"/>
    <hyperlink r:id="rId3875" ref="L135"/>
    <hyperlink r:id="rId3876" ref="M135"/>
    <hyperlink r:id="rId3877" ref="P135"/>
    <hyperlink r:id="rId3878" ref="X135"/>
    <hyperlink r:id="rId3879" ref="Z135"/>
    <hyperlink r:id="rId3880" ref="AA135"/>
    <hyperlink r:id="rId3881" ref="AF135"/>
    <hyperlink r:id="rId3882" ref="BF135"/>
    <hyperlink r:id="rId3883" ref="BR135"/>
    <hyperlink r:id="rId3884" ref="BT135"/>
    <hyperlink r:id="rId3885" ref="CA135"/>
    <hyperlink r:id="rId3886" ref="CG135"/>
    <hyperlink r:id="rId3887" ref="CH135"/>
    <hyperlink r:id="rId3888" ref="CJ135"/>
    <hyperlink r:id="rId3889" ref="CM135"/>
    <hyperlink r:id="rId3890" ref="CN135"/>
    <hyperlink r:id="rId3891" ref="DB135"/>
    <hyperlink r:id="rId3892" ref="DI135"/>
    <hyperlink r:id="rId3893" ref="DM135"/>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K183"/>
    <hyperlink r:id="rId4067" ref="S183"/>
    <hyperlink r:id="rId4068" ref="Z183"/>
    <hyperlink r:id="rId4069" ref="AC183"/>
    <hyperlink r:id="rId4070" ref="AE183"/>
    <hyperlink r:id="rId4071" ref="AF183"/>
    <hyperlink r:id="rId4072" ref="AJ183"/>
    <hyperlink r:id="rId4073" ref="AN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1549</v>
      </c>
      <c r="B4" s="785" t="s">
        <v>6702</v>
      </c>
      <c r="C4" s="786" t="s">
        <v>3872</v>
      </c>
      <c r="D4" s="787" t="s">
        <v>1055</v>
      </c>
      <c r="E4" s="788" t="s">
        <v>334</v>
      </c>
      <c r="F4" s="789" t="s">
        <v>2651</v>
      </c>
      <c r="G4" s="785" t="s">
        <v>6703</v>
      </c>
      <c r="H4" s="790" t="s">
        <v>1295</v>
      </c>
      <c r="I4" s="791" t="s">
        <v>6704</v>
      </c>
      <c r="J4" s="792" t="s">
        <v>6705</v>
      </c>
      <c r="K4" s="793" t="s">
        <v>6706</v>
      </c>
      <c r="L4" s="791" t="s">
        <v>6707</v>
      </c>
      <c r="M4" s="334"/>
      <c r="N4" s="794" t="s">
        <v>6708</v>
      </c>
      <c r="O4" s="794" t="s">
        <v>6709</v>
      </c>
      <c r="P4" s="795"/>
      <c r="Q4" s="794" t="s">
        <v>6710</v>
      </c>
      <c r="R4" s="796" t="s">
        <v>3180</v>
      </c>
      <c r="S4" s="797" t="s">
        <v>5962</v>
      </c>
      <c r="T4" s="791" t="s">
        <v>5460</v>
      </c>
      <c r="U4" s="791" t="s">
        <v>6711</v>
      </c>
      <c r="V4" s="794" t="s">
        <v>6712</v>
      </c>
      <c r="W4" s="795"/>
      <c r="X4" s="791" t="s">
        <v>912</v>
      </c>
      <c r="Y4" s="792" t="s">
        <v>6713</v>
      </c>
      <c r="Z4" s="790" t="s">
        <v>6714</v>
      </c>
      <c r="AA4" s="798" t="s">
        <v>6715</v>
      </c>
      <c r="AB4" s="793" t="s">
        <v>6716</v>
      </c>
      <c r="AC4" s="794" t="s">
        <v>6717</v>
      </c>
      <c r="AD4" s="791" t="s">
        <v>4970</v>
      </c>
      <c r="AE4" s="793" t="s">
        <v>6718</v>
      </c>
      <c r="AF4" s="793"/>
      <c r="AG4" s="794" t="s">
        <v>6719</v>
      </c>
      <c r="AH4" s="799" t="s">
        <v>6720</v>
      </c>
      <c r="AI4" s="795"/>
      <c r="AJ4" s="793"/>
      <c r="AK4" s="793" t="s">
        <v>6721</v>
      </c>
      <c r="AL4" s="793" t="s">
        <v>5610</v>
      </c>
      <c r="AM4" s="794" t="s">
        <v>6722</v>
      </c>
      <c r="AN4" s="790" t="s">
        <v>6723</v>
      </c>
      <c r="AO4" s="334"/>
      <c r="AP4" s="790" t="s">
        <v>6724</v>
      </c>
      <c r="AQ4" s="791" t="s">
        <v>5095</v>
      </c>
      <c r="AR4" s="793" t="s">
        <v>6725</v>
      </c>
      <c r="AS4" s="796" t="s">
        <v>6726</v>
      </c>
      <c r="AT4" s="334"/>
      <c r="AU4" s="793" t="s">
        <v>6727</v>
      </c>
      <c r="AV4" s="334"/>
      <c r="AW4" s="792" t="s">
        <v>6728</v>
      </c>
      <c r="AX4" s="790" t="s">
        <v>6729</v>
      </c>
      <c r="AY4" s="790" t="s">
        <v>6730</v>
      </c>
      <c r="AZ4" s="800"/>
      <c r="BA4" s="794" t="s">
        <v>6731</v>
      </c>
      <c r="BB4" s="790" t="s">
        <v>6732</v>
      </c>
      <c r="BC4" s="801" t="s">
        <v>3557</v>
      </c>
      <c r="BD4" s="797"/>
      <c r="BE4" s="796" t="s">
        <v>6733</v>
      </c>
      <c r="BF4" s="800"/>
      <c r="BG4" s="790" t="s">
        <v>3237</v>
      </c>
      <c r="BH4" s="790" t="s">
        <v>6734</v>
      </c>
      <c r="BI4" s="793" t="s">
        <v>771</v>
      </c>
      <c r="BJ4" s="334"/>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2685</v>
      </c>
      <c r="CA4" s="334"/>
      <c r="CB4" s="791" t="s">
        <v>2405</v>
      </c>
      <c r="CC4" s="793"/>
      <c r="CD4" s="793" t="s">
        <v>2953</v>
      </c>
      <c r="CE4" s="794" t="s">
        <v>6746</v>
      </c>
      <c r="CF4" s="794" t="s">
        <v>6747</v>
      </c>
      <c r="CG4" s="794" t="s">
        <v>6748</v>
      </c>
      <c r="CH4" s="792" t="s">
        <v>6749</v>
      </c>
      <c r="CI4" s="794" t="s">
        <v>3645</v>
      </c>
      <c r="CJ4" s="794" t="s">
        <v>5073</v>
      </c>
      <c r="CK4" s="802"/>
    </row>
    <row r="5">
      <c r="A5" s="803" t="s">
        <v>6750</v>
      </c>
      <c r="B5" s="804" t="s">
        <v>6751</v>
      </c>
      <c r="C5" s="805" t="s">
        <v>4116</v>
      </c>
      <c r="D5" s="806" t="s">
        <v>438</v>
      </c>
      <c r="E5" s="807" t="s">
        <v>650</v>
      </c>
      <c r="F5" s="808" t="s">
        <v>1498</v>
      </c>
      <c r="G5" s="809" t="s">
        <v>2546</v>
      </c>
      <c r="H5" s="810" t="s">
        <v>2995</v>
      </c>
      <c r="I5" s="811"/>
      <c r="J5" s="810" t="s">
        <v>2029</v>
      </c>
      <c r="K5" s="812" t="s">
        <v>6752</v>
      </c>
      <c r="L5" s="812" t="s">
        <v>6753</v>
      </c>
      <c r="M5" s="813" t="s">
        <v>3226</v>
      </c>
      <c r="N5" s="811"/>
      <c r="O5" s="814" t="s">
        <v>6754</v>
      </c>
      <c r="P5" s="815"/>
      <c r="Q5" s="816" t="s">
        <v>6755</v>
      </c>
      <c r="R5" s="817" t="s">
        <v>1736</v>
      </c>
      <c r="S5" s="818" t="s">
        <v>5100</v>
      </c>
      <c r="T5" s="818" t="s">
        <v>5686</v>
      </c>
      <c r="U5" s="818"/>
      <c r="V5" s="816" t="s">
        <v>6756</v>
      </c>
      <c r="W5" s="815"/>
      <c r="X5" s="819" t="s">
        <v>2381</v>
      </c>
      <c r="Y5" s="820" t="s">
        <v>6757</v>
      </c>
      <c r="Z5" s="821" t="s">
        <v>6758</v>
      </c>
      <c r="AA5" s="822" t="s">
        <v>6759</v>
      </c>
      <c r="AB5" s="822" t="s">
        <v>6760</v>
      </c>
      <c r="AC5" s="820" t="s">
        <v>749</v>
      </c>
      <c r="AD5" s="823" t="s">
        <v>4273</v>
      </c>
      <c r="AE5" s="823" t="s">
        <v>2530</v>
      </c>
      <c r="AF5" s="824"/>
      <c r="AG5" s="822" t="s">
        <v>6761</v>
      </c>
      <c r="AH5" s="825"/>
      <c r="AI5" s="826"/>
      <c r="AJ5" s="827"/>
      <c r="AK5" s="828"/>
      <c r="AL5" s="828"/>
      <c r="AM5" s="829" t="s">
        <v>4235</v>
      </c>
      <c r="AN5" s="827"/>
      <c r="AO5" s="828"/>
      <c r="AP5" s="829" t="s">
        <v>908</v>
      </c>
      <c r="AQ5" s="827" t="s">
        <v>6762</v>
      </c>
      <c r="AR5" s="828"/>
      <c r="AS5" s="828"/>
      <c r="AT5" s="828"/>
      <c r="AU5" s="828"/>
      <c r="AV5" s="828"/>
      <c r="AW5" s="830" t="s">
        <v>4749</v>
      </c>
      <c r="AX5" s="829" t="s">
        <v>6763</v>
      </c>
      <c r="AY5" s="829" t="s">
        <v>1677</v>
      </c>
      <c r="AZ5" s="831"/>
      <c r="BA5" s="832" t="s">
        <v>6764</v>
      </c>
      <c r="BB5" s="833" t="s">
        <v>6765</v>
      </c>
      <c r="BC5" s="834" t="s">
        <v>294</v>
      </c>
      <c r="BD5" s="832" t="s">
        <v>4279</v>
      </c>
      <c r="BE5" s="832" t="s">
        <v>6766</v>
      </c>
      <c r="BF5" s="831"/>
      <c r="BG5" s="835" t="s">
        <v>6767</v>
      </c>
      <c r="BH5" s="836" t="s">
        <v>697</v>
      </c>
      <c r="BI5" s="837" t="s">
        <v>6768</v>
      </c>
      <c r="BJ5" s="838" t="s">
        <v>6769</v>
      </c>
      <c r="BK5" s="835" t="s">
        <v>6770</v>
      </c>
      <c r="BL5" s="839"/>
      <c r="BM5" s="840" t="s">
        <v>6771</v>
      </c>
      <c r="BN5" s="826"/>
      <c r="BO5" s="841" t="s">
        <v>6772</v>
      </c>
      <c r="BP5" s="842"/>
      <c r="BQ5" s="843" t="s">
        <v>6773</v>
      </c>
      <c r="BR5" s="841" t="s">
        <v>6774</v>
      </c>
      <c r="BS5" s="844"/>
      <c r="BT5" s="843" t="s">
        <v>1033</v>
      </c>
      <c r="BU5" s="841" t="s">
        <v>6444</v>
      </c>
      <c r="BV5" s="845"/>
      <c r="BW5" s="841" t="s">
        <v>6775</v>
      </c>
      <c r="BX5" s="815"/>
      <c r="BY5" s="846" t="s">
        <v>3392</v>
      </c>
      <c r="BZ5" s="847" t="s">
        <v>6180</v>
      </c>
      <c r="CA5" s="816" t="s">
        <v>6776</v>
      </c>
      <c r="CB5" s="848"/>
      <c r="CC5" s="849"/>
      <c r="CD5" s="816" t="s">
        <v>6777</v>
      </c>
      <c r="CE5" s="850" t="s">
        <v>6778</v>
      </c>
      <c r="CF5" s="816" t="s">
        <v>1590</v>
      </c>
      <c r="CG5" s="817" t="s">
        <v>5131</v>
      </c>
      <c r="CH5" s="851" t="s">
        <v>6779</v>
      </c>
      <c r="CI5" s="816" t="s">
        <v>1089</v>
      </c>
      <c r="CJ5" s="816" t="s">
        <v>2216</v>
      </c>
      <c r="CK5" s="816" t="s">
        <v>3876</v>
      </c>
    </row>
    <row r="6">
      <c r="A6" s="852" t="s">
        <v>6780</v>
      </c>
      <c r="B6" s="809" t="s">
        <v>6781</v>
      </c>
      <c r="C6" s="805" t="s">
        <v>438</v>
      </c>
      <c r="D6" s="806" t="s">
        <v>650</v>
      </c>
      <c r="E6" s="807" t="s">
        <v>650</v>
      </c>
      <c r="F6" s="808" t="s">
        <v>2871</v>
      </c>
      <c r="G6" s="809" t="s">
        <v>4685</v>
      </c>
      <c r="H6" s="853"/>
      <c r="I6" s="854" t="s">
        <v>1261</v>
      </c>
      <c r="J6" s="854"/>
      <c r="K6" s="855" t="s">
        <v>6782</v>
      </c>
      <c r="L6" s="854" t="s">
        <v>6783</v>
      </c>
      <c r="M6" s="853"/>
      <c r="N6" s="853"/>
      <c r="O6" s="856" t="s">
        <v>6784</v>
      </c>
      <c r="P6" s="831"/>
      <c r="Q6" s="857" t="s">
        <v>6785</v>
      </c>
      <c r="R6" s="858"/>
      <c r="S6" s="858"/>
      <c r="T6" s="859" t="s">
        <v>6786</v>
      </c>
      <c r="U6" s="860"/>
      <c r="V6" s="861" t="s">
        <v>6787</v>
      </c>
      <c r="W6" s="831"/>
      <c r="X6" s="862" t="s">
        <v>141</v>
      </c>
      <c r="Y6" s="862" t="s">
        <v>6788</v>
      </c>
      <c r="Z6" s="863" t="s">
        <v>4449</v>
      </c>
      <c r="AA6" s="823" t="s">
        <v>5683</v>
      </c>
      <c r="AB6" s="820" t="s">
        <v>793</v>
      </c>
      <c r="AC6" s="823" t="s">
        <v>2979</v>
      </c>
      <c r="AD6" s="864" t="s">
        <v>1217</v>
      </c>
      <c r="AE6" s="823" t="s">
        <v>2676</v>
      </c>
      <c r="AF6" s="824"/>
      <c r="AG6" s="820" t="s">
        <v>6789</v>
      </c>
      <c r="AH6" s="825"/>
      <c r="AI6" s="831"/>
      <c r="AJ6" s="865"/>
      <c r="AK6" s="865" t="s">
        <v>4077</v>
      </c>
      <c r="AL6" s="866"/>
      <c r="AM6" s="865" t="s">
        <v>4642</v>
      </c>
      <c r="AN6" s="865"/>
      <c r="AO6" s="867" t="s">
        <v>2388</v>
      </c>
      <c r="AP6" s="866"/>
      <c r="AQ6" s="868" t="s">
        <v>6790</v>
      </c>
      <c r="AR6" s="865" t="s">
        <v>6791</v>
      </c>
      <c r="AS6" s="865" t="s">
        <v>6792</v>
      </c>
      <c r="AT6" s="866"/>
      <c r="AU6" s="866"/>
      <c r="AV6" s="866"/>
      <c r="AW6" s="869" t="s">
        <v>4236</v>
      </c>
      <c r="AX6" s="870" t="s">
        <v>3763</v>
      </c>
      <c r="AY6" s="865" t="s">
        <v>6793</v>
      </c>
      <c r="AZ6" s="831"/>
      <c r="BA6" s="871"/>
      <c r="BB6" s="872" t="s">
        <v>6794</v>
      </c>
      <c r="BC6" s="873" t="s">
        <v>6795</v>
      </c>
      <c r="BD6" s="871"/>
      <c r="BE6" s="873" t="s">
        <v>6796</v>
      </c>
      <c r="BF6" s="831"/>
      <c r="BG6" s="874" t="s">
        <v>6797</v>
      </c>
      <c r="BH6" s="875" t="s">
        <v>1940</v>
      </c>
      <c r="BI6" s="875"/>
      <c r="BJ6" s="875"/>
      <c r="BK6" s="876" t="s">
        <v>2048</v>
      </c>
      <c r="BL6" s="877"/>
      <c r="BM6" s="875" t="s">
        <v>6798</v>
      </c>
      <c r="BN6" s="831"/>
      <c r="BO6" s="878" t="s">
        <v>5048</v>
      </c>
      <c r="BP6" s="879"/>
      <c r="BQ6" s="879"/>
      <c r="BR6" s="880" t="s">
        <v>6799</v>
      </c>
      <c r="BS6" s="879"/>
      <c r="BT6" s="881" t="s">
        <v>1615</v>
      </c>
      <c r="BU6" s="879"/>
      <c r="BV6" s="882" t="s">
        <v>3863</v>
      </c>
      <c r="BW6" s="881" t="s">
        <v>6146</v>
      </c>
      <c r="BX6" s="831"/>
      <c r="BY6" s="883" t="s">
        <v>2810</v>
      </c>
      <c r="BZ6" s="884" t="s">
        <v>4213</v>
      </c>
      <c r="CA6" s="885"/>
      <c r="CB6" s="885"/>
      <c r="CC6" s="885"/>
      <c r="CD6" s="884" t="s">
        <v>1397</v>
      </c>
      <c r="CE6" s="886" t="s">
        <v>4743</v>
      </c>
      <c r="CF6" s="884" t="s">
        <v>6800</v>
      </c>
      <c r="CG6" s="885"/>
      <c r="CH6" s="885"/>
      <c r="CI6" s="885"/>
      <c r="CJ6" s="885"/>
      <c r="CK6" s="885"/>
    </row>
    <row r="7">
      <c r="A7" s="887" t="s">
        <v>436</v>
      </c>
      <c r="B7" s="809" t="s">
        <v>6801</v>
      </c>
      <c r="C7" s="805" t="s">
        <v>438</v>
      </c>
      <c r="D7" s="806" t="s">
        <v>3872</v>
      </c>
      <c r="E7" s="807" t="s">
        <v>650</v>
      </c>
      <c r="F7" s="808" t="s">
        <v>4055</v>
      </c>
      <c r="G7" s="809" t="s">
        <v>1498</v>
      </c>
      <c r="H7" s="855" t="s">
        <v>1605</v>
      </c>
      <c r="I7" s="888" t="s">
        <v>3118</v>
      </c>
      <c r="J7" s="856" t="s">
        <v>6802</v>
      </c>
      <c r="K7" s="889" t="s">
        <v>5979</v>
      </c>
      <c r="L7" s="855" t="s">
        <v>5537</v>
      </c>
      <c r="M7" s="853"/>
      <c r="N7" s="853"/>
      <c r="O7" s="890" t="s">
        <v>6803</v>
      </c>
      <c r="P7" s="815"/>
      <c r="Q7" s="861" t="s">
        <v>6804</v>
      </c>
      <c r="R7" s="861" t="s">
        <v>2811</v>
      </c>
      <c r="S7" s="858"/>
      <c r="T7" s="891" t="s">
        <v>233</v>
      </c>
      <c r="U7" s="892"/>
      <c r="V7" s="859" t="s">
        <v>6805</v>
      </c>
      <c r="W7" s="815"/>
      <c r="X7" s="823" t="s">
        <v>148</v>
      </c>
      <c r="Y7" s="823" t="s">
        <v>6806</v>
      </c>
      <c r="Z7" s="823" t="s">
        <v>2599</v>
      </c>
      <c r="AA7" s="893" t="s">
        <v>6807</v>
      </c>
      <c r="AB7" s="862" t="s">
        <v>1276</v>
      </c>
      <c r="AC7" s="893" t="s">
        <v>1318</v>
      </c>
      <c r="AD7" s="864" t="s">
        <v>1217</v>
      </c>
      <c r="AE7" s="864" t="s">
        <v>6808</v>
      </c>
      <c r="AF7" s="894"/>
      <c r="AG7" s="895" t="s">
        <v>6809</v>
      </c>
      <c r="AH7" s="825"/>
      <c r="AI7" s="826"/>
      <c r="AJ7" s="865"/>
      <c r="AK7" s="865" t="s">
        <v>6810</v>
      </c>
      <c r="AL7" s="866"/>
      <c r="AM7" s="896" t="s">
        <v>3278</v>
      </c>
      <c r="AN7" s="897" t="s">
        <v>3546</v>
      </c>
      <c r="AO7" s="865" t="s">
        <v>6811</v>
      </c>
      <c r="AP7" s="896" t="s">
        <v>2467</v>
      </c>
      <c r="AQ7" s="898" t="s">
        <v>6812</v>
      </c>
      <c r="AR7" s="865" t="s">
        <v>6813</v>
      </c>
      <c r="AS7" s="866"/>
      <c r="AT7" s="867" t="s">
        <v>4905</v>
      </c>
      <c r="AU7" s="866"/>
      <c r="AV7" s="866"/>
      <c r="AW7" s="870" t="s">
        <v>5065</v>
      </c>
      <c r="AX7" s="870" t="s">
        <v>1303</v>
      </c>
      <c r="AY7" s="866"/>
      <c r="AZ7" s="831"/>
      <c r="BA7" s="899"/>
      <c r="BB7" s="873" t="s">
        <v>6814</v>
      </c>
      <c r="BC7" s="872" t="s">
        <v>6171</v>
      </c>
      <c r="BD7" s="899"/>
      <c r="BE7" s="900" t="s">
        <v>6815</v>
      </c>
      <c r="BF7" s="831"/>
      <c r="BG7" s="874" t="s">
        <v>3237</v>
      </c>
      <c r="BH7" s="874" t="s">
        <v>1305</v>
      </c>
      <c r="BI7" s="901" t="s">
        <v>5807</v>
      </c>
      <c r="BJ7" s="902"/>
      <c r="BK7" s="874" t="s">
        <v>6816</v>
      </c>
      <c r="BL7" s="877"/>
      <c r="BM7" s="875" t="s">
        <v>6817</v>
      </c>
      <c r="BN7" s="815"/>
      <c r="BO7" s="881" t="s">
        <v>6818</v>
      </c>
      <c r="BP7" s="880"/>
      <c r="BQ7" s="903" t="s">
        <v>1680</v>
      </c>
      <c r="BR7" s="880" t="s">
        <v>6819</v>
      </c>
      <c r="BS7" s="879"/>
      <c r="BT7" s="903" t="s">
        <v>1833</v>
      </c>
      <c r="BU7" s="879"/>
      <c r="BV7" s="880" t="s">
        <v>5936</v>
      </c>
      <c r="BW7" s="880" t="s">
        <v>2133</v>
      </c>
      <c r="BX7" s="815"/>
      <c r="BY7" s="904" t="s">
        <v>302</v>
      </c>
      <c r="BZ7" s="884" t="s">
        <v>3541</v>
      </c>
      <c r="CA7" s="885"/>
      <c r="CB7" s="905"/>
      <c r="CC7" s="885"/>
      <c r="CD7" s="885"/>
      <c r="CE7" s="885"/>
      <c r="CF7" s="885"/>
      <c r="CG7" s="885"/>
      <c r="CH7" s="885"/>
      <c r="CI7" s="885"/>
      <c r="CJ7" s="905"/>
      <c r="CK7" s="905"/>
    </row>
    <row r="8">
      <c r="A8" s="906" t="s">
        <v>6820</v>
      </c>
      <c r="B8" s="785" t="s">
        <v>6821</v>
      </c>
      <c r="C8" s="805" t="s">
        <v>332</v>
      </c>
      <c r="D8" s="806" t="s">
        <v>334</v>
      </c>
      <c r="E8" s="807" t="s">
        <v>333</v>
      </c>
      <c r="F8" s="808" t="s">
        <v>3494</v>
      </c>
      <c r="G8" s="809" t="s">
        <v>3873</v>
      </c>
      <c r="H8" s="890" t="s">
        <v>6822</v>
      </c>
      <c r="I8" s="855" t="s">
        <v>6823</v>
      </c>
      <c r="J8" s="855" t="s">
        <v>3727</v>
      </c>
      <c r="K8" s="855" t="s">
        <v>6824</v>
      </c>
      <c r="L8" s="907" t="s">
        <v>2029</v>
      </c>
      <c r="M8" s="888" t="s">
        <v>6825</v>
      </c>
      <c r="N8" s="855" t="s">
        <v>6826</v>
      </c>
      <c r="O8" s="855" t="s">
        <v>6827</v>
      </c>
      <c r="P8" s="815"/>
      <c r="Q8" s="861" t="s">
        <v>6828</v>
      </c>
      <c r="R8" s="861" t="s">
        <v>6829</v>
      </c>
      <c r="S8" s="859" t="s">
        <v>729</v>
      </c>
      <c r="T8" s="861" t="s">
        <v>5206</v>
      </c>
      <c r="U8" s="908" t="s">
        <v>6830</v>
      </c>
      <c r="V8" s="859" t="s">
        <v>6831</v>
      </c>
      <c r="W8" s="815"/>
      <c r="X8" s="820" t="s">
        <v>833</v>
      </c>
      <c r="Y8" s="864" t="s">
        <v>6832</v>
      </c>
      <c r="Z8" s="823" t="s">
        <v>6833</v>
      </c>
      <c r="AA8" s="823" t="s">
        <v>6834</v>
      </c>
      <c r="AB8" s="909" t="s">
        <v>4388</v>
      </c>
      <c r="AC8" s="823" t="s">
        <v>5931</v>
      </c>
      <c r="AD8" s="823" t="s">
        <v>131</v>
      </c>
      <c r="AE8" s="823" t="s">
        <v>6835</v>
      </c>
      <c r="AF8" s="824"/>
      <c r="AG8" s="895" t="s">
        <v>6836</v>
      </c>
      <c r="AH8" s="910" t="s">
        <v>6837</v>
      </c>
      <c r="AI8" s="815"/>
      <c r="AJ8" s="911"/>
      <c r="AK8" s="897" t="s">
        <v>102</v>
      </c>
      <c r="AL8" s="898" t="s">
        <v>6838</v>
      </c>
      <c r="AM8" s="870" t="s">
        <v>2231</v>
      </c>
      <c r="AN8" s="865" t="s">
        <v>4632</v>
      </c>
      <c r="AO8" s="865" t="s">
        <v>6839</v>
      </c>
      <c r="AP8" s="870" t="s">
        <v>6840</v>
      </c>
      <c r="AQ8" s="865" t="s">
        <v>6841</v>
      </c>
      <c r="AR8" s="870" t="s">
        <v>6842</v>
      </c>
      <c r="AS8" s="870" t="s">
        <v>2749</v>
      </c>
      <c r="AT8" s="897" t="s">
        <v>6843</v>
      </c>
      <c r="AU8" s="867" t="s">
        <v>6844</v>
      </c>
      <c r="AV8" s="898" t="s">
        <v>6845</v>
      </c>
      <c r="AW8" s="870" t="s">
        <v>2553</v>
      </c>
      <c r="AX8" s="897" t="s">
        <v>5303</v>
      </c>
      <c r="AY8" s="897" t="s">
        <v>6846</v>
      </c>
      <c r="AZ8" s="831"/>
      <c r="BA8" s="912" t="s">
        <v>6847</v>
      </c>
      <c r="BB8" s="913" t="s">
        <v>6848</v>
      </c>
      <c r="BC8" s="914" t="s">
        <v>3288</v>
      </c>
      <c r="BD8" s="915"/>
      <c r="BE8" s="873" t="s">
        <v>6849</v>
      </c>
      <c r="BF8" s="831"/>
      <c r="BG8" s="916" t="s">
        <v>6850</v>
      </c>
      <c r="BH8" s="917" t="s">
        <v>3558</v>
      </c>
      <c r="BI8" s="874" t="s">
        <v>612</v>
      </c>
      <c r="BJ8" s="875" t="s">
        <v>6851</v>
      </c>
      <c r="BK8" s="874" t="s">
        <v>6852</v>
      </c>
      <c r="BL8" s="874" t="s">
        <v>6853</v>
      </c>
      <c r="BM8" s="874" t="s">
        <v>6854</v>
      </c>
      <c r="BN8" s="815"/>
      <c r="BO8" s="881" t="s">
        <v>2467</v>
      </c>
      <c r="BP8" s="882" t="s">
        <v>5874</v>
      </c>
      <c r="BQ8" s="881" t="s">
        <v>3597</v>
      </c>
      <c r="BR8" s="881" t="s">
        <v>3957</v>
      </c>
      <c r="BS8" s="881" t="s">
        <v>816</v>
      </c>
      <c r="BT8" s="881" t="s">
        <v>1370</v>
      </c>
      <c r="BU8" s="903" t="s">
        <v>3957</v>
      </c>
      <c r="BV8" s="918" t="s">
        <v>6855</v>
      </c>
      <c r="BW8" s="881" t="s">
        <v>6856</v>
      </c>
      <c r="BX8" s="815"/>
      <c r="BY8" s="904" t="s">
        <v>6857</v>
      </c>
      <c r="BZ8" s="919" t="s">
        <v>6406</v>
      </c>
      <c r="CA8" s="919" t="s">
        <v>2348</v>
      </c>
      <c r="CB8" s="920" t="s">
        <v>3462</v>
      </c>
      <c r="CC8" s="921"/>
      <c r="CD8" s="922"/>
      <c r="CE8" s="904" t="s">
        <v>2819</v>
      </c>
      <c r="CF8" s="904" t="s">
        <v>6858</v>
      </c>
      <c r="CG8" s="904" t="s">
        <v>6859</v>
      </c>
      <c r="CH8" s="904" t="s">
        <v>2246</v>
      </c>
      <c r="CI8" s="904" t="s">
        <v>6860</v>
      </c>
      <c r="CJ8" s="919" t="s">
        <v>2735</v>
      </c>
      <c r="CK8" s="920"/>
    </row>
    <row r="9">
      <c r="A9" s="923" t="s">
        <v>981</v>
      </c>
      <c r="B9" s="809" t="s">
        <v>6861</v>
      </c>
      <c r="C9" s="805" t="s">
        <v>2682</v>
      </c>
      <c r="D9" s="806" t="s">
        <v>332</v>
      </c>
      <c r="E9" s="807" t="s">
        <v>334</v>
      </c>
      <c r="F9" s="808" t="s">
        <v>4055</v>
      </c>
      <c r="G9" s="809" t="s">
        <v>2651</v>
      </c>
      <c r="H9" s="888" t="s">
        <v>4820</v>
      </c>
      <c r="I9" s="853"/>
      <c r="J9" s="855" t="s">
        <v>6862</v>
      </c>
      <c r="K9" s="890" t="s">
        <v>6387</v>
      </c>
      <c r="L9" s="853"/>
      <c r="M9" s="853"/>
      <c r="N9" s="853"/>
      <c r="O9" s="854" t="s">
        <v>6863</v>
      </c>
      <c r="P9" s="815"/>
      <c r="Q9" s="908" t="s">
        <v>3727</v>
      </c>
      <c r="R9" s="924" t="s">
        <v>4657</v>
      </c>
      <c r="S9" s="924" t="s">
        <v>2842</v>
      </c>
      <c r="T9" s="924" t="s">
        <v>4886</v>
      </c>
      <c r="U9" s="924" t="s">
        <v>1187</v>
      </c>
      <c r="V9" s="857" t="s">
        <v>6864</v>
      </c>
      <c r="W9" s="815"/>
      <c r="X9" s="862" t="s">
        <v>378</v>
      </c>
      <c r="Y9" s="925"/>
      <c r="Z9" s="820" t="s">
        <v>3300</v>
      </c>
      <c r="AA9" s="820" t="s">
        <v>6865</v>
      </c>
      <c r="AB9" s="862" t="s">
        <v>504</v>
      </c>
      <c r="AC9" s="895" t="s">
        <v>1045</v>
      </c>
      <c r="AD9" s="822" t="s">
        <v>1701</v>
      </c>
      <c r="AE9" s="820" t="s">
        <v>6866</v>
      </c>
      <c r="AF9" s="862"/>
      <c r="AG9" s="862" t="s">
        <v>6867</v>
      </c>
      <c r="AH9" s="825"/>
      <c r="AI9" s="815"/>
      <c r="AJ9" s="866"/>
      <c r="AK9" s="866"/>
      <c r="AL9" s="866"/>
      <c r="AM9" s="865" t="s">
        <v>5192</v>
      </c>
      <c r="AN9" s="867" t="s">
        <v>4080</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5067</v>
      </c>
      <c r="BR9" s="879"/>
      <c r="BS9" s="879"/>
      <c r="BT9" s="882" t="s">
        <v>6876</v>
      </c>
      <c r="BU9" s="880" t="s">
        <v>6877</v>
      </c>
      <c r="BV9" s="930" t="s">
        <v>6878</v>
      </c>
      <c r="BW9" s="881" t="s">
        <v>6879</v>
      </c>
      <c r="BX9" s="815"/>
      <c r="BY9" s="920" t="s">
        <v>3461</v>
      </c>
      <c r="BZ9" s="931" t="s">
        <v>6880</v>
      </c>
      <c r="CA9" s="885"/>
      <c r="CB9" s="905"/>
      <c r="CC9" s="885"/>
      <c r="CD9" s="885"/>
      <c r="CE9" s="884" t="s">
        <v>6881</v>
      </c>
      <c r="CF9" s="884" t="s">
        <v>6882</v>
      </c>
      <c r="CG9" s="931" t="s">
        <v>6883</v>
      </c>
      <c r="CH9" s="885"/>
      <c r="CI9" s="885"/>
      <c r="CJ9" s="905"/>
      <c r="CK9" s="905"/>
    </row>
    <row r="10">
      <c r="A10" s="887" t="s">
        <v>1414</v>
      </c>
      <c r="B10" s="809" t="s">
        <v>6884</v>
      </c>
      <c r="C10" s="805" t="s">
        <v>1259</v>
      </c>
      <c r="D10" s="806" t="s">
        <v>332</v>
      </c>
      <c r="E10" s="807" t="s">
        <v>332</v>
      </c>
      <c r="F10" s="808" t="s">
        <v>220</v>
      </c>
      <c r="G10" s="809" t="s">
        <v>4847</v>
      </c>
      <c r="H10" s="853"/>
      <c r="I10" s="855" t="s">
        <v>6885</v>
      </c>
      <c r="J10" s="889"/>
      <c r="K10" s="932" t="s">
        <v>6886</v>
      </c>
      <c r="L10" s="890" t="s">
        <v>3131</v>
      </c>
      <c r="M10" s="853"/>
      <c r="N10" s="853"/>
      <c r="O10" s="933" t="s">
        <v>6887</v>
      </c>
      <c r="P10" s="815"/>
      <c r="Q10" s="861" t="s">
        <v>6888</v>
      </c>
      <c r="R10" s="858"/>
      <c r="S10" s="858"/>
      <c r="T10" s="934" t="s">
        <v>5906</v>
      </c>
      <c r="U10" s="857"/>
      <c r="V10" s="935" t="s">
        <v>6889</v>
      </c>
      <c r="W10" s="815"/>
      <c r="X10" s="823" t="s">
        <v>592</v>
      </c>
      <c r="Y10" s="936" t="s">
        <v>6890</v>
      </c>
      <c r="Z10" s="893" t="s">
        <v>6891</v>
      </c>
      <c r="AA10" s="893" t="s">
        <v>5602</v>
      </c>
      <c r="AB10" s="823" t="s">
        <v>2352</v>
      </c>
      <c r="AC10" s="893" t="s">
        <v>6892</v>
      </c>
      <c r="AD10" s="937" t="s">
        <v>2419</v>
      </c>
      <c r="AE10" s="823" t="s">
        <v>1014</v>
      </c>
      <c r="AF10" s="894"/>
      <c r="AG10" s="823" t="s">
        <v>6893</v>
      </c>
      <c r="AH10" s="938" t="s">
        <v>6894</v>
      </c>
      <c r="AI10" s="826"/>
      <c r="AJ10" s="866"/>
      <c r="AK10" s="896" t="s">
        <v>6895</v>
      </c>
      <c r="AL10" s="897" t="s">
        <v>6054</v>
      </c>
      <c r="AM10" s="870" t="s">
        <v>662</v>
      </c>
      <c r="AN10" s="939"/>
      <c r="AO10" s="870" t="s">
        <v>6896</v>
      </c>
      <c r="AP10" s="896" t="s">
        <v>6897</v>
      </c>
      <c r="AQ10" s="940" t="s">
        <v>5918</v>
      </c>
      <c r="AR10" s="866"/>
      <c r="AS10" s="866"/>
      <c r="AT10" s="866"/>
      <c r="AU10" s="866"/>
      <c r="AV10" s="896" t="s">
        <v>6898</v>
      </c>
      <c r="AW10" s="896" t="s">
        <v>961</v>
      </c>
      <c r="AX10" s="941" t="s">
        <v>6899</v>
      </c>
      <c r="AY10" s="941" t="s">
        <v>6900</v>
      </c>
      <c r="AZ10" s="831"/>
      <c r="BA10" s="926"/>
      <c r="BB10" s="942" t="s">
        <v>6901</v>
      </c>
      <c r="BC10" s="873" t="s">
        <v>5274</v>
      </c>
      <c r="BD10" s="899"/>
      <c r="BE10" s="873" t="s">
        <v>6902</v>
      </c>
      <c r="BF10" s="831"/>
      <c r="BG10" s="874" t="s">
        <v>6903</v>
      </c>
      <c r="BH10" s="943" t="s">
        <v>4770</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4344</v>
      </c>
      <c r="CE10" s="885"/>
      <c r="CF10" s="919" t="s">
        <v>6909</v>
      </c>
      <c r="CG10" s="946" t="s">
        <v>2642</v>
      </c>
      <c r="CH10" s="885"/>
      <c r="CI10" s="885"/>
      <c r="CJ10" s="905"/>
      <c r="CK10" s="905"/>
    </row>
    <row r="11">
      <c r="A11" s="947" t="s">
        <v>827</v>
      </c>
      <c r="B11" s="809" t="s">
        <v>6910</v>
      </c>
      <c r="C11" s="805" t="s">
        <v>439</v>
      </c>
      <c r="D11" s="806" t="s">
        <v>1054</v>
      </c>
      <c r="E11" s="807" t="s">
        <v>332</v>
      </c>
      <c r="F11" s="808" t="s">
        <v>6254</v>
      </c>
      <c r="G11" s="809" t="s">
        <v>2993</v>
      </c>
      <c r="H11" s="853"/>
      <c r="I11" s="890" t="s">
        <v>6911</v>
      </c>
      <c r="J11" s="854" t="s">
        <v>6912</v>
      </c>
      <c r="K11" s="854"/>
      <c r="L11" s="932" t="s">
        <v>6913</v>
      </c>
      <c r="M11" s="853"/>
      <c r="N11" s="888" t="s">
        <v>6914</v>
      </c>
      <c r="O11" s="853"/>
      <c r="P11" s="815"/>
      <c r="Q11" s="861" t="s">
        <v>6915</v>
      </c>
      <c r="R11" s="891" t="s">
        <v>2121</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5752</v>
      </c>
      <c r="AN11" s="866"/>
      <c r="AO11" s="897" t="s">
        <v>2061</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4062</v>
      </c>
      <c r="BW11" s="880" t="s">
        <v>6933</v>
      </c>
      <c r="BX11" s="815"/>
      <c r="BY11" s="884" t="s">
        <v>6934</v>
      </c>
      <c r="BZ11" s="931" t="s">
        <v>6880</v>
      </c>
      <c r="CA11" s="885"/>
      <c r="CB11" s="905"/>
      <c r="CC11" s="885"/>
      <c r="CD11" s="885"/>
      <c r="CE11" s="885"/>
      <c r="CF11" s="885"/>
      <c r="CG11" s="885"/>
      <c r="CH11" s="885"/>
      <c r="CI11" s="885"/>
      <c r="CJ11" s="905"/>
      <c r="CK11" s="905"/>
    </row>
    <row r="12">
      <c r="A12" s="852" t="s">
        <v>2374</v>
      </c>
      <c r="B12" s="809" t="s">
        <v>6935</v>
      </c>
      <c r="C12" s="805" t="s">
        <v>1259</v>
      </c>
      <c r="D12" s="806" t="s">
        <v>334</v>
      </c>
      <c r="E12" s="807" t="s">
        <v>650</v>
      </c>
      <c r="F12" s="808" t="s">
        <v>1809</v>
      </c>
      <c r="G12" s="809" t="s">
        <v>1809</v>
      </c>
      <c r="H12" s="855" t="s">
        <v>1209</v>
      </c>
      <c r="I12" s="855" t="s">
        <v>6936</v>
      </c>
      <c r="J12" s="855" t="s">
        <v>3727</v>
      </c>
      <c r="K12" s="855" t="s">
        <v>2031</v>
      </c>
      <c r="L12" s="853"/>
      <c r="M12" s="853"/>
      <c r="N12" s="853"/>
      <c r="O12" s="855" t="s">
        <v>6937</v>
      </c>
      <c r="P12" s="815"/>
      <c r="Q12" s="861" t="s">
        <v>6938</v>
      </c>
      <c r="R12" s="858"/>
      <c r="S12" s="861" t="s">
        <v>6939</v>
      </c>
      <c r="T12" s="861" t="s">
        <v>5324</v>
      </c>
      <c r="U12" s="861" t="s">
        <v>3604</v>
      </c>
      <c r="V12" s="861" t="s">
        <v>6940</v>
      </c>
      <c r="W12" s="815"/>
      <c r="X12" s="823" t="s">
        <v>2777</v>
      </c>
      <c r="Y12" s="823" t="s">
        <v>6941</v>
      </c>
      <c r="Z12" s="823" t="s">
        <v>6942</v>
      </c>
      <c r="AA12" s="823" t="s">
        <v>6834</v>
      </c>
      <c r="AB12" s="823" t="s">
        <v>6423</v>
      </c>
      <c r="AC12" s="823" t="s">
        <v>6943</v>
      </c>
      <c r="AD12" s="823" t="s">
        <v>1127</v>
      </c>
      <c r="AE12" s="823" t="s">
        <v>6944</v>
      </c>
      <c r="AF12" s="894"/>
      <c r="AG12" s="823" t="s">
        <v>6945</v>
      </c>
      <c r="AH12" s="825"/>
      <c r="AI12" s="815"/>
      <c r="AJ12" s="948"/>
      <c r="AK12" s="898" t="s">
        <v>2091</v>
      </c>
      <c r="AL12" s="866"/>
      <c r="AM12" s="870" t="s">
        <v>4256</v>
      </c>
      <c r="AN12" s="866"/>
      <c r="AO12" s="866"/>
      <c r="AP12" s="870" t="s">
        <v>3559</v>
      </c>
      <c r="AQ12" s="866"/>
      <c r="AR12" s="898" t="s">
        <v>6946</v>
      </c>
      <c r="AS12" s="870" t="s">
        <v>6947</v>
      </c>
      <c r="AT12" s="866"/>
      <c r="AU12" s="897" t="s">
        <v>6948</v>
      </c>
      <c r="AV12" s="866"/>
      <c r="AW12" s="870" t="s">
        <v>5487</v>
      </c>
      <c r="AX12" s="870" t="s">
        <v>4821</v>
      </c>
      <c r="AY12" s="870" t="s">
        <v>6949</v>
      </c>
      <c r="AZ12" s="831"/>
      <c r="BA12" s="873" t="s">
        <v>6950</v>
      </c>
      <c r="BB12" s="873" t="s">
        <v>6951</v>
      </c>
      <c r="BC12" s="873" t="s">
        <v>5410</v>
      </c>
      <c r="BD12" s="899"/>
      <c r="BE12" s="873" t="s">
        <v>6952</v>
      </c>
      <c r="BF12" s="831"/>
      <c r="BG12" s="874" t="s">
        <v>6953</v>
      </c>
      <c r="BH12" s="874" t="s">
        <v>3334</v>
      </c>
      <c r="BI12" s="874" t="s">
        <v>2216</v>
      </c>
      <c r="BJ12" s="876" t="s">
        <v>6954</v>
      </c>
      <c r="BK12" s="874" t="s">
        <v>6955</v>
      </c>
      <c r="BL12" s="877"/>
      <c r="BM12" s="874" t="s">
        <v>6956</v>
      </c>
      <c r="BN12" s="815"/>
      <c r="BO12" s="879"/>
      <c r="BP12" s="929"/>
      <c r="BQ12" s="881" t="s">
        <v>2702</v>
      </c>
      <c r="BR12" s="881" t="s">
        <v>6957</v>
      </c>
      <c r="BS12" s="879"/>
      <c r="BT12" s="881" t="s">
        <v>1699</v>
      </c>
      <c r="BU12" s="879"/>
      <c r="BV12" s="881" t="s">
        <v>6958</v>
      </c>
      <c r="BW12" s="881" t="s">
        <v>6240</v>
      </c>
      <c r="BX12" s="815"/>
      <c r="BY12" s="904" t="s">
        <v>6811</v>
      </c>
      <c r="BZ12" s="904" t="s">
        <v>2781</v>
      </c>
      <c r="CA12" s="920" t="s">
        <v>6959</v>
      </c>
      <c r="CB12" s="905"/>
      <c r="CC12" s="885"/>
      <c r="CD12" s="920" t="s">
        <v>4344</v>
      </c>
      <c r="CE12" s="904" t="s">
        <v>6960</v>
      </c>
      <c r="CF12" s="904" t="s">
        <v>5412</v>
      </c>
      <c r="CG12" s="919" t="s">
        <v>6961</v>
      </c>
      <c r="CH12" s="885"/>
      <c r="CI12" s="919" t="s">
        <v>4816</v>
      </c>
      <c r="CJ12" s="905"/>
      <c r="CK12" s="905"/>
    </row>
    <row r="13">
      <c r="A13" s="887" t="s">
        <v>330</v>
      </c>
      <c r="B13" s="809" t="s">
        <v>6962</v>
      </c>
      <c r="C13" s="805" t="s">
        <v>332</v>
      </c>
      <c r="D13" s="806" t="s">
        <v>332</v>
      </c>
      <c r="E13" s="807" t="s">
        <v>3872</v>
      </c>
      <c r="F13" s="808" t="s">
        <v>3973</v>
      </c>
      <c r="G13" s="809" t="s">
        <v>1498</v>
      </c>
      <c r="H13" s="949" t="s">
        <v>2928</v>
      </c>
      <c r="I13" s="932" t="s">
        <v>6963</v>
      </c>
      <c r="J13" s="890" t="s">
        <v>6964</v>
      </c>
      <c r="K13" s="855" t="s">
        <v>716</v>
      </c>
      <c r="L13" s="950" t="s">
        <v>6965</v>
      </c>
      <c r="M13" s="853"/>
      <c r="N13" s="853"/>
      <c r="O13" s="933" t="s">
        <v>6966</v>
      </c>
      <c r="P13" s="815"/>
      <c r="Q13" s="861" t="s">
        <v>6967</v>
      </c>
      <c r="R13" s="858"/>
      <c r="S13" s="858"/>
      <c r="T13" s="908" t="s">
        <v>5422</v>
      </c>
      <c r="U13" s="857"/>
      <c r="V13" s="935" t="s">
        <v>6968</v>
      </c>
      <c r="W13" s="815"/>
      <c r="X13" s="925"/>
      <c r="Y13" s="893" t="s">
        <v>6969</v>
      </c>
      <c r="Z13" s="936" t="s">
        <v>6965</v>
      </c>
      <c r="AA13" s="936" t="s">
        <v>6970</v>
      </c>
      <c r="AB13" s="864" t="s">
        <v>3435</v>
      </c>
      <c r="AC13" s="893" t="s">
        <v>2900</v>
      </c>
      <c r="AD13" s="823" t="s">
        <v>2397</v>
      </c>
      <c r="AE13" s="822" t="s">
        <v>1251</v>
      </c>
      <c r="AF13" s="894"/>
      <c r="AG13" s="936" t="s">
        <v>6971</v>
      </c>
      <c r="AH13" s="825"/>
      <c r="AI13" s="815"/>
      <c r="AJ13" s="948"/>
      <c r="AK13" s="870" t="s">
        <v>6972</v>
      </c>
      <c r="AL13" s="866"/>
      <c r="AM13" s="951"/>
      <c r="AN13" s="951" t="s">
        <v>6973</v>
      </c>
      <c r="AO13" s="952" t="s">
        <v>4869</v>
      </c>
      <c r="AP13" s="953" t="s">
        <v>6974</v>
      </c>
      <c r="AQ13" s="953" t="s">
        <v>6975</v>
      </c>
      <c r="AR13" s="954"/>
      <c r="AS13" s="867" t="s">
        <v>6792</v>
      </c>
      <c r="AT13" s="951"/>
      <c r="AU13" s="939"/>
      <c r="AV13" s="867" t="s">
        <v>6976</v>
      </c>
      <c r="AW13" s="870" t="s">
        <v>6977</v>
      </c>
      <c r="AX13" s="941" t="s">
        <v>6978</v>
      </c>
      <c r="AY13" s="941" t="s">
        <v>6979</v>
      </c>
      <c r="AZ13" s="831"/>
      <c r="BA13" s="871"/>
      <c r="BB13" s="912" t="s">
        <v>6980</v>
      </c>
      <c r="BC13" s="873" t="s">
        <v>3759</v>
      </c>
      <c r="BD13" s="899"/>
      <c r="BE13" s="942" t="s">
        <v>6981</v>
      </c>
      <c r="BF13" s="831"/>
      <c r="BG13" s="955" t="s">
        <v>6982</v>
      </c>
      <c r="BH13" s="955" t="s">
        <v>5522</v>
      </c>
      <c r="BI13" s="875"/>
      <c r="BJ13" s="875"/>
      <c r="BK13" s="956" t="s">
        <v>6983</v>
      </c>
      <c r="BL13" s="877"/>
      <c r="BM13" s="956" t="s">
        <v>6984</v>
      </c>
      <c r="BN13" s="815"/>
      <c r="BO13" s="918" t="s">
        <v>6985</v>
      </c>
      <c r="BP13" s="929"/>
      <c r="BQ13" s="918" t="s">
        <v>698</v>
      </c>
      <c r="BR13" s="930" t="s">
        <v>6986</v>
      </c>
      <c r="BS13" s="879"/>
      <c r="BT13" s="881" t="s">
        <v>1861</v>
      </c>
      <c r="BU13" s="879"/>
      <c r="BV13" s="929" t="s">
        <v>6987</v>
      </c>
      <c r="BW13" s="957" t="s">
        <v>6988</v>
      </c>
      <c r="BX13" s="826"/>
      <c r="BY13" s="946" t="s">
        <v>4511</v>
      </c>
      <c r="BZ13" s="885"/>
      <c r="CA13" s="921"/>
      <c r="CB13" s="931" t="s">
        <v>2844</v>
      </c>
      <c r="CC13" s="945"/>
      <c r="CD13" s="946" t="s">
        <v>1173</v>
      </c>
      <c r="CE13" s="885"/>
      <c r="CF13" s="946" t="s">
        <v>6989</v>
      </c>
      <c r="CG13" s="885"/>
      <c r="CH13" s="920" t="s">
        <v>4877</v>
      </c>
      <c r="CI13" s="885"/>
      <c r="CJ13" s="905"/>
      <c r="CK13" s="905"/>
    </row>
    <row r="14">
      <c r="A14" s="958" t="s">
        <v>1631</v>
      </c>
      <c r="B14" s="809" t="s">
        <v>6990</v>
      </c>
      <c r="C14" s="805" t="s">
        <v>547</v>
      </c>
      <c r="D14" s="806" t="s">
        <v>1259</v>
      </c>
      <c r="E14" s="807" t="s">
        <v>650</v>
      </c>
      <c r="F14" s="808" t="s">
        <v>1200</v>
      </c>
      <c r="G14" s="809" t="s">
        <v>4607</v>
      </c>
      <c r="H14" s="855" t="s">
        <v>2357</v>
      </c>
      <c r="I14" s="959" t="s">
        <v>6991</v>
      </c>
      <c r="J14" s="854" t="s">
        <v>1301</v>
      </c>
      <c r="K14" s="854" t="s">
        <v>6992</v>
      </c>
      <c r="L14" s="854" t="s">
        <v>2148</v>
      </c>
      <c r="M14" s="960"/>
      <c r="N14" s="854" t="s">
        <v>6993</v>
      </c>
      <c r="O14" s="854" t="s">
        <v>6994</v>
      </c>
      <c r="P14" s="815"/>
      <c r="Q14" s="960"/>
      <c r="R14" s="857" t="s">
        <v>5617</v>
      </c>
      <c r="S14" s="857" t="s">
        <v>6995</v>
      </c>
      <c r="T14" s="857" t="s">
        <v>5840</v>
      </c>
      <c r="U14" s="857" t="s">
        <v>6996</v>
      </c>
      <c r="V14" s="857" t="s">
        <v>6997</v>
      </c>
      <c r="W14" s="815"/>
      <c r="X14" s="862" t="s">
        <v>3982</v>
      </c>
      <c r="Y14" s="862" t="s">
        <v>6998</v>
      </c>
      <c r="Z14" s="893" t="s">
        <v>6999</v>
      </c>
      <c r="AA14" s="961" t="s">
        <v>7000</v>
      </c>
      <c r="AB14" s="862" t="s">
        <v>677</v>
      </c>
      <c r="AC14" s="862" t="s">
        <v>652</v>
      </c>
      <c r="AD14" s="909" t="s">
        <v>1787</v>
      </c>
      <c r="AE14" s="962" t="s">
        <v>4943</v>
      </c>
      <c r="AF14" s="822" t="s">
        <v>102</v>
      </c>
      <c r="AG14" s="862" t="s">
        <v>7001</v>
      </c>
      <c r="AH14" s="963" t="s">
        <v>7002</v>
      </c>
      <c r="AI14" s="815"/>
      <c r="AJ14" s="911"/>
      <c r="AK14" s="868" t="s">
        <v>7003</v>
      </c>
      <c r="AL14" s="865"/>
      <c r="AM14" s="865" t="s">
        <v>3425</v>
      </c>
      <c r="AN14" s="870" t="s">
        <v>1730</v>
      </c>
      <c r="AO14" s="865" t="s">
        <v>4130</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4222</v>
      </c>
      <c r="BD14" s="900" t="s">
        <v>5113</v>
      </c>
      <c r="BE14" s="873" t="s">
        <v>7012</v>
      </c>
      <c r="BF14" s="831"/>
      <c r="BG14" s="875" t="s">
        <v>7013</v>
      </c>
      <c r="BH14" s="875" t="s">
        <v>5198</v>
      </c>
      <c r="BI14" s="874" t="s">
        <v>6829</v>
      </c>
      <c r="BJ14" s="955" t="s">
        <v>7014</v>
      </c>
      <c r="BK14" s="964" t="s">
        <v>7015</v>
      </c>
      <c r="BL14" s="875"/>
      <c r="BM14" s="875" t="s">
        <v>7016</v>
      </c>
      <c r="BN14" s="815"/>
      <c r="BO14" s="881" t="s">
        <v>4724</v>
      </c>
      <c r="BP14" s="930"/>
      <c r="BQ14" s="965" t="s">
        <v>4776</v>
      </c>
      <c r="BR14" s="880" t="s">
        <v>7017</v>
      </c>
      <c r="BS14" s="880"/>
      <c r="BT14" s="966" t="s">
        <v>7018</v>
      </c>
      <c r="BU14" s="930" t="s">
        <v>4794</v>
      </c>
      <c r="BV14" s="880" t="s">
        <v>7019</v>
      </c>
      <c r="BW14" s="880" t="s">
        <v>7020</v>
      </c>
      <c r="BX14" s="815"/>
      <c r="BY14" s="884" t="s">
        <v>2523</v>
      </c>
      <c r="BZ14" s="884" t="s">
        <v>7021</v>
      </c>
      <c r="CA14" s="885"/>
      <c r="CB14" s="905"/>
      <c r="CC14" s="885"/>
      <c r="CD14" s="884" t="s">
        <v>7022</v>
      </c>
      <c r="CE14" s="884" t="s">
        <v>7023</v>
      </c>
      <c r="CF14" s="884" t="s">
        <v>7024</v>
      </c>
      <c r="CG14" s="884"/>
      <c r="CH14" s="919" t="s">
        <v>7025</v>
      </c>
      <c r="CI14" s="885"/>
      <c r="CJ14" s="905"/>
      <c r="CK14" s="905"/>
    </row>
    <row r="15">
      <c r="A15" s="852" t="s">
        <v>2025</v>
      </c>
      <c r="B15" s="809" t="s">
        <v>7026</v>
      </c>
      <c r="C15" s="805" t="s">
        <v>1259</v>
      </c>
      <c r="D15" s="806" t="s">
        <v>650</v>
      </c>
      <c r="E15" s="807" t="s">
        <v>547</v>
      </c>
      <c r="F15" s="808" t="s">
        <v>2871</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1373</v>
      </c>
      <c r="Y15" s="925"/>
      <c r="Z15" s="862" t="s">
        <v>7032</v>
      </c>
      <c r="AA15" s="823" t="s">
        <v>7033</v>
      </c>
      <c r="AB15" s="862" t="s">
        <v>3725</v>
      </c>
      <c r="AC15" s="823" t="s">
        <v>2048</v>
      </c>
      <c r="AD15" s="862" t="s">
        <v>4146</v>
      </c>
      <c r="AE15" s="862" t="s">
        <v>4663</v>
      </c>
      <c r="AF15" s="862"/>
      <c r="AG15" s="823" t="s">
        <v>7034</v>
      </c>
      <c r="AH15" s="825"/>
      <c r="AI15" s="815"/>
      <c r="AJ15" s="866"/>
      <c r="AK15" s="866"/>
      <c r="AL15" s="866"/>
      <c r="AM15" s="870" t="s">
        <v>1417</v>
      </c>
      <c r="AN15" s="866"/>
      <c r="AO15" s="866"/>
      <c r="AP15" s="865" t="s">
        <v>7035</v>
      </c>
      <c r="AQ15" s="866"/>
      <c r="AR15" s="866"/>
      <c r="AS15" s="866"/>
      <c r="AT15" s="866"/>
      <c r="AU15" s="866"/>
      <c r="AV15" s="866"/>
      <c r="AW15" s="866"/>
      <c r="AX15" s="870" t="s">
        <v>7036</v>
      </c>
      <c r="AY15" s="865" t="s">
        <v>7037</v>
      </c>
      <c r="AZ15" s="831"/>
      <c r="BA15" s="900"/>
      <c r="BB15" s="900"/>
      <c r="BC15" s="873" t="s">
        <v>3701</v>
      </c>
      <c r="BD15" s="871"/>
      <c r="BE15" s="900" t="s">
        <v>7038</v>
      </c>
      <c r="BF15" s="831"/>
      <c r="BG15" s="875" t="s">
        <v>6228</v>
      </c>
      <c r="BH15" s="876" t="s">
        <v>7039</v>
      </c>
      <c r="BI15" s="877"/>
      <c r="BJ15" s="877"/>
      <c r="BK15" s="955" t="s">
        <v>7040</v>
      </c>
      <c r="BL15" s="877"/>
      <c r="BM15" s="874" t="s">
        <v>7041</v>
      </c>
      <c r="BN15" s="815"/>
      <c r="BO15" s="880" t="s">
        <v>7042</v>
      </c>
      <c r="BP15" s="930"/>
      <c r="BQ15" s="880"/>
      <c r="BR15" s="881" t="s">
        <v>7043</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7044</v>
      </c>
      <c r="B16" s="809" t="s">
        <v>7045</v>
      </c>
      <c r="C16" s="805" t="s">
        <v>1259</v>
      </c>
      <c r="D16" s="806" t="s">
        <v>438</v>
      </c>
      <c r="E16" s="807" t="s">
        <v>547</v>
      </c>
      <c r="F16" s="808" t="s">
        <v>5697</v>
      </c>
      <c r="G16" s="809" t="s">
        <v>4847</v>
      </c>
      <c r="H16" s="855" t="s">
        <v>2124</v>
      </c>
      <c r="I16" s="855" t="s">
        <v>7046</v>
      </c>
      <c r="J16" s="853"/>
      <c r="K16" s="853"/>
      <c r="L16" s="855" t="s">
        <v>3379</v>
      </c>
      <c r="M16" s="853"/>
      <c r="N16" s="855" t="s">
        <v>7047</v>
      </c>
      <c r="O16" s="853"/>
      <c r="P16" s="815"/>
      <c r="Q16" s="861" t="s">
        <v>246</v>
      </c>
      <c r="R16" s="858"/>
      <c r="S16" s="861" t="s">
        <v>6895</v>
      </c>
      <c r="T16" s="861" t="s">
        <v>3742</v>
      </c>
      <c r="U16" s="858"/>
      <c r="V16" s="861" t="s">
        <v>7048</v>
      </c>
      <c r="W16" s="815"/>
      <c r="X16" s="823" t="s">
        <v>273</v>
      </c>
      <c r="Y16" s="823" t="s">
        <v>7049</v>
      </c>
      <c r="Z16" s="823" t="s">
        <v>2370</v>
      </c>
      <c r="AA16" s="909" t="s">
        <v>7050</v>
      </c>
      <c r="AB16" s="823" t="s">
        <v>7051</v>
      </c>
      <c r="AC16" s="823" t="s">
        <v>1755</v>
      </c>
      <c r="AD16" s="823" t="s">
        <v>5607</v>
      </c>
      <c r="AE16" s="823" t="s">
        <v>7052</v>
      </c>
      <c r="AF16" s="824"/>
      <c r="AG16" s="862" t="s">
        <v>7053</v>
      </c>
      <c r="AH16" s="825"/>
      <c r="AI16" s="815"/>
      <c r="AJ16" s="911"/>
      <c r="AK16" s="870" t="s">
        <v>7054</v>
      </c>
      <c r="AL16" s="870" t="s">
        <v>7055</v>
      </c>
      <c r="AM16" s="870" t="s">
        <v>1214</v>
      </c>
      <c r="AN16" s="865"/>
      <c r="AO16" s="866"/>
      <c r="AP16" s="870" t="s">
        <v>4073</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4088</v>
      </c>
      <c r="BH16" s="875" t="s">
        <v>4619</v>
      </c>
      <c r="BI16" s="955" t="s">
        <v>1585</v>
      </c>
      <c r="BJ16" s="877"/>
      <c r="BK16" s="875" t="s">
        <v>4309</v>
      </c>
      <c r="BL16" s="877"/>
      <c r="BM16" s="875" t="s">
        <v>7065</v>
      </c>
      <c r="BN16" s="815"/>
      <c r="BO16" s="881" t="s">
        <v>3431</v>
      </c>
      <c r="BP16" s="929"/>
      <c r="BQ16" s="879"/>
      <c r="BR16" s="879"/>
      <c r="BS16" s="879"/>
      <c r="BT16" s="881" t="s">
        <v>847</v>
      </c>
      <c r="BU16" s="879"/>
      <c r="BV16" s="880" t="s">
        <v>7066</v>
      </c>
      <c r="BW16" s="880" t="s">
        <v>7067</v>
      </c>
      <c r="BX16" s="815"/>
      <c r="BY16" s="904" t="s">
        <v>1613</v>
      </c>
      <c r="BZ16" s="884"/>
      <c r="CA16" s="885"/>
      <c r="CB16" s="905"/>
      <c r="CC16" s="885"/>
      <c r="CD16" s="885"/>
      <c r="CE16" s="884" t="s">
        <v>7068</v>
      </c>
      <c r="CF16" s="885"/>
      <c r="CG16" s="885"/>
      <c r="CH16" s="885"/>
      <c r="CI16" s="885"/>
      <c r="CJ16" s="905"/>
      <c r="CK16" s="905"/>
    </row>
    <row r="17">
      <c r="A17" s="852" t="s">
        <v>7069</v>
      </c>
      <c r="B17" s="809" t="s">
        <v>7070</v>
      </c>
      <c r="C17" s="805" t="s">
        <v>1259</v>
      </c>
      <c r="D17" s="806" t="s">
        <v>1259</v>
      </c>
      <c r="E17" s="807" t="s">
        <v>1259</v>
      </c>
      <c r="F17" s="808" t="s">
        <v>3872</v>
      </c>
      <c r="G17" s="809" t="s">
        <v>5880</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2403</v>
      </c>
      <c r="AA17" s="967"/>
      <c r="AB17" s="925"/>
      <c r="AC17" s="893" t="s">
        <v>816</v>
      </c>
      <c r="AD17" s="893" t="s">
        <v>5873</v>
      </c>
      <c r="AE17" s="893" t="s">
        <v>7077</v>
      </c>
      <c r="AF17" s="862"/>
      <c r="AG17" s="893" t="s">
        <v>7078</v>
      </c>
      <c r="AH17" s="825"/>
      <c r="AI17" s="815"/>
      <c r="AJ17" s="865"/>
      <c r="AK17" s="941" t="s">
        <v>1470</v>
      </c>
      <c r="AL17" s="866"/>
      <c r="AM17" s="866"/>
      <c r="AN17" s="866"/>
      <c r="AO17" s="866"/>
      <c r="AP17" s="941" t="s">
        <v>7079</v>
      </c>
      <c r="AQ17" s="866"/>
      <c r="AR17" s="866"/>
      <c r="AS17" s="866"/>
      <c r="AT17" s="866"/>
      <c r="AU17" s="866"/>
      <c r="AV17" s="866"/>
      <c r="AW17" s="870" t="s">
        <v>6247</v>
      </c>
      <c r="AX17" s="865" t="s">
        <v>7080</v>
      </c>
      <c r="AY17" s="865" t="s">
        <v>6356</v>
      </c>
      <c r="AZ17" s="831"/>
      <c r="BA17" s="900" t="s">
        <v>7081</v>
      </c>
      <c r="BB17" s="968" t="s">
        <v>7082</v>
      </c>
      <c r="BC17" s="873" t="s">
        <v>511</v>
      </c>
      <c r="BD17" s="871"/>
      <c r="BE17" s="968" t="s">
        <v>7083</v>
      </c>
      <c r="BF17" s="831"/>
      <c r="BG17" s="875" t="s">
        <v>2853</v>
      </c>
      <c r="BH17" s="956" t="s">
        <v>7084</v>
      </c>
      <c r="BI17" s="875"/>
      <c r="BJ17" s="875"/>
      <c r="BK17" s="877"/>
      <c r="BL17" s="877"/>
      <c r="BM17" s="874" t="s">
        <v>7085</v>
      </c>
      <c r="BN17" s="815"/>
      <c r="BO17" s="930" t="s">
        <v>7086</v>
      </c>
      <c r="BP17" s="929"/>
      <c r="BQ17" s="879"/>
      <c r="BR17" s="880" t="s">
        <v>7087</v>
      </c>
      <c r="BS17" s="879"/>
      <c r="BT17" s="930" t="s">
        <v>2326</v>
      </c>
      <c r="BU17" s="879"/>
      <c r="BV17" s="880" t="s">
        <v>252</v>
      </c>
      <c r="BW17" s="880" t="s">
        <v>1572</v>
      </c>
      <c r="BX17" s="815"/>
      <c r="BY17" s="884" t="s">
        <v>4214</v>
      </c>
      <c r="BZ17" s="904" t="s">
        <v>6095</v>
      </c>
      <c r="CA17" s="885"/>
      <c r="CB17" s="905"/>
      <c r="CC17" s="885"/>
      <c r="CD17" s="885"/>
      <c r="CE17" s="884" t="s">
        <v>5960</v>
      </c>
      <c r="CF17" s="946" t="s">
        <v>7088</v>
      </c>
      <c r="CG17" s="885"/>
      <c r="CH17" s="885"/>
      <c r="CI17" s="884" t="s">
        <v>7089</v>
      </c>
      <c r="CJ17" s="905"/>
      <c r="CK17" s="905"/>
    </row>
    <row r="18">
      <c r="A18" s="852" t="s">
        <v>7090</v>
      </c>
      <c r="B18" s="809" t="s">
        <v>7091</v>
      </c>
      <c r="C18" s="805" t="s">
        <v>1259</v>
      </c>
      <c r="D18" s="806" t="s">
        <v>1259</v>
      </c>
      <c r="E18" s="807" t="s">
        <v>1259</v>
      </c>
      <c r="F18" s="808" t="s">
        <v>1259</v>
      </c>
      <c r="G18" s="809" t="s">
        <v>3346</v>
      </c>
      <c r="H18" s="853"/>
      <c r="I18" s="933" t="s">
        <v>2742</v>
      </c>
      <c r="J18" s="854"/>
      <c r="K18" s="853"/>
      <c r="L18" s="853"/>
      <c r="M18" s="853"/>
      <c r="N18" s="853"/>
      <c r="O18" s="854" t="s">
        <v>7092</v>
      </c>
      <c r="P18" s="815"/>
      <c r="Q18" s="935" t="s">
        <v>1484</v>
      </c>
      <c r="R18" s="858"/>
      <c r="S18" s="858"/>
      <c r="T18" s="935" t="s">
        <v>1040</v>
      </c>
      <c r="U18" s="857"/>
      <c r="V18" s="857" t="s">
        <v>7093</v>
      </c>
      <c r="W18" s="815"/>
      <c r="X18" s="936" t="s">
        <v>7094</v>
      </c>
      <c r="Y18" s="862" t="s">
        <v>7095</v>
      </c>
      <c r="Z18" s="936" t="s">
        <v>6965</v>
      </c>
      <c r="AA18" s="893" t="s">
        <v>7096</v>
      </c>
      <c r="AB18" s="893" t="s">
        <v>1737</v>
      </c>
      <c r="AC18" s="893" t="s">
        <v>3645</v>
      </c>
      <c r="AD18" s="936" t="s">
        <v>202</v>
      </c>
      <c r="AE18" s="893" t="s">
        <v>4631</v>
      </c>
      <c r="AF18" s="862"/>
      <c r="AG18" s="893" t="s">
        <v>7097</v>
      </c>
      <c r="AH18" s="825"/>
      <c r="AI18" s="815"/>
      <c r="AJ18" s="866"/>
      <c r="AK18" s="896" t="s">
        <v>5681</v>
      </c>
      <c r="AL18" s="941" t="s">
        <v>7098</v>
      </c>
      <c r="AM18" s="896" t="s">
        <v>7099</v>
      </c>
      <c r="AN18" s="866"/>
      <c r="AO18" s="941" t="s">
        <v>973</v>
      </c>
      <c r="AP18" s="896" t="s">
        <v>1563</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2131</v>
      </c>
      <c r="BI18" s="877"/>
      <c r="BJ18" s="877"/>
      <c r="BK18" s="877"/>
      <c r="BL18" s="877"/>
      <c r="BM18" s="875" t="s">
        <v>7107</v>
      </c>
      <c r="BN18" s="815"/>
      <c r="BO18" s="930" t="s">
        <v>2033</v>
      </c>
      <c r="BP18" s="929"/>
      <c r="BQ18" s="879"/>
      <c r="BR18" s="930" t="s">
        <v>7108</v>
      </c>
      <c r="BS18" s="879"/>
      <c r="BT18" s="930" t="s">
        <v>3089</v>
      </c>
      <c r="BU18" s="879"/>
      <c r="BV18" s="930" t="s">
        <v>7109</v>
      </c>
      <c r="BW18" s="930" t="s">
        <v>7110</v>
      </c>
      <c r="BX18" s="815"/>
      <c r="BY18" s="946" t="s">
        <v>3519</v>
      </c>
      <c r="BZ18" s="885"/>
      <c r="CA18" s="885"/>
      <c r="CB18" s="905"/>
      <c r="CC18" s="885"/>
      <c r="CD18" s="885"/>
      <c r="CE18" s="885"/>
      <c r="CF18" s="885"/>
      <c r="CG18" s="885"/>
      <c r="CH18" s="885"/>
      <c r="CI18" s="885"/>
      <c r="CJ18" s="905"/>
      <c r="CK18" s="905"/>
    </row>
    <row r="19">
      <c r="A19" s="852" t="s">
        <v>1876</v>
      </c>
      <c r="B19" s="809" t="s">
        <v>6337</v>
      </c>
      <c r="C19" s="805" t="s">
        <v>1259</v>
      </c>
      <c r="D19" s="806" t="s">
        <v>1259</v>
      </c>
      <c r="E19" s="807" t="s">
        <v>1259</v>
      </c>
      <c r="F19" s="808" t="s">
        <v>1259</v>
      </c>
      <c r="G19" s="809" t="s">
        <v>5880</v>
      </c>
      <c r="H19" s="853"/>
      <c r="I19" s="854" t="s">
        <v>2698</v>
      </c>
      <c r="J19" s="854" t="s">
        <v>2097</v>
      </c>
      <c r="K19" s="854" t="s">
        <v>7111</v>
      </c>
      <c r="L19" s="933" t="s">
        <v>7112</v>
      </c>
      <c r="M19" s="853"/>
      <c r="N19" s="933" t="s">
        <v>7113</v>
      </c>
      <c r="O19" s="854" t="s">
        <v>7114</v>
      </c>
      <c r="P19" s="815"/>
      <c r="Q19" s="935" t="s">
        <v>2556</v>
      </c>
      <c r="R19" s="858"/>
      <c r="S19" s="858"/>
      <c r="T19" s="935" t="s">
        <v>5066</v>
      </c>
      <c r="U19" s="857"/>
      <c r="V19" s="935" t="s">
        <v>7115</v>
      </c>
      <c r="W19" s="815"/>
      <c r="X19" s="893" t="s">
        <v>4123</v>
      </c>
      <c r="Y19" s="893" t="s">
        <v>7116</v>
      </c>
      <c r="Z19" s="893" t="s">
        <v>7117</v>
      </c>
      <c r="AA19" s="893" t="s">
        <v>3036</v>
      </c>
      <c r="AB19" s="893" t="s">
        <v>4737</v>
      </c>
      <c r="AC19" s="862" t="s">
        <v>7118</v>
      </c>
      <c r="AD19" s="893" t="s">
        <v>4618</v>
      </c>
      <c r="AE19" s="893" t="s">
        <v>4915</v>
      </c>
      <c r="AF19" s="862"/>
      <c r="AG19" s="862" t="s">
        <v>7119</v>
      </c>
      <c r="AH19" s="969" t="s">
        <v>7120</v>
      </c>
      <c r="AI19" s="815"/>
      <c r="AJ19" s="866"/>
      <c r="AK19" s="866"/>
      <c r="AL19" s="866"/>
      <c r="AM19" s="865" t="s">
        <v>171</v>
      </c>
      <c r="AN19" s="866"/>
      <c r="AO19" s="941" t="s">
        <v>4399</v>
      </c>
      <c r="AP19" s="865" t="s">
        <v>3308</v>
      </c>
      <c r="AQ19" s="941" t="s">
        <v>7121</v>
      </c>
      <c r="AR19" s="866"/>
      <c r="AS19" s="866"/>
      <c r="AT19" s="866"/>
      <c r="AU19" s="866"/>
      <c r="AV19" s="866"/>
      <c r="AW19" s="941" t="s">
        <v>1077</v>
      </c>
      <c r="AX19" s="941" t="s">
        <v>4905</v>
      </c>
      <c r="AY19" s="866"/>
      <c r="AZ19" s="831"/>
      <c r="BA19" s="926"/>
      <c r="BB19" s="926"/>
      <c r="BC19" s="968" t="s">
        <v>7122</v>
      </c>
      <c r="BD19" s="900"/>
      <c r="BE19" s="900" t="s">
        <v>7123</v>
      </c>
      <c r="BF19" s="831"/>
      <c r="BG19" s="956" t="s">
        <v>1206</v>
      </c>
      <c r="BH19" s="956" t="s">
        <v>2131</v>
      </c>
      <c r="BI19" s="877"/>
      <c r="BJ19" s="877"/>
      <c r="BK19" s="875" t="s">
        <v>7124</v>
      </c>
      <c r="BL19" s="877"/>
      <c r="BM19" s="956" t="s">
        <v>7125</v>
      </c>
      <c r="BN19" s="815"/>
      <c r="BO19" s="930" t="s">
        <v>7126</v>
      </c>
      <c r="BP19" s="929"/>
      <c r="BQ19" s="879"/>
      <c r="BR19" s="879"/>
      <c r="BS19" s="879"/>
      <c r="BT19" s="930" t="s">
        <v>2754</v>
      </c>
      <c r="BU19" s="879"/>
      <c r="BV19" s="879"/>
      <c r="BW19" s="929" t="s">
        <v>7127</v>
      </c>
      <c r="BX19" s="815"/>
      <c r="BY19" s="884" t="s">
        <v>3001</v>
      </c>
      <c r="BZ19" s="885"/>
      <c r="CA19" s="885"/>
      <c r="CB19" s="905"/>
      <c r="CC19" s="885"/>
      <c r="CD19" s="885"/>
      <c r="CE19" s="885"/>
      <c r="CF19" s="885"/>
      <c r="CG19" s="885"/>
      <c r="CH19" s="885"/>
      <c r="CI19" s="885"/>
      <c r="CJ19" s="905"/>
      <c r="CK19" s="905"/>
    </row>
    <row r="20">
      <c r="A20" s="852" t="s">
        <v>3571</v>
      </c>
      <c r="B20" s="809" t="s">
        <v>7128</v>
      </c>
      <c r="C20" s="805" t="s">
        <v>1259</v>
      </c>
      <c r="D20" s="806" t="s">
        <v>547</v>
      </c>
      <c r="E20" s="807" t="s">
        <v>650</v>
      </c>
      <c r="F20" s="808" t="s">
        <v>1054</v>
      </c>
      <c r="G20" s="809" t="s">
        <v>2546</v>
      </c>
      <c r="H20" s="949" t="s">
        <v>266</v>
      </c>
      <c r="I20" s="853"/>
      <c r="J20" s="853"/>
      <c r="K20" s="853"/>
      <c r="L20" s="855" t="s">
        <v>1163</v>
      </c>
      <c r="M20" s="853"/>
      <c r="N20" s="855" t="s">
        <v>7129</v>
      </c>
      <c r="O20" s="853"/>
      <c r="P20" s="815"/>
      <c r="Q20" s="970" t="s">
        <v>7130</v>
      </c>
      <c r="R20" s="858"/>
      <c r="S20" s="857" t="s">
        <v>6048</v>
      </c>
      <c r="T20" s="970" t="s">
        <v>5460</v>
      </c>
      <c r="U20" s="971" t="s">
        <v>7131</v>
      </c>
      <c r="V20" s="857" t="s">
        <v>7132</v>
      </c>
      <c r="W20" s="815"/>
      <c r="X20" s="823" t="s">
        <v>2686</v>
      </c>
      <c r="Y20" s="862" t="s">
        <v>3584</v>
      </c>
      <c r="Z20" s="862" t="s">
        <v>6965</v>
      </c>
      <c r="AA20" s="909" t="s">
        <v>7133</v>
      </c>
      <c r="AB20" s="862" t="s">
        <v>2392</v>
      </c>
      <c r="AC20" s="862" t="s">
        <v>3947</v>
      </c>
      <c r="AD20" s="862" t="s">
        <v>3080</v>
      </c>
      <c r="AE20" s="972" t="s">
        <v>6760</v>
      </c>
      <c r="AF20" s="864" t="s">
        <v>1015</v>
      </c>
      <c r="AG20" s="862" t="s">
        <v>7134</v>
      </c>
      <c r="AH20" s="973" t="s">
        <v>3586</v>
      </c>
      <c r="AI20" s="815"/>
      <c r="AJ20" s="865"/>
      <c r="AK20" s="865" t="s">
        <v>7135</v>
      </c>
      <c r="AL20" s="865" t="s">
        <v>7136</v>
      </c>
      <c r="AM20" s="865" t="s">
        <v>7137</v>
      </c>
      <c r="AN20" s="865"/>
      <c r="AO20" s="866"/>
      <c r="AP20" s="868" t="s">
        <v>1781</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5206</v>
      </c>
      <c r="BD20" s="900" t="s">
        <v>7146</v>
      </c>
      <c r="BE20" s="900" t="s">
        <v>7147</v>
      </c>
      <c r="BF20" s="831"/>
      <c r="BG20" s="875" t="s">
        <v>7148</v>
      </c>
      <c r="BH20" s="875" t="s">
        <v>2076</v>
      </c>
      <c r="BI20" s="875" t="s">
        <v>1890</v>
      </c>
      <c r="BJ20" s="877"/>
      <c r="BK20" s="875" t="s">
        <v>1473</v>
      </c>
      <c r="BL20" s="875" t="s">
        <v>7149</v>
      </c>
      <c r="BM20" s="875" t="s">
        <v>7150</v>
      </c>
      <c r="BN20" s="815"/>
      <c r="BO20" s="930" t="s">
        <v>4893</v>
      </c>
      <c r="BP20" s="929"/>
      <c r="BQ20" s="880" t="s">
        <v>2603</v>
      </c>
      <c r="BR20" s="880" t="s">
        <v>3794</v>
      </c>
      <c r="BS20" s="918" t="s">
        <v>7151</v>
      </c>
      <c r="BT20" s="930" t="s">
        <v>2318</v>
      </c>
      <c r="BU20" s="918" t="s">
        <v>7152</v>
      </c>
      <c r="BV20" s="880" t="s">
        <v>7153</v>
      </c>
      <c r="BW20" s="880" t="s">
        <v>7154</v>
      </c>
      <c r="BX20" s="815"/>
      <c r="BY20" s="885"/>
      <c r="BZ20" s="884" t="s">
        <v>3310</v>
      </c>
      <c r="CA20" s="885"/>
      <c r="CB20" s="905"/>
      <c r="CC20" s="885"/>
      <c r="CD20" s="884" t="s">
        <v>7155</v>
      </c>
      <c r="CE20" s="884" t="s">
        <v>7156</v>
      </c>
      <c r="CF20" s="884" t="s">
        <v>7157</v>
      </c>
      <c r="CG20" s="885"/>
      <c r="CH20" s="885"/>
      <c r="CI20" s="884" t="s">
        <v>7158</v>
      </c>
      <c r="CJ20" s="905"/>
      <c r="CK20" s="905"/>
    </row>
    <row r="21">
      <c r="A21" s="852" t="s">
        <v>7159</v>
      </c>
      <c r="B21" s="809" t="s">
        <v>7160</v>
      </c>
      <c r="C21" s="805" t="s">
        <v>1259</v>
      </c>
      <c r="D21" s="806" t="s">
        <v>1259</v>
      </c>
      <c r="E21" s="807" t="s">
        <v>547</v>
      </c>
      <c r="F21" s="808" t="s">
        <v>547</v>
      </c>
      <c r="G21" s="809" t="s">
        <v>7027</v>
      </c>
      <c r="H21" s="853"/>
      <c r="I21" s="853"/>
      <c r="J21" s="854" t="s">
        <v>7161</v>
      </c>
      <c r="K21" s="854" t="s">
        <v>7162</v>
      </c>
      <c r="L21" s="853"/>
      <c r="M21" s="853"/>
      <c r="N21" s="853"/>
      <c r="O21" s="933" t="s">
        <v>7163</v>
      </c>
      <c r="P21" s="815"/>
      <c r="Q21" s="857" t="s">
        <v>7164</v>
      </c>
      <c r="R21" s="858"/>
      <c r="S21" s="857" t="s">
        <v>5962</v>
      </c>
      <c r="T21" s="857" t="s">
        <v>5175</v>
      </c>
      <c r="U21" s="857" t="s">
        <v>7165</v>
      </c>
      <c r="V21" s="935" t="s">
        <v>7166</v>
      </c>
      <c r="W21" s="815"/>
      <c r="X21" s="925"/>
      <c r="Y21" s="925"/>
      <c r="Z21" s="862" t="s">
        <v>7167</v>
      </c>
      <c r="AA21" s="967"/>
      <c r="AB21" s="862" t="s">
        <v>2272</v>
      </c>
      <c r="AC21" s="893" t="s">
        <v>7168</v>
      </c>
      <c r="AD21" s="925"/>
      <c r="AE21" s="925"/>
      <c r="AF21" s="925"/>
      <c r="AG21" s="893" t="s">
        <v>7169</v>
      </c>
      <c r="AH21" s="825"/>
      <c r="AI21" s="815"/>
      <c r="AJ21" s="866"/>
      <c r="AK21" s="866"/>
      <c r="AL21" s="866"/>
      <c r="AM21" s="865" t="s">
        <v>1312</v>
      </c>
      <c r="AN21" s="865"/>
      <c r="AO21" s="866"/>
      <c r="AP21" s="866"/>
      <c r="AQ21" s="866"/>
      <c r="AR21" s="866"/>
      <c r="AS21" s="866"/>
      <c r="AT21" s="866"/>
      <c r="AU21" s="866"/>
      <c r="AV21" s="866"/>
      <c r="AW21" s="865" t="s">
        <v>3980</v>
      </c>
      <c r="AX21" s="941" t="s">
        <v>7170</v>
      </c>
      <c r="AY21" s="866"/>
      <c r="AZ21" s="831"/>
      <c r="BA21" s="926"/>
      <c r="BB21" s="900" t="s">
        <v>7171</v>
      </c>
      <c r="BC21" s="900" t="s">
        <v>3739</v>
      </c>
      <c r="BD21" s="900"/>
      <c r="BE21" s="968" t="s">
        <v>7172</v>
      </c>
      <c r="BF21" s="831"/>
      <c r="BG21" s="875" t="s">
        <v>716</v>
      </c>
      <c r="BH21" s="956" t="s">
        <v>4312</v>
      </c>
      <c r="BI21" s="875" t="s">
        <v>1670</v>
      </c>
      <c r="BJ21" s="875" t="s">
        <v>7173</v>
      </c>
      <c r="BK21" s="875" t="s">
        <v>7174</v>
      </c>
      <c r="BL21" s="877"/>
      <c r="BM21" s="875" t="s">
        <v>7175</v>
      </c>
      <c r="BN21" s="815"/>
      <c r="BO21" s="880" t="s">
        <v>4768</v>
      </c>
      <c r="BP21" s="929"/>
      <c r="BQ21" s="879"/>
      <c r="BR21" s="918" t="s">
        <v>7176</v>
      </c>
      <c r="BS21" s="879"/>
      <c r="BT21" s="880" t="s">
        <v>2368</v>
      </c>
      <c r="BU21" s="879"/>
      <c r="BV21" s="880" t="s">
        <v>7177</v>
      </c>
      <c r="BW21" s="880" t="s">
        <v>1847</v>
      </c>
      <c r="BX21" s="815"/>
      <c r="BY21" s="884" t="s">
        <v>4596</v>
      </c>
      <c r="BZ21" s="921"/>
      <c r="CA21" s="885"/>
      <c r="CB21" s="905"/>
      <c r="CC21" s="885"/>
      <c r="CD21" s="885"/>
      <c r="CE21" s="885"/>
      <c r="CF21" s="885"/>
      <c r="CG21" s="885"/>
      <c r="CH21" s="885"/>
      <c r="CI21" s="885"/>
      <c r="CJ21" s="905"/>
      <c r="CK21" s="905"/>
    </row>
    <row r="22">
      <c r="A22" s="974" t="s">
        <v>3440</v>
      </c>
      <c r="B22" s="809" t="s">
        <v>7178</v>
      </c>
      <c r="C22" s="805" t="s">
        <v>1259</v>
      </c>
      <c r="D22" s="806" t="s">
        <v>547</v>
      </c>
      <c r="E22" s="807" t="s">
        <v>1259</v>
      </c>
      <c r="F22" s="808" t="s">
        <v>332</v>
      </c>
      <c r="G22" s="809" t="s">
        <v>4116</v>
      </c>
      <c r="H22" s="853"/>
      <c r="I22" s="853"/>
      <c r="J22" s="853"/>
      <c r="K22" s="853"/>
      <c r="L22" s="854" t="s">
        <v>6529</v>
      </c>
      <c r="M22" s="853"/>
      <c r="N22" s="854" t="s">
        <v>7179</v>
      </c>
      <c r="O22" s="853"/>
      <c r="P22" s="815"/>
      <c r="Q22" s="858"/>
      <c r="R22" s="858"/>
      <c r="S22" s="858"/>
      <c r="T22" s="858"/>
      <c r="U22" s="857" t="s">
        <v>3125</v>
      </c>
      <c r="V22" s="857" t="s">
        <v>7180</v>
      </c>
      <c r="W22" s="815"/>
      <c r="X22" s="862" t="s">
        <v>384</v>
      </c>
      <c r="Y22" s="862" t="s">
        <v>7181</v>
      </c>
      <c r="Z22" s="862" t="s">
        <v>7182</v>
      </c>
      <c r="AA22" s="975" t="s">
        <v>2924</v>
      </c>
      <c r="AB22" s="862" t="s">
        <v>661</v>
      </c>
      <c r="AC22" s="862" t="s">
        <v>1880</v>
      </c>
      <c r="AD22" s="862" t="s">
        <v>7183</v>
      </c>
      <c r="AE22" s="862" t="s">
        <v>2563</v>
      </c>
      <c r="AF22" s="862"/>
      <c r="AG22" s="862" t="s">
        <v>7184</v>
      </c>
      <c r="AH22" s="976" t="s">
        <v>7185</v>
      </c>
      <c r="AI22" s="815"/>
      <c r="AJ22" s="865"/>
      <c r="AK22" s="865" t="s">
        <v>5837</v>
      </c>
      <c r="AL22" s="866"/>
      <c r="AM22" s="865" t="s">
        <v>5192</v>
      </c>
      <c r="AN22" s="866"/>
      <c r="AO22" s="866"/>
      <c r="AP22" s="865" t="s">
        <v>2060</v>
      </c>
      <c r="AQ22" s="866"/>
      <c r="AR22" s="865" t="s">
        <v>7186</v>
      </c>
      <c r="AS22" s="865"/>
      <c r="AT22" s="960"/>
      <c r="AU22" s="866"/>
      <c r="AV22" s="941" t="s">
        <v>7187</v>
      </c>
      <c r="AW22" s="870" t="s">
        <v>6150</v>
      </c>
      <c r="AX22" s="865" t="s">
        <v>7188</v>
      </c>
      <c r="AY22" s="865" t="s">
        <v>7189</v>
      </c>
      <c r="AZ22" s="831"/>
      <c r="BA22" s="926"/>
      <c r="BB22" s="873" t="s">
        <v>7190</v>
      </c>
      <c r="BC22" s="900" t="s">
        <v>2557</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2991</v>
      </c>
      <c r="B23" s="809" t="s">
        <v>7196</v>
      </c>
      <c r="C23" s="805" t="s">
        <v>547</v>
      </c>
      <c r="D23" s="806" t="s">
        <v>1259</v>
      </c>
      <c r="E23" s="807" t="s">
        <v>1259</v>
      </c>
      <c r="F23" s="808" t="s">
        <v>547</v>
      </c>
      <c r="G23" s="809" t="s">
        <v>5170</v>
      </c>
      <c r="H23" s="853"/>
      <c r="I23" s="853"/>
      <c r="J23" s="854" t="s">
        <v>311</v>
      </c>
      <c r="K23" s="854" t="s">
        <v>7197</v>
      </c>
      <c r="L23" s="854"/>
      <c r="M23" s="853"/>
      <c r="N23" s="853"/>
      <c r="O23" s="854" t="s">
        <v>7198</v>
      </c>
      <c r="P23" s="815"/>
      <c r="Q23" s="857" t="s">
        <v>4951</v>
      </c>
      <c r="R23" s="857" t="s">
        <v>3812</v>
      </c>
      <c r="S23" s="857" t="s">
        <v>694</v>
      </c>
      <c r="T23" s="857" t="s">
        <v>251</v>
      </c>
      <c r="U23" s="858"/>
      <c r="V23" s="857" t="s">
        <v>7199</v>
      </c>
      <c r="W23" s="815"/>
      <c r="X23" s="862" t="s">
        <v>6497</v>
      </c>
      <c r="Y23" s="925"/>
      <c r="Z23" s="862" t="s">
        <v>4929</v>
      </c>
      <c r="AA23" s="862" t="s">
        <v>7200</v>
      </c>
      <c r="AB23" s="862" t="s">
        <v>3009</v>
      </c>
      <c r="AC23" s="862" t="s">
        <v>1755</v>
      </c>
      <c r="AD23" s="862" t="s">
        <v>2671</v>
      </c>
      <c r="AE23" s="862" t="s">
        <v>2840</v>
      </c>
      <c r="AF23" s="862"/>
      <c r="AG23" s="862" t="s">
        <v>7201</v>
      </c>
      <c r="AH23" s="977" t="s">
        <v>3012</v>
      </c>
      <c r="AI23" s="815"/>
      <c r="AJ23" s="866"/>
      <c r="AK23" s="866"/>
      <c r="AL23" s="867" t="s">
        <v>7202</v>
      </c>
      <c r="AM23" s="865" t="s">
        <v>1963</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6228</v>
      </c>
      <c r="BH23" s="877"/>
      <c r="BI23" s="875" t="s">
        <v>475</v>
      </c>
      <c r="BJ23" s="875" t="s">
        <v>7211</v>
      </c>
      <c r="BK23" s="875" t="s">
        <v>7212</v>
      </c>
      <c r="BL23" s="875" t="s">
        <v>7213</v>
      </c>
      <c r="BM23" s="964" t="s">
        <v>7214</v>
      </c>
      <c r="BN23" s="815"/>
      <c r="BO23" s="880" t="s">
        <v>7215</v>
      </c>
      <c r="BP23" s="880" t="s">
        <v>4187</v>
      </c>
      <c r="BQ23" s="879"/>
      <c r="BR23" s="880" t="s">
        <v>7216</v>
      </c>
      <c r="BS23" s="879"/>
      <c r="BT23" s="880" t="s">
        <v>3030</v>
      </c>
      <c r="BU23" s="880" t="s">
        <v>5193</v>
      </c>
      <c r="BV23" s="880" t="s">
        <v>7217</v>
      </c>
      <c r="BW23" s="880" t="s">
        <v>7218</v>
      </c>
      <c r="BX23" s="815"/>
      <c r="BY23" s="978" t="s">
        <v>3560</v>
      </c>
      <c r="BZ23" s="884" t="s">
        <v>853</v>
      </c>
      <c r="CA23" s="885"/>
      <c r="CB23" s="905"/>
      <c r="CC23" s="885"/>
      <c r="CD23" s="885"/>
      <c r="CE23" s="884" t="s">
        <v>7219</v>
      </c>
      <c r="CF23" s="884" t="s">
        <v>7220</v>
      </c>
      <c r="CG23" s="885"/>
      <c r="CH23" s="885"/>
      <c r="CI23" s="885"/>
      <c r="CJ23" s="905"/>
      <c r="CK23" s="905"/>
    </row>
    <row r="24">
      <c r="A24" s="852" t="s">
        <v>7221</v>
      </c>
      <c r="B24" s="809" t="s">
        <v>7222</v>
      </c>
      <c r="C24" s="805" t="s">
        <v>1259</v>
      </c>
      <c r="D24" s="806" t="s">
        <v>1259</v>
      </c>
      <c r="E24" s="807" t="s">
        <v>1259</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4144</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1259</v>
      </c>
      <c r="D25" s="806" t="s">
        <v>1259</v>
      </c>
      <c r="E25" s="807" t="s">
        <v>1259</v>
      </c>
      <c r="F25" s="808" t="s">
        <v>438</v>
      </c>
      <c r="G25" s="809" t="s">
        <v>3973</v>
      </c>
      <c r="H25" s="853"/>
      <c r="I25" s="853"/>
      <c r="J25" s="853"/>
      <c r="K25" s="853"/>
      <c r="L25" s="854" t="s">
        <v>746</v>
      </c>
      <c r="M25" s="853"/>
      <c r="N25" s="854" t="s">
        <v>7234</v>
      </c>
      <c r="O25" s="854"/>
      <c r="P25" s="815"/>
      <c r="Q25" s="858"/>
      <c r="R25" s="858"/>
      <c r="S25" s="858"/>
      <c r="T25" s="858"/>
      <c r="U25" s="858"/>
      <c r="V25" s="935" t="s">
        <v>7235</v>
      </c>
      <c r="W25" s="815"/>
      <c r="X25" s="862" t="s">
        <v>2164</v>
      </c>
      <c r="Y25" s="893" t="s">
        <v>7236</v>
      </c>
      <c r="Z25" s="925"/>
      <c r="AA25" s="982" t="s">
        <v>7237</v>
      </c>
      <c r="AB25" s="925"/>
      <c r="AC25" s="823" t="s">
        <v>4787</v>
      </c>
      <c r="AD25" s="862" t="s">
        <v>1335</v>
      </c>
      <c r="AE25" s="862" t="s">
        <v>7238</v>
      </c>
      <c r="AF25" s="862"/>
      <c r="AG25" s="893" t="s">
        <v>7239</v>
      </c>
      <c r="AH25" s="825"/>
      <c r="AI25" s="815"/>
      <c r="AJ25" s="866"/>
      <c r="AK25" s="866"/>
      <c r="AL25" s="866"/>
      <c r="AM25" s="865" t="s">
        <v>4965</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4944</v>
      </c>
      <c r="BP25" s="929"/>
      <c r="BQ25" s="879"/>
      <c r="BR25" s="880" t="s">
        <v>7243</v>
      </c>
      <c r="BS25" s="881" t="s">
        <v>7033</v>
      </c>
      <c r="BT25" s="880" t="s">
        <v>1319</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1259</v>
      </c>
      <c r="D26" s="806" t="s">
        <v>1259</v>
      </c>
      <c r="E26" s="807" t="s">
        <v>1259</v>
      </c>
      <c r="F26" s="808" t="s">
        <v>3872</v>
      </c>
      <c r="G26" s="809" t="s">
        <v>3973</v>
      </c>
      <c r="H26" s="855" t="s">
        <v>2616</v>
      </c>
      <c r="I26" s="855" t="s">
        <v>7249</v>
      </c>
      <c r="J26" s="984"/>
      <c r="K26" s="855" t="s">
        <v>3313</v>
      </c>
      <c r="L26" s="854"/>
      <c r="M26" s="853"/>
      <c r="N26" s="853"/>
      <c r="O26" s="933" t="s">
        <v>7250</v>
      </c>
      <c r="P26" s="815"/>
      <c r="Q26" s="935" t="s">
        <v>7251</v>
      </c>
      <c r="R26" s="858"/>
      <c r="S26" s="858"/>
      <c r="T26" s="935" t="s">
        <v>5206</v>
      </c>
      <c r="U26" s="857"/>
      <c r="V26" s="935" t="s">
        <v>7252</v>
      </c>
      <c r="W26" s="815"/>
      <c r="X26" s="893" t="s">
        <v>2143</v>
      </c>
      <c r="Y26" s="925"/>
      <c r="Z26" s="893" t="s">
        <v>1905</v>
      </c>
      <c r="AA26" s="967"/>
      <c r="AB26" s="893" t="s">
        <v>5396</v>
      </c>
      <c r="AC26" s="925"/>
      <c r="AD26" s="925"/>
      <c r="AE26" s="893" t="s">
        <v>4435</v>
      </c>
      <c r="AF26" s="862"/>
      <c r="AG26" s="893" t="s">
        <v>7253</v>
      </c>
      <c r="AH26" s="825"/>
      <c r="AI26" s="815"/>
      <c r="AJ26" s="866"/>
      <c r="AK26" s="866"/>
      <c r="AL26" s="866"/>
      <c r="AM26" s="866"/>
      <c r="AN26" s="866"/>
      <c r="AO26" s="941" t="s">
        <v>1846</v>
      </c>
      <c r="AP26" s="866"/>
      <c r="AQ26" s="870" t="s">
        <v>3212</v>
      </c>
      <c r="AR26" s="866"/>
      <c r="AS26" s="866"/>
      <c r="AT26" s="866"/>
      <c r="AU26" s="866"/>
      <c r="AV26" s="866"/>
      <c r="AW26" s="870" t="s">
        <v>723</v>
      </c>
      <c r="AX26" s="866"/>
      <c r="AY26" s="866"/>
      <c r="AZ26" s="831"/>
      <c r="BA26" s="926"/>
      <c r="BB26" s="926"/>
      <c r="BC26" s="926"/>
      <c r="BD26" s="926"/>
      <c r="BE26" s="968" t="s">
        <v>7254</v>
      </c>
      <c r="BF26" s="831"/>
      <c r="BG26" s="956" t="s">
        <v>2631</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1259</v>
      </c>
      <c r="E27" s="807" t="s">
        <v>547</v>
      </c>
      <c r="F27" s="808" t="s">
        <v>332</v>
      </c>
      <c r="G27" s="809" t="s">
        <v>2936</v>
      </c>
      <c r="H27" s="854" t="s">
        <v>4043</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4620</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6473</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4060</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1259</v>
      </c>
      <c r="D29" s="806" t="s">
        <v>1259</v>
      </c>
      <c r="E29" s="807" t="s">
        <v>1259</v>
      </c>
      <c r="F29" s="808" t="s">
        <v>439</v>
      </c>
      <c r="G29" s="809" t="s">
        <v>4116</v>
      </c>
      <c r="H29" s="949" t="s">
        <v>4249</v>
      </c>
      <c r="I29" s="854" t="s">
        <v>7289</v>
      </c>
      <c r="J29" s="854"/>
      <c r="K29" s="854"/>
      <c r="L29" s="933" t="s">
        <v>7290</v>
      </c>
      <c r="M29" s="853"/>
      <c r="N29" s="855" t="s">
        <v>7291</v>
      </c>
      <c r="O29" s="853"/>
      <c r="P29" s="815"/>
      <c r="Q29" s="858"/>
      <c r="R29" s="858"/>
      <c r="S29" s="858"/>
      <c r="T29" s="858"/>
      <c r="U29" s="857" t="s">
        <v>416</v>
      </c>
      <c r="V29" s="861" t="s">
        <v>7292</v>
      </c>
      <c r="W29" s="815"/>
      <c r="X29" s="893" t="s">
        <v>4940</v>
      </c>
      <c r="Y29" s="862" t="s">
        <v>6193</v>
      </c>
      <c r="Z29" s="893" t="s">
        <v>6108</v>
      </c>
      <c r="AA29" s="961" t="s">
        <v>4620</v>
      </c>
      <c r="AB29" s="893" t="s">
        <v>2510</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1616</v>
      </c>
      <c r="AX29" s="865" t="s">
        <v>7299</v>
      </c>
      <c r="AY29" s="866"/>
      <c r="AZ29" s="831"/>
      <c r="BA29" s="926"/>
      <c r="BB29" s="926"/>
      <c r="BC29" s="926"/>
      <c r="BD29" s="926"/>
      <c r="BE29" s="968" t="s">
        <v>7300</v>
      </c>
      <c r="BF29" s="831"/>
      <c r="BG29" s="875" t="s">
        <v>1466</v>
      </c>
      <c r="BH29" s="877"/>
      <c r="BI29" s="877"/>
      <c r="BJ29" s="877"/>
      <c r="BK29" s="875" t="s">
        <v>7301</v>
      </c>
      <c r="BL29" s="877"/>
      <c r="BM29" s="875" t="s">
        <v>7302</v>
      </c>
      <c r="BN29" s="815"/>
      <c r="BO29" s="880" t="s">
        <v>7303</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4053</v>
      </c>
      <c r="B30" s="809" t="s">
        <v>7304</v>
      </c>
      <c r="C30" s="805" t="s">
        <v>1259</v>
      </c>
      <c r="D30" s="806" t="s">
        <v>1259</v>
      </c>
      <c r="E30" s="807" t="s">
        <v>1259</v>
      </c>
      <c r="F30" s="808" t="s">
        <v>438</v>
      </c>
      <c r="G30" s="809" t="s">
        <v>2993</v>
      </c>
      <c r="H30" s="854" t="s">
        <v>2309</v>
      </c>
      <c r="I30" s="853"/>
      <c r="J30" s="853"/>
      <c r="K30" s="853"/>
      <c r="L30" s="854" t="s">
        <v>6523</v>
      </c>
      <c r="M30" s="853"/>
      <c r="N30" s="854" t="s">
        <v>7305</v>
      </c>
      <c r="O30" s="853"/>
      <c r="P30" s="815"/>
      <c r="Q30" s="857" t="s">
        <v>7306</v>
      </c>
      <c r="R30" s="858"/>
      <c r="S30" s="858"/>
      <c r="T30" s="858"/>
      <c r="U30" s="935" t="s">
        <v>6907</v>
      </c>
      <c r="V30" s="857" t="s">
        <v>7307</v>
      </c>
      <c r="W30" s="815"/>
      <c r="X30" s="925"/>
      <c r="Y30" s="925"/>
      <c r="Z30" s="862" t="s">
        <v>7308</v>
      </c>
      <c r="AA30" s="967"/>
      <c r="AB30" s="862" t="s">
        <v>4877</v>
      </c>
      <c r="AC30" s="862" t="s">
        <v>309</v>
      </c>
      <c r="AD30" s="925"/>
      <c r="AE30" s="862" t="s">
        <v>3278</v>
      </c>
      <c r="AF30" s="862"/>
      <c r="AG30" s="823" t="s">
        <v>7309</v>
      </c>
      <c r="AH30" s="977" t="s">
        <v>7310</v>
      </c>
      <c r="AI30" s="815"/>
      <c r="AJ30" s="865"/>
      <c r="AK30" s="865" t="s">
        <v>7311</v>
      </c>
      <c r="AL30" s="865" t="s">
        <v>7312</v>
      </c>
      <c r="AM30" s="865" t="s">
        <v>3998</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4513</v>
      </c>
      <c r="BD30" s="900"/>
      <c r="BE30" s="968" t="s">
        <v>7318</v>
      </c>
      <c r="BF30" s="831"/>
      <c r="BG30" s="875" t="s">
        <v>7319</v>
      </c>
      <c r="BH30" s="877"/>
      <c r="BI30" s="877"/>
      <c r="BJ30" s="877"/>
      <c r="BK30" s="877"/>
      <c r="BL30" s="875" t="s">
        <v>7320</v>
      </c>
      <c r="BM30" s="875" t="s">
        <v>7321</v>
      </c>
      <c r="BN30" s="815"/>
      <c r="BO30" s="880" t="s">
        <v>3403</v>
      </c>
      <c r="BP30" s="929"/>
      <c r="BQ30" s="879"/>
      <c r="BR30" s="880" t="s">
        <v>7322</v>
      </c>
      <c r="BS30" s="930" t="s">
        <v>7323</v>
      </c>
      <c r="BT30" s="879"/>
      <c r="BU30" s="879"/>
      <c r="BV30" s="880" t="s">
        <v>7324</v>
      </c>
      <c r="BW30" s="880" t="s">
        <v>4524</v>
      </c>
      <c r="BX30" s="815"/>
      <c r="BY30" s="885"/>
      <c r="BZ30" s="885"/>
      <c r="CA30" s="885"/>
      <c r="CB30" s="905"/>
      <c r="CC30" s="885"/>
      <c r="CD30" s="885"/>
      <c r="CE30" s="885"/>
      <c r="CF30" s="884" t="s">
        <v>7325</v>
      </c>
      <c r="CG30" s="885"/>
      <c r="CH30" s="885"/>
      <c r="CI30" s="904" t="s">
        <v>7326</v>
      </c>
      <c r="CJ30" s="905"/>
      <c r="CK30" s="905"/>
    </row>
    <row r="31">
      <c r="A31" s="852" t="s">
        <v>6620</v>
      </c>
      <c r="B31" s="809" t="s">
        <v>7327</v>
      </c>
      <c r="C31" s="805" t="s">
        <v>547</v>
      </c>
      <c r="D31" s="806" t="s">
        <v>1259</v>
      </c>
      <c r="E31" s="807" t="s">
        <v>1259</v>
      </c>
      <c r="F31" s="808" t="s">
        <v>547</v>
      </c>
      <c r="G31" s="809" t="s">
        <v>6285</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1295</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5300</v>
      </c>
      <c r="BD31" s="926"/>
      <c r="BE31" s="900" t="s">
        <v>7343</v>
      </c>
      <c r="BF31" s="831"/>
      <c r="BG31" s="875" t="s">
        <v>6942</v>
      </c>
      <c r="BH31" s="875" t="s">
        <v>5888</v>
      </c>
      <c r="BI31" s="875" t="s">
        <v>3954</v>
      </c>
      <c r="BJ31" s="956" t="s">
        <v>6448</v>
      </c>
      <c r="BK31" s="877"/>
      <c r="BL31" s="875" t="s">
        <v>7344</v>
      </c>
      <c r="BM31" s="877"/>
      <c r="BN31" s="815"/>
      <c r="BO31" s="880" t="s">
        <v>7345</v>
      </c>
      <c r="BP31" s="929"/>
      <c r="BQ31" s="879"/>
      <c r="BR31" s="880" t="s">
        <v>1334</v>
      </c>
      <c r="BS31" s="879"/>
      <c r="BT31" s="880" t="s">
        <v>1289</v>
      </c>
      <c r="BU31" s="879"/>
      <c r="BV31" s="879"/>
      <c r="BW31" s="879"/>
      <c r="BX31" s="815"/>
      <c r="BY31" s="884" t="s">
        <v>4447</v>
      </c>
      <c r="BZ31" s="885"/>
      <c r="CA31" s="885"/>
      <c r="CB31" s="905"/>
      <c r="CC31" s="931" t="s">
        <v>7346</v>
      </c>
      <c r="CD31" s="885"/>
      <c r="CE31" s="885"/>
      <c r="CF31" s="884" t="s">
        <v>6806</v>
      </c>
      <c r="CG31" s="885"/>
      <c r="CH31" s="885"/>
      <c r="CI31" s="885"/>
      <c r="CJ31" s="905"/>
      <c r="CK31" s="905"/>
    </row>
    <row r="32">
      <c r="A32" s="852" t="s">
        <v>2934</v>
      </c>
      <c r="B32" s="809" t="s">
        <v>7347</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7348</v>
      </c>
      <c r="V32" s="857" t="s">
        <v>7349</v>
      </c>
      <c r="W32" s="815"/>
      <c r="X32" s="925"/>
      <c r="Y32" s="925"/>
      <c r="Z32" s="925"/>
      <c r="AA32" s="967"/>
      <c r="AB32" s="862"/>
      <c r="AC32" s="822" t="s">
        <v>7350</v>
      </c>
      <c r="AD32" s="862" t="s">
        <v>7351</v>
      </c>
      <c r="AE32" s="862" t="s">
        <v>4583</v>
      </c>
      <c r="AF32" s="862"/>
      <c r="AG32" s="925"/>
      <c r="AH32" s="825"/>
      <c r="AI32" s="815"/>
      <c r="AJ32" s="866"/>
      <c r="AK32" s="866"/>
      <c r="AL32" s="866"/>
      <c r="AM32" s="866"/>
      <c r="AN32" s="866"/>
      <c r="AO32" s="866"/>
      <c r="AP32" s="897" t="s">
        <v>7352</v>
      </c>
      <c r="AQ32" s="866"/>
      <c r="AR32" s="866"/>
      <c r="AS32" s="866"/>
      <c r="AT32" s="866"/>
      <c r="AU32" s="866"/>
      <c r="AV32" s="866"/>
      <c r="AW32" s="865" t="s">
        <v>1787</v>
      </c>
      <c r="AX32" s="866"/>
      <c r="AY32" s="866"/>
      <c r="AZ32" s="831"/>
      <c r="BA32" s="926"/>
      <c r="BB32" s="926"/>
      <c r="BC32" s="912" t="s">
        <v>5700</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1259</v>
      </c>
      <c r="D33" s="806" t="s">
        <v>1259</v>
      </c>
      <c r="E33" s="807" t="s">
        <v>1259</v>
      </c>
      <c r="F33" s="808" t="s">
        <v>1259</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2299</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2475</v>
      </c>
      <c r="BS33" s="879"/>
      <c r="BT33" s="879"/>
      <c r="BU33" s="879"/>
      <c r="BV33" s="930" t="s">
        <v>7365</v>
      </c>
      <c r="BW33" s="880" t="s">
        <v>7366</v>
      </c>
      <c r="BX33" s="815"/>
      <c r="BY33" s="884" t="s">
        <v>6342</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4055</v>
      </c>
      <c r="H34" s="854" t="s">
        <v>4371</v>
      </c>
      <c r="I34" s="853"/>
      <c r="J34" s="853"/>
      <c r="K34" s="853"/>
      <c r="L34" s="854" t="s">
        <v>7367</v>
      </c>
      <c r="M34" s="853"/>
      <c r="N34" s="854" t="s">
        <v>7368</v>
      </c>
      <c r="O34" s="853"/>
      <c r="P34" s="815"/>
      <c r="Q34" s="858"/>
      <c r="R34" s="858"/>
      <c r="S34" s="858"/>
      <c r="T34" s="858"/>
      <c r="U34" s="857" t="s">
        <v>7369</v>
      </c>
      <c r="V34" s="857" t="s">
        <v>7370</v>
      </c>
      <c r="W34" s="815"/>
      <c r="X34" s="925"/>
      <c r="Y34" s="862" t="s">
        <v>5237</v>
      </c>
      <c r="Z34" s="862" t="s">
        <v>2700</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5246</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5268</v>
      </c>
      <c r="B35" s="809" t="s">
        <v>4056</v>
      </c>
      <c r="C35" s="805" t="s">
        <v>1259</v>
      </c>
      <c r="D35" s="806" t="s">
        <v>547</v>
      </c>
      <c r="E35" s="807" t="s">
        <v>1259</v>
      </c>
      <c r="F35" s="808" t="s">
        <v>1054</v>
      </c>
      <c r="G35" s="809" t="s">
        <v>2871</v>
      </c>
      <c r="H35" s="854" t="s">
        <v>1851</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3667</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2189</v>
      </c>
      <c r="B36" s="809" t="s">
        <v>548</v>
      </c>
      <c r="C36" s="805" t="s">
        <v>547</v>
      </c>
      <c r="D36" s="806" t="s">
        <v>1259</v>
      </c>
      <c r="E36" s="807" t="s">
        <v>1259</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3965</v>
      </c>
      <c r="AC36" s="862" t="s">
        <v>7411</v>
      </c>
      <c r="AD36" s="925"/>
      <c r="AE36" s="862" t="s">
        <v>2609</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2714</v>
      </c>
      <c r="B37" s="809" t="s">
        <v>7419</v>
      </c>
      <c r="C37" s="805" t="s">
        <v>1259</v>
      </c>
      <c r="D37" s="806" t="s">
        <v>1259</v>
      </c>
      <c r="E37" s="807" t="s">
        <v>1259</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2260</v>
      </c>
      <c r="AF37" s="925"/>
      <c r="AG37" s="823" t="s">
        <v>7424</v>
      </c>
      <c r="AH37" s="825"/>
      <c r="AI37" s="815"/>
      <c r="AJ37" s="866"/>
      <c r="AK37" s="866"/>
      <c r="AL37" s="866"/>
      <c r="AM37" s="870" t="s">
        <v>2118</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6322</v>
      </c>
      <c r="H38" s="854" t="s">
        <v>7427</v>
      </c>
      <c r="I38" s="853"/>
      <c r="J38" s="853"/>
      <c r="K38" s="853"/>
      <c r="L38" s="853"/>
      <c r="M38" s="853"/>
      <c r="N38" s="853"/>
      <c r="O38" s="853"/>
      <c r="P38" s="815"/>
      <c r="Q38" s="858"/>
      <c r="R38" s="858"/>
      <c r="S38" s="857" t="s">
        <v>1092</v>
      </c>
      <c r="T38" s="857" t="s">
        <v>1830</v>
      </c>
      <c r="U38" s="857" t="s">
        <v>4579</v>
      </c>
      <c r="V38" s="857" t="s">
        <v>7428</v>
      </c>
      <c r="W38" s="815"/>
      <c r="X38" s="862" t="s">
        <v>1753</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1437</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6373</v>
      </c>
      <c r="B39" s="809" t="s">
        <v>1810</v>
      </c>
      <c r="C39" s="805" t="s">
        <v>1259</v>
      </c>
      <c r="D39" s="806" t="s">
        <v>1259</v>
      </c>
      <c r="E39" s="807" t="s">
        <v>1259</v>
      </c>
      <c r="F39" s="808" t="s">
        <v>1259</v>
      </c>
      <c r="G39" s="809" t="s">
        <v>2871</v>
      </c>
      <c r="H39" s="853"/>
      <c r="I39" s="853"/>
      <c r="J39" s="853"/>
      <c r="K39" s="853"/>
      <c r="L39" s="854" t="s">
        <v>7437</v>
      </c>
      <c r="M39" s="853"/>
      <c r="N39" s="854" t="s">
        <v>7438</v>
      </c>
      <c r="O39" s="853"/>
      <c r="P39" s="815"/>
      <c r="Q39" s="858"/>
      <c r="R39" s="858"/>
      <c r="S39" s="858"/>
      <c r="T39" s="858"/>
      <c r="U39" s="857" t="s">
        <v>4525</v>
      </c>
      <c r="V39" s="857" t="s">
        <v>7439</v>
      </c>
      <c r="W39" s="815"/>
      <c r="X39" s="925"/>
      <c r="Y39" s="925"/>
      <c r="Z39" s="862" t="s">
        <v>7440</v>
      </c>
      <c r="AA39" s="967"/>
      <c r="AB39" s="925"/>
      <c r="AC39" s="925"/>
      <c r="AD39" s="862" t="s">
        <v>1411</v>
      </c>
      <c r="AE39" s="862" t="s">
        <v>3272</v>
      </c>
      <c r="AF39" s="862"/>
      <c r="AG39" s="925"/>
      <c r="AH39" s="977" t="s">
        <v>7441</v>
      </c>
      <c r="AI39" s="815"/>
      <c r="AJ39" s="866"/>
      <c r="AK39" s="866"/>
      <c r="AL39" s="866"/>
      <c r="AM39" s="865" t="s">
        <v>2984</v>
      </c>
      <c r="AN39" s="866"/>
      <c r="AO39" s="866"/>
      <c r="AP39" s="866"/>
      <c r="AQ39" s="866"/>
      <c r="AR39" s="866"/>
      <c r="AS39" s="866"/>
      <c r="AT39" s="866"/>
      <c r="AU39" s="866"/>
      <c r="AV39" s="866"/>
      <c r="AW39" s="865" t="s">
        <v>1283</v>
      </c>
      <c r="AX39" s="866"/>
      <c r="AY39" s="866"/>
      <c r="AZ39" s="831"/>
      <c r="BA39" s="926"/>
      <c r="BB39" s="926"/>
      <c r="BC39" s="926"/>
      <c r="BD39" s="926"/>
      <c r="BE39" s="900" t="s">
        <v>7442</v>
      </c>
      <c r="BF39" s="831"/>
      <c r="BG39" s="875" t="s">
        <v>7443</v>
      </c>
      <c r="BH39" s="875" t="s">
        <v>3001</v>
      </c>
      <c r="BI39" s="877"/>
      <c r="BJ39" s="877"/>
      <c r="BK39" s="877"/>
      <c r="BL39" s="875" t="s">
        <v>7444</v>
      </c>
      <c r="BM39" s="877"/>
      <c r="BN39" s="815"/>
      <c r="BO39" s="880" t="s">
        <v>1897</v>
      </c>
      <c r="BP39" s="929"/>
      <c r="BQ39" s="879"/>
      <c r="BR39" s="879"/>
      <c r="BS39" s="879"/>
      <c r="BT39" s="880" t="s">
        <v>4401</v>
      </c>
      <c r="BU39" s="879"/>
      <c r="BV39" s="880" t="s">
        <v>7445</v>
      </c>
      <c r="BW39" s="880" t="s">
        <v>7446</v>
      </c>
      <c r="BX39" s="815"/>
      <c r="BY39" s="885"/>
      <c r="BZ39" s="885"/>
      <c r="CA39" s="885"/>
      <c r="CB39" s="905"/>
      <c r="CC39" s="885"/>
      <c r="CD39" s="885"/>
      <c r="CE39" s="885"/>
      <c r="CF39" s="885"/>
      <c r="CG39" s="885"/>
      <c r="CH39" s="946" t="s">
        <v>6113</v>
      </c>
      <c r="CI39" s="885"/>
      <c r="CJ39" s="905"/>
      <c r="CK39" s="905"/>
    </row>
    <row r="40">
      <c r="A40" s="994" t="s">
        <v>3194</v>
      </c>
      <c r="B40" s="809" t="s">
        <v>5089</v>
      </c>
      <c r="C40" s="805" t="s">
        <v>547</v>
      </c>
      <c r="D40" s="806" t="s">
        <v>1259</v>
      </c>
      <c r="E40" s="807" t="s">
        <v>1259</v>
      </c>
      <c r="F40" s="808" t="s">
        <v>332</v>
      </c>
      <c r="G40" s="809" t="s">
        <v>1055</v>
      </c>
      <c r="H40" s="854" t="s">
        <v>840</v>
      </c>
      <c r="I40" s="853"/>
      <c r="J40" s="853"/>
      <c r="K40" s="853"/>
      <c r="L40" s="853"/>
      <c r="M40" s="853"/>
      <c r="N40" s="855" t="s">
        <v>7447</v>
      </c>
      <c r="O40" s="853"/>
      <c r="P40" s="815"/>
      <c r="Q40" s="858"/>
      <c r="R40" s="858"/>
      <c r="S40" s="924" t="s">
        <v>2842</v>
      </c>
      <c r="T40" s="858"/>
      <c r="U40" s="858"/>
      <c r="V40" s="857" t="s">
        <v>7448</v>
      </c>
      <c r="W40" s="815"/>
      <c r="X40" s="925"/>
      <c r="Y40" s="925"/>
      <c r="Z40" s="862" t="s">
        <v>7161</v>
      </c>
      <c r="AA40" s="909" t="s">
        <v>609</v>
      </c>
      <c r="AB40" s="925"/>
      <c r="AC40" s="925"/>
      <c r="AD40" s="862" t="s">
        <v>4851</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1391</v>
      </c>
      <c r="BH40" s="877"/>
      <c r="BI40" s="877"/>
      <c r="BJ40" s="877"/>
      <c r="BK40" s="877"/>
      <c r="BL40" s="875" t="s">
        <v>7454</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3416</v>
      </c>
      <c r="BV41" s="880" t="s">
        <v>391</v>
      </c>
      <c r="BW41" s="930" t="s">
        <v>7461</v>
      </c>
      <c r="BX41" s="815"/>
      <c r="BY41" s="885"/>
      <c r="BZ41" s="978" t="s">
        <v>2875</v>
      </c>
      <c r="CA41" s="885"/>
      <c r="CB41" s="905"/>
      <c r="CC41" s="885"/>
      <c r="CD41" s="885"/>
      <c r="CE41" s="885"/>
      <c r="CF41" s="884" t="s">
        <v>7462</v>
      </c>
      <c r="CG41" s="885"/>
      <c r="CH41" s="885"/>
      <c r="CI41" s="904" t="s">
        <v>5006</v>
      </c>
      <c r="CJ41" s="905"/>
      <c r="CK41" s="905"/>
    </row>
    <row r="42">
      <c r="A42" s="852" t="s">
        <v>7463</v>
      </c>
      <c r="B42" s="809" t="s">
        <v>3406</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5162</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2342</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6217</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4037</v>
      </c>
      <c r="C45" s="805" t="s">
        <v>1259</v>
      </c>
      <c r="D45" s="806" t="s">
        <v>1259</v>
      </c>
      <c r="E45" s="807" t="s">
        <v>1259</v>
      </c>
      <c r="F45" s="808" t="s">
        <v>1259</v>
      </c>
      <c r="G45" s="809" t="s">
        <v>333</v>
      </c>
      <c r="H45" s="853"/>
      <c r="I45" s="853"/>
      <c r="J45" s="854" t="s">
        <v>7468</v>
      </c>
      <c r="K45" s="854"/>
      <c r="L45" s="854"/>
      <c r="M45" s="854" t="s">
        <v>7469</v>
      </c>
      <c r="N45" s="853"/>
      <c r="O45" s="854" t="s">
        <v>7470</v>
      </c>
      <c r="P45" s="815"/>
      <c r="Q45" s="858"/>
      <c r="R45" s="857" t="s">
        <v>5049</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6017</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2771</v>
      </c>
      <c r="B47" s="809" t="s">
        <v>983</v>
      </c>
      <c r="C47" s="805" t="s">
        <v>1259</v>
      </c>
      <c r="D47" s="806" t="s">
        <v>1259</v>
      </c>
      <c r="E47" s="807" t="s">
        <v>1259</v>
      </c>
      <c r="F47" s="808" t="s">
        <v>1259</v>
      </c>
      <c r="G47" s="809" t="s">
        <v>650</v>
      </c>
      <c r="H47" s="853"/>
      <c r="I47" s="853"/>
      <c r="J47" s="853"/>
      <c r="K47" s="853"/>
      <c r="L47" s="1003" t="s">
        <v>7479</v>
      </c>
      <c r="M47" s="933" t="s">
        <v>2819</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3905</v>
      </c>
      <c r="B48" s="809" t="s">
        <v>7482</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3342</v>
      </c>
      <c r="AN48" s="866"/>
      <c r="AO48" s="866"/>
      <c r="AP48" s="865" t="s">
        <v>706</v>
      </c>
      <c r="AQ48" s="866"/>
      <c r="AR48" s="865" t="s">
        <v>7483</v>
      </c>
      <c r="AS48" s="866"/>
      <c r="AT48" s="866"/>
      <c r="AU48" s="866"/>
      <c r="AV48" s="866"/>
      <c r="AW48" s="865" t="s">
        <v>888</v>
      </c>
      <c r="AX48" s="866"/>
      <c r="AY48" s="866"/>
      <c r="AZ48" s="831"/>
      <c r="BA48" s="926"/>
      <c r="BB48" s="926"/>
      <c r="BC48" s="900" t="s">
        <v>2136</v>
      </c>
      <c r="BD48" s="926"/>
      <c r="BE48" s="926"/>
      <c r="BF48" s="831"/>
      <c r="BG48" s="877"/>
      <c r="BH48" s="877"/>
      <c r="BI48" s="877"/>
      <c r="BJ48" s="877"/>
      <c r="BK48" s="877"/>
      <c r="BL48" s="877"/>
      <c r="BM48" s="877"/>
      <c r="BN48" s="815"/>
      <c r="BO48" s="880" t="s">
        <v>7484</v>
      </c>
      <c r="BP48" s="929"/>
      <c r="BQ48" s="879"/>
      <c r="BR48" s="879"/>
      <c r="BS48" s="879"/>
      <c r="BT48" s="880" t="s">
        <v>4051</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3973</v>
      </c>
      <c r="C50" s="805" t="s">
        <v>1259</v>
      </c>
      <c r="D50" s="806" t="s">
        <v>1259</v>
      </c>
      <c r="E50" s="807" t="s">
        <v>1259</v>
      </c>
      <c r="F50" s="808" t="s">
        <v>1259</v>
      </c>
      <c r="G50" s="809" t="s">
        <v>1054</v>
      </c>
      <c r="H50" s="853"/>
      <c r="I50" s="853"/>
      <c r="J50" s="853"/>
      <c r="K50" s="853"/>
      <c r="L50" s="854" t="s">
        <v>4837</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3060</v>
      </c>
      <c r="C53" s="805" t="s">
        <v>1259</v>
      </c>
      <c r="D53" s="806" t="s">
        <v>1259</v>
      </c>
      <c r="E53" s="807" t="s">
        <v>1259</v>
      </c>
      <c r="F53" s="808" t="s">
        <v>1259</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3624</v>
      </c>
      <c r="B54" s="809" t="s">
        <v>1200</v>
      </c>
      <c r="C54" s="805" t="s">
        <v>1259</v>
      </c>
      <c r="D54" s="806" t="s">
        <v>1259</v>
      </c>
      <c r="E54" s="807" t="s">
        <v>1259</v>
      </c>
      <c r="F54" s="808" t="s">
        <v>547</v>
      </c>
      <c r="G54" s="809" t="s">
        <v>650</v>
      </c>
      <c r="H54" s="853"/>
      <c r="I54" s="853"/>
      <c r="J54" s="853"/>
      <c r="K54" s="853"/>
      <c r="L54" s="853"/>
      <c r="M54" s="853"/>
      <c r="N54" s="853"/>
      <c r="O54" s="853"/>
      <c r="P54" s="815"/>
      <c r="Q54" s="857" t="s">
        <v>6143</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6147</v>
      </c>
      <c r="B56" s="809" t="s">
        <v>1054</v>
      </c>
      <c r="C56" s="805" t="s">
        <v>1259</v>
      </c>
      <c r="D56" s="806" t="s">
        <v>1259</v>
      </c>
      <c r="E56" s="807" t="s">
        <v>1259</v>
      </c>
      <c r="F56" s="808" t="s">
        <v>1259</v>
      </c>
      <c r="G56" s="809" t="s">
        <v>3872</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5900</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3870</v>
      </c>
      <c r="B58" s="809" t="s">
        <v>3872</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6274</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1259</v>
      </c>
      <c r="D62" s="806" t="s">
        <v>1259</v>
      </c>
      <c r="E62" s="807" t="s">
        <v>1259</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6814</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1259</v>
      </c>
      <c r="D63" s="806" t="s">
        <v>1259</v>
      </c>
      <c r="E63" s="807" t="s">
        <v>1259</v>
      </c>
      <c r="F63" s="808" t="s">
        <v>1259</v>
      </c>
      <c r="G63" s="809" t="s">
        <v>547</v>
      </c>
      <c r="H63" s="854" t="s">
        <v>3919</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5786</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5268</v>
      </c>
      <c r="B3" s="1027" t="s">
        <v>2871</v>
      </c>
      <c r="C3" s="1028" t="s">
        <v>547</v>
      </c>
      <c r="D3" s="1029" t="s">
        <v>547</v>
      </c>
      <c r="E3" s="1030" t="s">
        <v>547</v>
      </c>
      <c r="F3" s="1031" t="s">
        <v>332</v>
      </c>
      <c r="G3" s="1027" t="s">
        <v>3872</v>
      </c>
      <c r="H3" s="999"/>
      <c r="I3" s="97"/>
      <c r="J3" s="92"/>
      <c r="K3" s="999"/>
      <c r="L3" s="998" t="s">
        <v>3327</v>
      </c>
      <c r="M3" s="998" t="s">
        <v>7539</v>
      </c>
      <c r="N3" s="998" t="s">
        <v>1159</v>
      </c>
      <c r="O3" s="999"/>
      <c r="P3" s="999"/>
      <c r="Q3" s="1032"/>
      <c r="R3" s="1033" t="s">
        <v>6109</v>
      </c>
      <c r="S3" s="999"/>
      <c r="T3" s="999"/>
      <c r="U3" s="1034" t="s">
        <v>2115</v>
      </c>
      <c r="V3" s="1032"/>
      <c r="W3" s="1032"/>
      <c r="X3" s="1035" t="s">
        <v>7540</v>
      </c>
      <c r="Y3" s="1032"/>
      <c r="Z3" s="1032"/>
      <c r="AA3" s="1001" t="s">
        <v>1247</v>
      </c>
      <c r="AB3" s="1032"/>
      <c r="AC3" s="999"/>
      <c r="AD3" s="1032"/>
      <c r="AE3" s="1032"/>
      <c r="AF3" s="1032"/>
      <c r="AG3" s="1036"/>
      <c r="AH3" s="1036"/>
    </row>
    <row r="4">
      <c r="A4" s="1037" t="s">
        <v>4265</v>
      </c>
      <c r="B4" s="1027" t="s">
        <v>6322</v>
      </c>
      <c r="C4" s="1028" t="s">
        <v>547</v>
      </c>
      <c r="D4" s="1029" t="s">
        <v>547</v>
      </c>
      <c r="E4" s="1030" t="s">
        <v>438</v>
      </c>
      <c r="F4" s="1031" t="s">
        <v>332</v>
      </c>
      <c r="G4" s="1027" t="s">
        <v>332</v>
      </c>
      <c r="H4" s="1038"/>
      <c r="I4" s="1039"/>
      <c r="J4" s="1040"/>
      <c r="K4" s="1041"/>
      <c r="L4" s="999"/>
      <c r="M4" s="999"/>
      <c r="N4" s="999"/>
      <c r="O4" s="999"/>
      <c r="P4" s="999"/>
      <c r="Q4" s="1032"/>
      <c r="R4" s="1035" t="s">
        <v>6316</v>
      </c>
      <c r="S4" s="1038"/>
      <c r="T4" s="1038"/>
      <c r="U4" s="1042" t="s">
        <v>7541</v>
      </c>
      <c r="V4" s="1032"/>
      <c r="W4" s="1032"/>
      <c r="X4" s="1042" t="s">
        <v>7542</v>
      </c>
      <c r="Y4" s="1032"/>
      <c r="Z4" s="1032"/>
      <c r="AA4" s="1043" t="s">
        <v>7543</v>
      </c>
      <c r="AB4" s="1032"/>
      <c r="AC4" s="999"/>
      <c r="AD4" s="1032"/>
      <c r="AE4" s="1032"/>
      <c r="AF4" s="1032"/>
      <c r="AG4" s="1036"/>
      <c r="AH4" s="1036"/>
    </row>
    <row r="5">
      <c r="A5" s="1037" t="s">
        <v>4053</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7544</v>
      </c>
      <c r="Y5" s="1032"/>
      <c r="Z5" s="1032"/>
      <c r="AA5" s="1045" t="s">
        <v>7545</v>
      </c>
      <c r="AB5" s="1032"/>
      <c r="AC5" s="999"/>
      <c r="AD5" s="1032"/>
      <c r="AE5" s="1032"/>
      <c r="AF5" s="1032"/>
      <c r="AG5" s="1036"/>
      <c r="AH5" s="1036"/>
    </row>
    <row r="6">
      <c r="A6" s="1037" t="s">
        <v>2460</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6280</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6453</v>
      </c>
      <c r="AC8" s="999"/>
      <c r="AD8" s="1032"/>
      <c r="AE8" s="1032"/>
      <c r="AF8" s="1032"/>
      <c r="AG8" s="1036"/>
      <c r="AH8" s="1036"/>
    </row>
    <row r="9">
      <c r="A9" s="1005" t="s">
        <v>7503</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1259</v>
      </c>
      <c r="E10" s="1030" t="s">
        <v>1259</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3872</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3198</v>
      </c>
      <c r="X11" s="999"/>
      <c r="Y11" s="1032"/>
      <c r="Z11" s="1032"/>
      <c r="AA11" s="999"/>
      <c r="AB11" s="1032"/>
      <c r="AC11" s="999"/>
      <c r="AD11" s="1034" t="s">
        <v>7554</v>
      </c>
      <c r="AE11" s="1032"/>
      <c r="AF11" s="1032"/>
      <c r="AG11" s="1036"/>
      <c r="AH11" s="1036"/>
    </row>
    <row r="12">
      <c r="A12" s="1037" t="s">
        <v>2714</v>
      </c>
      <c r="B12" s="1027" t="s">
        <v>3872</v>
      </c>
      <c r="C12" s="1028" t="s">
        <v>1259</v>
      </c>
      <c r="D12" s="1029" t="s">
        <v>1259</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1259</v>
      </c>
      <c r="E15" s="1030" t="s">
        <v>1259</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7559</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3745</v>
      </c>
      <c r="S19" s="1038"/>
      <c r="T19" s="1038"/>
      <c r="U19" s="1051" t="s">
        <v>7560</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6628</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6412</v>
      </c>
      <c r="B28" s="1027" t="s">
        <v>547</v>
      </c>
      <c r="C28" s="1028" t="s">
        <v>1259</v>
      </c>
      <c r="D28" s="1029" t="s">
        <v>1259</v>
      </c>
      <c r="E28" s="1030" t="s">
        <v>1259</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1549</v>
      </c>
      <c r="E1" s="1066" t="s">
        <v>7570</v>
      </c>
      <c r="F1" s="1067" t="s">
        <v>2544</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1876</v>
      </c>
      <c r="T1" s="1065" t="s">
        <v>7579</v>
      </c>
      <c r="U1" s="1065" t="s">
        <v>7287</v>
      </c>
      <c r="V1" s="1066" t="s">
        <v>7580</v>
      </c>
      <c r="W1" s="1065" t="s">
        <v>2714</v>
      </c>
      <c r="X1" s="1065" t="s">
        <v>7581</v>
      </c>
      <c r="Y1" s="1065" t="s">
        <v>7159</v>
      </c>
      <c r="Z1" s="1065" t="s">
        <v>4053</v>
      </c>
      <c r="AA1" s="1065" t="s">
        <v>7582</v>
      </c>
      <c r="AB1" s="1065" t="s">
        <v>6780</v>
      </c>
      <c r="AC1" s="1065" t="s">
        <v>3571</v>
      </c>
      <c r="AD1" s="1065" t="s">
        <v>7232</v>
      </c>
      <c r="AE1" s="1065" t="s">
        <v>7583</v>
      </c>
      <c r="AF1" s="1065" t="s">
        <v>7584</v>
      </c>
      <c r="AG1" s="1065" t="s">
        <v>1198</v>
      </c>
      <c r="AH1" s="1065" t="s">
        <v>218</v>
      </c>
      <c r="AI1" s="1065" t="s">
        <v>1631</v>
      </c>
      <c r="AJ1" s="1065" t="s">
        <v>2086</v>
      </c>
      <c r="AK1" s="1065" t="s">
        <v>7585</v>
      </c>
      <c r="AL1" s="1065" t="s">
        <v>7586</v>
      </c>
      <c r="AM1" s="1065" t="s">
        <v>7587</v>
      </c>
      <c r="AN1" s="1065" t="s">
        <v>2025</v>
      </c>
      <c r="AO1" s="1065" t="s">
        <v>7588</v>
      </c>
      <c r="AP1" s="1065" t="s">
        <v>7589</v>
      </c>
      <c r="AQ1" s="1065" t="s">
        <v>6026</v>
      </c>
      <c r="AR1" s="1065" t="s">
        <v>7590</v>
      </c>
      <c r="AS1" s="1065" t="s">
        <v>7591</v>
      </c>
      <c r="AT1" s="1065" t="s">
        <v>7592</v>
      </c>
      <c r="AU1" s="1069" t="s">
        <v>7593</v>
      </c>
      <c r="AV1" s="1065" t="s">
        <v>3194</v>
      </c>
      <c r="AW1" s="1065" t="s">
        <v>3905</v>
      </c>
      <c r="AX1" s="1065" t="s">
        <v>5897</v>
      </c>
      <c r="AY1" s="1065" t="s">
        <v>7594</v>
      </c>
      <c r="AZ1" s="1065" t="s">
        <v>5345</v>
      </c>
      <c r="BA1" s="1069" t="s">
        <v>4683</v>
      </c>
      <c r="BB1" s="1065" t="s">
        <v>827</v>
      </c>
      <c r="BC1" s="1065" t="s">
        <v>647</v>
      </c>
      <c r="BD1" s="1065" t="s">
        <v>7595</v>
      </c>
      <c r="BE1" s="1066" t="s">
        <v>7281</v>
      </c>
      <c r="BF1" s="1065" t="s">
        <v>7485</v>
      </c>
      <c r="BG1" s="1065" t="s">
        <v>7493</v>
      </c>
      <c r="BH1" s="1065" t="s">
        <v>1721</v>
      </c>
      <c r="BI1" s="1069" t="s">
        <v>6659</v>
      </c>
      <c r="BJ1" s="1069" t="s">
        <v>6620</v>
      </c>
      <c r="BK1" s="1069" t="s">
        <v>1807</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2986</v>
      </c>
      <c r="Q4" s="1088" t="s">
        <v>1304</v>
      </c>
      <c r="R4" s="1090" t="s">
        <v>7600</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3653</v>
      </c>
      <c r="M5" s="1094"/>
      <c r="N5" s="1094"/>
      <c r="O5" s="1094" t="s">
        <v>7608</v>
      </c>
      <c r="P5" s="1094" t="str">
        <f>HYPERLINK("https://youtu.be/y9FQ4EcrohI", "1:21.52")</f>
        <v>1:21.52</v>
      </c>
      <c r="Q5" s="1088" t="s">
        <v>7609</v>
      </c>
      <c r="R5" s="1096" t="s">
        <v>7610</v>
      </c>
      <c r="S5" s="1094"/>
      <c r="T5" s="1094" t="s">
        <v>7096</v>
      </c>
      <c r="U5" s="1094" t="s">
        <v>2585</v>
      </c>
      <c r="V5" s="1094"/>
      <c r="W5" s="1094"/>
      <c r="X5" s="1094"/>
      <c r="Y5" s="1094"/>
      <c r="Z5" s="1094"/>
      <c r="AA5" s="1094"/>
      <c r="AB5" s="1094"/>
      <c r="AC5" s="1094" t="s">
        <v>7611</v>
      </c>
      <c r="AD5" s="1094"/>
      <c r="AE5" s="1094"/>
      <c r="AF5" s="1094" t="s">
        <v>7612</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1554</v>
      </c>
      <c r="E6" s="1086" t="s">
        <v>336</v>
      </c>
      <c r="F6" s="1100" t="s">
        <v>2547</v>
      </c>
      <c r="G6" s="1086" t="s">
        <v>6955</v>
      </c>
      <c r="H6" s="1087" t="s">
        <v>1261</v>
      </c>
      <c r="I6" s="1088" t="s">
        <v>7614</v>
      </c>
      <c r="J6" s="1086" t="str">
        <f>HYPERLINK("https://youtu.be/ZP_d48CVxG0","1:19.30")</f>
        <v>1:19.30</v>
      </c>
      <c r="K6" s="1089"/>
      <c r="L6" s="1089"/>
      <c r="M6" s="1089" t="s">
        <v>102</v>
      </c>
      <c r="N6" s="1089" t="s">
        <v>746</v>
      </c>
      <c r="O6" s="1089" t="s">
        <v>4608</v>
      </c>
      <c r="P6" s="1086" t="s">
        <v>1058</v>
      </c>
      <c r="Q6" s="1088" t="s">
        <v>6755</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2123</v>
      </c>
      <c r="D7" s="1105"/>
      <c r="E7" s="1105"/>
      <c r="F7" s="1085"/>
      <c r="G7" s="1105"/>
      <c r="H7" s="1106"/>
      <c r="I7" s="1105"/>
      <c r="J7" s="1105"/>
      <c r="K7" s="1105"/>
      <c r="L7" s="1105"/>
      <c r="M7" s="1105"/>
      <c r="N7" s="1105"/>
      <c r="O7" s="1105"/>
      <c r="P7" s="1105"/>
      <c r="Q7" s="1105"/>
      <c r="R7" s="1101" t="s">
        <v>7618</v>
      </c>
      <c r="S7" s="1105"/>
      <c r="T7" s="1105"/>
      <c r="U7" s="1105"/>
      <c r="V7" s="1105"/>
      <c r="W7" s="1086" t="s">
        <v>2123</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1372</v>
      </c>
      <c r="K8" s="1094"/>
      <c r="L8" s="1094"/>
      <c r="M8" s="1094" t="s">
        <v>1140</v>
      </c>
      <c r="N8" s="1094" t="s">
        <v>1140</v>
      </c>
      <c r="O8" s="1094" t="s">
        <v>7622</v>
      </c>
      <c r="P8" s="1094"/>
      <c r="Q8" s="1088"/>
      <c r="R8" s="1096" t="s">
        <v>7623</v>
      </c>
      <c r="S8" s="1094" t="s">
        <v>5866</v>
      </c>
      <c r="T8" s="1094" t="s">
        <v>3855</v>
      </c>
      <c r="U8" s="1094" t="s">
        <v>7624</v>
      </c>
      <c r="V8" s="1094" t="s">
        <v>7625</v>
      </c>
      <c r="W8" s="1094"/>
      <c r="X8" s="1094"/>
      <c r="Y8" s="1094" t="s">
        <v>5866</v>
      </c>
      <c r="Z8" s="1094"/>
      <c r="AA8" s="1094" t="s">
        <v>3652</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2325</v>
      </c>
      <c r="D9" s="1105"/>
      <c r="E9" s="1105"/>
      <c r="F9" s="1085"/>
      <c r="G9" s="1105"/>
      <c r="H9" s="1087" t="s">
        <v>1408</v>
      </c>
      <c r="I9" s="1105"/>
      <c r="J9" s="1105"/>
      <c r="K9" s="1105"/>
      <c r="L9" s="1105"/>
      <c r="M9" s="1105"/>
      <c r="N9" s="1105"/>
      <c r="O9" s="1105"/>
      <c r="P9" s="1105" t="s">
        <v>636</v>
      </c>
      <c r="Q9" s="1105"/>
      <c r="R9" s="1101" t="s">
        <v>7628</v>
      </c>
      <c r="S9" s="1105"/>
      <c r="T9" s="1105" t="s">
        <v>2325</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2539</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2539</v>
      </c>
      <c r="BL10" s="1097"/>
      <c r="BM10" s="1097"/>
      <c r="BN10" s="1097"/>
      <c r="BO10" s="1097"/>
    </row>
    <row r="11" ht="15.75" customHeight="1">
      <c r="A11" s="1110"/>
      <c r="B11" s="1111" t="s">
        <v>7613</v>
      </c>
      <c r="C11" s="1082" t="s">
        <v>7633</v>
      </c>
      <c r="D11" s="1089"/>
      <c r="E11" s="1086" t="s">
        <v>1244</v>
      </c>
      <c r="F11" s="1112" t="s">
        <v>5073</v>
      </c>
      <c r="G11" s="1089"/>
      <c r="H11" s="1087" t="s">
        <v>2165</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2346</v>
      </c>
      <c r="D12" s="1094" t="s">
        <v>1790</v>
      </c>
      <c r="E12" s="1094" t="s">
        <v>2826</v>
      </c>
      <c r="F12" s="1114" t="s">
        <v>2346</v>
      </c>
      <c r="G12" s="1094"/>
      <c r="H12" s="1087" t="s">
        <v>7639</v>
      </c>
      <c r="I12" s="1088" t="s">
        <v>7640</v>
      </c>
      <c r="J12" s="1094" t="s">
        <v>7436</v>
      </c>
      <c r="K12" s="1094"/>
      <c r="L12" s="1094" t="s">
        <v>1865</v>
      </c>
      <c r="M12" s="1094"/>
      <c r="N12" s="1094" t="s">
        <v>4502</v>
      </c>
      <c r="O12" s="1094" t="s">
        <v>4792</v>
      </c>
      <c r="P12" s="1094"/>
      <c r="Q12" s="1088" t="s">
        <v>3408</v>
      </c>
      <c r="R12" s="1101" t="s">
        <v>7641</v>
      </c>
      <c r="S12" s="1094" t="s">
        <v>4502</v>
      </c>
      <c r="T12" s="1094"/>
      <c r="U12" s="1094" t="s">
        <v>4379</v>
      </c>
      <c r="V12" s="1094"/>
      <c r="W12" s="1094" t="s">
        <v>656</v>
      </c>
      <c r="X12" s="1094" t="s">
        <v>2895</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6239</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4277</v>
      </c>
      <c r="D13" s="1001" t="s">
        <v>1555</v>
      </c>
      <c r="E13" s="1086" t="s">
        <v>337</v>
      </c>
      <c r="F13" s="1100" t="s">
        <v>2548</v>
      </c>
      <c r="G13" s="1086" t="s">
        <v>4277</v>
      </c>
      <c r="H13" s="1087" t="s">
        <v>1262</v>
      </c>
      <c r="I13" s="1088" t="s">
        <v>2193</v>
      </c>
      <c r="J13" s="1089" t="s">
        <v>7644</v>
      </c>
      <c r="K13" s="1086" t="s">
        <v>726</v>
      </c>
      <c r="L13" s="1089"/>
      <c r="M13" s="1089" t="s">
        <v>2346</v>
      </c>
      <c r="N13" s="1086" t="s">
        <v>2108</v>
      </c>
      <c r="O13" s="1089" t="s">
        <v>7645</v>
      </c>
      <c r="P13" s="1086" t="s">
        <v>7646</v>
      </c>
      <c r="Q13" s="1088" t="s">
        <v>2826</v>
      </c>
      <c r="R13" s="1116"/>
      <c r="S13" s="1089" t="s">
        <v>3875</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4012</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6316</v>
      </c>
      <c r="D14" s="1094" t="s">
        <v>119</v>
      </c>
      <c r="E14" s="1094" t="s">
        <v>6316</v>
      </c>
      <c r="F14" s="1114" t="s">
        <v>6137</v>
      </c>
      <c r="G14" s="1089" t="s">
        <v>4446</v>
      </c>
      <c r="H14" s="1087" t="str">
        <f>HYPERLINK("https://www.twitch.tv/videos/569558488","14.31")</f>
        <v>14.31</v>
      </c>
      <c r="I14" s="1118" t="s">
        <v>7648</v>
      </c>
      <c r="J14" s="1094" t="str">
        <f>HYPERLINK("https://youtu.be/F4XtupQ5d4o","14.33")</f>
        <v>14.33</v>
      </c>
      <c r="K14" s="1094" t="s">
        <v>4446</v>
      </c>
      <c r="L14" s="1086" t="s">
        <v>4058</v>
      </c>
      <c r="M14" s="1094"/>
      <c r="N14" s="1094" t="str">
        <f>HYPERLINK("https://www.youtube.com/watch?v=h3GaauXfeR4","14.16")</f>
        <v>14.16</v>
      </c>
      <c r="O14" s="1094" t="str">
        <f>HYPERLINK("https://youtu.be/rZW3Nzg9CsM","14.20")</f>
        <v>14.20</v>
      </c>
      <c r="P14" s="1094"/>
      <c r="Q14" s="1088" t="s">
        <v>4400</v>
      </c>
      <c r="R14" s="1090" t="s">
        <v>5443</v>
      </c>
      <c r="S14" s="1094" t="s">
        <v>2278</v>
      </c>
      <c r="T14" s="1094" t="s">
        <v>3908</v>
      </c>
      <c r="U14" s="1094"/>
      <c r="V14" s="1094"/>
      <c r="W14" s="1094"/>
      <c r="X14" s="1094" t="s">
        <v>5656</v>
      </c>
      <c r="Y14" s="1094"/>
      <c r="Z14" s="1094" t="s">
        <v>4523</v>
      </c>
      <c r="AA14" s="1094"/>
      <c r="AB14" s="1094"/>
      <c r="AC14" s="1094" t="s">
        <v>6137</v>
      </c>
      <c r="AD14" s="1094"/>
      <c r="AE14" s="1094"/>
      <c r="AF14" s="1094" t="s">
        <v>665</v>
      </c>
      <c r="AG14" s="1094" t="s">
        <v>6926</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2549</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2380</v>
      </c>
      <c r="R15" s="1116"/>
      <c r="S15" s="1094" t="s">
        <v>1951</v>
      </c>
      <c r="T15" s="1094"/>
      <c r="U15" s="1086" t="s">
        <v>2549</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2671</v>
      </c>
      <c r="D16" s="1094" t="s">
        <v>5539</v>
      </c>
      <c r="E16" s="1094"/>
      <c r="F16" s="1114" t="s">
        <v>2146</v>
      </c>
      <c r="G16" s="1094"/>
      <c r="H16" s="1106"/>
      <c r="I16" s="1088" t="s">
        <v>2132</v>
      </c>
      <c r="J16" s="1094"/>
      <c r="K16" s="1094"/>
      <c r="L16" s="1094"/>
      <c r="M16" s="1094"/>
      <c r="N16" s="1094" t="s">
        <v>2671</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2257</v>
      </c>
      <c r="I17" s="1088"/>
      <c r="J17" s="1089"/>
      <c r="K17" s="1086" t="s">
        <v>7656</v>
      </c>
      <c r="L17" s="1089"/>
      <c r="M17" s="1089" t="s">
        <v>7656</v>
      </c>
      <c r="N17" s="1089"/>
      <c r="O17" s="1089"/>
      <c r="P17" s="1086" t="s">
        <v>1988</v>
      </c>
      <c r="Q17" s="1088" t="s">
        <v>7657</v>
      </c>
      <c r="R17" s="1090"/>
      <c r="S17" s="1089" t="s">
        <v>7658</v>
      </c>
      <c r="T17" s="1089"/>
      <c r="U17" s="1089"/>
      <c r="V17" s="1089" t="s">
        <v>2671</v>
      </c>
      <c r="W17" s="1089"/>
      <c r="X17" s="1089"/>
      <c r="Y17" s="1089" t="s">
        <v>7656</v>
      </c>
      <c r="Z17" s="1089"/>
      <c r="AA17" s="1086" t="s">
        <v>1988</v>
      </c>
      <c r="AB17" s="1089"/>
      <c r="AC17" s="1089"/>
      <c r="AD17" s="1089"/>
      <c r="AE17" s="1089"/>
      <c r="AF17" s="1089"/>
      <c r="AG17" s="1089"/>
      <c r="AH17" s="1086" t="s">
        <v>7653</v>
      </c>
      <c r="AI17" s="1089" t="s">
        <v>3890</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3613</v>
      </c>
      <c r="E18" s="1094" t="s">
        <v>1173</v>
      </c>
      <c r="F18" s="1095"/>
      <c r="G18" s="1094"/>
      <c r="H18" s="1087" t="s">
        <v>4447</v>
      </c>
      <c r="I18" s="1088"/>
      <c r="J18" s="1094" t="s">
        <v>4214</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2861</v>
      </c>
      <c r="D19" s="1094"/>
      <c r="E19" s="1094" t="s">
        <v>882</v>
      </c>
      <c r="F19" s="1085"/>
      <c r="G19" s="1094"/>
      <c r="H19" s="1106"/>
      <c r="I19" s="1088"/>
      <c r="J19" s="1094"/>
      <c r="K19" s="1094"/>
      <c r="L19" s="1094" t="s">
        <v>6718</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4046</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2125</v>
      </c>
      <c r="G20" s="1094" t="s">
        <v>4385</v>
      </c>
      <c r="H20" s="1087" t="s">
        <v>1264</v>
      </c>
      <c r="I20" s="1088" t="s">
        <v>235</v>
      </c>
      <c r="J20" s="1094" t="str">
        <f>HYPERLINK("https://clips.twitch.tv/EnergeticBeautifulMallardRalpherZ","42.96")</f>
        <v>42.96</v>
      </c>
      <c r="K20" s="1094" t="s">
        <v>141</v>
      </c>
      <c r="L20" s="1086" t="s">
        <v>2827</v>
      </c>
      <c r="M20" s="1094" t="s">
        <v>628</v>
      </c>
      <c r="N20" s="1094" t="s">
        <v>592</v>
      </c>
      <c r="O20" s="1094" t="s">
        <v>1889</v>
      </c>
      <c r="P20" s="1094" t="s">
        <v>660</v>
      </c>
      <c r="Q20" s="1088" t="s">
        <v>3296</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2671</v>
      </c>
      <c r="D23" s="1047"/>
      <c r="E23" s="1047" t="s">
        <v>160</v>
      </c>
      <c r="F23" s="1085"/>
      <c r="G23" s="1047"/>
      <c r="H23" s="1106" t="s">
        <v>4166</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3890</v>
      </c>
      <c r="F24" s="1112" t="s">
        <v>4258</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3446</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2829</v>
      </c>
      <c r="D27" s="1086" t="s">
        <v>1559</v>
      </c>
      <c r="E27" s="1094" t="s">
        <v>7691</v>
      </c>
      <c r="F27" s="1114" t="s">
        <v>6753</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2551</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3313</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2957</v>
      </c>
      <c r="D30" s="1094"/>
      <c r="E30" s="1094" t="s">
        <v>2957</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4267</v>
      </c>
      <c r="D31" s="1094"/>
      <c r="E31" s="1094" t="s">
        <v>1965</v>
      </c>
      <c r="F31" s="1132" t="s">
        <v>5742</v>
      </c>
      <c r="G31" s="1094"/>
      <c r="H31" s="1106"/>
      <c r="I31" s="1088"/>
      <c r="J31" s="1094" t="s">
        <v>4920</v>
      </c>
      <c r="K31" s="1094" t="s">
        <v>772</v>
      </c>
      <c r="L31" s="1094" t="s">
        <v>3447</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6808</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2880</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2393</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3878</v>
      </c>
      <c r="D33" s="1094"/>
      <c r="E33" s="1094" t="s">
        <v>3878</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2880</v>
      </c>
      <c r="D34" s="1094"/>
      <c r="E34" s="1094" t="s">
        <v>3172</v>
      </c>
      <c r="F34" s="1095"/>
      <c r="G34" s="1094"/>
      <c r="H34" s="1106"/>
      <c r="I34" s="1088"/>
      <c r="J34" s="1094"/>
      <c r="K34" s="1094"/>
      <c r="L34" s="1094" t="s">
        <v>4267</v>
      </c>
      <c r="M34" s="1094"/>
      <c r="N34" s="1094" t="s">
        <v>2880</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3747</v>
      </c>
      <c r="D35" s="1094"/>
      <c r="E35" s="1094" t="s">
        <v>3447</v>
      </c>
      <c r="F35" s="1085"/>
      <c r="G35" s="1094"/>
      <c r="H35" s="1106"/>
      <c r="I35" s="1118" t="s">
        <v>7708</v>
      </c>
      <c r="J35" s="1094"/>
      <c r="K35" s="1094" t="s">
        <v>3747</v>
      </c>
      <c r="L35" s="1094" t="s">
        <v>3878</v>
      </c>
      <c r="M35" s="1094"/>
      <c r="N35" s="1094" t="s">
        <v>5441</v>
      </c>
      <c r="O35" s="1094"/>
      <c r="P35" s="1094"/>
      <c r="Q35" s="1088"/>
      <c r="R35" s="1091"/>
      <c r="S35" s="1094" t="s">
        <v>7709</v>
      </c>
      <c r="T35" s="1086" t="s">
        <v>3747</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4147</v>
      </c>
      <c r="D36" s="1094"/>
      <c r="E36" s="1094" t="s">
        <v>3849</v>
      </c>
      <c r="F36" s="1095"/>
      <c r="G36" s="1094"/>
      <c r="H36" s="1106"/>
      <c r="I36" s="1088"/>
      <c r="J36" s="1094"/>
      <c r="K36" s="1094" t="s">
        <v>4147</v>
      </c>
      <c r="L36" s="1094" t="s">
        <v>7711</v>
      </c>
      <c r="M36" s="1094" t="s">
        <v>2271</v>
      </c>
      <c r="N36" s="1094" t="s">
        <v>2880</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2316</v>
      </c>
      <c r="D37" s="1094" t="s">
        <v>1560</v>
      </c>
      <c r="E37" s="1094" t="s">
        <v>3747</v>
      </c>
      <c r="F37" s="1114" t="s">
        <v>3158</v>
      </c>
      <c r="G37" s="1094"/>
      <c r="H37" s="1106"/>
      <c r="I37" s="1088"/>
      <c r="J37" s="1094" t="s">
        <v>7713</v>
      </c>
      <c r="K37" s="1094" t="s">
        <v>2316</v>
      </c>
      <c r="L37" s="1094" t="s">
        <v>2271</v>
      </c>
      <c r="M37" s="1094"/>
      <c r="N37" s="1094" t="s">
        <v>7711</v>
      </c>
      <c r="O37" s="1094"/>
      <c r="P37" s="1094"/>
      <c r="Q37" s="1088"/>
      <c r="R37" s="1091"/>
      <c r="S37" s="1094" t="s">
        <v>3139</v>
      </c>
      <c r="T37" s="1094"/>
      <c r="U37" s="1094"/>
      <c r="V37" s="1094"/>
      <c r="W37" s="1086" t="s">
        <v>3747</v>
      </c>
      <c r="X37" s="1094" t="s">
        <v>5981</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4010</v>
      </c>
      <c r="F38" s="1100" t="s">
        <v>2552</v>
      </c>
      <c r="G38" s="1094" t="s">
        <v>763</v>
      </c>
      <c r="H38" s="1087" t="s">
        <v>3825</v>
      </c>
      <c r="I38" s="1088"/>
      <c r="J38" s="1094" t="s">
        <v>2034</v>
      </c>
      <c r="K38" s="1094" t="s">
        <v>1137</v>
      </c>
      <c r="L38" s="1094" t="s">
        <v>4892</v>
      </c>
      <c r="M38" s="1094"/>
      <c r="N38" s="1094"/>
      <c r="O38" s="1094"/>
      <c r="P38" s="1094" t="s">
        <v>2034</v>
      </c>
      <c r="Q38" s="1088" t="s">
        <v>2490</v>
      </c>
      <c r="R38" s="1097"/>
      <c r="S38" s="1094" t="str">
        <f>HYPERLINK("https://clips.twitch.tv/AggressiveBigTeaNononoCat","40.26")</f>
        <v>40.26</v>
      </c>
      <c r="T38" s="1094"/>
      <c r="U38" s="1094"/>
      <c r="V38" s="1094" t="s">
        <v>4010</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4372</v>
      </c>
      <c r="D39" s="1094" t="s">
        <v>7716</v>
      </c>
      <c r="E39" s="1094" t="s">
        <v>4372</v>
      </c>
      <c r="F39" s="1114" t="s">
        <v>7717</v>
      </c>
      <c r="G39" s="1094"/>
      <c r="H39" s="1087" t="s">
        <v>3126</v>
      </c>
      <c r="I39" s="1088" t="s">
        <v>4090</v>
      </c>
      <c r="J39" s="1094"/>
      <c r="K39" s="1094"/>
      <c r="L39" s="1094" t="s">
        <v>354</v>
      </c>
      <c r="M39" s="1094"/>
      <c r="N39" s="1094"/>
      <c r="O39" s="1094"/>
      <c r="P39" s="1094"/>
      <c r="Q39" s="1088"/>
      <c r="R39" s="1091"/>
      <c r="S39" s="1094" t="s">
        <v>3180</v>
      </c>
      <c r="T39" s="1094"/>
      <c r="U39" s="1094"/>
      <c r="V39" s="1094"/>
      <c r="W39" s="1094"/>
      <c r="X39" s="1094"/>
      <c r="Y39" s="1094"/>
      <c r="Z39" s="1094" t="s">
        <v>7718</v>
      </c>
      <c r="AA39" s="1094" t="s">
        <v>1717</v>
      </c>
      <c r="AB39" s="1094"/>
      <c r="AC39" s="1094" t="s">
        <v>3515</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2540</v>
      </c>
      <c r="D40" s="1094" t="s">
        <v>2754</v>
      </c>
      <c r="E40" s="1094" t="s">
        <v>3666</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2540</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7560</v>
      </c>
      <c r="F41" s="1085"/>
      <c r="G41" s="1094" t="s">
        <v>2657</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2780</v>
      </c>
      <c r="M42" s="1089" t="s">
        <v>557</v>
      </c>
      <c r="N42" s="1086" t="s">
        <v>109</v>
      </c>
      <c r="O42" s="1089" t="s">
        <v>456</v>
      </c>
      <c r="P42" s="1086" t="s">
        <v>557</v>
      </c>
      <c r="Q42" s="1088" t="s">
        <v>343</v>
      </c>
      <c r="R42" s="1116" t="s">
        <v>305</v>
      </c>
      <c r="S42" s="1089"/>
      <c r="T42" s="1089"/>
      <c r="U42" s="1089"/>
      <c r="V42" s="1089"/>
      <c r="W42" s="1086" t="s">
        <v>2553</v>
      </c>
      <c r="X42" s="1089" t="s">
        <v>3557</v>
      </c>
      <c r="Y42" s="1089"/>
      <c r="Z42" s="1089"/>
      <c r="AA42" s="1089"/>
      <c r="AB42" s="1089"/>
      <c r="AC42" s="1089"/>
      <c r="AD42" s="1089"/>
      <c r="AE42" s="1089"/>
      <c r="AF42" s="1089"/>
      <c r="AG42" s="1089"/>
      <c r="AH42" s="1089"/>
      <c r="AI42" s="1089"/>
      <c r="AJ42" s="1089"/>
      <c r="AK42" s="1089"/>
      <c r="AL42" s="1130" t="s">
        <v>3104</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2925</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2404</v>
      </c>
      <c r="D44" s="998" t="s">
        <v>1356</v>
      </c>
      <c r="E44" s="1094" t="s">
        <v>2404</v>
      </c>
      <c r="F44" s="1085"/>
      <c r="G44" s="1094"/>
      <c r="H44" s="1106"/>
      <c r="I44" s="1088" t="s">
        <v>808</v>
      </c>
      <c r="J44" s="1094" t="str">
        <f>HYPERLINK("https://youtu.be/t-1yqXLdZMA","38.05")</f>
        <v>38.05</v>
      </c>
      <c r="K44" s="1094" t="s">
        <v>7729</v>
      </c>
      <c r="L44" s="1094" t="s">
        <v>2273</v>
      </c>
      <c r="M44" s="1094" t="s">
        <v>836</v>
      </c>
      <c r="N44" s="1094" t="s">
        <v>3140</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2840</v>
      </c>
      <c r="F46" s="1085"/>
      <c r="G46" s="1094"/>
      <c r="H46" s="1106"/>
      <c r="I46" s="1088"/>
      <c r="J46" s="1094" t="s">
        <v>1635</v>
      </c>
      <c r="K46" s="1094"/>
      <c r="L46" s="1094" t="s">
        <v>2174</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3229</v>
      </c>
      <c r="D48" s="1088"/>
      <c r="E48" s="1088"/>
      <c r="F48" s="1085"/>
      <c r="G48" s="1088"/>
      <c r="H48" s="1106"/>
      <c r="I48" s="1088"/>
      <c r="J48" s="1086" t="s">
        <v>3229</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6153</v>
      </c>
      <c r="E49" s="1088"/>
      <c r="F49" s="1095"/>
      <c r="G49" s="1088" t="s">
        <v>6153</v>
      </c>
      <c r="H49" s="1106"/>
      <c r="I49" s="1088" t="s">
        <v>7738</v>
      </c>
      <c r="J49" s="1086" t="s">
        <v>5471</v>
      </c>
      <c r="K49" s="1140" t="s">
        <v>2274</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2995</v>
      </c>
      <c r="P55" s="1094"/>
      <c r="Q55" s="1088" t="s">
        <v>3427</v>
      </c>
      <c r="R55" s="1154" t="s">
        <v>7753</v>
      </c>
      <c r="S55" s="1094" t="s">
        <v>122</v>
      </c>
      <c r="T55" s="1094" t="s">
        <v>7754</v>
      </c>
      <c r="U55" s="1094"/>
      <c r="V55" s="1094"/>
      <c r="W55" s="1094" t="s">
        <v>3549</v>
      </c>
      <c r="X55" s="1094" t="s">
        <v>2783</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3196</v>
      </c>
      <c r="D56" s="1094"/>
      <c r="E56" s="1094" t="s">
        <v>3196</v>
      </c>
      <c r="F56" s="1158"/>
      <c r="G56" s="1094"/>
      <c r="H56" s="1106"/>
      <c r="I56" s="1153"/>
      <c r="J56" s="1094"/>
      <c r="K56" s="1094"/>
      <c r="L56" s="1094"/>
      <c r="M56" s="1094"/>
      <c r="N56" s="1094"/>
      <c r="O56" s="1094"/>
      <c r="P56" s="1094" t="s">
        <v>402</v>
      </c>
      <c r="Q56" s="1088" t="s">
        <v>1304</v>
      </c>
      <c r="R56" s="1097"/>
      <c r="S56" s="1094" t="s">
        <v>803</v>
      </c>
      <c r="T56" s="1094"/>
      <c r="U56" s="1094"/>
      <c r="V56" s="1094" t="s">
        <v>5959</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3587</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4300</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3837</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2147</v>
      </c>
      <c r="T61" s="1130"/>
      <c r="U61" s="1130"/>
      <c r="V61" s="1130"/>
      <c r="W61" s="1130"/>
      <c r="X61" s="1130"/>
      <c r="Y61" s="1130"/>
      <c r="Z61" s="1130"/>
      <c r="AA61" s="1130" t="s">
        <v>4161</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2661</v>
      </c>
      <c r="F63" s="1168" t="s">
        <v>1077</v>
      </c>
      <c r="G63" s="1087" t="s">
        <v>623</v>
      </c>
      <c r="H63" s="1087" t="s">
        <v>7763</v>
      </c>
      <c r="I63" s="1153"/>
      <c r="J63" s="1130"/>
      <c r="K63" s="1130"/>
      <c r="L63" s="1130"/>
      <c r="M63" s="1130"/>
      <c r="N63" s="1130"/>
      <c r="O63" s="1130"/>
      <c r="P63" s="1087" t="s">
        <v>3985</v>
      </c>
      <c r="Q63" s="1088" t="s">
        <v>7764</v>
      </c>
      <c r="R63" s="1097"/>
      <c r="S63" s="1130" t="s">
        <v>7665</v>
      </c>
      <c r="T63" s="1130" t="s">
        <v>193</v>
      </c>
      <c r="U63" s="1130"/>
      <c r="V63" s="1130"/>
      <c r="W63" s="1130"/>
      <c r="X63" s="1130"/>
      <c r="Y63" s="1130"/>
      <c r="Z63" s="1130"/>
      <c r="AA63" s="1130"/>
      <c r="AB63" s="1130" t="s">
        <v>3985</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4141</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2555</v>
      </c>
      <c r="D66" s="1135" t="s">
        <v>7770</v>
      </c>
      <c r="E66" s="1135"/>
      <c r="F66" s="1168" t="s">
        <v>2555</v>
      </c>
      <c r="G66" s="1135" t="s">
        <v>2260</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3744</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4223</v>
      </c>
      <c r="E70" s="1088"/>
      <c r="F70" s="1085"/>
      <c r="G70" s="1088"/>
      <c r="H70" s="1106"/>
      <c r="I70" s="1175"/>
      <c r="J70" s="1088"/>
      <c r="K70" s="1140" t="s">
        <v>6383</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2747</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2353</v>
      </c>
      <c r="E71" s="1094" t="s">
        <v>3481</v>
      </c>
      <c r="F71" s="1168" t="s">
        <v>7785</v>
      </c>
      <c r="G71" s="1094" t="s">
        <v>575</v>
      </c>
      <c r="H71" s="1106"/>
      <c r="I71" s="1164" t="s">
        <v>6277</v>
      </c>
      <c r="J71" s="1094"/>
      <c r="K71" s="1094" t="s">
        <v>7785</v>
      </c>
      <c r="L71" s="1094"/>
      <c r="M71" s="1094"/>
      <c r="N71" s="1094" t="s">
        <v>3481</v>
      </c>
      <c r="O71" s="1094"/>
      <c r="P71" s="1094"/>
      <c r="Q71" s="1088"/>
      <c r="R71" s="1154" t="s">
        <v>7786</v>
      </c>
      <c r="S71" s="1094"/>
      <c r="T71" s="1094"/>
      <c r="U71" s="1094"/>
      <c r="V71" s="1094" t="s">
        <v>2838</v>
      </c>
      <c r="W71" s="1130" t="s">
        <v>5670</v>
      </c>
      <c r="X71" s="1094"/>
      <c r="Y71" s="1094" t="s">
        <v>3377</v>
      </c>
      <c r="Z71" s="1094" t="s">
        <v>5106</v>
      </c>
      <c r="AA71" s="1094"/>
      <c r="AB71" s="1094" t="s">
        <v>4835</v>
      </c>
      <c r="AC71" s="1094"/>
      <c r="AD71" s="1094"/>
      <c r="AE71" s="1094"/>
      <c r="AF71" s="1094"/>
      <c r="AG71" s="1094" t="s">
        <v>3837</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4066</v>
      </c>
      <c r="P72" s="1178"/>
      <c r="Q72" s="1105"/>
      <c r="R72" s="1116" t="s">
        <v>7789</v>
      </c>
      <c r="S72" s="1178" t="str">
        <f>HYPERLINK("https://clips.twitch.tv/ThankfulSpoopyHerdWOOP","16.58")</f>
        <v>16.58</v>
      </c>
      <c r="T72" s="1178"/>
      <c r="U72" s="1178"/>
      <c r="V72" s="1178"/>
      <c r="W72" s="1178"/>
      <c r="X72" s="1178" t="s">
        <v>7790</v>
      </c>
      <c r="Y72" s="1178"/>
      <c r="Z72" s="1178" t="s">
        <v>3637</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3580</v>
      </c>
      <c r="D73" s="1094" t="s">
        <v>530</v>
      </c>
      <c r="E73" s="1094"/>
      <c r="F73" s="1114" t="s">
        <v>343</v>
      </c>
      <c r="G73" s="1094" t="s">
        <v>3946</v>
      </c>
      <c r="H73" s="1087" t="s">
        <v>2215</v>
      </c>
      <c r="I73" s="1153"/>
      <c r="J73" s="1094" t="s">
        <v>404</v>
      </c>
      <c r="K73" s="1094" t="s">
        <v>3267</v>
      </c>
      <c r="L73" s="1094"/>
      <c r="M73" s="1094"/>
      <c r="N73" s="1094"/>
      <c r="O73" s="1094" t="str">
        <f>HYPERLINK("https://youtu.be/1clufi5ICPo","15.10")</f>
        <v>15.10</v>
      </c>
      <c r="P73" s="1094"/>
      <c r="Q73" s="1088"/>
      <c r="R73" s="1179">
        <v>17.35</v>
      </c>
      <c r="S73" s="1094" t="s">
        <v>2726</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4384</v>
      </c>
      <c r="L74" s="1135" t="s">
        <v>3106</v>
      </c>
      <c r="M74" s="1135" t="s">
        <v>7794</v>
      </c>
      <c r="N74" s="1135" t="s">
        <v>5958</v>
      </c>
      <c r="O74" s="1135" t="s">
        <v>358</v>
      </c>
      <c r="P74" s="1135" t="s">
        <v>6171</v>
      </c>
      <c r="Q74" s="1118"/>
      <c r="R74" s="1154" t="s">
        <v>5660</v>
      </c>
      <c r="S74" s="1135" t="s">
        <v>1957</v>
      </c>
      <c r="T74" s="1135"/>
      <c r="U74" s="1135" t="s">
        <v>1607</v>
      </c>
      <c r="V74" s="1135"/>
      <c r="W74" s="1135"/>
      <c r="X74" s="1135"/>
      <c r="Y74" s="1135"/>
      <c r="Z74" s="1135"/>
      <c r="AA74" s="1135"/>
      <c r="AB74" s="1135"/>
      <c r="AC74" s="1135" t="s">
        <v>3580</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2200</v>
      </c>
      <c r="D75" s="1094"/>
      <c r="E75" s="1094" t="s">
        <v>2200</v>
      </c>
      <c r="F75" s="1158"/>
      <c r="G75" s="1094"/>
      <c r="H75" s="1087" t="s">
        <v>6626</v>
      </c>
      <c r="I75" s="1153"/>
      <c r="J75" s="1094" t="s">
        <v>7798</v>
      </c>
      <c r="K75" s="1094"/>
      <c r="L75" s="1094" t="s">
        <v>4234</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5000</v>
      </c>
      <c r="L76" s="1094" t="s">
        <v>7803</v>
      </c>
      <c r="M76" s="1094" t="s">
        <v>912</v>
      </c>
      <c r="N76" s="1094" t="s">
        <v>756</v>
      </c>
      <c r="O76" s="1094" t="s">
        <v>1359</v>
      </c>
      <c r="P76" s="1094" t="s">
        <v>2324</v>
      </c>
      <c r="Q76" s="1088" t="s">
        <v>3882</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4067</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4067</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6234</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3338</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4058</v>
      </c>
      <c r="D80" s="1094"/>
      <c r="E80" s="1094" t="s">
        <v>4058</v>
      </c>
      <c r="F80" s="1158"/>
      <c r="G80" s="1094"/>
      <c r="H80" s="1087" t="s">
        <v>2476</v>
      </c>
      <c r="I80" s="1153"/>
      <c r="J80" s="1094"/>
      <c r="K80" s="1094"/>
      <c r="L80" s="1094"/>
      <c r="M80" s="1094"/>
      <c r="N80" s="1094"/>
      <c r="O80" s="1094"/>
      <c r="P80" s="1094"/>
      <c r="Q80" s="1088"/>
      <c r="R80" s="1096" t="s">
        <v>7810</v>
      </c>
      <c r="S80" s="1094"/>
      <c r="T80" s="1094"/>
      <c r="U80" s="1094"/>
      <c r="V80" s="1094"/>
      <c r="W80" s="1094"/>
      <c r="X80" s="1094"/>
      <c r="Y80" s="1094"/>
      <c r="Z80" s="1094" t="s">
        <v>3745</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2741</v>
      </c>
      <c r="D81" s="1094" t="s">
        <v>2536</v>
      </c>
      <c r="E81" s="1094" t="s">
        <v>2402</v>
      </c>
      <c r="F81" s="1114" t="s">
        <v>7812</v>
      </c>
      <c r="G81" s="1094"/>
      <c r="H81" s="1087" t="s">
        <v>7813</v>
      </c>
      <c r="I81" s="1153"/>
      <c r="J81" s="1094"/>
      <c r="K81" s="1094"/>
      <c r="L81" s="1094"/>
      <c r="M81" s="1094"/>
      <c r="N81" s="1094" t="s">
        <v>7814</v>
      </c>
      <c r="O81" s="1094"/>
      <c r="P81" s="1094"/>
      <c r="Q81" s="1088" t="s">
        <v>7815</v>
      </c>
      <c r="R81" s="1154" t="s">
        <v>7816</v>
      </c>
      <c r="S81" s="1094"/>
      <c r="T81" s="1094"/>
      <c r="U81" s="1094" t="s">
        <v>4048</v>
      </c>
      <c r="V81" s="1094"/>
      <c r="W81" s="1094"/>
      <c r="X81" s="1094"/>
      <c r="Y81" s="1094" t="s">
        <v>7815</v>
      </c>
      <c r="Z81" s="1094" t="s">
        <v>1870</v>
      </c>
      <c r="AA81" s="1094" t="s">
        <v>2741</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3017</v>
      </c>
      <c r="D82" s="1130"/>
      <c r="E82" s="1130"/>
      <c r="F82" s="1168" t="s">
        <v>1907</v>
      </c>
      <c r="G82" s="1178" t="s">
        <v>3017</v>
      </c>
      <c r="H82" s="1106"/>
      <c r="I82" s="1153"/>
      <c r="J82" s="1130"/>
      <c r="K82" s="1130"/>
      <c r="L82" s="1130"/>
      <c r="M82" s="1130"/>
      <c r="N82" s="1130"/>
      <c r="O82" s="1130"/>
      <c r="P82" s="1130" t="s">
        <v>3017</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2256</v>
      </c>
      <c r="D83" s="1094"/>
      <c r="E83" s="1094" t="s">
        <v>2256</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2691</v>
      </c>
      <c r="D84" s="1094" t="s">
        <v>3651</v>
      </c>
      <c r="E84" s="1094" t="s">
        <v>2691</v>
      </c>
      <c r="F84" s="1085"/>
      <c r="G84" s="1094"/>
      <c r="H84" s="1106"/>
      <c r="I84" s="1153"/>
      <c r="J84" s="1094"/>
      <c r="K84" s="1094"/>
      <c r="L84" s="1094" t="s">
        <v>7821</v>
      </c>
      <c r="M84" s="1094" t="s">
        <v>5211</v>
      </c>
      <c r="N84" s="1094"/>
      <c r="O84" s="1094" t="str">
        <f>HYPERLINK("https://youtu.be/HUwmtKe7cOY","56.54")</f>
        <v>56.54</v>
      </c>
      <c r="P84" s="1094"/>
      <c r="Q84" s="1088" t="s">
        <v>3824</v>
      </c>
      <c r="R84" s="1180" t="s">
        <v>7822</v>
      </c>
      <c r="S84" s="1094"/>
      <c r="T84" s="1094"/>
      <c r="U84" s="1094"/>
      <c r="V84" s="1094"/>
      <c r="W84" s="1094" t="s">
        <v>7823</v>
      </c>
      <c r="X84" s="1094" t="s">
        <v>2279</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2947</v>
      </c>
      <c r="K85" s="1094" t="s">
        <v>4431</v>
      </c>
      <c r="L85" s="1094"/>
      <c r="M85" s="1094"/>
      <c r="N85" s="1094"/>
      <c r="O85" s="1094" t="str">
        <f>HYPERLINK("https://youtu.be/vycxuqUj3Q4","56.44")</f>
        <v>56.44</v>
      </c>
      <c r="P85" s="1094" t="s">
        <v>3161</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3545</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3545</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2889</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6603</v>
      </c>
      <c r="D88" s="1185" t="s">
        <v>7833</v>
      </c>
      <c r="E88" s="1186" t="s">
        <v>2390</v>
      </c>
      <c r="F88" s="1186"/>
      <c r="G88" s="1185" t="s">
        <v>760</v>
      </c>
      <c r="H88" s="1186" t="s">
        <v>669</v>
      </c>
      <c r="I88" s="1011"/>
      <c r="J88" s="1186" t="s">
        <v>2441</v>
      </c>
      <c r="K88" s="1186" t="s">
        <v>1278</v>
      </c>
      <c r="L88" s="1185" t="s">
        <v>3110</v>
      </c>
      <c r="M88" s="1185" t="s">
        <v>7834</v>
      </c>
      <c r="N88" s="1011"/>
      <c r="O88" s="1011"/>
      <c r="P88" s="1186" t="s">
        <v>6603</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7122</v>
      </c>
      <c r="E91" s="1094" t="s">
        <v>5422</v>
      </c>
      <c r="F91" s="1158"/>
      <c r="G91" s="1094" t="s">
        <v>5422</v>
      </c>
      <c r="H91" s="1106"/>
      <c r="I91" s="1164" t="s">
        <v>7845</v>
      </c>
      <c r="J91" s="1094" t="s">
        <v>5194</v>
      </c>
      <c r="K91" s="1094"/>
      <c r="L91" s="1094" t="s">
        <v>4749</v>
      </c>
      <c r="M91" s="1094"/>
      <c r="N91" s="1094" t="s">
        <v>3701</v>
      </c>
      <c r="O91" s="1094" t="str">
        <f>HYPERLINK("https://youtu.be/HjDDp_Mj_yI","16.74")</f>
        <v>16.74</v>
      </c>
      <c r="P91" s="1094"/>
      <c r="Q91" s="1088" t="s">
        <v>6461</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2925</v>
      </c>
      <c r="T92" s="1094" t="s">
        <v>1778</v>
      </c>
      <c r="U92" s="1094"/>
      <c r="V92" s="1094"/>
      <c r="W92" s="1094"/>
      <c r="X92" s="1094"/>
      <c r="Y92" s="1094"/>
      <c r="Z92" s="1094"/>
      <c r="AA92" s="1094"/>
      <c r="AB92" s="1094"/>
      <c r="AC92" s="1094"/>
      <c r="AD92" s="1094"/>
      <c r="AE92" s="1094"/>
      <c r="AF92" s="1094" t="s">
        <v>6786</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4016</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6093</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2476</v>
      </c>
      <c r="D95" s="1094" t="s">
        <v>2476</v>
      </c>
      <c r="E95" s="1094"/>
      <c r="F95" s="1174" t="s">
        <v>2476</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3427</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6661</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4210</v>
      </c>
      <c r="D101" s="1001" t="s">
        <v>1573</v>
      </c>
      <c r="E101" s="1198" t="s">
        <v>2442</v>
      </c>
      <c r="F101" s="1085"/>
      <c r="G101" s="1198"/>
      <c r="H101" s="1087" t="s">
        <v>6064</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1616</v>
      </c>
      <c r="D102" s="1001" t="s">
        <v>1574</v>
      </c>
      <c r="E102" s="1205"/>
      <c r="F102" s="1206"/>
      <c r="G102" s="1205"/>
      <c r="H102" s="1087" t="s">
        <v>7761</v>
      </c>
      <c r="I102" s="1199" t="s">
        <v>7862</v>
      </c>
      <c r="J102" s="1198" t="s">
        <v>3343</v>
      </c>
      <c r="K102" s="1198" t="s">
        <v>4161</v>
      </c>
      <c r="L102" s="1205" t="s">
        <v>1237</v>
      </c>
      <c r="M102" s="1205" t="s">
        <v>919</v>
      </c>
      <c r="N102" s="1198" t="s">
        <v>764</v>
      </c>
      <c r="O102" s="1205" t="s">
        <v>3726</v>
      </c>
      <c r="P102" s="1198" t="s">
        <v>1616</v>
      </c>
      <c r="Q102" s="1207" t="s">
        <v>2916</v>
      </c>
      <c r="R102" s="1097"/>
      <c r="S102" s="1205"/>
      <c r="T102" s="1205" t="s">
        <v>5873</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3402</v>
      </c>
      <c r="D103" s="1209" t="s">
        <v>4526</v>
      </c>
      <c r="E103" s="1205"/>
      <c r="F103" s="1085"/>
      <c r="G103" s="1205"/>
      <c r="H103" s="1087" t="s">
        <v>6112</v>
      </c>
      <c r="I103" s="1199" t="s">
        <v>5478</v>
      </c>
      <c r="J103" s="1205"/>
      <c r="K103" s="1198" t="s">
        <v>3402</v>
      </c>
      <c r="L103" s="1205"/>
      <c r="M103" s="1205" t="s">
        <v>3481</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2916</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5723</v>
      </c>
      <c r="D106" s="998" t="s">
        <v>6714</v>
      </c>
      <c r="E106" s="1205"/>
      <c r="F106" s="1085"/>
      <c r="G106" s="1205"/>
      <c r="H106" s="1087" t="s">
        <v>613</v>
      </c>
      <c r="I106" s="1202"/>
      <c r="J106" s="1205"/>
      <c r="K106" s="1198" t="s">
        <v>7871</v>
      </c>
      <c r="L106" s="1205" t="s">
        <v>3642</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3723</v>
      </c>
      <c r="E107" s="1205"/>
      <c r="F107" s="1206"/>
      <c r="G107" s="1205"/>
      <c r="H107" s="1087" t="s">
        <v>134</v>
      </c>
      <c r="I107" s="1199"/>
      <c r="J107" s="1205" t="s">
        <v>7875</v>
      </c>
      <c r="K107" s="1198" t="s">
        <v>7876</v>
      </c>
      <c r="L107" s="1205" t="s">
        <v>3643</v>
      </c>
      <c r="M107" s="1205" t="s">
        <v>921</v>
      </c>
      <c r="N107" s="1205"/>
      <c r="O107" s="1205" t="s">
        <v>2510</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1787</v>
      </c>
      <c r="D109" s="1205"/>
      <c r="E109" s="1205"/>
      <c r="F109" s="1206"/>
      <c r="G109" s="1205"/>
      <c r="H109" s="1087" t="s">
        <v>4273</v>
      </c>
      <c r="I109" s="1199" t="s">
        <v>3956</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3645</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3155</v>
      </c>
      <c r="R113" s="1217" t="s">
        <v>7883</v>
      </c>
      <c r="S113" s="1198"/>
      <c r="T113" s="1198" t="s">
        <v>6112</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6112</v>
      </c>
      <c r="F114" s="1216" t="s">
        <v>3826</v>
      </c>
      <c r="G114" s="1198" t="s">
        <v>6112</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2557</v>
      </c>
      <c r="G115" s="1198" t="s">
        <v>473</v>
      </c>
      <c r="H115" s="1087" t="s">
        <v>1663</v>
      </c>
      <c r="I115" s="1199" t="s">
        <v>7885</v>
      </c>
      <c r="J115" s="1198"/>
      <c r="K115" s="1198" t="s">
        <v>3646</v>
      </c>
      <c r="L115" s="1198" t="s">
        <v>3646</v>
      </c>
      <c r="M115" s="1198" t="s">
        <v>678</v>
      </c>
      <c r="N115" s="1198" t="s">
        <v>193</v>
      </c>
      <c r="O115" s="1198"/>
      <c r="P115" s="1198" t="s">
        <v>2215</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2244</v>
      </c>
      <c r="D116" s="1205"/>
      <c r="E116" s="1205"/>
      <c r="F116" s="1206"/>
      <c r="G116" s="1205"/>
      <c r="H116" s="1087" t="s">
        <v>4261</v>
      </c>
      <c r="I116" s="1202"/>
      <c r="J116" s="1205"/>
      <c r="K116" s="1205"/>
      <c r="L116" s="1198" t="s">
        <v>4018</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3798</v>
      </c>
      <c r="BJ116" s="1201"/>
      <c r="BK116" s="1201"/>
      <c r="BL116" s="1201"/>
      <c r="BM116" s="1201"/>
      <c r="BN116" s="1201"/>
      <c r="BO116" s="1201"/>
    </row>
    <row r="117" ht="15.75" customHeight="1">
      <c r="A117" s="1215"/>
      <c r="B117" s="1212" t="s">
        <v>7888</v>
      </c>
      <c r="C117" s="1197" t="s">
        <v>877</v>
      </c>
      <c r="D117" s="1205" t="s">
        <v>3994</v>
      </c>
      <c r="E117" s="1205"/>
      <c r="F117" s="1085"/>
      <c r="G117" s="1205"/>
      <c r="H117" s="1087" t="s">
        <v>823</v>
      </c>
      <c r="I117" s="1202"/>
      <c r="J117" s="1205"/>
      <c r="K117" s="1198" t="s">
        <v>181</v>
      </c>
      <c r="L117" s="1205" t="s">
        <v>121</v>
      </c>
      <c r="M117" s="1205" t="s">
        <v>296</v>
      </c>
      <c r="N117" s="1205"/>
      <c r="O117" s="1205"/>
      <c r="P117" s="1205"/>
      <c r="Q117" s="1207" t="s">
        <v>2527</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4241</v>
      </c>
      <c r="Q118" s="1200" t="s">
        <v>6204</v>
      </c>
      <c r="R118" s="1201"/>
      <c r="S118" s="1198" t="s">
        <v>2571</v>
      </c>
      <c r="T118" s="1198" t="s">
        <v>3373</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5173</v>
      </c>
      <c r="H120" s="1106"/>
      <c r="I120" s="1199" t="s">
        <v>6085</v>
      </c>
      <c r="J120" s="1205" t="s">
        <v>3664</v>
      </c>
      <c r="K120" s="1205"/>
      <c r="L120" s="1205" t="s">
        <v>3074</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6037</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6670</v>
      </c>
      <c r="B122" s="1214" t="s">
        <v>7599</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2539</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2958</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4113</v>
      </c>
      <c r="D125" s="1198" t="s">
        <v>7900</v>
      </c>
      <c r="E125" s="1198" t="s">
        <v>7901</v>
      </c>
      <c r="F125" s="1114" t="s">
        <v>7902</v>
      </c>
      <c r="G125" s="1198" t="s">
        <v>4113</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2919</v>
      </c>
      <c r="D127" s="1205"/>
      <c r="E127" s="1205"/>
      <c r="F127" s="1085"/>
      <c r="G127" s="1205"/>
      <c r="H127" s="1087" t="s">
        <v>2919</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2914</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2784</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2581</v>
      </c>
      <c r="D130" s="1202"/>
      <c r="E130" s="1202"/>
      <c r="F130" s="1239" t="s">
        <v>2735</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2560</v>
      </c>
      <c r="G132" s="1205"/>
      <c r="H132" s="1087" t="s">
        <v>1293</v>
      </c>
      <c r="I132" s="1199" t="s">
        <v>6745</v>
      </c>
      <c r="J132" s="1127" t="str">
        <f>HYPERLINK("https://youtu.be/6f5dBhAmU1g","42.10")</f>
        <v>42.10</v>
      </c>
      <c r="K132" s="1205" t="s">
        <v>527</v>
      </c>
      <c r="L132" s="1205" t="s">
        <v>2143</v>
      </c>
      <c r="M132" s="1127" t="s">
        <v>928</v>
      </c>
      <c r="N132" s="1127" t="s">
        <v>775</v>
      </c>
      <c r="O132" s="1205" t="s">
        <v>2579</v>
      </c>
      <c r="P132" s="1205"/>
      <c r="Q132" s="1207" t="s">
        <v>1221</v>
      </c>
      <c r="R132" s="1096" t="s">
        <v>6296</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2125</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1583</v>
      </c>
      <c r="E133" s="1205"/>
      <c r="F133" s="1120" t="s">
        <v>2561</v>
      </c>
      <c r="G133" s="1127" t="s">
        <v>1035</v>
      </c>
      <c r="H133" s="1087" t="s">
        <v>375</v>
      </c>
      <c r="I133" s="1199" t="s">
        <v>7913</v>
      </c>
      <c r="J133" s="1205" t="s">
        <v>1449</v>
      </c>
      <c r="K133" s="1205" t="s">
        <v>2326</v>
      </c>
      <c r="L133" s="1205" t="s">
        <v>406</v>
      </c>
      <c r="M133" s="1127" t="s">
        <v>145</v>
      </c>
      <c r="N133" s="1127" t="s">
        <v>375</v>
      </c>
      <c r="O133" s="1205" t="s">
        <v>3649</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1544</v>
      </c>
      <c r="G134" s="1198"/>
      <c r="H134" s="1087" t="s">
        <v>7915</v>
      </c>
      <c r="I134" s="1199" t="s">
        <v>7916</v>
      </c>
      <c r="J134" s="1198"/>
      <c r="K134" s="1198"/>
      <c r="L134" s="1198"/>
      <c r="M134" s="1198" t="s">
        <v>3017</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2981</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3650</v>
      </c>
      <c r="M136" s="1205"/>
      <c r="N136" s="1205"/>
      <c r="O136" s="1205"/>
      <c r="P136" s="1205"/>
      <c r="Q136" s="1207"/>
      <c r="R136" s="1097"/>
      <c r="S136" s="1205"/>
      <c r="T136" s="1205" t="s">
        <v>3064</v>
      </c>
      <c r="U136" s="1205"/>
      <c r="V136" s="1205"/>
      <c r="W136" s="1205"/>
      <c r="X136" s="1205"/>
      <c r="Y136" s="1205"/>
      <c r="Z136" s="1205" t="s">
        <v>1730</v>
      </c>
      <c r="AA136" s="1205"/>
      <c r="AB136" s="1205" t="s">
        <v>6406</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3504</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3504</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3981</v>
      </c>
      <c r="G138" s="1244" t="s">
        <v>7924</v>
      </c>
      <c r="H138" s="1087" t="s">
        <v>1294</v>
      </c>
      <c r="I138" s="1202"/>
      <c r="J138" s="1087" t="s">
        <v>5513</v>
      </c>
      <c r="K138" s="1106"/>
      <c r="L138" s="1106"/>
      <c r="M138" s="1087" t="s">
        <v>929</v>
      </c>
      <c r="N138" s="1087" t="s">
        <v>6498</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4136</v>
      </c>
      <c r="D142" s="1205"/>
      <c r="E142" s="1205"/>
      <c r="F142" s="1231"/>
      <c r="G142" s="1205"/>
      <c r="H142" s="1106"/>
      <c r="I142" s="1202"/>
      <c r="J142" s="1205"/>
      <c r="K142" s="1205"/>
      <c r="L142" s="1205" t="s">
        <v>3958</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3589</v>
      </c>
      <c r="D148" s="1198" t="s">
        <v>5463</v>
      </c>
      <c r="E148" s="1198" t="s">
        <v>3589</v>
      </c>
      <c r="F148" s="1231"/>
      <c r="G148" s="1198"/>
      <c r="H148" s="1087" t="s">
        <v>2946</v>
      </c>
      <c r="I148" s="1202"/>
      <c r="J148" s="1198"/>
      <c r="K148" s="1198"/>
      <c r="L148" s="1198" t="s">
        <v>475</v>
      </c>
      <c r="M148" s="1198"/>
      <c r="N148" s="1198" t="s">
        <v>2318</v>
      </c>
      <c r="O148" s="1198" t="s">
        <v>1319</v>
      </c>
      <c r="P148" s="1198"/>
      <c r="Q148" s="1200"/>
      <c r="R148" s="1116" t="s">
        <v>3732</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3373</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2368</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2818</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5142</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3260</v>
      </c>
      <c r="L153" s="1106" t="s">
        <v>3654</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3496</v>
      </c>
      <c r="D154" s="1001" t="s">
        <v>1586</v>
      </c>
      <c r="E154" s="1205"/>
      <c r="F154" s="1231"/>
      <c r="G154" s="1205"/>
      <c r="H154" s="1087" t="s">
        <v>1298</v>
      </c>
      <c r="I154" s="1202"/>
      <c r="J154" s="1205"/>
      <c r="K154" s="1205"/>
      <c r="L154" s="1209" t="s">
        <v>3653</v>
      </c>
      <c r="M154" s="1205"/>
      <c r="N154" s="1205" t="s">
        <v>7963</v>
      </c>
      <c r="O154" s="1205"/>
      <c r="P154" s="1205" t="s">
        <v>1089</v>
      </c>
      <c r="Q154" s="1207"/>
      <c r="R154" s="1097"/>
      <c r="S154" s="1205"/>
      <c r="T154" s="1205"/>
      <c r="U154" s="1087" t="s">
        <v>3496</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3659</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3855</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7077</v>
      </c>
      <c r="I160" s="1202"/>
      <c r="J160" s="1249" t="s">
        <v>286</v>
      </c>
      <c r="K160" s="1249"/>
      <c r="L160" s="1249"/>
      <c r="M160" s="1249"/>
      <c r="N160" s="1198" t="s">
        <v>4800</v>
      </c>
      <c r="O160" s="1249"/>
      <c r="P160" s="1249"/>
      <c r="Q160" s="1200"/>
      <c r="R160" s="1097"/>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2289</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3107</v>
      </c>
      <c r="G166" s="1198" t="s">
        <v>747</v>
      </c>
      <c r="H166" s="1106"/>
      <c r="I166" s="1198"/>
      <c r="J166" s="1249"/>
      <c r="K166" s="1249"/>
      <c r="L166" s="1249"/>
      <c r="M166" s="1249"/>
      <c r="N166" s="1198" t="s">
        <v>2759</v>
      </c>
      <c r="O166" s="1249"/>
      <c r="P166" s="1249"/>
      <c r="Q166" s="1200"/>
      <c r="R166" s="1097"/>
      <c r="S166" s="1249"/>
      <c r="T166" s="1249"/>
      <c r="U166" s="1249"/>
      <c r="V166" s="1249"/>
      <c r="W166" s="1249"/>
      <c r="X166" s="1249"/>
      <c r="Y166" s="1249" t="s">
        <v>2351</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2611</v>
      </c>
      <c r="D167" s="1205" t="s">
        <v>2611</v>
      </c>
      <c r="E167" s="1205"/>
      <c r="F167" s="1239" t="s">
        <v>2976</v>
      </c>
      <c r="G167" s="1198" t="s">
        <v>2611</v>
      </c>
      <c r="H167" s="1087" t="s">
        <v>2856</v>
      </c>
      <c r="I167" s="1199" t="s">
        <v>7992</v>
      </c>
      <c r="J167" s="1205"/>
      <c r="K167" s="1205"/>
      <c r="L167" s="1205" t="s">
        <v>3781</v>
      </c>
      <c r="M167" s="1205"/>
      <c r="N167" s="1205"/>
      <c r="O167" s="1205"/>
      <c r="P167" s="1205" t="s">
        <v>2611</v>
      </c>
      <c r="Q167" s="1207" t="s">
        <v>2976</v>
      </c>
      <c r="R167" s="1096" t="s">
        <v>7993</v>
      </c>
      <c r="S167" s="1205"/>
      <c r="T167" s="1205" t="s">
        <v>2611</v>
      </c>
      <c r="U167" s="1205" t="s">
        <v>2611</v>
      </c>
      <c r="V167" s="1205"/>
      <c r="W167" s="1205"/>
      <c r="X167" s="1205"/>
      <c r="Y167" s="1205"/>
      <c r="Z167" s="1205"/>
      <c r="AA167" s="1205"/>
      <c r="AB167" s="1205"/>
      <c r="AC167" s="1087" t="s">
        <v>3591</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2445</v>
      </c>
      <c r="D168" s="1094" t="s">
        <v>1588</v>
      </c>
      <c r="E168" s="1198" t="s">
        <v>7995</v>
      </c>
      <c r="F168" s="1114" t="s">
        <v>7996</v>
      </c>
      <c r="G168" s="1198" t="s">
        <v>7997</v>
      </c>
      <c r="H168" s="1106"/>
      <c r="I168" s="1202"/>
      <c r="J168" s="1198"/>
      <c r="K168" s="1198" t="s">
        <v>517</v>
      </c>
      <c r="L168" s="1198" t="s">
        <v>3655</v>
      </c>
      <c r="M168" s="1198"/>
      <c r="N168" s="1198"/>
      <c r="O168" s="1198"/>
      <c r="P168" s="1198" t="s">
        <v>880</v>
      </c>
      <c r="Q168" s="1200" t="s">
        <v>801</v>
      </c>
      <c r="R168" s="1229"/>
      <c r="S168" s="1198"/>
      <c r="T168" s="1198"/>
      <c r="U168" s="1198"/>
      <c r="V168" s="1198"/>
      <c r="W168" s="1087" t="s">
        <v>2741</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6104</v>
      </c>
      <c r="E171" s="1205"/>
      <c r="F171" s="1085"/>
      <c r="G171" s="1205"/>
      <c r="H171" s="1106"/>
      <c r="I171" s="1202"/>
      <c r="J171" s="1205"/>
      <c r="K171" s="1205"/>
      <c r="L171" s="1205" t="s">
        <v>6360</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2743</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2170</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1923</v>
      </c>
      <c r="D181" s="1089" t="s">
        <v>5490</v>
      </c>
      <c r="E181" s="1094" t="s">
        <v>6260</v>
      </c>
      <c r="F181" s="1114" t="s">
        <v>3000</v>
      </c>
      <c r="G181" s="1094" t="s">
        <v>3000</v>
      </c>
      <c r="H181" s="1087" t="s">
        <v>8029</v>
      </c>
      <c r="I181" s="1153"/>
      <c r="J181" s="1094"/>
      <c r="K181" s="1094"/>
      <c r="L181" s="1094"/>
      <c r="M181" s="1094" t="s">
        <v>4497</v>
      </c>
      <c r="N181" s="1094"/>
      <c r="O181" s="1094"/>
      <c r="P181" s="1094"/>
      <c r="Q181" s="1088"/>
      <c r="R181" s="1262"/>
      <c r="S181" s="1094"/>
      <c r="T181" s="1094"/>
      <c r="U181" s="1094" t="s">
        <v>4186</v>
      </c>
      <c r="V181" s="1094" t="s">
        <v>2940</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6745</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2485</v>
      </c>
      <c r="G186" s="1094" t="s">
        <v>3085</v>
      </c>
      <c r="H186" s="1087" t="s">
        <v>1305</v>
      </c>
      <c r="I186" s="1164" t="s">
        <v>8043</v>
      </c>
      <c r="J186" s="1094" t="s">
        <v>159</v>
      </c>
      <c r="K186" s="1094" t="s">
        <v>4003</v>
      </c>
      <c r="L186" s="1094" t="s">
        <v>5467</v>
      </c>
      <c r="M186" s="1094" t="s">
        <v>940</v>
      </c>
      <c r="N186" s="1094" t="s">
        <v>2988</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3433</v>
      </c>
      <c r="D187" s="1094"/>
      <c r="E187" s="1094" t="s">
        <v>3433</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3916</v>
      </c>
      <c r="D188" s="1270"/>
      <c r="E188" s="1270"/>
      <c r="F188" s="1275" t="s">
        <v>3671</v>
      </c>
      <c r="G188" s="1270"/>
      <c r="H188" s="1106"/>
      <c r="I188" s="1164" t="s">
        <v>3299</v>
      </c>
      <c r="J188" s="1270"/>
      <c r="K188" s="1270"/>
      <c r="L188" s="1270"/>
      <c r="M188" s="1270" t="s">
        <v>2858</v>
      </c>
      <c r="N188" s="1270"/>
      <c r="O188" s="1270"/>
      <c r="P188" s="1270"/>
      <c r="Q188" s="1119"/>
      <c r="R188" s="1097"/>
      <c r="S188" s="1270"/>
      <c r="T188" s="1270"/>
      <c r="U188" s="1270"/>
      <c r="V188" s="1270"/>
      <c r="W188" s="1270"/>
      <c r="X188" s="1270"/>
      <c r="Y188" s="1270"/>
      <c r="Z188" s="1270"/>
      <c r="AA188" s="1270"/>
      <c r="AB188" s="1270"/>
      <c r="AC188" s="1270" t="s">
        <v>3299</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3299</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3469</v>
      </c>
      <c r="E194" s="1270"/>
      <c r="F194" s="1114" t="s">
        <v>2230</v>
      </c>
      <c r="G194" s="1270"/>
      <c r="H194" s="1106"/>
      <c r="I194" s="1164" t="s">
        <v>8061</v>
      </c>
      <c r="J194" s="1270" t="s">
        <v>3597</v>
      </c>
      <c r="K194" s="1270"/>
      <c r="L194" s="1270" t="s">
        <v>3366</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3327</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2926</v>
      </c>
      <c r="E195" s="1270"/>
      <c r="F195" s="1120" t="s">
        <v>2313</v>
      </c>
      <c r="G195" s="1270" t="s">
        <v>785</v>
      </c>
      <c r="H195" s="1087" t="s">
        <v>632</v>
      </c>
      <c r="I195" s="1153"/>
      <c r="J195" s="1270"/>
      <c r="K195" s="1270" t="s">
        <v>5663</v>
      </c>
      <c r="L195" s="1270"/>
      <c r="M195" s="1270" t="s">
        <v>941</v>
      </c>
      <c r="N195" s="1270"/>
      <c r="O195" s="1270"/>
      <c r="P195" s="1270" t="s">
        <v>1096</v>
      </c>
      <c r="Q195" s="1119"/>
      <c r="R195" s="1262"/>
      <c r="S195" s="1270" t="s">
        <v>6460</v>
      </c>
      <c r="T195" s="1270"/>
      <c r="U195" s="1270"/>
      <c r="V195" s="1270" t="s">
        <v>495</v>
      </c>
      <c r="W195" s="1086" t="s">
        <v>2747</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2170</v>
      </c>
      <c r="D199" s="1135" t="s">
        <v>8071</v>
      </c>
      <c r="E199" s="1270"/>
      <c r="F199" s="1275" t="s">
        <v>8072</v>
      </c>
      <c r="G199" s="1270" t="s">
        <v>3076</v>
      </c>
      <c r="H199" s="1106"/>
      <c r="I199" s="1153"/>
      <c r="J199" s="1270"/>
      <c r="K199" s="1270"/>
      <c r="L199" s="1270"/>
      <c r="M199" s="1270"/>
      <c r="N199" s="1270"/>
      <c r="O199" s="1270"/>
      <c r="P199" s="1270"/>
      <c r="Q199" s="1119"/>
      <c r="R199" s="1262"/>
      <c r="S199" s="1270"/>
      <c r="T199" s="1270"/>
      <c r="U199" s="1270"/>
      <c r="V199" s="1270" t="s">
        <v>2170</v>
      </c>
      <c r="W199" s="1270"/>
      <c r="X199" s="1270"/>
      <c r="Y199" s="1270"/>
      <c r="Z199" s="1270"/>
      <c r="AA199" s="1270"/>
      <c r="AB199" s="1270" t="s">
        <v>690</v>
      </c>
      <c r="AC199" s="1270"/>
      <c r="AD199" s="1198" t="s">
        <v>2170</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5491</v>
      </c>
      <c r="D200" s="1270"/>
      <c r="E200" s="1270"/>
      <c r="F200" s="1085"/>
      <c r="G200" s="1270"/>
      <c r="H200" s="1087" t="s">
        <v>3221</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3435</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3540</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5883</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1491</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3832</v>
      </c>
      <c r="F206" s="1268" t="s">
        <v>4985</v>
      </c>
      <c r="G206" s="1135"/>
      <c r="H206" s="1087" t="s">
        <v>6560</v>
      </c>
      <c r="I206" s="1153"/>
      <c r="J206" s="1135" t="s">
        <v>8085</v>
      </c>
      <c r="K206" s="1135"/>
      <c r="L206" s="1135"/>
      <c r="M206" s="1135" t="s">
        <v>3832</v>
      </c>
      <c r="N206" s="1135"/>
      <c r="O206" s="1135" t="s">
        <v>8086</v>
      </c>
      <c r="P206" s="1135"/>
      <c r="Q206" s="1118" t="s">
        <v>3859</v>
      </c>
      <c r="R206" s="1096" t="s">
        <v>8087</v>
      </c>
      <c r="S206" s="1135"/>
      <c r="T206" s="1130" t="s">
        <v>8088</v>
      </c>
      <c r="U206" s="1135"/>
      <c r="V206" s="1135"/>
      <c r="W206" s="1135"/>
      <c r="X206" s="1135" t="s">
        <v>3167</v>
      </c>
      <c r="Y206" s="1135"/>
      <c r="Z206" s="1135" t="s">
        <v>3937</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2929</v>
      </c>
      <c r="D208" s="1094" t="s">
        <v>544</v>
      </c>
      <c r="E208" s="1094" t="s">
        <v>2929</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5907</v>
      </c>
      <c r="U208" s="1094"/>
      <c r="V208" s="1094"/>
      <c r="W208" s="1094"/>
      <c r="X208" s="1094"/>
      <c r="Y208" s="1094" t="s">
        <v>2533</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2136</v>
      </c>
      <c r="D209" s="1094" t="s">
        <v>1593</v>
      </c>
      <c r="E209" s="1089"/>
      <c r="F209" s="1120" t="s">
        <v>2566</v>
      </c>
      <c r="G209" s="1086" t="s">
        <v>2136</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2136</v>
      </c>
      <c r="AC209" s="1089"/>
      <c r="AD209" s="1089" t="s">
        <v>2136</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6040</v>
      </c>
      <c r="E210" s="1086" t="s">
        <v>379</v>
      </c>
      <c r="F210" s="1114" t="s">
        <v>1082</v>
      </c>
      <c r="G210" s="1089" t="s">
        <v>2168</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3398</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4799</v>
      </c>
      <c r="G214" s="1105" t="s">
        <v>4163</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4166</v>
      </c>
      <c r="E216" s="1270"/>
      <c r="F216" s="1275" t="s">
        <v>889</v>
      </c>
      <c r="G216" s="1270"/>
      <c r="H216" s="1087" t="s">
        <v>3123</v>
      </c>
      <c r="I216" s="1164" t="s">
        <v>8113</v>
      </c>
      <c r="J216" s="1270"/>
      <c r="K216" s="1270"/>
      <c r="L216" s="1270" t="s">
        <v>1050</v>
      </c>
      <c r="M216" s="1270"/>
      <c r="N216" s="1270"/>
      <c r="O216" s="1270" t="s">
        <v>8114</v>
      </c>
      <c r="P216" s="1198" t="s">
        <v>6739</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2766</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1598</v>
      </c>
      <c r="E219" s="1270"/>
      <c r="F219" s="1265"/>
      <c r="G219" s="1270"/>
      <c r="H219" s="1087" t="s">
        <v>1310</v>
      </c>
      <c r="I219" s="1164" t="s">
        <v>8124</v>
      </c>
      <c r="J219" s="1270" t="s">
        <v>1474</v>
      </c>
      <c r="K219" s="1270" t="s">
        <v>8124</v>
      </c>
      <c r="L219" s="1270" t="s">
        <v>3663</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2425</v>
      </c>
      <c r="D222" s="1270"/>
      <c r="E222" s="1270"/>
      <c r="F222" s="1085"/>
      <c r="G222" s="1270"/>
      <c r="H222" s="1106"/>
      <c r="I222" s="1164" t="s">
        <v>8130</v>
      </c>
      <c r="J222" s="1270"/>
      <c r="K222" s="1270" t="s">
        <v>2425</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3664</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4043</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2216</v>
      </c>
      <c r="H228" s="1087" t="s">
        <v>2770</v>
      </c>
      <c r="I228" s="1199" t="s">
        <v>8141</v>
      </c>
      <c r="J228" s="1198" t="s">
        <v>1601</v>
      </c>
      <c r="K228" s="1198" t="s">
        <v>7946</v>
      </c>
      <c r="L228" s="1198" t="s">
        <v>2216</v>
      </c>
      <c r="M228" s="1198" t="s">
        <v>952</v>
      </c>
      <c r="N228" s="1198" t="s">
        <v>1244</v>
      </c>
      <c r="O228" s="1198" t="s">
        <v>375</v>
      </c>
      <c r="P228" s="1198" t="s">
        <v>2930</v>
      </c>
      <c r="Q228" s="1200" t="s">
        <v>2355</v>
      </c>
      <c r="R228" s="1096" t="s">
        <v>940</v>
      </c>
      <c r="S228" s="1198" t="s">
        <v>847</v>
      </c>
      <c r="T228" s="1198"/>
      <c r="U228" s="1198"/>
      <c r="V228" s="1198"/>
      <c r="W228" s="1198"/>
      <c r="X228" s="1198" t="s">
        <v>2318</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1727</v>
      </c>
      <c r="K229" s="1205"/>
      <c r="L229" s="1198" t="s">
        <v>6614</v>
      </c>
      <c r="M229" s="1198" t="s">
        <v>4509</v>
      </c>
      <c r="N229" s="1198" t="str">
        <f>HYPERLINK("https://www.youtube.com/watch?v=aWzlUqH0LaM","41.87")</f>
        <v>41.87</v>
      </c>
      <c r="O229" s="1205" t="s">
        <v>2197</v>
      </c>
      <c r="P229" s="1198" t="s">
        <v>1533</v>
      </c>
      <c r="Q229" s="1207" t="s">
        <v>3296</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4200</v>
      </c>
      <c r="R231" s="1299"/>
      <c r="S231" s="1205"/>
      <c r="T231" s="1205"/>
      <c r="U231" s="1205"/>
      <c r="V231" s="1198" t="s">
        <v>507</v>
      </c>
      <c r="W231" s="1205"/>
      <c r="X231" s="1205" t="s">
        <v>6351</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3478</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3125</v>
      </c>
      <c r="D233" s="1205"/>
      <c r="E233" s="1205"/>
      <c r="F233" s="1120" t="s">
        <v>2573</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2710</v>
      </c>
      <c r="J238" s="1309"/>
      <c r="K238" s="1316" t="s">
        <v>3591</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4195</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2213</v>
      </c>
      <c r="D243" s="1094" t="s">
        <v>1999</v>
      </c>
      <c r="E243" s="1205"/>
      <c r="F243" s="1120" t="s">
        <v>2213</v>
      </c>
      <c r="G243" s="1205"/>
      <c r="H243" s="1087" t="s">
        <v>1316</v>
      </c>
      <c r="I243" s="1199" t="s">
        <v>8176</v>
      </c>
      <c r="J243" s="1205" t="s">
        <v>4388</v>
      </c>
      <c r="K243" s="1198" t="s">
        <v>6191</v>
      </c>
      <c r="L243" s="1198" t="s">
        <v>3549</v>
      </c>
      <c r="M243" s="1205"/>
      <c r="N243" s="1205"/>
      <c r="O243" s="1205" t="s">
        <v>4371</v>
      </c>
      <c r="P243" s="1198" t="s">
        <v>1316</v>
      </c>
      <c r="Q243" s="1207" t="s">
        <v>2144</v>
      </c>
      <c r="R243" s="1299"/>
      <c r="S243" s="1205" t="s">
        <v>1999</v>
      </c>
      <c r="T243" s="1087" t="s">
        <v>1762</v>
      </c>
      <c r="U243" s="1087" t="s">
        <v>122</v>
      </c>
      <c r="V243" s="1198" t="s">
        <v>4049</v>
      </c>
      <c r="W243" s="1205"/>
      <c r="X243" s="1205" t="s">
        <v>4436</v>
      </c>
      <c r="Y243" s="1205"/>
      <c r="Z243" s="1205"/>
      <c r="AA243" s="1205"/>
      <c r="AB243" s="1205"/>
      <c r="AC243" s="1205"/>
      <c r="AD243" s="1205"/>
      <c r="AE243" s="1205"/>
      <c r="AF243" s="1205"/>
      <c r="AG243" s="1205"/>
      <c r="AH243" s="1205"/>
      <c r="AI243" s="1205" t="s">
        <v>2808</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2956</v>
      </c>
      <c r="D245" s="1205" t="s">
        <v>389</v>
      </c>
      <c r="E245" s="1205"/>
      <c r="F245" s="1085"/>
      <c r="G245" s="1205"/>
      <c r="H245" s="1106"/>
      <c r="I245" s="1202"/>
      <c r="J245" s="1205"/>
      <c r="K245" s="1205"/>
      <c r="L245" s="1087" t="s">
        <v>3271</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2356</v>
      </c>
      <c r="G246" s="1198"/>
      <c r="H246" s="1106"/>
      <c r="I246" s="1202"/>
      <c r="J246" s="1198"/>
      <c r="K246" s="1198"/>
      <c r="L246" s="1198"/>
      <c r="M246" s="1198"/>
      <c r="N246" s="1198"/>
      <c r="O246" s="1198"/>
      <c r="P246" s="1198"/>
      <c r="Q246" s="1200"/>
      <c r="R246" s="1322" t="s">
        <v>8181</v>
      </c>
      <c r="S246" s="1198"/>
      <c r="T246" s="1198" t="s">
        <v>2173</v>
      </c>
      <c r="U246" s="1198"/>
      <c r="V246" s="1198"/>
      <c r="W246" s="1198"/>
      <c r="X246" s="1198"/>
      <c r="Y246" s="1198"/>
      <c r="Z246" s="1198" t="s">
        <v>3271</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7631</v>
      </c>
      <c r="J247" s="1205" t="s">
        <v>2415</v>
      </c>
      <c r="K247" s="1205"/>
      <c r="M247" s="1205"/>
      <c r="N247" s="1205"/>
      <c r="O247" s="1205" t="s">
        <v>3234</v>
      </c>
      <c r="P247" s="1205"/>
      <c r="Q247" s="1207" t="s">
        <v>8183</v>
      </c>
      <c r="R247" s="1299"/>
      <c r="S247" s="1205"/>
      <c r="T247" s="1205" t="s">
        <v>5433</v>
      </c>
      <c r="U247" s="1205"/>
      <c r="V247" s="1205"/>
      <c r="W247" s="1087" t="s">
        <v>3037</v>
      </c>
      <c r="X247" s="1205" t="s">
        <v>3770</v>
      </c>
      <c r="Y247" s="1205"/>
      <c r="Z247" s="1205"/>
      <c r="AA247" s="1205"/>
      <c r="AB247" s="1205"/>
      <c r="AC247" s="1205"/>
      <c r="AD247" s="1205"/>
      <c r="AE247" s="1205"/>
      <c r="AF247" s="1205"/>
      <c r="AI247" s="1205" t="s">
        <v>2473</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2325</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2524</v>
      </c>
      <c r="H249" s="1106"/>
      <c r="I249" s="1202"/>
      <c r="J249" s="1205"/>
      <c r="K249" s="1198" t="s">
        <v>998</v>
      </c>
      <c r="L249" s="1205"/>
      <c r="M249" s="1198" t="s">
        <v>954</v>
      </c>
      <c r="N249" s="1198" t="s">
        <v>243</v>
      </c>
      <c r="O249" s="1205"/>
      <c r="P249" s="1198" t="s">
        <v>3126</v>
      </c>
      <c r="Q249" s="1207"/>
      <c r="R249" s="1097"/>
      <c r="S249" s="1205" t="s">
        <v>8187</v>
      </c>
      <c r="T249" s="1087" t="s">
        <v>2145</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5028</v>
      </c>
      <c r="D250" s="1325"/>
      <c r="E250" s="1198" t="s">
        <v>5868</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3249</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5533</v>
      </c>
      <c r="D253" s="1198" t="s">
        <v>1412</v>
      </c>
      <c r="E253" s="1198" t="s">
        <v>2602</v>
      </c>
      <c r="F253" s="1132" t="s">
        <v>3610</v>
      </c>
      <c r="G253" s="1198" t="s">
        <v>5533</v>
      </c>
      <c r="H253" s="1106"/>
      <c r="I253" s="1202"/>
      <c r="J253" s="1198"/>
      <c r="K253" s="1198"/>
      <c r="L253" s="1198" t="s">
        <v>5670</v>
      </c>
      <c r="M253" s="1198"/>
      <c r="N253" s="1198"/>
      <c r="O253" s="1198" t="s">
        <v>5341</v>
      </c>
      <c r="P253" s="1198" t="s">
        <v>3610</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3155</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3071</v>
      </c>
      <c r="D254" s="1198"/>
      <c r="E254" s="1198" t="s">
        <v>4273</v>
      </c>
      <c r="F254" s="1314" t="s">
        <v>8195</v>
      </c>
      <c r="G254" s="1198" t="s">
        <v>3071</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2419</v>
      </c>
      <c r="W254" s="1198"/>
      <c r="X254" s="1198"/>
      <c r="Y254" s="1198" t="s">
        <v>3035</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4104</v>
      </c>
      <c r="D255" s="1198"/>
      <c r="E255" s="1198" t="s">
        <v>919</v>
      </c>
      <c r="F255" s="1085"/>
      <c r="G255" s="1198" t="s">
        <v>4104</v>
      </c>
      <c r="H255" s="1106"/>
      <c r="I255" s="1199" t="s">
        <v>3111</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2242</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5912</v>
      </c>
      <c r="H259" s="1106"/>
      <c r="I259" s="1199" t="s">
        <v>8206</v>
      </c>
      <c r="J259" s="1205" t="s">
        <v>1924</v>
      </c>
      <c r="K259" s="1198" t="s">
        <v>1466</v>
      </c>
      <c r="L259" s="1205" t="s">
        <v>5735</v>
      </c>
      <c r="M259" s="1205" t="s">
        <v>6056</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2735</v>
      </c>
      <c r="D261" s="1198"/>
      <c r="E261" s="1198" t="s">
        <v>2735</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3436</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1668</v>
      </c>
      <c r="D266" s="1205" t="s">
        <v>3987</v>
      </c>
      <c r="E266" s="1205"/>
      <c r="F266" s="1085"/>
      <c r="G266" s="1205"/>
      <c r="H266" s="1106"/>
      <c r="I266" s="1202"/>
      <c r="J266" s="1205"/>
      <c r="K266" s="1198" t="s">
        <v>3134</v>
      </c>
      <c r="L266" s="1205"/>
      <c r="M266" s="1205"/>
      <c r="N266" s="1205"/>
      <c r="O266" s="1205"/>
      <c r="P266" s="1205"/>
      <c r="Q266" s="1207"/>
      <c r="R266" s="1336" t="s">
        <v>8214</v>
      </c>
      <c r="S266" s="1205"/>
      <c r="T266" s="1205"/>
      <c r="U266" s="1205"/>
      <c r="V266" s="1205"/>
      <c r="W266" s="1205"/>
      <c r="X266" s="1205"/>
      <c r="Y266" s="1205"/>
      <c r="Z266" s="1205" t="s">
        <v>6822</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3777</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3882</v>
      </c>
      <c r="D269" s="1205"/>
      <c r="E269" s="1205"/>
      <c r="F269" s="1343"/>
      <c r="G269" s="1205"/>
      <c r="H269" s="1087" t="s">
        <v>6500</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3560</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2923</v>
      </c>
      <c r="D270" s="1198"/>
      <c r="E270" s="1198" t="s">
        <v>1533</v>
      </c>
      <c r="F270" s="1114" t="s">
        <v>2923</v>
      </c>
      <c r="G270" s="1198" t="s">
        <v>2069</v>
      </c>
      <c r="H270" s="1106"/>
      <c r="I270" s="1202"/>
      <c r="J270" s="1198"/>
      <c r="K270" s="1198" t="s">
        <v>2204</v>
      </c>
      <c r="L270" s="1198"/>
      <c r="M270" s="1200" t="s">
        <v>8223</v>
      </c>
      <c r="N270" s="1198"/>
      <c r="O270" s="1198"/>
      <c r="P270" s="1198" t="s">
        <v>1396</v>
      </c>
      <c r="Q270" s="1200" t="s">
        <v>8224</v>
      </c>
      <c r="R270" s="1337"/>
      <c r="S270" s="1198"/>
      <c r="T270" s="1198"/>
      <c r="U270" s="1198"/>
      <c r="V270" s="1198" t="s">
        <v>2194</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2204</v>
      </c>
      <c r="D271" s="1198"/>
      <c r="E271" s="1198" t="s">
        <v>2204</v>
      </c>
      <c r="F271" s="1340" t="s">
        <v>8226</v>
      </c>
      <c r="G271" s="1200" t="s">
        <v>3128</v>
      </c>
      <c r="H271" s="1106"/>
      <c r="I271" s="1202"/>
      <c r="J271" s="1198"/>
      <c r="K271" s="1198"/>
      <c r="L271" s="1198"/>
      <c r="M271" s="1198"/>
      <c r="N271" s="1198"/>
      <c r="O271" s="1198"/>
      <c r="P271" s="1198"/>
      <c r="Q271" s="1200"/>
      <c r="R271" s="1097"/>
      <c r="S271" s="1087" t="s">
        <v>3296</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5799</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2723</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4240</v>
      </c>
      <c r="I275" s="1202"/>
      <c r="J275" s="1198" t="str">
        <f>HYPERLINK("https://youtu.be/_GZXmZdCc5s","31.80")</f>
        <v>31.80</v>
      </c>
      <c r="K275" s="1205"/>
      <c r="L275" s="1198" t="s">
        <v>8234</v>
      </c>
      <c r="M275" s="1205"/>
      <c r="N275" s="1198" t="s">
        <v>1623</v>
      </c>
      <c r="O275" s="1198" t="str">
        <f>HYPERLINK("https://youtu.be/kUsh0nBBuMY","32.45")</f>
        <v>32.45</v>
      </c>
      <c r="P275" s="1205"/>
      <c r="Q275" s="1207" t="s">
        <v>2258</v>
      </c>
      <c r="R275" s="1345" t="s">
        <v>861</v>
      </c>
      <c r="S275" s="1205"/>
      <c r="T275" s="1205" t="s">
        <v>1007</v>
      </c>
      <c r="U275" s="1205"/>
      <c r="V275" s="1205"/>
      <c r="W275" s="1249" t="s">
        <v>3954</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2321</v>
      </c>
      <c r="M276" s="1205"/>
      <c r="N276" s="1205"/>
      <c r="O276" s="1205"/>
      <c r="P276" s="1205"/>
      <c r="Q276" s="1207"/>
      <c r="R276" s="1097"/>
      <c r="S276" s="1205"/>
      <c r="T276" s="1205"/>
      <c r="U276" s="1205"/>
      <c r="V276" s="1198" t="s">
        <v>459</v>
      </c>
      <c r="W276" s="1205"/>
      <c r="X276" s="1205" t="s">
        <v>4094</v>
      </c>
      <c r="Y276" s="1205"/>
      <c r="Z276" s="1205"/>
      <c r="AA276" s="1205"/>
      <c r="AB276" s="1205"/>
      <c r="AC276" s="1205"/>
      <c r="AD276" s="1205"/>
      <c r="AE276" s="1205"/>
      <c r="AF276" s="1205"/>
      <c r="AG276" s="1205"/>
      <c r="AH276" s="1205"/>
      <c r="AI276" s="1205" t="s">
        <v>2720</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3436</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3649</v>
      </c>
      <c r="D278" s="1198" t="s">
        <v>243</v>
      </c>
      <c r="E278" s="1198" t="s">
        <v>3649</v>
      </c>
      <c r="F278" s="1120" t="s">
        <v>2527</v>
      </c>
      <c r="G278" s="1198" t="s">
        <v>1535</v>
      </c>
      <c r="H278" s="1087" t="s">
        <v>1324</v>
      </c>
      <c r="I278" s="1202"/>
      <c r="J278" s="1198" t="s">
        <v>2188</v>
      </c>
      <c r="K278" s="1198" t="s">
        <v>2145</v>
      </c>
      <c r="L278" s="1198" t="s">
        <v>5353</v>
      </c>
      <c r="M278" s="1198" t="s">
        <v>913</v>
      </c>
      <c r="N278" s="1198" t="s">
        <v>278</v>
      </c>
      <c r="O278" s="1198" t="s">
        <v>5886</v>
      </c>
      <c r="P278" s="1198" t="s">
        <v>719</v>
      </c>
      <c r="Q278" s="1200" t="s">
        <v>426</v>
      </c>
      <c r="R278" s="1097"/>
      <c r="S278" s="1198" t="s">
        <v>4094</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4163</v>
      </c>
      <c r="F279" s="1340" t="s">
        <v>2525</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3997</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3982</v>
      </c>
      <c r="D280" s="1198" t="s">
        <v>5204</v>
      </c>
      <c r="E280" s="1198" t="s">
        <v>3437</v>
      </c>
      <c r="F280" s="1132" t="s">
        <v>8249</v>
      </c>
      <c r="G280" s="1198"/>
      <c r="H280" s="1087" t="s">
        <v>8250</v>
      </c>
      <c r="I280" s="1202"/>
      <c r="J280" s="1198" t="str">
        <f>HYPERLINK(" https://youtu.be/dsDcBzsPA5s","45.74")</f>
        <v>45.74</v>
      </c>
      <c r="K280" s="1198" t="s">
        <v>3982</v>
      </c>
      <c r="L280" s="1198" t="s">
        <v>8251</v>
      </c>
      <c r="M280" s="1198" t="s">
        <v>3909</v>
      </c>
      <c r="N280" s="1198" t="s">
        <v>1785</v>
      </c>
      <c r="O280" s="1198" t="s">
        <v>2070</v>
      </c>
      <c r="P280" s="1198" t="s">
        <v>4046</v>
      </c>
      <c r="Q280" s="1200" t="s">
        <v>3560</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3672</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3094</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5873</v>
      </c>
      <c r="D284" s="1198" t="s">
        <v>5855</v>
      </c>
      <c r="E284" s="1198" t="s">
        <v>2951</v>
      </c>
      <c r="F284" s="1114" t="s">
        <v>433</v>
      </c>
      <c r="G284" s="1198" t="s">
        <v>5873</v>
      </c>
      <c r="H284" s="1087" t="s">
        <v>5780</v>
      </c>
      <c r="I284" s="1202"/>
      <c r="J284" s="1198"/>
      <c r="K284" s="1198" t="s">
        <v>5341</v>
      </c>
      <c r="L284" s="1198"/>
      <c r="M284" s="1198" t="s">
        <v>8260</v>
      </c>
      <c r="N284" s="1198"/>
      <c r="O284" s="1198"/>
      <c r="P284" s="1198" t="s">
        <v>5873</v>
      </c>
      <c r="Q284" s="1200"/>
      <c r="R284" s="1097"/>
      <c r="S284" s="1198"/>
      <c r="T284" s="1087" t="s">
        <v>8261</v>
      </c>
      <c r="U284" s="1198"/>
      <c r="V284" s="1198" t="s">
        <v>5873</v>
      </c>
      <c r="W284" s="1198"/>
      <c r="X284" s="1198"/>
      <c r="Y284" s="1198" t="s">
        <v>3610</v>
      </c>
      <c r="Z284" s="1198" t="s">
        <v>3597</v>
      </c>
      <c r="AA284" s="1198" t="s">
        <v>8262</v>
      </c>
      <c r="AB284" s="1198" t="s">
        <v>6256</v>
      </c>
      <c r="AC284" s="1198"/>
      <c r="AD284" s="1198"/>
      <c r="AE284" s="1198"/>
      <c r="AF284" s="1198"/>
      <c r="AG284" s="1198" t="s">
        <v>3459</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3081</v>
      </c>
      <c r="G285" s="1198" t="s">
        <v>8264</v>
      </c>
      <c r="H285" s="1087" t="s">
        <v>1328</v>
      </c>
      <c r="I285" s="1202"/>
      <c r="J285" s="1198" t="s">
        <v>1478</v>
      </c>
      <c r="K285" s="1198" t="s">
        <v>3840</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4220</v>
      </c>
      <c r="D287" s="1106"/>
      <c r="E287" s="1087" t="s">
        <v>4361</v>
      </c>
      <c r="F287" s="1343"/>
      <c r="G287" s="1087" t="s">
        <v>4220</v>
      </c>
      <c r="H287" s="1087" t="s">
        <v>3250</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2734</v>
      </c>
      <c r="F288" s="1114" t="s">
        <v>4104</v>
      </c>
      <c r="G288" s="1200" t="s">
        <v>1366</v>
      </c>
      <c r="H288" s="1106"/>
      <c r="I288" s="1202"/>
      <c r="J288" s="1198"/>
      <c r="K288" s="1198"/>
      <c r="L288" s="1198"/>
      <c r="M288" s="1198"/>
      <c r="N288" s="1198"/>
      <c r="O288" s="1198"/>
      <c r="P288" s="1198"/>
      <c r="Q288" s="1200" t="s">
        <v>5344</v>
      </c>
      <c r="R288" s="1336" t="s">
        <v>6246</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3828</v>
      </c>
      <c r="I289" s="1199" t="s">
        <v>8276</v>
      </c>
      <c r="J289" s="1198"/>
      <c r="K289" s="1198" t="s">
        <v>1616</v>
      </c>
      <c r="L289" s="1198"/>
      <c r="M289" s="1198"/>
      <c r="N289" s="1198" t="s">
        <v>1186</v>
      </c>
      <c r="O289" s="1198"/>
      <c r="P289" s="1198" t="s">
        <v>3828</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6670</v>
      </c>
      <c r="B293" s="1335" t="s">
        <v>7864</v>
      </c>
      <c r="C293" s="1082" t="s">
        <v>8281</v>
      </c>
      <c r="D293" s="998" t="s">
        <v>1617</v>
      </c>
      <c r="E293" s="1205"/>
      <c r="F293" s="1343"/>
      <c r="G293" s="1087" t="s">
        <v>8281</v>
      </c>
      <c r="H293" s="1087" t="s">
        <v>1730</v>
      </c>
      <c r="I293" s="1199" t="s">
        <v>8282</v>
      </c>
      <c r="J293" s="1205" t="s">
        <v>4177</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3678</v>
      </c>
      <c r="M299" s="1106" t="s">
        <v>969</v>
      </c>
      <c r="N299" s="1106" t="s">
        <v>6122</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2172</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3314</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2221</v>
      </c>
      <c r="D302" s="1372" t="s">
        <v>8300</v>
      </c>
      <c r="E302" s="1198" t="s">
        <v>3588</v>
      </c>
      <c r="F302" s="1168" t="s">
        <v>686</v>
      </c>
      <c r="G302" s="1244" t="s">
        <v>2579</v>
      </c>
      <c r="H302" s="1087" t="s">
        <v>2836</v>
      </c>
      <c r="I302" s="1202"/>
      <c r="J302" s="1198"/>
      <c r="K302" s="1198"/>
      <c r="L302" s="1198"/>
      <c r="M302" s="1198"/>
      <c r="N302" s="1198"/>
      <c r="O302" s="1198"/>
      <c r="P302" s="1198" t="s">
        <v>2221</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4238</v>
      </c>
      <c r="D303" s="1326" t="s">
        <v>1712</v>
      </c>
      <c r="E303" s="1198" t="s">
        <v>4238</v>
      </c>
      <c r="F303" s="1085"/>
      <c r="G303" s="1198"/>
      <c r="H303" s="1106"/>
      <c r="I303" s="1202"/>
      <c r="J303" s="1198"/>
      <c r="K303" s="1198"/>
      <c r="L303" s="1198" t="s">
        <v>2338</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6829</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6329</v>
      </c>
      <c r="D305" s="1198"/>
      <c r="E305" s="1198" t="s">
        <v>6329</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5964</v>
      </c>
      <c r="D311" s="1198"/>
      <c r="E311" s="1198" t="s">
        <v>3770</v>
      </c>
      <c r="F311" s="1085"/>
      <c r="G311" s="1087" t="s">
        <v>5964</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2858</v>
      </c>
      <c r="D313" s="1094" t="s">
        <v>3638</v>
      </c>
      <c r="E313" s="1205"/>
      <c r="F313" s="1085"/>
      <c r="G313" s="1087" t="s">
        <v>2858</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3946</v>
      </c>
      <c r="D314" s="1246"/>
      <c r="E314" s="1246" t="s">
        <v>4186</v>
      </c>
      <c r="F314" s="1158"/>
      <c r="G314" s="1087" t="s">
        <v>3946</v>
      </c>
      <c r="H314" s="1106"/>
      <c r="I314" s="1202"/>
      <c r="J314" s="1087" t="s">
        <v>3946</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6553</v>
      </c>
      <c r="D321" s="1205"/>
      <c r="E321" s="1205"/>
      <c r="F321" s="1085"/>
      <c r="G321" s="1205"/>
      <c r="H321" s="1106"/>
      <c r="I321" s="1202"/>
      <c r="J321" s="1087" t="s">
        <v>6553</v>
      </c>
      <c r="K321" s="1205"/>
      <c r="L321" s="1205"/>
      <c r="M321" s="1205"/>
      <c r="N321" s="1205"/>
      <c r="O321" s="1205" t="s">
        <v>5926</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3436</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3030</v>
      </c>
      <c r="D325" s="1087" t="s">
        <v>406</v>
      </c>
      <c r="E325" s="1087" t="s">
        <v>5419</v>
      </c>
      <c r="F325" s="1114" t="s">
        <v>3518</v>
      </c>
      <c r="G325" s="1106" t="s">
        <v>1835</v>
      </c>
      <c r="H325" s="1106"/>
      <c r="I325" s="1202"/>
      <c r="J325" s="1106"/>
      <c r="K325" s="1106"/>
      <c r="L325" s="1106"/>
      <c r="M325" s="1106"/>
      <c r="N325" s="1106"/>
      <c r="O325" s="1106"/>
      <c r="P325" s="1106"/>
      <c r="Q325" s="1200"/>
      <c r="R325" s="1097"/>
      <c r="S325" s="1106"/>
      <c r="T325" s="1087" t="s">
        <v>5419</v>
      </c>
      <c r="U325" s="1106"/>
      <c r="V325" s="1087" t="s">
        <v>3030</v>
      </c>
      <c r="W325" s="1106"/>
      <c r="X325" s="1106"/>
      <c r="Y325" s="1106"/>
      <c r="Z325" s="1106"/>
      <c r="AA325" s="1087" t="s">
        <v>2811</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2145</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4730</v>
      </c>
      <c r="D327" s="1106" t="s">
        <v>5132</v>
      </c>
      <c r="E327" s="1087" t="s">
        <v>4483</v>
      </c>
      <c r="F327" s="1114" t="s">
        <v>7039</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6114</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3565</v>
      </c>
      <c r="D328" s="1126"/>
      <c r="E328" s="1125" t="s">
        <v>1698</v>
      </c>
      <c r="F328" s="1168" t="s">
        <v>3565</v>
      </c>
      <c r="G328" s="1125" t="s">
        <v>2388</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2836</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3669</v>
      </c>
      <c r="D332" s="1106"/>
      <c r="E332" s="1087" t="s">
        <v>3669</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3925</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5855</v>
      </c>
      <c r="D341" s="1209" t="s">
        <v>5557</v>
      </c>
      <c r="E341" s="1205"/>
      <c r="F341" s="1168" t="s">
        <v>5855</v>
      </c>
      <c r="G341" s="1087" t="s">
        <v>4901</v>
      </c>
      <c r="H341" s="1106"/>
      <c r="I341" s="1202"/>
      <c r="J341" s="1205"/>
      <c r="K341" s="1087" t="s">
        <v>3962</v>
      </c>
      <c r="L341" s="1205"/>
      <c r="M341" s="1205"/>
      <c r="N341" s="1205"/>
      <c r="O341" s="1205"/>
      <c r="P341" s="1205"/>
      <c r="Q341" s="1207"/>
      <c r="R341" s="1368"/>
      <c r="S341" s="1205"/>
      <c r="T341" s="1205" t="s">
        <v>7183</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5855</v>
      </c>
      <c r="D348" s="1380"/>
      <c r="E348" s="1380"/>
      <c r="F348" s="1168" t="s">
        <v>8261</v>
      </c>
      <c r="G348" s="1244" t="s">
        <v>8380</v>
      </c>
      <c r="H348" s="1106"/>
      <c r="I348" s="1202"/>
      <c r="J348" s="1380"/>
      <c r="K348" s="1087" t="s">
        <v>5855</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4618</v>
      </c>
      <c r="D349" s="1106"/>
      <c r="E349" s="1087" t="s">
        <v>5822</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3241</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3241</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6160</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2460</v>
      </c>
      <c r="B3" s="809" t="s">
        <v>8491</v>
      </c>
      <c r="C3" s="805" t="s">
        <v>7482</v>
      </c>
      <c r="D3" s="806" t="s">
        <v>7027</v>
      </c>
      <c r="E3" s="807" t="s">
        <v>2682</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2130</v>
      </c>
      <c r="X3" s="1001" t="s">
        <v>1887</v>
      </c>
      <c r="Y3" s="1001" t="s">
        <v>2739</v>
      </c>
      <c r="Z3" s="1035" t="s">
        <v>8507</v>
      </c>
      <c r="AA3" s="1034" t="s">
        <v>8508</v>
      </c>
      <c r="AB3" s="1035" t="s">
        <v>8509</v>
      </c>
      <c r="AC3" s="1001" t="s">
        <v>8510</v>
      </c>
      <c r="AD3" s="1001" t="s">
        <v>4483</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2468</v>
      </c>
      <c r="BW3" s="1034" t="s">
        <v>2478</v>
      </c>
      <c r="BX3" s="1033" t="s">
        <v>2490</v>
      </c>
      <c r="BY3" s="1035" t="s">
        <v>8552</v>
      </c>
      <c r="BZ3" s="1034" t="s">
        <v>8553</v>
      </c>
      <c r="CA3" s="1035" t="s">
        <v>1280</v>
      </c>
      <c r="CB3" s="1035" t="s">
        <v>8554</v>
      </c>
      <c r="CC3" s="1035" t="s">
        <v>3650</v>
      </c>
      <c r="CD3" s="1406" t="s">
        <v>2520</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3573</v>
      </c>
      <c r="D4" s="806" t="s">
        <v>439</v>
      </c>
      <c r="E4" s="807" t="s">
        <v>332</v>
      </c>
      <c r="F4" s="808" t="s">
        <v>4785</v>
      </c>
      <c r="G4" s="809" t="s">
        <v>3846</v>
      </c>
      <c r="H4" s="1033" t="s">
        <v>8572</v>
      </c>
      <c r="I4" s="1035" t="s">
        <v>4268</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6276</v>
      </c>
      <c r="Y4" s="1034" t="s">
        <v>2542</v>
      </c>
      <c r="Z4" s="999"/>
      <c r="AA4" s="1035" t="s">
        <v>8582</v>
      </c>
      <c r="AB4" s="999"/>
      <c r="AC4" s="999"/>
      <c r="AD4" s="998" t="s">
        <v>8583</v>
      </c>
      <c r="AE4" s="1038"/>
      <c r="AF4" s="1001" t="s">
        <v>465</v>
      </c>
      <c r="AG4" s="1038"/>
      <c r="AH4" s="1035" t="s">
        <v>8584</v>
      </c>
      <c r="AI4" s="999"/>
      <c r="AJ4" s="1035" t="s">
        <v>6759</v>
      </c>
      <c r="AK4" s="1034" t="s">
        <v>6251</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2153</v>
      </c>
      <c r="CN4" s="1414" t="s">
        <v>3382</v>
      </c>
      <c r="CO4" s="1415"/>
      <c r="CP4" s="1411" t="s">
        <v>8612</v>
      </c>
      <c r="CQ4" s="1415"/>
      <c r="CR4" s="1415"/>
      <c r="CS4" s="1411" t="s">
        <v>8613</v>
      </c>
      <c r="CT4" s="999"/>
      <c r="CU4" s="999"/>
    </row>
    <row r="5">
      <c r="A5" s="1416" t="s">
        <v>7594</v>
      </c>
      <c r="B5" s="809" t="s">
        <v>8614</v>
      </c>
      <c r="C5" s="805" t="s">
        <v>439</v>
      </c>
      <c r="D5" s="806" t="s">
        <v>333</v>
      </c>
      <c r="E5" s="807" t="s">
        <v>1055</v>
      </c>
      <c r="F5" s="808" t="s">
        <v>1498</v>
      </c>
      <c r="G5" s="809" t="s">
        <v>4409</v>
      </c>
      <c r="H5" s="998" t="s">
        <v>8615</v>
      </c>
      <c r="I5" s="1001" t="s">
        <v>8616</v>
      </c>
      <c r="J5" s="998" t="s">
        <v>6473</v>
      </c>
      <c r="K5" s="1035" t="s">
        <v>8617</v>
      </c>
      <c r="L5" s="1033" t="s">
        <v>8618</v>
      </c>
      <c r="M5" s="1033" t="s">
        <v>3758</v>
      </c>
      <c r="N5" s="998" t="s">
        <v>8619</v>
      </c>
      <c r="O5" s="1001" t="s">
        <v>8620</v>
      </c>
      <c r="P5" s="1035" t="s">
        <v>8621</v>
      </c>
      <c r="Q5" s="1034" t="s">
        <v>8622</v>
      </c>
      <c r="R5" s="1034" t="s">
        <v>8623</v>
      </c>
      <c r="S5" s="1034" t="s">
        <v>8624</v>
      </c>
      <c r="T5" s="1033" t="s">
        <v>8625</v>
      </c>
      <c r="U5" s="1034" t="s">
        <v>8626</v>
      </c>
      <c r="V5" s="1033" t="s">
        <v>8627</v>
      </c>
      <c r="W5" s="998" t="s">
        <v>2357</v>
      </c>
      <c r="X5" s="1045" t="s">
        <v>1691</v>
      </c>
      <c r="Y5" s="1001" t="s">
        <v>8628</v>
      </c>
      <c r="Z5" s="1045" t="s">
        <v>8629</v>
      </c>
      <c r="AA5" s="1001" t="s">
        <v>8630</v>
      </c>
      <c r="AB5" s="998"/>
      <c r="AC5" s="998" t="s">
        <v>3455</v>
      </c>
      <c r="AD5" s="998" t="s">
        <v>3884</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4678</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3967</v>
      </c>
      <c r="BY5" s="999"/>
      <c r="BZ5" s="999"/>
      <c r="CA5" s="1045" t="s">
        <v>3489</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6285</v>
      </c>
      <c r="G6" s="809" t="s">
        <v>3573</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1295</v>
      </c>
      <c r="X6" s="1001" t="s">
        <v>1635</v>
      </c>
      <c r="Y6" s="1001" t="s">
        <v>1580</v>
      </c>
      <c r="Z6" s="1034" t="s">
        <v>5435</v>
      </c>
      <c r="AA6" s="1038"/>
      <c r="AB6" s="1419" t="s">
        <v>8678</v>
      </c>
      <c r="AC6" s="1001" t="s">
        <v>3414</v>
      </c>
      <c r="AD6" s="1001" t="s">
        <v>4730</v>
      </c>
      <c r="AE6" s="1038"/>
      <c r="AF6" s="1033" t="s">
        <v>7429</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5880</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2555</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3098</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2420</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4116</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3037</v>
      </c>
      <c r="Z8" s="999"/>
      <c r="AA8" s="999"/>
      <c r="AB8" s="999"/>
      <c r="AC8" s="1001" t="s">
        <v>4158</v>
      </c>
      <c r="AD8" s="1083" t="s">
        <v>4282</v>
      </c>
      <c r="AE8" s="999"/>
      <c r="AF8" s="999"/>
      <c r="AG8" s="1035" t="s">
        <v>8730</v>
      </c>
      <c r="AH8" s="1045" t="s">
        <v>5486</v>
      </c>
      <c r="AI8" s="1033" t="s">
        <v>1297</v>
      </c>
      <c r="AJ8" s="999"/>
      <c r="AK8" s="1045" t="s">
        <v>4838</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4116</v>
      </c>
      <c r="CM8" s="1412"/>
      <c r="CN8" s="1423" t="s">
        <v>6254</v>
      </c>
      <c r="CO8" s="1412"/>
      <c r="CP8" s="1412"/>
      <c r="CQ8" s="1412"/>
      <c r="CR8" s="1413" t="s">
        <v>7027</v>
      </c>
      <c r="CS8" s="1412"/>
      <c r="CT8" s="999"/>
      <c r="CU8" s="999"/>
    </row>
    <row r="9">
      <c r="A9" s="1424" t="s">
        <v>8745</v>
      </c>
      <c r="B9" s="809" t="s">
        <v>8746</v>
      </c>
      <c r="C9" s="805" t="s">
        <v>1259</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3777</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3639</v>
      </c>
      <c r="BX9" s="1034" t="s">
        <v>2316</v>
      </c>
      <c r="BY9" s="1425" t="s">
        <v>3277</v>
      </c>
      <c r="BZ9" s="1038"/>
      <c r="CA9" s="1034" t="s">
        <v>2042</v>
      </c>
      <c r="CB9" s="1425" t="s">
        <v>2854</v>
      </c>
      <c r="CC9" s="1419" t="s">
        <v>3546</v>
      </c>
      <c r="CD9" s="1048"/>
      <c r="CE9" s="1412"/>
      <c r="CF9" s="1412"/>
      <c r="CG9" s="1412"/>
      <c r="CH9" s="1412"/>
      <c r="CI9" s="1412"/>
      <c r="CJ9" s="1412"/>
      <c r="CK9" s="1412"/>
      <c r="CL9" s="1412"/>
      <c r="CM9" s="1414" t="s">
        <v>2154</v>
      </c>
      <c r="CN9" s="1412"/>
      <c r="CO9" s="1412"/>
      <c r="CP9" s="1412"/>
      <c r="CQ9" s="1428" t="s">
        <v>8762</v>
      </c>
      <c r="CR9" s="1412"/>
      <c r="CS9" s="1412"/>
      <c r="CT9" s="1038"/>
      <c r="CU9" s="1038"/>
    </row>
    <row r="10">
      <c r="A10" s="1429" t="s">
        <v>8763</v>
      </c>
      <c r="B10" s="809" t="s">
        <v>8764</v>
      </c>
      <c r="C10" s="805" t="s">
        <v>1259</v>
      </c>
      <c r="D10" s="806" t="s">
        <v>438</v>
      </c>
      <c r="E10" s="807" t="s">
        <v>650</v>
      </c>
      <c r="F10" s="808" t="s">
        <v>4116</v>
      </c>
      <c r="G10" s="809" t="s">
        <v>2993</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6060</v>
      </c>
      <c r="V10" s="999"/>
      <c r="W10" s="999"/>
      <c r="X10" s="1001" t="s">
        <v>147</v>
      </c>
      <c r="Y10" s="1083" t="s">
        <v>2258</v>
      </c>
      <c r="Z10" s="999"/>
      <c r="AA10" s="1001" t="s">
        <v>6153</v>
      </c>
      <c r="AB10" s="999"/>
      <c r="AC10" s="1001" t="s">
        <v>2256</v>
      </c>
      <c r="AD10" s="1001" t="s">
        <v>2298</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2991</v>
      </c>
      <c r="B11" s="809" t="s">
        <v>8787</v>
      </c>
      <c r="C11" s="805" t="s">
        <v>547</v>
      </c>
      <c r="D11" s="806" t="s">
        <v>438</v>
      </c>
      <c r="E11" s="807" t="s">
        <v>547</v>
      </c>
      <c r="F11" s="808" t="s">
        <v>3060</v>
      </c>
      <c r="G11" s="809" t="s">
        <v>1878</v>
      </c>
      <c r="H11" s="1422"/>
      <c r="I11" s="1422" t="s">
        <v>8788</v>
      </c>
      <c r="J11" s="999"/>
      <c r="K11" s="998" t="s">
        <v>8789</v>
      </c>
      <c r="L11" s="1001" t="s">
        <v>8790</v>
      </c>
      <c r="M11" s="998" t="s">
        <v>8721</v>
      </c>
      <c r="N11" s="999"/>
      <c r="O11" s="998" t="s">
        <v>8791</v>
      </c>
      <c r="P11" s="998" t="s">
        <v>8792</v>
      </c>
      <c r="Q11" s="998" t="s">
        <v>8793</v>
      </c>
      <c r="R11" s="998" t="s">
        <v>8794</v>
      </c>
      <c r="S11" s="1001" t="s">
        <v>3028</v>
      </c>
      <c r="T11" s="999"/>
      <c r="U11" s="998" t="s">
        <v>4007</v>
      </c>
      <c r="V11" s="999"/>
      <c r="W11" s="998" t="s">
        <v>5013</v>
      </c>
      <c r="X11" s="1001" t="s">
        <v>3670</v>
      </c>
      <c r="Y11" s="1001" t="s">
        <v>8795</v>
      </c>
      <c r="Z11" s="999"/>
      <c r="AA11" s="1001" t="s">
        <v>5782</v>
      </c>
      <c r="AB11" s="999"/>
      <c r="AC11" s="998" t="s">
        <v>5914</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3510</v>
      </c>
      <c r="BZ11" s="999"/>
      <c r="CA11" s="1032"/>
      <c r="CB11" s="998" t="s">
        <v>3647</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3194</v>
      </c>
      <c r="B12" s="809" t="s">
        <v>8805</v>
      </c>
      <c r="C12" s="805" t="s">
        <v>1259</v>
      </c>
      <c r="D12" s="806" t="s">
        <v>1259</v>
      </c>
      <c r="E12" s="807" t="s">
        <v>547</v>
      </c>
      <c r="F12" s="808" t="s">
        <v>7482</v>
      </c>
      <c r="G12" s="809" t="s">
        <v>6285</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4545</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3202</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3905</v>
      </c>
      <c r="B13" s="809" t="s">
        <v>8834</v>
      </c>
      <c r="C13" s="805" t="s">
        <v>1259</v>
      </c>
      <c r="D13" s="806" t="s">
        <v>1259</v>
      </c>
      <c r="E13" s="807" t="s">
        <v>1259</v>
      </c>
      <c r="F13" s="808" t="s">
        <v>547</v>
      </c>
      <c r="G13" s="809" t="s">
        <v>2432</v>
      </c>
      <c r="H13" s="1422"/>
      <c r="I13" s="1422" t="s">
        <v>3914</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4089</v>
      </c>
      <c r="W13" s="998" t="s">
        <v>5021</v>
      </c>
      <c r="X13" s="998" t="s">
        <v>8846</v>
      </c>
      <c r="Y13" s="998" t="s">
        <v>376</v>
      </c>
      <c r="Z13" s="1045" t="s">
        <v>3226</v>
      </c>
      <c r="AA13" s="998" t="s">
        <v>8847</v>
      </c>
      <c r="AB13" s="998"/>
      <c r="AC13" s="1045" t="s">
        <v>8848</v>
      </c>
      <c r="AD13" s="1045" t="s">
        <v>8849</v>
      </c>
      <c r="AE13" s="998" t="s">
        <v>5211</v>
      </c>
      <c r="AF13" s="998" t="s">
        <v>4096</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4847</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4213</v>
      </c>
      <c r="BW13" s="1032"/>
      <c r="BX13" s="998" t="s">
        <v>4543</v>
      </c>
      <c r="BY13" s="998" t="s">
        <v>5513</v>
      </c>
      <c r="BZ13" s="999"/>
      <c r="CA13" s="1032"/>
      <c r="CB13" s="998" t="s">
        <v>1753</v>
      </c>
      <c r="CC13" s="999"/>
      <c r="CD13" s="1032"/>
      <c r="CE13" s="1412"/>
      <c r="CF13" s="998" t="s">
        <v>8802</v>
      </c>
      <c r="CG13" s="999"/>
      <c r="CH13" s="1412"/>
      <c r="CI13" s="1428" t="s">
        <v>8666</v>
      </c>
      <c r="CJ13" s="1415" t="s">
        <v>8742</v>
      </c>
      <c r="CK13" s="1415"/>
      <c r="CL13" s="1423" t="s">
        <v>6285</v>
      </c>
      <c r="CM13" s="1415" t="s">
        <v>8864</v>
      </c>
      <c r="CN13" s="1415" t="s">
        <v>6254</v>
      </c>
      <c r="CO13" s="1415" t="s">
        <v>5880</v>
      </c>
      <c r="CP13" s="1415" t="s">
        <v>8865</v>
      </c>
      <c r="CQ13" s="1415" t="s">
        <v>8866</v>
      </c>
      <c r="CR13" s="1412"/>
      <c r="CS13" s="1412"/>
      <c r="CT13" s="999"/>
      <c r="CU13" s="999"/>
    </row>
    <row r="14">
      <c r="A14" s="1435" t="s">
        <v>2189</v>
      </c>
      <c r="B14" s="809" t="s">
        <v>8867</v>
      </c>
      <c r="C14" s="805" t="s">
        <v>1259</v>
      </c>
      <c r="D14" s="806" t="s">
        <v>1259</v>
      </c>
      <c r="E14" s="807" t="s">
        <v>1259</v>
      </c>
      <c r="F14" s="808" t="s">
        <v>332</v>
      </c>
      <c r="G14" s="809" t="s">
        <v>4639</v>
      </c>
      <c r="H14" s="1422" t="s">
        <v>8868</v>
      </c>
      <c r="I14" s="1418" t="s">
        <v>2201</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2758</v>
      </c>
      <c r="X14" s="998" t="s">
        <v>8882</v>
      </c>
      <c r="Y14" s="1045" t="s">
        <v>2057</v>
      </c>
      <c r="Z14" s="999"/>
      <c r="AA14" s="999"/>
      <c r="AB14" s="999"/>
      <c r="AC14" s="1045" t="s">
        <v>8883</v>
      </c>
      <c r="AD14" s="1045" t="s">
        <v>5294</v>
      </c>
      <c r="AE14" s="1001" t="s">
        <v>2530</v>
      </c>
      <c r="AF14" s="1045" t="s">
        <v>8884</v>
      </c>
      <c r="AG14" s="998" t="s">
        <v>8885</v>
      </c>
      <c r="AH14" s="999"/>
      <c r="AI14" s="999"/>
      <c r="AJ14" s="999"/>
      <c r="AK14" s="998" t="s">
        <v>8886</v>
      </c>
      <c r="AL14" s="998" t="s">
        <v>2924</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2218</v>
      </c>
      <c r="BY14" s="1045" t="s">
        <v>6104</v>
      </c>
      <c r="BZ14" s="998"/>
      <c r="CA14" s="1045" t="s">
        <v>3489</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8892</v>
      </c>
      <c r="C15" s="805" t="s">
        <v>650</v>
      </c>
      <c r="D15" s="806" t="s">
        <v>438</v>
      </c>
      <c r="E15" s="807" t="s">
        <v>547</v>
      </c>
      <c r="F15" s="808" t="s">
        <v>649</v>
      </c>
      <c r="G15" s="809" t="s">
        <v>2682</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1259</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4282</v>
      </c>
      <c r="AE16" s="999"/>
      <c r="AF16" s="999"/>
      <c r="AG16" s="999"/>
      <c r="AH16" s="998" t="s">
        <v>5233</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3098</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6486</v>
      </c>
      <c r="C17" s="805" t="s">
        <v>1259</v>
      </c>
      <c r="D17" s="806" t="s">
        <v>547</v>
      </c>
      <c r="E17" s="807" t="s">
        <v>650</v>
      </c>
      <c r="F17" s="808" t="s">
        <v>3872</v>
      </c>
      <c r="G17" s="809" t="s">
        <v>2936</v>
      </c>
      <c r="H17" s="1449" t="s">
        <v>8909</v>
      </c>
      <c r="I17" s="1422" t="s">
        <v>8910</v>
      </c>
      <c r="J17" s="998" t="s">
        <v>8911</v>
      </c>
      <c r="K17" s="1422" t="s">
        <v>8912</v>
      </c>
      <c r="L17" s="998" t="s">
        <v>4568</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6180</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2934</v>
      </c>
      <c r="B18" s="809" t="s">
        <v>8927</v>
      </c>
      <c r="C18" s="805" t="s">
        <v>650</v>
      </c>
      <c r="D18" s="806" t="s">
        <v>334</v>
      </c>
      <c r="E18" s="807" t="s">
        <v>1259</v>
      </c>
      <c r="F18" s="808" t="s">
        <v>649</v>
      </c>
      <c r="G18" s="809" t="s">
        <v>221</v>
      </c>
      <c r="H18" s="1452" t="s">
        <v>8928</v>
      </c>
      <c r="I18" s="1449" t="s">
        <v>8929</v>
      </c>
      <c r="J18" s="1034" t="s">
        <v>8930</v>
      </c>
      <c r="K18" s="1034" t="s">
        <v>8931</v>
      </c>
      <c r="L18" s="998" t="s">
        <v>8932</v>
      </c>
      <c r="M18" s="999"/>
      <c r="N18" s="1035" t="s">
        <v>3702</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6511</v>
      </c>
      <c r="C19" s="805" t="s">
        <v>332</v>
      </c>
      <c r="D19" s="806" t="s">
        <v>650</v>
      </c>
      <c r="E19" s="807" t="s">
        <v>547</v>
      </c>
      <c r="F19" s="808" t="s">
        <v>1200</v>
      </c>
      <c r="G19" s="809" t="s">
        <v>3060</v>
      </c>
      <c r="H19" s="1422"/>
      <c r="I19" s="1422"/>
      <c r="J19" s="999"/>
      <c r="K19" s="999"/>
      <c r="L19" s="999"/>
      <c r="M19" s="999"/>
      <c r="N19" s="999"/>
      <c r="O19" s="999"/>
      <c r="P19" s="999"/>
      <c r="Q19" s="999"/>
      <c r="R19" s="999"/>
      <c r="S19" s="999"/>
      <c r="T19" s="999"/>
      <c r="U19" s="999"/>
      <c r="V19" s="999"/>
      <c r="W19" s="1035" t="s">
        <v>8940</v>
      </c>
      <c r="X19" s="1034" t="s">
        <v>1652</v>
      </c>
      <c r="Y19" s="999"/>
      <c r="Z19" s="999"/>
      <c r="AA19" s="999"/>
      <c r="AB19" s="1034" t="s">
        <v>8941</v>
      </c>
      <c r="AC19" s="1034" t="s">
        <v>2462</v>
      </c>
      <c r="AD19" s="1001" t="s">
        <v>2720</v>
      </c>
      <c r="AE19" s="1038"/>
      <c r="AF19" s="1035" t="s">
        <v>8942</v>
      </c>
      <c r="AG19" s="999"/>
      <c r="AH19" s="1033" t="s">
        <v>1785</v>
      </c>
      <c r="AI19" s="1035" t="s">
        <v>3149</v>
      </c>
      <c r="AJ19" s="999"/>
      <c r="AK19" s="998" t="s">
        <v>4284</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3447</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4053</v>
      </c>
      <c r="B20" s="809" t="s">
        <v>8944</v>
      </c>
      <c r="C20" s="805" t="s">
        <v>1259</v>
      </c>
      <c r="D20" s="806" t="s">
        <v>547</v>
      </c>
      <c r="E20" s="807" t="s">
        <v>1259</v>
      </c>
      <c r="F20" s="808" t="s">
        <v>438</v>
      </c>
      <c r="G20" s="809" t="s">
        <v>3098</v>
      </c>
      <c r="H20" s="1422"/>
      <c r="I20" s="1422" t="s">
        <v>8945</v>
      </c>
      <c r="J20" s="998"/>
      <c r="K20" s="1045" t="s">
        <v>8946</v>
      </c>
      <c r="L20" s="998"/>
      <c r="M20" s="1045" t="s">
        <v>8947</v>
      </c>
      <c r="N20" s="999"/>
      <c r="O20" s="1045" t="s">
        <v>8948</v>
      </c>
      <c r="P20" s="999"/>
      <c r="Q20" s="999"/>
      <c r="R20" s="998" t="s">
        <v>8949</v>
      </c>
      <c r="S20" s="1426" t="s">
        <v>8950</v>
      </c>
      <c r="T20" s="1045" t="s">
        <v>8951</v>
      </c>
      <c r="U20" s="998" t="s">
        <v>3788</v>
      </c>
      <c r="V20" s="998"/>
      <c r="W20" s="1045" t="s">
        <v>4450</v>
      </c>
      <c r="X20" s="998" t="s">
        <v>3821</v>
      </c>
      <c r="Y20" s="1045" t="s">
        <v>2831</v>
      </c>
      <c r="Z20" s="999"/>
      <c r="AA20" s="999"/>
      <c r="AB20" s="999"/>
      <c r="AC20" s="1045" t="s">
        <v>8952</v>
      </c>
      <c r="AD20" s="998" t="s">
        <v>5493</v>
      </c>
      <c r="AE20" s="998"/>
      <c r="AF20" s="1045" t="s">
        <v>8953</v>
      </c>
      <c r="AG20" s="1034" t="s">
        <v>8954</v>
      </c>
      <c r="AH20" s="1001" t="s">
        <v>1268</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1633</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4703</v>
      </c>
      <c r="BW20" s="1032"/>
      <c r="BX20" s="999"/>
      <c r="BY20" s="998" t="s">
        <v>2229</v>
      </c>
      <c r="BZ20" s="999"/>
      <c r="CA20" s="1032"/>
      <c r="CB20" s="998" t="s">
        <v>4545</v>
      </c>
      <c r="CC20" s="1045" t="s">
        <v>8961</v>
      </c>
      <c r="CD20" s="1045"/>
      <c r="CE20" s="999"/>
      <c r="CF20" s="999"/>
      <c r="CG20" s="999"/>
      <c r="CH20" s="999"/>
      <c r="CI20" s="999"/>
      <c r="CJ20" s="999"/>
      <c r="CK20" s="999"/>
      <c r="CL20" s="999"/>
      <c r="CM20" s="1045" t="s">
        <v>8962</v>
      </c>
      <c r="CN20" s="1045" t="s">
        <v>1947</v>
      </c>
      <c r="CO20" s="1045" t="s">
        <v>1878</v>
      </c>
      <c r="CP20" s="1045" t="s">
        <v>8963</v>
      </c>
      <c r="CQ20" s="998" t="s">
        <v>8964</v>
      </c>
      <c r="CR20" s="1045" t="s">
        <v>3346</v>
      </c>
      <c r="CS20" s="998" t="s">
        <v>8965</v>
      </c>
      <c r="CT20" s="999"/>
      <c r="CU20" s="999"/>
    </row>
    <row r="21">
      <c r="A21" s="1455" t="s">
        <v>4803</v>
      </c>
      <c r="B21" s="809" t="s">
        <v>8966</v>
      </c>
      <c r="C21" s="805" t="s">
        <v>1259</v>
      </c>
      <c r="D21" s="806" t="s">
        <v>1259</v>
      </c>
      <c r="E21" s="807" t="s">
        <v>1259</v>
      </c>
      <c r="F21" s="808" t="s">
        <v>547</v>
      </c>
      <c r="G21" s="809" t="s">
        <v>3382</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3501</v>
      </c>
      <c r="X21" s="998" t="s">
        <v>2624</v>
      </c>
      <c r="Y21" s="1045" t="s">
        <v>8973</v>
      </c>
      <c r="Z21" s="999"/>
      <c r="AA21" s="999"/>
      <c r="AB21" s="999"/>
      <c r="AC21" s="1001" t="s">
        <v>344</v>
      </c>
      <c r="AD21" s="1045" t="s">
        <v>3882</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2153</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8979</v>
      </c>
      <c r="C22" s="805" t="s">
        <v>1259</v>
      </c>
      <c r="D22" s="806" t="s">
        <v>1259</v>
      </c>
      <c r="E22" s="807" t="s">
        <v>1259</v>
      </c>
      <c r="F22" s="808" t="s">
        <v>1259</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2306</v>
      </c>
      <c r="X22" s="998"/>
      <c r="Y22" s="1045" t="s">
        <v>3241</v>
      </c>
      <c r="Z22" s="998"/>
      <c r="AA22" s="998"/>
      <c r="AB22" s="998"/>
      <c r="AC22" s="1045" t="s">
        <v>8984</v>
      </c>
      <c r="AD22" s="1045" t="s">
        <v>4916</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1259</v>
      </c>
      <c r="D23" s="806" t="s">
        <v>1259</v>
      </c>
      <c r="E23" s="807" t="s">
        <v>1259</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5198</v>
      </c>
      <c r="Z23" s="999"/>
      <c r="AA23" s="999"/>
      <c r="AB23" s="999"/>
      <c r="AC23" s="1045" t="s">
        <v>8997</v>
      </c>
      <c r="AD23" s="1045" t="s">
        <v>4118</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5376</v>
      </c>
      <c r="B24" s="809" t="s">
        <v>8999</v>
      </c>
      <c r="C24" s="805" t="s">
        <v>1259</v>
      </c>
      <c r="D24" s="806" t="s">
        <v>1259</v>
      </c>
      <c r="E24" s="807" t="s">
        <v>547</v>
      </c>
      <c r="F24" s="808" t="s">
        <v>439</v>
      </c>
      <c r="G24" s="809" t="s">
        <v>5170</v>
      </c>
      <c r="H24" s="1438" t="s">
        <v>9000</v>
      </c>
      <c r="I24" s="1438" t="s">
        <v>5382</v>
      </c>
      <c r="J24" s="1038"/>
      <c r="K24" s="1045" t="s">
        <v>9001</v>
      </c>
      <c r="L24" s="998"/>
      <c r="M24" s="998"/>
      <c r="N24" s="1045" t="s">
        <v>9002</v>
      </c>
      <c r="O24" s="1045" t="s">
        <v>9003</v>
      </c>
      <c r="P24" s="1045" t="s">
        <v>9004</v>
      </c>
      <c r="Q24" s="1045" t="s">
        <v>9005</v>
      </c>
      <c r="R24" s="1045" t="s">
        <v>9006</v>
      </c>
      <c r="S24" s="1045" t="s">
        <v>5400</v>
      </c>
      <c r="T24" s="1045" t="s">
        <v>9007</v>
      </c>
      <c r="U24" s="1045" t="s">
        <v>9008</v>
      </c>
      <c r="V24" s="998"/>
      <c r="W24" s="1045" t="s">
        <v>6113</v>
      </c>
      <c r="X24" s="998"/>
      <c r="Y24" s="999"/>
      <c r="Z24" s="999"/>
      <c r="AA24" s="999"/>
      <c r="AB24" s="999"/>
      <c r="AC24" s="1045" t="s">
        <v>9009</v>
      </c>
      <c r="AD24" s="1045" t="s">
        <v>5921</v>
      </c>
      <c r="AE24" s="998"/>
      <c r="AF24" s="1045" t="s">
        <v>7005</v>
      </c>
      <c r="AG24" s="998"/>
      <c r="AH24" s="1045" t="s">
        <v>3332</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1694</v>
      </c>
      <c r="BX24" s="1045" t="s">
        <v>1628</v>
      </c>
      <c r="BY24" s="1033" t="s">
        <v>4973</v>
      </c>
      <c r="BZ24" s="1045" t="s">
        <v>2253</v>
      </c>
      <c r="CA24" s="1045" t="s">
        <v>5536</v>
      </c>
      <c r="CB24" s="1045" t="s">
        <v>2131</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4912</v>
      </c>
      <c r="CU24" s="1038"/>
    </row>
    <row r="25">
      <c r="A25" s="1463" t="s">
        <v>7500</v>
      </c>
      <c r="B25" s="809" t="s">
        <v>9020</v>
      </c>
      <c r="C25" s="805" t="s">
        <v>1259</v>
      </c>
      <c r="D25" s="806" t="s">
        <v>1259</v>
      </c>
      <c r="E25" s="807" t="s">
        <v>1259</v>
      </c>
      <c r="F25" s="808" t="s">
        <v>1259</v>
      </c>
      <c r="G25" s="809" t="s">
        <v>2871</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2752</v>
      </c>
      <c r="X25" s="998"/>
      <c r="Y25" s="1045" t="s">
        <v>1084</v>
      </c>
      <c r="Z25" s="1032" t="s">
        <v>9027</v>
      </c>
      <c r="AA25" s="999"/>
      <c r="AB25" s="999"/>
      <c r="AC25" s="998"/>
      <c r="AD25" s="1045" t="s">
        <v>1977</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1259</v>
      </c>
      <c r="D26" s="806" t="s">
        <v>1259</v>
      </c>
      <c r="E26" s="807" t="s">
        <v>1259</v>
      </c>
      <c r="F26" s="808" t="s">
        <v>332</v>
      </c>
      <c r="G26" s="809" t="s">
        <v>3382</v>
      </c>
      <c r="H26" s="1422"/>
      <c r="I26" s="1422" t="s">
        <v>9038</v>
      </c>
      <c r="J26" s="998"/>
      <c r="K26" s="998" t="s">
        <v>9039</v>
      </c>
      <c r="L26" s="1001" t="s">
        <v>3766</v>
      </c>
      <c r="M26" s="999"/>
      <c r="N26" s="999"/>
      <c r="O26" s="999"/>
      <c r="P26" s="998" t="s">
        <v>5793</v>
      </c>
      <c r="Q26" s="999"/>
      <c r="R26" s="1001" t="s">
        <v>9040</v>
      </c>
      <c r="S26" s="999"/>
      <c r="T26" s="999"/>
      <c r="U26" s="998" t="s">
        <v>753</v>
      </c>
      <c r="V26" s="998"/>
      <c r="W26" s="1045" t="s">
        <v>4334</v>
      </c>
      <c r="X26" s="998" t="s">
        <v>3505</v>
      </c>
      <c r="Y26" s="1001" t="s">
        <v>5830</v>
      </c>
      <c r="Z26" s="999"/>
      <c r="AA26" s="999"/>
      <c r="AB26" s="999"/>
      <c r="AC26" s="1045" t="s">
        <v>9041</v>
      </c>
      <c r="AD26" s="1045" t="s">
        <v>5749</v>
      </c>
      <c r="AE26" s="998"/>
      <c r="AF26" s="1045" t="s">
        <v>9042</v>
      </c>
      <c r="AG26" s="998"/>
      <c r="AH26" s="1045" t="s">
        <v>9043</v>
      </c>
      <c r="AI26" s="999"/>
      <c r="AJ26" s="999"/>
      <c r="AK26" s="1051" t="s">
        <v>3811</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4055</v>
      </c>
      <c r="CN26" s="1045" t="s">
        <v>220</v>
      </c>
      <c r="CO26" s="1045" t="s">
        <v>4685</v>
      </c>
      <c r="CP26" s="999"/>
      <c r="CQ26" s="999"/>
      <c r="CR26" s="999"/>
      <c r="CS26" s="999"/>
      <c r="CT26" s="999"/>
      <c r="CU26" s="999"/>
    </row>
    <row r="27">
      <c r="A27" s="1416" t="s">
        <v>7518</v>
      </c>
      <c r="B27" s="809" t="s">
        <v>1723</v>
      </c>
      <c r="C27" s="805" t="s">
        <v>1259</v>
      </c>
      <c r="D27" s="806" t="s">
        <v>1259</v>
      </c>
      <c r="E27" s="807" t="s">
        <v>1259</v>
      </c>
      <c r="F27" s="808" t="s">
        <v>332</v>
      </c>
      <c r="G27" s="809" t="s">
        <v>2773</v>
      </c>
      <c r="H27" s="1422"/>
      <c r="I27" s="1422" t="s">
        <v>9045</v>
      </c>
      <c r="J27" s="999"/>
      <c r="K27" s="998" t="s">
        <v>9046</v>
      </c>
      <c r="L27" s="999"/>
      <c r="M27" s="999"/>
      <c r="N27" s="999"/>
      <c r="O27" s="999"/>
      <c r="P27" s="998" t="s">
        <v>9047</v>
      </c>
      <c r="Q27" s="999"/>
      <c r="R27" s="998" t="s">
        <v>9048</v>
      </c>
      <c r="S27" s="999"/>
      <c r="T27" s="998" t="s">
        <v>9049</v>
      </c>
      <c r="U27" s="1001" t="s">
        <v>5477</v>
      </c>
      <c r="V27" s="999"/>
      <c r="W27" s="999"/>
      <c r="X27" s="998" t="s">
        <v>7823</v>
      </c>
      <c r="Y27" s="1001" t="s">
        <v>7925</v>
      </c>
      <c r="Z27" s="999"/>
      <c r="AA27" s="998" t="s">
        <v>9050</v>
      </c>
      <c r="AB27" s="999"/>
      <c r="AC27" s="998" t="s">
        <v>9051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2994</v>
      </c>
      <c r="C28" s="805" t="s">
        <v>439</v>
      </c>
      <c r="D28" s="806" t="s">
        <v>1259</v>
      </c>
      <c r="E28" s="807" t="s">
        <v>547</v>
      </c>
      <c r="F28" s="808" t="s">
        <v>3872</v>
      </c>
      <c r="G28" s="809" t="s">
        <v>3872</v>
      </c>
      <c r="H28" s="1466"/>
      <c r="I28" s="1466"/>
      <c r="J28" s="999"/>
      <c r="K28" s="999"/>
      <c r="L28" s="999"/>
      <c r="M28" s="999"/>
      <c r="N28" s="999"/>
      <c r="O28" s="999"/>
      <c r="P28" s="999"/>
      <c r="Q28" s="999"/>
      <c r="R28" s="999"/>
      <c r="S28" s="999"/>
      <c r="T28" s="999"/>
      <c r="U28" s="999"/>
      <c r="V28" s="999"/>
      <c r="W28" s="999"/>
      <c r="X28" s="1035" t="s">
        <v>2981</v>
      </c>
      <c r="Y28" s="1035" t="s">
        <v>8907</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4010</v>
      </c>
      <c r="BW28" s="1032"/>
      <c r="BX28" s="1035" t="s">
        <v>1751</v>
      </c>
      <c r="BY28" s="999"/>
      <c r="BZ28" s="1035" t="s">
        <v>9052</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3286</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2683</v>
      </c>
      <c r="C30" s="805" t="s">
        <v>1259</v>
      </c>
      <c r="D30" s="806" t="s">
        <v>1259</v>
      </c>
      <c r="E30" s="807" t="s">
        <v>1259</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2153</v>
      </c>
      <c r="C31" s="805" t="s">
        <v>1259</v>
      </c>
      <c r="D31" s="806" t="s">
        <v>1259</v>
      </c>
      <c r="E31" s="807" t="s">
        <v>1259</v>
      </c>
      <c r="F31" s="808" t="s">
        <v>1259</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2376</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2376</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6095</v>
      </c>
      <c r="Z32" s="999"/>
      <c r="AA32" s="999"/>
      <c r="AB32" s="999"/>
      <c r="AC32" s="1045" t="s">
        <v>9062</v>
      </c>
      <c r="AD32" s="998" t="s">
        <v>2125</v>
      </c>
      <c r="AE32" s="998"/>
      <c r="AF32" s="1045" t="s">
        <v>7270</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6213</v>
      </c>
      <c r="B33" s="809" t="s">
        <v>1498</v>
      </c>
      <c r="C33" s="805" t="s">
        <v>1259</v>
      </c>
      <c r="D33" s="806" t="s">
        <v>1259</v>
      </c>
      <c r="E33" s="807" t="s">
        <v>1259</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1740</v>
      </c>
      <c r="AD33" s="998" t="s">
        <v>5556</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3573</v>
      </c>
      <c r="C34" s="805" t="s">
        <v>547</v>
      </c>
      <c r="D34" s="806" t="s">
        <v>547</v>
      </c>
      <c r="E34" s="807" t="s">
        <v>1259</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2316</v>
      </c>
      <c r="BY35" s="1425" t="s">
        <v>3756</v>
      </c>
      <c r="BZ35" s="1425" t="s">
        <v>9074</v>
      </c>
      <c r="CA35" s="1032"/>
      <c r="CB35" s="1425" t="s">
        <v>999</v>
      </c>
      <c r="CC35" s="1425" t="s">
        <v>2880</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2993</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3132</v>
      </c>
      <c r="B37" s="809" t="s">
        <v>7027</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4055</v>
      </c>
      <c r="C38" s="805" t="s">
        <v>1259</v>
      </c>
      <c r="D38" s="806" t="s">
        <v>1259</v>
      </c>
      <c r="E38" s="807" t="s">
        <v>1259</v>
      </c>
      <c r="F38" s="808" t="s">
        <v>1259</v>
      </c>
      <c r="G38" s="809" t="s">
        <v>333</v>
      </c>
      <c r="H38" s="1422"/>
      <c r="I38" s="1422"/>
      <c r="J38" s="999"/>
      <c r="K38" s="999"/>
      <c r="L38" s="999"/>
      <c r="M38" s="999"/>
      <c r="N38" s="999"/>
      <c r="O38" s="999"/>
      <c r="P38" s="999"/>
      <c r="Q38" s="999"/>
      <c r="R38" s="999"/>
      <c r="S38" s="998" t="s">
        <v>9075</v>
      </c>
      <c r="T38" s="999"/>
      <c r="U38" s="998" t="s">
        <v>9076</v>
      </c>
      <c r="V38" s="999"/>
      <c r="W38" s="999"/>
      <c r="X38" s="998" t="s">
        <v>6444</v>
      </c>
      <c r="Y38" s="998" t="s">
        <v>2004</v>
      </c>
      <c r="Z38" s="999"/>
      <c r="AA38" s="998" t="s">
        <v>3146</v>
      </c>
      <c r="AB38" s="999"/>
      <c r="AC38" s="998" t="s">
        <v>9077</v>
      </c>
      <c r="AD38" s="998" t="s">
        <v>2124</v>
      </c>
      <c r="AE38" s="998" t="s">
        <v>6528</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1414</v>
      </c>
      <c r="B39" s="809" t="s">
        <v>4055</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5786</v>
      </c>
      <c r="B40" s="809" t="s">
        <v>7482</v>
      </c>
      <c r="C40" s="805" t="s">
        <v>1259</v>
      </c>
      <c r="D40" s="806" t="s">
        <v>1259</v>
      </c>
      <c r="E40" s="807" t="s">
        <v>1259</v>
      </c>
      <c r="F40" s="808" t="s">
        <v>1259</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3926</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3973</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6254</v>
      </c>
      <c r="C42" s="805" t="s">
        <v>1259</v>
      </c>
      <c r="D42" s="806" t="s">
        <v>1259</v>
      </c>
      <c r="E42" s="807" t="s">
        <v>1259</v>
      </c>
      <c r="F42" s="808" t="s">
        <v>1259</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3382</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2871</v>
      </c>
      <c r="C44" s="805" t="s">
        <v>1259</v>
      </c>
      <c r="D44" s="806" t="s">
        <v>1259</v>
      </c>
      <c r="E44" s="807" t="s">
        <v>1259</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6274</v>
      </c>
      <c r="B45" s="809" t="s">
        <v>222</v>
      </c>
      <c r="C45" s="805" t="s">
        <v>1259</v>
      </c>
      <c r="D45" s="806" t="s">
        <v>1259</v>
      </c>
      <c r="E45" s="807" t="s">
        <v>1259</v>
      </c>
      <c r="F45" s="808" t="s">
        <v>1259</v>
      </c>
      <c r="G45" s="809" t="s">
        <v>334</v>
      </c>
      <c r="H45" s="1422"/>
      <c r="I45" s="1422"/>
      <c r="J45" s="999"/>
      <c r="K45" s="998" t="s">
        <v>9090</v>
      </c>
      <c r="L45" s="999"/>
      <c r="M45" s="999"/>
      <c r="N45" s="999"/>
      <c r="O45" s="999"/>
      <c r="P45" s="999"/>
      <c r="Q45" s="999"/>
      <c r="R45" s="999"/>
      <c r="S45" s="999"/>
      <c r="T45" s="999"/>
      <c r="U45" s="999"/>
      <c r="V45" s="999"/>
      <c r="W45" s="1045" t="s">
        <v>6534</v>
      </c>
      <c r="X45" s="998"/>
      <c r="Y45" s="999"/>
      <c r="Z45" s="999"/>
      <c r="AA45" s="999"/>
      <c r="AB45" s="999"/>
      <c r="AC45" s="999"/>
      <c r="AD45" s="1045" t="s">
        <v>3077</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1259</v>
      </c>
      <c r="D46" s="806" t="s">
        <v>1259</v>
      </c>
      <c r="E46" s="807" t="s">
        <v>1259</v>
      </c>
      <c r="F46" s="808" t="s">
        <v>1259</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5139</v>
      </c>
      <c r="CM46" s="998" t="s">
        <v>8985</v>
      </c>
      <c r="CN46" s="998" t="s">
        <v>4116</v>
      </c>
      <c r="CO46" s="999"/>
      <c r="CP46" s="999"/>
      <c r="CQ46" s="999"/>
      <c r="CR46" s="999"/>
      <c r="CS46" s="999"/>
      <c r="CT46" s="999"/>
      <c r="CU46" s="999"/>
    </row>
    <row r="47">
      <c r="A47" s="1455" t="s">
        <v>3624</v>
      </c>
      <c r="B47" s="809" t="s">
        <v>2682</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2773</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9097</v>
      </c>
      <c r="V48" s="999"/>
      <c r="W48" s="999"/>
      <c r="X48" s="998" t="s">
        <v>3308</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2773</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9098</v>
      </c>
      <c r="C51" s="805" t="s">
        <v>1259</v>
      </c>
      <c r="D51" s="806" t="s">
        <v>1259</v>
      </c>
      <c r="E51" s="807" t="s">
        <v>1259</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3060</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4133</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5955</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3215</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1259</v>
      </c>
      <c r="D57" s="806" t="s">
        <v>1259</v>
      </c>
      <c r="E57" s="807" t="s">
        <v>1259</v>
      </c>
      <c r="F57" s="808" t="s">
        <v>332</v>
      </c>
      <c r="G57" s="809" t="s">
        <v>3872</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3872</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4178</v>
      </c>
      <c r="CU58" s="1038"/>
    </row>
    <row r="59">
      <c r="A59" s="1482" t="s">
        <v>9120</v>
      </c>
      <c r="B59" s="809" t="s">
        <v>3872</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3766</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3096</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3971</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5993</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0.04879351851851852</v>
      </c>
      <c r="D2" s="1502" t="s">
        <v>9165</v>
      </c>
      <c r="E2" s="1502" t="s">
        <v>9166</v>
      </c>
      <c r="F2" s="1503" t="s">
        <v>9167</v>
      </c>
      <c r="G2" s="1502" t="s">
        <v>9168</v>
      </c>
      <c r="H2" s="1504" t="s">
        <v>6326</v>
      </c>
      <c r="I2" s="1504" t="s">
        <v>9169</v>
      </c>
      <c r="J2" s="1505" t="s">
        <v>5309</v>
      </c>
      <c r="K2" s="1506" t="s">
        <v>9170</v>
      </c>
      <c r="L2" s="1506" t="s">
        <v>234</v>
      </c>
      <c r="M2" s="1506" t="s">
        <v>6300</v>
      </c>
      <c r="N2" s="1506" t="s">
        <v>4072</v>
      </c>
      <c r="O2" s="1506" t="s">
        <v>9171</v>
      </c>
      <c r="P2" s="1506" t="s">
        <v>9172</v>
      </c>
      <c r="Q2" s="1507" t="s">
        <v>4274</v>
      </c>
      <c r="R2" s="1508" t="s">
        <v>9173</v>
      </c>
      <c r="S2" s="1507" t="s">
        <v>6714</v>
      </c>
      <c r="T2" s="1508" t="s">
        <v>3275</v>
      </c>
      <c r="U2" s="1507" t="s">
        <v>6868</v>
      </c>
      <c r="V2" s="1507" t="s">
        <v>3776</v>
      </c>
      <c r="W2" s="1509" t="s">
        <v>6526</v>
      </c>
      <c r="X2" s="1510" t="s">
        <v>9174</v>
      </c>
      <c r="Y2" s="1510" t="s">
        <v>6896</v>
      </c>
      <c r="Z2" s="1511" t="s">
        <v>6891</v>
      </c>
      <c r="AA2" s="1510" t="s">
        <v>9175</v>
      </c>
      <c r="AB2" s="1510" t="s">
        <v>9176</v>
      </c>
      <c r="AC2" s="1511" t="s">
        <v>4098</v>
      </c>
      <c r="AD2" s="1512" t="s">
        <v>9177</v>
      </c>
      <c r="AE2" s="1513" t="s">
        <v>4806</v>
      </c>
      <c r="AF2" s="1514" t="s">
        <v>9178</v>
      </c>
      <c r="AG2" s="1514" t="s">
        <v>9179</v>
      </c>
      <c r="AH2" s="1514" t="s">
        <v>3852</v>
      </c>
      <c r="AI2" s="1515" t="s">
        <v>9180</v>
      </c>
      <c r="AJ2" s="1515" t="s">
        <v>9181</v>
      </c>
      <c r="AK2" s="1515" t="s">
        <v>9182</v>
      </c>
      <c r="AL2" s="1515" t="s">
        <v>5671</v>
      </c>
      <c r="AM2" s="1516" t="s">
        <v>9183</v>
      </c>
      <c r="AN2" s="1517" t="s">
        <v>9184</v>
      </c>
      <c r="AO2" s="1517" t="s">
        <v>7118</v>
      </c>
      <c r="AP2" s="1518" t="s">
        <v>9185</v>
      </c>
      <c r="AQ2" s="1516" t="s">
        <v>9186</v>
      </c>
      <c r="AR2" s="1517" t="s">
        <v>9187</v>
      </c>
      <c r="AS2" s="1516" t="s">
        <v>1333</v>
      </c>
      <c r="AT2" s="1519" t="s">
        <v>9188</v>
      </c>
      <c r="AU2" s="1520" t="s">
        <v>9189</v>
      </c>
      <c r="AV2" s="1520" t="str">
        <f t="shared" ref="AV2:AV101" si="1">TEXT(AU2-C2,"m:ss")</f>
        <v>2:25</v>
      </c>
      <c r="AW2" s="1521"/>
    </row>
    <row r="3" ht="15.75" customHeight="1">
      <c r="A3" s="1522" t="s">
        <v>9190</v>
      </c>
      <c r="B3" s="1523" t="s">
        <v>9191</v>
      </c>
      <c r="C3" s="1524">
        <v>0.04932685185185185</v>
      </c>
      <c r="D3" s="1525" t="s">
        <v>9192</v>
      </c>
      <c r="E3" s="1525" t="s">
        <v>6762</v>
      </c>
      <c r="F3" s="1525" t="s">
        <v>9193</v>
      </c>
      <c r="G3" s="1525" t="s">
        <v>9194</v>
      </c>
      <c r="H3" s="1526" t="s">
        <v>9195</v>
      </c>
      <c r="I3" s="1526" t="s">
        <v>5054</v>
      </c>
      <c r="J3" s="1527" t="s">
        <v>1352</v>
      </c>
      <c r="K3" s="1527" t="s">
        <v>9196</v>
      </c>
      <c r="L3" s="1527" t="s">
        <v>2947</v>
      </c>
      <c r="M3" s="1527" t="s">
        <v>9197</v>
      </c>
      <c r="N3" s="1527" t="s">
        <v>2501</v>
      </c>
      <c r="O3" s="1527" t="s">
        <v>9198</v>
      </c>
      <c r="P3" s="1527" t="s">
        <v>5609</v>
      </c>
      <c r="Q3" s="1528" t="s">
        <v>5823</v>
      </c>
      <c r="R3" s="1528" t="s">
        <v>9199</v>
      </c>
      <c r="S3" s="1528" t="s">
        <v>9200</v>
      </c>
      <c r="T3" s="1528" t="s">
        <v>9201</v>
      </c>
      <c r="U3" s="1529" t="s">
        <v>7402</v>
      </c>
      <c r="V3" s="1528" t="s">
        <v>9202</v>
      </c>
      <c r="W3" s="1530" t="s">
        <v>4154</v>
      </c>
      <c r="X3" s="1530" t="s">
        <v>6025</v>
      </c>
      <c r="Y3" s="1531" t="s">
        <v>9203</v>
      </c>
      <c r="Z3" s="1531" t="s">
        <v>1339</v>
      </c>
      <c r="AA3" s="1531" t="s">
        <v>5849</v>
      </c>
      <c r="AB3" s="1530" t="s">
        <v>6852</v>
      </c>
      <c r="AC3" s="1531" t="s">
        <v>9204</v>
      </c>
      <c r="AD3" s="1525" t="s">
        <v>9205</v>
      </c>
      <c r="AE3" s="1525" t="s">
        <v>9206</v>
      </c>
      <c r="AF3" s="1532" t="s">
        <v>9207</v>
      </c>
      <c r="AG3" s="1533" t="s">
        <v>4620</v>
      </c>
      <c r="AH3" s="1533" t="s">
        <v>9208</v>
      </c>
      <c r="AI3" s="1533" t="s">
        <v>9209</v>
      </c>
      <c r="AJ3" s="1532" t="s">
        <v>9210</v>
      </c>
      <c r="AK3" s="1533" t="s">
        <v>3379</v>
      </c>
      <c r="AL3" s="1533" t="s">
        <v>9211</v>
      </c>
      <c r="AM3" s="1534" t="s">
        <v>9212</v>
      </c>
      <c r="AN3" s="1534" t="s">
        <v>4760</v>
      </c>
      <c r="AO3" s="1535" t="s">
        <v>7308</v>
      </c>
      <c r="AP3" s="1535" t="s">
        <v>9213</v>
      </c>
      <c r="AQ3" s="1535" t="s">
        <v>9214</v>
      </c>
      <c r="AR3" s="1535" t="s">
        <v>4079</v>
      </c>
      <c r="AS3" s="1534" t="s">
        <v>4857</v>
      </c>
      <c r="AT3" s="1527" t="s">
        <v>5046</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6348</v>
      </c>
      <c r="L4" s="1543" t="s">
        <v>3810</v>
      </c>
      <c r="M4" s="1543" t="s">
        <v>9224</v>
      </c>
      <c r="N4" s="1543" t="s">
        <v>9183</v>
      </c>
      <c r="O4" s="1543" t="s">
        <v>9225</v>
      </c>
      <c r="P4" s="1543" t="s">
        <v>9226</v>
      </c>
      <c r="Q4" s="1544" t="s">
        <v>9227</v>
      </c>
      <c r="R4" s="1544" t="s">
        <v>9228</v>
      </c>
      <c r="S4" s="1544" t="s">
        <v>2267</v>
      </c>
      <c r="T4" s="1544" t="s">
        <v>9229</v>
      </c>
      <c r="U4" s="1544" t="s">
        <v>9230</v>
      </c>
      <c r="V4" s="1544" t="s">
        <v>4295</v>
      </c>
      <c r="W4" s="1545" t="s">
        <v>9231</v>
      </c>
      <c r="X4" s="1545" t="s">
        <v>9232</v>
      </c>
      <c r="Y4" s="1545">
        <v>47.93</v>
      </c>
      <c r="Z4" s="1545" t="s">
        <v>9233</v>
      </c>
      <c r="AA4" s="1545" t="s">
        <v>9234</v>
      </c>
      <c r="AB4" s="1545" t="s">
        <v>9235</v>
      </c>
      <c r="AC4" s="1545">
        <v>49.24</v>
      </c>
      <c r="AD4" s="1546" t="s">
        <v>9236</v>
      </c>
      <c r="AE4" s="1547" t="s">
        <v>5589</v>
      </c>
      <c r="AF4" s="1548" t="s">
        <v>2803</v>
      </c>
      <c r="AG4" s="1548" t="s">
        <v>4615</v>
      </c>
      <c r="AH4" s="1548" t="s">
        <v>5338</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6326</v>
      </c>
      <c r="I5" s="1557" t="s">
        <v>9169</v>
      </c>
      <c r="J5" s="1559" t="s">
        <v>5309</v>
      </c>
      <c r="K5" s="1560" t="s">
        <v>9248</v>
      </c>
      <c r="L5" s="1558" t="s">
        <v>2309</v>
      </c>
      <c r="M5" s="1560" t="s">
        <v>2574</v>
      </c>
      <c r="N5" s="1561" t="s">
        <v>4072</v>
      </c>
      <c r="O5" s="1562" t="s">
        <v>9249</v>
      </c>
      <c r="P5" s="1561" t="s">
        <v>9172</v>
      </c>
      <c r="Q5" s="1561" t="s">
        <v>4274</v>
      </c>
      <c r="R5" s="1559" t="s">
        <v>9173</v>
      </c>
      <c r="S5" s="1561" t="s">
        <v>6714</v>
      </c>
      <c r="T5" s="1559" t="s">
        <v>3275</v>
      </c>
      <c r="U5" s="1561" t="s">
        <v>6868</v>
      </c>
      <c r="V5" s="1563" t="s">
        <v>3776</v>
      </c>
      <c r="W5" s="1557" t="s">
        <v>6526</v>
      </c>
      <c r="X5" s="1559" t="s">
        <v>9174</v>
      </c>
      <c r="Y5" s="1559" t="s">
        <v>6896</v>
      </c>
      <c r="Z5" s="1562" t="s">
        <v>5093</v>
      </c>
      <c r="AA5" s="1559" t="s">
        <v>9175</v>
      </c>
      <c r="AB5" s="1558" t="s">
        <v>3295</v>
      </c>
      <c r="AC5" s="1561" t="s">
        <v>4098</v>
      </c>
      <c r="AD5" s="1559" t="s">
        <v>9177</v>
      </c>
      <c r="AE5" s="1560" t="s">
        <v>8253</v>
      </c>
      <c r="AF5" s="1474" t="s">
        <v>9250</v>
      </c>
      <c r="AG5" s="1038" t="s">
        <v>9251</v>
      </c>
      <c r="AH5" s="1558" t="s">
        <v>5661</v>
      </c>
      <c r="AI5" s="1561" t="s">
        <v>9180</v>
      </c>
      <c r="AJ5" s="1038" t="s">
        <v>9252</v>
      </c>
      <c r="AK5" s="1561" t="s">
        <v>9182</v>
      </c>
      <c r="AL5" s="1559" t="s">
        <v>5671</v>
      </c>
      <c r="AM5" s="1559" t="s">
        <v>9183</v>
      </c>
      <c r="AN5" s="1558" t="s">
        <v>6469</v>
      </c>
      <c r="AO5" s="1560" t="s">
        <v>381</v>
      </c>
      <c r="AP5" s="1559" t="s">
        <v>9185</v>
      </c>
      <c r="AQ5" s="1559" t="s">
        <v>9186</v>
      </c>
      <c r="AR5" s="1038" t="s">
        <v>7118</v>
      </c>
      <c r="AS5" s="1562" t="s">
        <v>4509</v>
      </c>
      <c r="AT5" s="1558" t="s">
        <v>9253</v>
      </c>
      <c r="AU5" s="1564" t="s">
        <v>9254</v>
      </c>
      <c r="AV5" s="1474" t="str">
        <f t="shared" si="1"/>
        <v>1:58</v>
      </c>
      <c r="AW5" s="1565" t="s">
        <v>9255</v>
      </c>
    </row>
    <row r="6">
      <c r="A6" s="1566" t="s">
        <v>2544</v>
      </c>
      <c r="B6" s="1567" t="s">
        <v>9164</v>
      </c>
      <c r="C6" s="1568">
        <v>0.04926921296296296</v>
      </c>
      <c r="D6" s="1569" t="s">
        <v>9256</v>
      </c>
      <c r="E6" s="1569" t="s">
        <v>9257</v>
      </c>
      <c r="F6" s="1569" t="s">
        <v>9258</v>
      </c>
      <c r="G6" s="1569" t="s">
        <v>9259</v>
      </c>
      <c r="H6" s="1570" t="s">
        <v>9260</v>
      </c>
      <c r="I6" s="1570" t="s">
        <v>4300</v>
      </c>
      <c r="J6" s="1571" t="s">
        <v>9261</v>
      </c>
      <c r="K6" s="1571" t="s">
        <v>7609</v>
      </c>
      <c r="L6" s="1571" t="s">
        <v>9262</v>
      </c>
      <c r="M6" s="1571" t="s">
        <v>9263</v>
      </c>
      <c r="N6" s="1571" t="s">
        <v>102</v>
      </c>
      <c r="O6" s="1571" t="s">
        <v>9264</v>
      </c>
      <c r="P6" s="1571" t="s">
        <v>1016</v>
      </c>
      <c r="Q6" s="1572" t="s">
        <v>9265</v>
      </c>
      <c r="R6" s="1573" t="s">
        <v>3642</v>
      </c>
      <c r="S6" s="1573" t="s">
        <v>9266</v>
      </c>
      <c r="T6" s="1573" t="s">
        <v>3020</v>
      </c>
      <c r="U6" s="1573" t="s">
        <v>9267</v>
      </c>
      <c r="V6" s="1573" t="s">
        <v>9268</v>
      </c>
      <c r="W6" s="1574" t="s">
        <v>9269</v>
      </c>
      <c r="X6" s="1574" t="s">
        <v>4793</v>
      </c>
      <c r="Y6" s="1575" t="s">
        <v>9270</v>
      </c>
      <c r="Z6" s="1574" t="s">
        <v>7073</v>
      </c>
      <c r="AA6" s="1574" t="s">
        <v>9271</v>
      </c>
      <c r="AB6" s="1574" t="s">
        <v>9272</v>
      </c>
      <c r="AC6" s="1574" t="s">
        <v>8679</v>
      </c>
      <c r="AD6" s="1569" t="s">
        <v>9273</v>
      </c>
      <c r="AE6" s="1569" t="s">
        <v>9274</v>
      </c>
      <c r="AF6" s="1576" t="s">
        <v>9275</v>
      </c>
      <c r="AG6" s="1576" t="s">
        <v>6048</v>
      </c>
      <c r="AH6" s="1576" t="s">
        <v>3269</v>
      </c>
      <c r="AI6" s="1577" t="s">
        <v>9276</v>
      </c>
      <c r="AJ6" s="1577" t="s">
        <v>9277</v>
      </c>
      <c r="AK6" s="1577" t="s">
        <v>9183</v>
      </c>
      <c r="AL6" s="1576" t="s">
        <v>1737</v>
      </c>
      <c r="AM6" s="1578" t="s">
        <v>5059</v>
      </c>
      <c r="AN6" s="1579" t="s">
        <v>6313</v>
      </c>
      <c r="AO6" s="1579" t="s">
        <v>9278</v>
      </c>
      <c r="AP6" s="1579" t="s">
        <v>9279</v>
      </c>
      <c r="AQ6" s="1578" t="s">
        <v>4779</v>
      </c>
      <c r="AR6" s="1579" t="s">
        <v>6911</v>
      </c>
      <c r="AS6" s="1578" t="s">
        <v>2069</v>
      </c>
      <c r="AT6" s="1580" t="s">
        <v>9280</v>
      </c>
      <c r="AU6" s="1581" t="s">
        <v>9281</v>
      </c>
      <c r="AV6" s="1581" t="str">
        <f t="shared" si="1"/>
        <v>2:02</v>
      </c>
      <c r="AW6" s="1582"/>
    </row>
    <row r="7" ht="15.75" customHeight="1">
      <c r="A7" s="1583" t="s">
        <v>436</v>
      </c>
      <c r="B7" s="1555" t="s">
        <v>9164</v>
      </c>
      <c r="C7" s="1556">
        <v>0.0493287037037037</v>
      </c>
      <c r="D7" s="1584" t="s">
        <v>9282</v>
      </c>
      <c r="E7" s="1585" t="s">
        <v>9283</v>
      </c>
      <c r="F7" s="1585" t="s">
        <v>9284</v>
      </c>
      <c r="G7" s="1585" t="s">
        <v>9285</v>
      </c>
      <c r="H7" s="1585" t="s">
        <v>9286</v>
      </c>
      <c r="I7" s="1586" t="s">
        <v>9287</v>
      </c>
      <c r="J7" s="1585" t="s">
        <v>9288</v>
      </c>
      <c r="K7" s="1585" t="s">
        <v>782</v>
      </c>
      <c r="L7" s="1585" t="s">
        <v>9289</v>
      </c>
      <c r="M7" s="1585" t="s">
        <v>2574</v>
      </c>
      <c r="N7" s="1585" t="s">
        <v>9290</v>
      </c>
      <c r="O7" s="1585" t="s">
        <v>9291</v>
      </c>
      <c r="P7" s="1585" t="s">
        <v>1285</v>
      </c>
      <c r="Q7" s="1587" t="s">
        <v>1564</v>
      </c>
      <c r="R7" s="1585" t="s">
        <v>4459</v>
      </c>
      <c r="S7" s="1585" t="s">
        <v>9288</v>
      </c>
      <c r="T7" s="1585" t="s">
        <v>5271</v>
      </c>
      <c r="U7" s="1587" t="s">
        <v>9292</v>
      </c>
      <c r="V7" s="1588" t="s">
        <v>8997</v>
      </c>
      <c r="W7" s="1585" t="s">
        <v>9293</v>
      </c>
      <c r="X7" s="1585" t="s">
        <v>6634</v>
      </c>
      <c r="Y7" s="1589">
        <v>46.72</v>
      </c>
      <c r="Z7" s="1589" t="s">
        <v>3704</v>
      </c>
      <c r="AA7" s="1585" t="s">
        <v>3716</v>
      </c>
      <c r="AB7" s="1590" t="s">
        <v>9176</v>
      </c>
      <c r="AC7" s="1585" t="s">
        <v>5560</v>
      </c>
      <c r="AD7" s="1585" t="s">
        <v>7037</v>
      </c>
      <c r="AE7" s="1591" t="s">
        <v>4806</v>
      </c>
      <c r="AF7" s="1589" t="s">
        <v>9294</v>
      </c>
      <c r="AG7" s="1588" t="s">
        <v>6188</v>
      </c>
      <c r="AH7" s="1590" t="s">
        <v>3852</v>
      </c>
      <c r="AI7" s="1585" t="s">
        <v>6084</v>
      </c>
      <c r="AJ7" s="1589" t="s">
        <v>9295</v>
      </c>
      <c r="AK7" s="1589" t="s">
        <v>5996</v>
      </c>
      <c r="AL7" s="1588" t="s">
        <v>6313</v>
      </c>
      <c r="AM7" s="1585" t="s">
        <v>9296</v>
      </c>
      <c r="AN7" s="1588" t="s">
        <v>4260</v>
      </c>
      <c r="AO7" s="1588" t="s">
        <v>2844</v>
      </c>
      <c r="AP7" s="1588" t="s">
        <v>9297</v>
      </c>
      <c r="AQ7" s="1474" t="s">
        <v>9298</v>
      </c>
      <c r="AR7" s="1588" t="s">
        <v>9299</v>
      </c>
      <c r="AS7" s="1588" t="s">
        <v>9300</v>
      </c>
      <c r="AT7" s="1588" t="s">
        <v>9301</v>
      </c>
      <c r="AU7" s="1592" t="s">
        <v>9302</v>
      </c>
      <c r="AV7" s="1474" t="str">
        <f t="shared" si="1"/>
        <v>2:15</v>
      </c>
      <c r="AW7" s="1565"/>
    </row>
    <row r="8" ht="15.75" customHeight="1">
      <c r="A8" s="1554" t="s">
        <v>6780</v>
      </c>
      <c r="B8" s="1555" t="s">
        <v>9164</v>
      </c>
      <c r="C8" s="1556">
        <v>0.049444444444444444</v>
      </c>
      <c r="D8" s="1562" t="s">
        <v>9303</v>
      </c>
      <c r="E8" s="1562" t="s">
        <v>9304</v>
      </c>
      <c r="F8" s="1586" t="s">
        <v>9305</v>
      </c>
      <c r="G8" s="1560" t="s">
        <v>9306</v>
      </c>
      <c r="H8" s="1586" t="s">
        <v>9307</v>
      </c>
      <c r="I8" s="1586" t="s">
        <v>2953</v>
      </c>
      <c r="J8" s="1562" t="s">
        <v>9308</v>
      </c>
      <c r="K8" s="1586" t="s">
        <v>3567</v>
      </c>
      <c r="L8" s="1586" t="s">
        <v>4195</v>
      </c>
      <c r="M8" s="1586" t="s">
        <v>6623</v>
      </c>
      <c r="N8" s="1562" t="s">
        <v>9309</v>
      </c>
      <c r="O8" s="1586" t="s">
        <v>9310</v>
      </c>
      <c r="P8" s="1474" t="s">
        <v>8243</v>
      </c>
      <c r="Q8" s="1562" t="s">
        <v>9311</v>
      </c>
      <c r="R8" s="1586" t="s">
        <v>6860</v>
      </c>
      <c r="S8" s="1586" t="s">
        <v>3439</v>
      </c>
      <c r="T8" s="1474" t="s">
        <v>4081</v>
      </c>
      <c r="U8" s="1586" t="s">
        <v>9312</v>
      </c>
      <c r="V8" s="1586" t="s">
        <v>5317</v>
      </c>
      <c r="W8" s="1593" t="s">
        <v>9313</v>
      </c>
      <c r="X8" s="1474" t="s">
        <v>2573</v>
      </c>
      <c r="Y8" s="1594" t="s">
        <v>7853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9314</v>
      </c>
      <c r="AF8" s="1474" t="s">
        <v>9315</v>
      </c>
      <c r="AG8" s="1595" t="str">
        <f>HYPERLINK("https://www.twitch.tv/videos/566334947","1:28.73")</f>
        <v>1:28.73</v>
      </c>
      <c r="AH8" s="1586" t="s">
        <v>9316</v>
      </c>
      <c r="AI8" s="1596" t="str">
        <f>HYPERLINK("https://www.twitch.tv/videos/584107631","1:27.68")</f>
        <v>1:27.68</v>
      </c>
      <c r="AJ8" s="1474" t="s">
        <v>9317</v>
      </c>
      <c r="AK8" s="1586" t="s">
        <v>6704</v>
      </c>
      <c r="AL8" s="1586" t="s">
        <v>9318</v>
      </c>
      <c r="AM8" s="1562" t="s">
        <v>4553</v>
      </c>
      <c r="AN8" s="1562" t="s">
        <v>2783</v>
      </c>
      <c r="AO8" s="1562" t="s">
        <v>6011</v>
      </c>
      <c r="AP8" s="1586" t="s">
        <v>9319</v>
      </c>
      <c r="AQ8" s="1474" t="s">
        <v>9320</v>
      </c>
      <c r="AR8" s="1562" t="s">
        <v>9321</v>
      </c>
      <c r="AS8" s="1047" t="str">
        <f>HYPERLINK("https://www.twitch.tv/videos/571767101","42.91")</f>
        <v>42.91</v>
      </c>
      <c r="AT8" s="1558" t="s">
        <v>9322</v>
      </c>
      <c r="AU8" s="1592" t="s">
        <v>9323</v>
      </c>
      <c r="AV8" s="1474" t="str">
        <f t="shared" si="1"/>
        <v>2:32</v>
      </c>
      <c r="AW8" s="1597" t="s">
        <v>9324</v>
      </c>
    </row>
    <row r="9" ht="15.75" customHeight="1">
      <c r="A9" s="1554" t="s">
        <v>1876</v>
      </c>
      <c r="B9" s="1555" t="s">
        <v>9164</v>
      </c>
      <c r="C9" s="1556">
        <v>0.04949074074074074</v>
      </c>
      <c r="D9" s="1598" t="s">
        <v>9325</v>
      </c>
      <c r="E9" s="1594" t="s">
        <v>9326</v>
      </c>
      <c r="F9" s="1594" t="s">
        <v>2133</v>
      </c>
      <c r="G9" s="1594" t="s">
        <v>9327</v>
      </c>
      <c r="H9" s="1562" t="s">
        <v>9328</v>
      </c>
      <c r="I9" s="1585">
        <v>47.34</v>
      </c>
      <c r="J9" s="1594" t="s">
        <v>1636</v>
      </c>
      <c r="K9" s="1594" t="s">
        <v>7420</v>
      </c>
      <c r="L9" s="1594">
        <v>55.97</v>
      </c>
      <c r="M9" s="1594" t="s">
        <v>2048</v>
      </c>
      <c r="N9" s="1594" t="s">
        <v>9329</v>
      </c>
      <c r="O9" s="1599" t="s">
        <v>9171</v>
      </c>
      <c r="P9" s="1594">
        <v>47.49</v>
      </c>
      <c r="Q9" s="1594" t="s">
        <v>9330</v>
      </c>
      <c r="R9" s="1594" t="s">
        <v>1229</v>
      </c>
      <c r="S9" s="1600" t="s">
        <v>1897</v>
      </c>
      <c r="T9" s="1594" t="s">
        <v>8008</v>
      </c>
      <c r="U9" s="1562" t="s">
        <v>9331</v>
      </c>
      <c r="V9" s="1594">
        <v>59.32</v>
      </c>
      <c r="W9" s="1598" t="s">
        <v>9332</v>
      </c>
      <c r="X9" s="1601" t="s">
        <v>9333</v>
      </c>
      <c r="Y9" s="1594">
        <v>46.65</v>
      </c>
      <c r="Z9" s="1594" t="s">
        <v>9334</v>
      </c>
      <c r="AA9" s="1594" t="s">
        <v>2498</v>
      </c>
      <c r="AB9" s="1594" t="s">
        <v>9335</v>
      </c>
      <c r="AC9" s="1594">
        <v>47.89</v>
      </c>
      <c r="AD9" s="1594" t="s">
        <v>1896</v>
      </c>
      <c r="AE9" s="1594">
        <v>47.98</v>
      </c>
      <c r="AF9" s="1601" t="s">
        <v>9336</v>
      </c>
      <c r="AG9" s="1594" t="s">
        <v>9337</v>
      </c>
      <c r="AH9" s="1594">
        <v>57.45</v>
      </c>
      <c r="AI9" s="1589" t="s">
        <v>6785</v>
      </c>
      <c r="AJ9" s="1602" t="s">
        <v>9252</v>
      </c>
      <c r="AK9" s="1594" t="s">
        <v>5528</v>
      </c>
      <c r="AL9" s="1594">
        <v>56.23</v>
      </c>
      <c r="AM9" s="1598" t="s">
        <v>4026</v>
      </c>
      <c r="AN9" s="1598" t="s">
        <v>9338</v>
      </c>
      <c r="AO9" s="1594" t="s">
        <v>9339</v>
      </c>
      <c r="AP9" s="1594" t="s">
        <v>9340</v>
      </c>
      <c r="AQ9" s="1594" t="s">
        <v>9341</v>
      </c>
      <c r="AR9" s="1601" t="s">
        <v>3926</v>
      </c>
      <c r="AS9" s="1594">
        <v>46.19</v>
      </c>
      <c r="AT9" s="1603" t="s">
        <v>9188</v>
      </c>
      <c r="AU9" s="1474" t="s">
        <v>9342</v>
      </c>
      <c r="AV9" s="1474" t="str">
        <f t="shared" si="1"/>
        <v>1:33</v>
      </c>
      <c r="AW9" s="1597" t="s">
        <v>9343</v>
      </c>
    </row>
    <row r="10">
      <c r="A10" s="1604" t="s">
        <v>827</v>
      </c>
      <c r="B10" s="1605" t="s">
        <v>9164</v>
      </c>
      <c r="C10" s="1556">
        <v>0.04951388888888889</v>
      </c>
      <c r="D10" s="1588" t="s">
        <v>9303</v>
      </c>
      <c r="E10" s="1588" t="s">
        <v>253</v>
      </c>
      <c r="F10" s="1588" t="s">
        <v>9344</v>
      </c>
      <c r="G10" s="1589" t="s">
        <v>9345</v>
      </c>
      <c r="H10" s="1588" t="s">
        <v>9346</v>
      </c>
      <c r="I10" s="1588" t="s">
        <v>4561</v>
      </c>
      <c r="J10" s="1585" t="s">
        <v>1488</v>
      </c>
      <c r="K10" s="1588" t="s">
        <v>9347</v>
      </c>
      <c r="L10" s="1588" t="s">
        <v>9348</v>
      </c>
      <c r="M10" s="1591" t="s">
        <v>6300</v>
      </c>
      <c r="N10" s="1588" t="s">
        <v>5960</v>
      </c>
      <c r="O10" s="1588" t="s">
        <v>9349</v>
      </c>
      <c r="P10" s="1588" t="s">
        <v>6217</v>
      </c>
      <c r="Q10" s="1588" t="s">
        <v>4801</v>
      </c>
      <c r="R10" s="1588" t="s">
        <v>5852</v>
      </c>
      <c r="S10" s="1562" t="s">
        <v>2902</v>
      </c>
      <c r="T10" s="1588" t="s">
        <v>9350</v>
      </c>
      <c r="U10" s="1588" t="s">
        <v>9351</v>
      </c>
      <c r="V10" s="1588" t="s">
        <v>9352</v>
      </c>
      <c r="W10" s="1588" t="s">
        <v>9353</v>
      </c>
      <c r="X10" s="1562" t="s">
        <v>9354</v>
      </c>
      <c r="Y10" s="1588" t="s">
        <v>6217</v>
      </c>
      <c r="Z10" s="1599" t="s">
        <v>6891</v>
      </c>
      <c r="AA10" s="1562" t="s">
        <v>9209</v>
      </c>
      <c r="AB10" s="1588" t="s">
        <v>416</v>
      </c>
      <c r="AC10" s="1588" t="s">
        <v>3798</v>
      </c>
      <c r="AD10" s="1606" t="s">
        <v>3729</v>
      </c>
      <c r="AE10" s="1589">
        <v>47.81</v>
      </c>
      <c r="AF10" s="1588" t="s">
        <v>9355</v>
      </c>
      <c r="AG10" s="1588" t="s">
        <v>9356</v>
      </c>
      <c r="AH10" s="1588" t="s">
        <v>751</v>
      </c>
      <c r="AI10" s="1588" t="s">
        <v>9357</v>
      </c>
      <c r="AJ10" s="1588" t="s">
        <v>9358</v>
      </c>
      <c r="AK10" s="1588" t="s">
        <v>9359</v>
      </c>
      <c r="AL10" s="1588" t="s">
        <v>8801</v>
      </c>
      <c r="AM10" s="1588" t="s">
        <v>4553</v>
      </c>
      <c r="AN10" s="1599" t="s">
        <v>9184</v>
      </c>
      <c r="AO10" s="1599" t="s">
        <v>7118</v>
      </c>
      <c r="AP10" s="1588" t="s">
        <v>9360</v>
      </c>
      <c r="AQ10" s="1588" t="s">
        <v>9361</v>
      </c>
      <c r="AR10" s="1599" t="s">
        <v>9187</v>
      </c>
      <c r="AS10" s="1591" t="s">
        <v>1333</v>
      </c>
      <c r="AT10" s="1588" t="s">
        <v>9362</v>
      </c>
      <c r="AU10" s="1607" t="s">
        <v>9363</v>
      </c>
      <c r="AV10" s="1474" t="str">
        <f t="shared" si="1"/>
        <v>2:15</v>
      </c>
      <c r="AW10" s="1608" t="s">
        <v>9364</v>
      </c>
    </row>
    <row r="11" ht="15.75" customHeight="1">
      <c r="A11" s="1583" t="s">
        <v>330</v>
      </c>
      <c r="B11" s="1555" t="s">
        <v>9164</v>
      </c>
      <c r="C11" s="1556">
        <v>0.04957175925925926</v>
      </c>
      <c r="D11" s="1609" t="s">
        <v>9365</v>
      </c>
      <c r="E11" s="1585" t="s">
        <v>9366</v>
      </c>
      <c r="F11" s="1610" t="s">
        <v>9167</v>
      </c>
      <c r="G11" s="1588" t="s">
        <v>9367</v>
      </c>
      <c r="H11" s="1611" t="s">
        <v>5498</v>
      </c>
      <c r="I11" s="1588" t="s">
        <v>1386</v>
      </c>
      <c r="J11" s="1178" t="s">
        <v>9368</v>
      </c>
      <c r="K11" s="1588" t="s">
        <v>7955</v>
      </c>
      <c r="L11" s="1590" t="s">
        <v>234</v>
      </c>
      <c r="M11" s="1178" t="s">
        <v>9369</v>
      </c>
      <c r="N11" s="1585" t="s">
        <v>9370</v>
      </c>
      <c r="O11" s="1178" t="s">
        <v>9371</v>
      </c>
      <c r="P11" s="1588" t="s">
        <v>6614</v>
      </c>
      <c r="Q11" s="1588" t="s">
        <v>9330</v>
      </c>
      <c r="R11" s="1588" t="s">
        <v>5718</v>
      </c>
      <c r="S11" s="1588" t="s">
        <v>9372</v>
      </c>
      <c r="T11" s="1588" t="s">
        <v>9373</v>
      </c>
      <c r="U11" s="1588" t="s">
        <v>6297</v>
      </c>
      <c r="V11" s="998" t="s">
        <v>5575</v>
      </c>
      <c r="W11" s="1612" t="s">
        <v>9374</v>
      </c>
      <c r="X11" s="1588" t="s">
        <v>9375</v>
      </c>
      <c r="Y11" s="1585">
        <v>46.63</v>
      </c>
      <c r="Z11" s="1130" t="s">
        <v>306</v>
      </c>
      <c r="AA11" s="1585" t="s">
        <v>9376</v>
      </c>
      <c r="AB11" s="1590" t="s">
        <v>9176</v>
      </c>
      <c r="AC11" s="1588" t="s">
        <v>5558</v>
      </c>
      <c r="AD11" s="1588" t="s">
        <v>9377</v>
      </c>
      <c r="AE11" s="1589" t="s">
        <v>9378</v>
      </c>
      <c r="AF11" s="1585" t="s">
        <v>9379</v>
      </c>
      <c r="AG11" s="1594" t="s">
        <v>9380</v>
      </c>
      <c r="AH11" s="1588" t="s">
        <v>9381</v>
      </c>
      <c r="AI11" s="998" t="s">
        <v>9382</v>
      </c>
      <c r="AJ11" s="1589" t="s">
        <v>9383</v>
      </c>
      <c r="AK11" s="1588" t="s">
        <v>1298</v>
      </c>
      <c r="AL11" s="1588" t="s">
        <v>5211</v>
      </c>
      <c r="AM11" s="1588" t="s">
        <v>9373</v>
      </c>
      <c r="AN11" s="1178" t="s">
        <v>9384</v>
      </c>
      <c r="AO11" s="1588" t="s">
        <v>9299</v>
      </c>
      <c r="AP11" s="1588" t="s">
        <v>9385</v>
      </c>
      <c r="AQ11" s="1588" t="s">
        <v>9386</v>
      </c>
      <c r="AR11" s="1588" t="s">
        <v>4640</v>
      </c>
      <c r="AS11" s="1588" t="s">
        <v>9387</v>
      </c>
      <c r="AT11" s="1613" t="s">
        <v>9388</v>
      </c>
      <c r="AU11" s="1607" t="s">
        <v>9389</v>
      </c>
      <c r="AV11" s="1474" t="str">
        <f t="shared" si="1"/>
        <v>2:59</v>
      </c>
      <c r="AW11" s="1614"/>
    </row>
    <row r="12">
      <c r="A12" s="1583" t="s">
        <v>6618</v>
      </c>
      <c r="B12" s="1615" t="s">
        <v>9164</v>
      </c>
      <c r="C12" s="1556">
        <v>0.04958333333333333</v>
      </c>
      <c r="D12" s="998" t="s">
        <v>9390</v>
      </c>
      <c r="E12" s="1594" t="s">
        <v>6578</v>
      </c>
      <c r="F12" s="1594" t="s">
        <v>9391</v>
      </c>
      <c r="G12" s="1594" t="s">
        <v>9392</v>
      </c>
      <c r="H12" s="1598" t="s">
        <v>9393</v>
      </c>
      <c r="I12" s="1598" t="s">
        <v>5838</v>
      </c>
      <c r="J12" s="1598" t="s">
        <v>151</v>
      </c>
      <c r="K12" s="1598" t="s">
        <v>7028</v>
      </c>
      <c r="L12" s="1594">
        <v>56.42</v>
      </c>
      <c r="M12" s="1594" t="s">
        <v>1045</v>
      </c>
      <c r="N12" s="1594" t="s">
        <v>9394</v>
      </c>
      <c r="O12" s="1598" t="s">
        <v>9395</v>
      </c>
      <c r="P12" s="1598" t="s">
        <v>280</v>
      </c>
      <c r="Q12" s="1598" t="s">
        <v>9396</v>
      </c>
      <c r="R12" s="1594" t="s">
        <v>9397</v>
      </c>
      <c r="S12" s="1598" t="s">
        <v>9398</v>
      </c>
      <c r="T12" s="1598" t="s">
        <v>5059</v>
      </c>
      <c r="U12" s="1598" t="s">
        <v>9399</v>
      </c>
      <c r="V12" s="1594">
        <v>59.45</v>
      </c>
      <c r="W12" s="1598" t="s">
        <v>9400</v>
      </c>
      <c r="X12" s="1598" t="s">
        <v>9401</v>
      </c>
      <c r="Y12" s="1598" t="s">
        <v>5163</v>
      </c>
      <c r="Z12" s="1594" t="s">
        <v>4189</v>
      </c>
      <c r="AA12" s="1594" t="s">
        <v>3218</v>
      </c>
      <c r="AB12" s="1594" t="s">
        <v>4608</v>
      </c>
      <c r="AC12" s="1598" t="s">
        <v>4915</v>
      </c>
      <c r="AD12" s="1598" t="s">
        <v>9402</v>
      </c>
      <c r="AE12" s="1594">
        <v>47.89</v>
      </c>
      <c r="AF12" s="1594" t="s">
        <v>9403</v>
      </c>
      <c r="AG12" s="1591" t="s">
        <v>9179</v>
      </c>
      <c r="AH12" s="1594">
        <v>57.71</v>
      </c>
      <c r="AI12" s="1598" t="s">
        <v>2228</v>
      </c>
      <c r="AJ12" s="1594" t="s">
        <v>9404</v>
      </c>
      <c r="AK12" s="1598" t="s">
        <v>9405</v>
      </c>
      <c r="AL12" s="1594">
        <v>56.69</v>
      </c>
      <c r="AM12" s="1598" t="s">
        <v>9406</v>
      </c>
      <c r="AN12" s="1598" t="s">
        <v>4149</v>
      </c>
      <c r="AO12" s="1598" t="s">
        <v>2937</v>
      </c>
      <c r="AP12" s="1594" t="s">
        <v>9407</v>
      </c>
      <c r="AQ12" s="1598" t="s">
        <v>9408</v>
      </c>
      <c r="AR12" s="1598" t="s">
        <v>9409</v>
      </c>
      <c r="AS12" s="1594">
        <v>43.65</v>
      </c>
      <c r="AT12" s="1598" t="s">
        <v>9410</v>
      </c>
      <c r="AU12" s="1592" t="s">
        <v>9411</v>
      </c>
      <c r="AV12" s="1474" t="str">
        <f t="shared" si="1"/>
        <v>1:34</v>
      </c>
      <c r="AW12" s="1616" t="s">
        <v>9412</v>
      </c>
    </row>
    <row r="13" ht="15.75" customHeight="1">
      <c r="A13" s="1617" t="s">
        <v>2151</v>
      </c>
      <c r="B13" s="1618" t="s">
        <v>9191</v>
      </c>
      <c r="C13" s="1556">
        <v>0.04960648148148148</v>
      </c>
      <c r="D13" s="1619" t="s">
        <v>9413</v>
      </c>
      <c r="E13" s="998" t="s">
        <v>3298</v>
      </c>
      <c r="F13" s="998" t="s">
        <v>9414</v>
      </c>
      <c r="G13" s="1619" t="s">
        <v>9415</v>
      </c>
      <c r="H13" s="1620" t="s">
        <v>9195</v>
      </c>
      <c r="I13" s="998" t="s">
        <v>9416</v>
      </c>
      <c r="J13" s="998" t="s">
        <v>9417</v>
      </c>
      <c r="K13" s="1621" t="s">
        <v>9196</v>
      </c>
      <c r="L13" s="1622" t="s">
        <v>4737</v>
      </c>
      <c r="M13" s="998" t="s">
        <v>6601</v>
      </c>
      <c r="N13" s="1623" t="s">
        <v>5348</v>
      </c>
      <c r="O13" s="998" t="s">
        <v>6958</v>
      </c>
      <c r="P13" s="1623" t="s">
        <v>5558</v>
      </c>
      <c r="Q13" s="998" t="s">
        <v>9418</v>
      </c>
      <c r="R13" s="1621" t="s">
        <v>9199</v>
      </c>
      <c r="S13" s="1624" t="s">
        <v>9200</v>
      </c>
      <c r="T13" s="1625" t="s">
        <v>4026</v>
      </c>
      <c r="U13" s="1626" t="s">
        <v>9419</v>
      </c>
      <c r="V13" s="1627" t="s">
        <v>9202</v>
      </c>
      <c r="W13" s="1628" t="s">
        <v>4154</v>
      </c>
      <c r="X13" s="1628" t="s">
        <v>6025</v>
      </c>
      <c r="Y13" s="1621" t="s">
        <v>9420</v>
      </c>
      <c r="Z13" s="1628" t="s">
        <v>1339</v>
      </c>
      <c r="AA13" s="1629" t="s">
        <v>5849</v>
      </c>
      <c r="AB13" s="1621" t="s">
        <v>6852</v>
      </c>
      <c r="AC13" s="1630" t="s">
        <v>9204</v>
      </c>
      <c r="AD13" s="998" t="s">
        <v>9421</v>
      </c>
      <c r="AE13" s="1631" t="s">
        <v>9206</v>
      </c>
      <c r="AF13" s="1038" t="s">
        <v>9422</v>
      </c>
      <c r="AG13" s="1628" t="s">
        <v>4620</v>
      </c>
      <c r="AH13" s="1632" t="s">
        <v>9208</v>
      </c>
      <c r="AI13" s="1632" t="s">
        <v>9209</v>
      </c>
      <c r="AJ13" s="998" t="s">
        <v>9423</v>
      </c>
      <c r="AK13" s="1622" t="s">
        <v>6921</v>
      </c>
      <c r="AL13" s="1628" t="s">
        <v>9211</v>
      </c>
      <c r="AM13" s="998" t="s">
        <v>887</v>
      </c>
      <c r="AN13" s="1633" t="s">
        <v>4760</v>
      </c>
      <c r="AO13" s="1621" t="s">
        <v>7308</v>
      </c>
      <c r="AP13" s="1634" t="s">
        <v>9213</v>
      </c>
      <c r="AQ13" s="1635" t="s">
        <v>9214</v>
      </c>
      <c r="AR13" s="1635" t="s">
        <v>4079</v>
      </c>
      <c r="AS13" s="1636" t="s">
        <v>4857</v>
      </c>
      <c r="AT13" s="1621" t="s">
        <v>5046</v>
      </c>
      <c r="AU13" s="1607" t="s">
        <v>9424</v>
      </c>
      <c r="AV13" s="1474" t="str">
        <f t="shared" si="1"/>
        <v>3:56</v>
      </c>
      <c r="AW13" s="1608" t="s">
        <v>9425</v>
      </c>
    </row>
    <row r="14" ht="15.75" customHeight="1">
      <c r="A14" s="1617" t="s">
        <v>7159</v>
      </c>
      <c r="B14" s="1555" t="s">
        <v>9164</v>
      </c>
      <c r="C14" s="1556">
        <v>0.04967592592592593</v>
      </c>
      <c r="D14" s="998" t="s">
        <v>9426</v>
      </c>
      <c r="E14" s="1586" t="s">
        <v>956</v>
      </c>
      <c r="F14" s="1586" t="s">
        <v>9427</v>
      </c>
      <c r="G14" s="1586" t="s">
        <v>9428</v>
      </c>
      <c r="H14" s="998" t="s">
        <v>9429</v>
      </c>
      <c r="I14" s="1586" t="s">
        <v>9430</v>
      </c>
      <c r="J14" s="1586" t="s">
        <v>9431</v>
      </c>
      <c r="K14" s="1586" t="s">
        <v>6541</v>
      </c>
      <c r="L14" s="1586" t="s">
        <v>4514</v>
      </c>
      <c r="M14" s="1586" t="s">
        <v>8974</v>
      </c>
      <c r="N14" s="1586" t="s">
        <v>2224</v>
      </c>
      <c r="O14" s="1586" t="s">
        <v>3335</v>
      </c>
      <c r="P14" s="1586" t="s">
        <v>9430</v>
      </c>
      <c r="Q14" s="1586" t="s">
        <v>9432</v>
      </c>
      <c r="R14" s="1586" t="s">
        <v>1229</v>
      </c>
      <c r="S14" s="1637" t="s">
        <v>9433</v>
      </c>
      <c r="T14" s="1586" t="s">
        <v>4929</v>
      </c>
      <c r="U14" s="1586" t="s">
        <v>9434</v>
      </c>
      <c r="V14" s="1586" t="s">
        <v>9435</v>
      </c>
      <c r="W14" s="1586" t="s">
        <v>9436</v>
      </c>
      <c r="X14" s="1586" t="s">
        <v>1119</v>
      </c>
      <c r="Y14" s="1586" t="s">
        <v>4399</v>
      </c>
      <c r="Z14" s="1586" t="s">
        <v>9437</v>
      </c>
      <c r="AA14" s="1586" t="s">
        <v>9438</v>
      </c>
      <c r="AB14" s="1586" t="s">
        <v>1905</v>
      </c>
      <c r="AC14" s="1586" t="s">
        <v>761</v>
      </c>
      <c r="AD14" s="1586" t="s">
        <v>9439</v>
      </c>
      <c r="AE14" s="1586" t="s">
        <v>5043</v>
      </c>
      <c r="AF14" s="1562" t="s">
        <v>9440</v>
      </c>
      <c r="AG14" s="1586" t="s">
        <v>9441</v>
      </c>
      <c r="AH14" s="1586" t="s">
        <v>4826</v>
      </c>
      <c r="AI14" s="1586" t="s">
        <v>3018</v>
      </c>
      <c r="AJ14" s="1586" t="s">
        <v>9442</v>
      </c>
      <c r="AK14" s="1586" t="s">
        <v>4197</v>
      </c>
      <c r="AL14" s="1586" t="s">
        <v>9443</v>
      </c>
      <c r="AM14" s="1586" t="s">
        <v>9444</v>
      </c>
      <c r="AN14" s="998" t="s">
        <v>9289</v>
      </c>
      <c r="AO14" s="1586" t="s">
        <v>9445</v>
      </c>
      <c r="AP14" s="1586" t="s">
        <v>9446</v>
      </c>
      <c r="AQ14" s="1562" t="s">
        <v>9447</v>
      </c>
      <c r="AR14" s="1586" t="s">
        <v>1909</v>
      </c>
      <c r="AS14" s="1586" t="s">
        <v>1570</v>
      </c>
      <c r="AT14" s="1586" t="s">
        <v>9448</v>
      </c>
      <c r="AU14" s="1586" t="s">
        <v>9449</v>
      </c>
      <c r="AV14" s="1474" t="str">
        <f t="shared" si="1"/>
        <v>2:47</v>
      </c>
      <c r="AW14" s="1565" t="s">
        <v>9450</v>
      </c>
    </row>
    <row r="15" ht="15.75" customHeight="1">
      <c r="A15" s="1638" t="s">
        <v>2771</v>
      </c>
      <c r="B15" s="1555" t="s">
        <v>9164</v>
      </c>
      <c r="C15" s="1639">
        <v>0.04971064814814815</v>
      </c>
      <c r="D15" s="1426" t="s">
        <v>9451</v>
      </c>
      <c r="E15" s="1640" t="s">
        <v>512</v>
      </c>
      <c r="F15" s="1640" t="s">
        <v>9452</v>
      </c>
      <c r="G15" s="1640" t="s">
        <v>9453</v>
      </c>
      <c r="H15" s="1562" t="s">
        <v>9454</v>
      </c>
      <c r="I15" s="925" t="s">
        <v>5850</v>
      </c>
      <c r="J15" s="1623" t="s">
        <v>2547</v>
      </c>
      <c r="K15" s="1623" t="s">
        <v>4353</v>
      </c>
      <c r="L15" s="1623" t="s">
        <v>4737</v>
      </c>
      <c r="M15" s="1641" t="s">
        <v>6300</v>
      </c>
      <c r="N15" s="1623" t="s">
        <v>2698</v>
      </c>
      <c r="O15" s="1623" t="s">
        <v>9455</v>
      </c>
      <c r="P15" s="1623" t="s">
        <v>9456</v>
      </c>
      <c r="Q15" s="1562" t="s">
        <v>9457</v>
      </c>
      <c r="R15" s="1626" t="s">
        <v>9458</v>
      </c>
      <c r="S15" s="1562" t="s">
        <v>1897</v>
      </c>
      <c r="T15" s="1626" t="s">
        <v>9459</v>
      </c>
      <c r="U15" s="1562" t="s">
        <v>9460</v>
      </c>
      <c r="V15" s="1626" t="s">
        <v>3455</v>
      </c>
      <c r="W15" s="1642" t="s">
        <v>9461</v>
      </c>
      <c r="X15" s="1642" t="s">
        <v>4110</v>
      </c>
      <c r="Y15" s="1642" t="s">
        <v>8254</v>
      </c>
      <c r="Z15" s="1642" t="s">
        <v>9462</v>
      </c>
      <c r="AA15" s="1642" t="s">
        <v>6188</v>
      </c>
      <c r="AB15" s="1642" t="s">
        <v>4439</v>
      </c>
      <c r="AC15" s="1642" t="s">
        <v>1147</v>
      </c>
      <c r="AD15" s="1640" t="s">
        <v>9463</v>
      </c>
      <c r="AE15" s="1640" t="s">
        <v>5456</v>
      </c>
      <c r="AF15" s="1643" t="s">
        <v>9464</v>
      </c>
      <c r="AG15" s="1643" t="s">
        <v>7456</v>
      </c>
      <c r="AH15" s="1643" t="s">
        <v>5466</v>
      </c>
      <c r="AI15" s="1643" t="s">
        <v>9465</v>
      </c>
      <c r="AJ15" s="1643" t="s">
        <v>9466</v>
      </c>
      <c r="AK15" s="1643" t="s">
        <v>9467</v>
      </c>
      <c r="AL15" s="1643" t="s">
        <v>3581</v>
      </c>
      <c r="AM15" s="1644" t="s">
        <v>9468</v>
      </c>
      <c r="AN15" s="1645" t="s">
        <v>4737</v>
      </c>
      <c r="AO15" s="1645" t="s">
        <v>9469</v>
      </c>
      <c r="AP15" s="1644" t="s">
        <v>9470</v>
      </c>
      <c r="AQ15" s="1644" t="s">
        <v>9471</v>
      </c>
      <c r="AR15" s="1645" t="s">
        <v>9472</v>
      </c>
      <c r="AS15" s="1644" t="s">
        <v>273</v>
      </c>
      <c r="AT15" s="1592" t="s">
        <v>9473</v>
      </c>
      <c r="AU15" s="1607" t="s">
        <v>9474</v>
      </c>
      <c r="AV15" s="1474" t="str">
        <f t="shared" si="1"/>
        <v>2:35</v>
      </c>
      <c r="AW15" s="1646" t="s">
        <v>9475</v>
      </c>
    </row>
    <row r="16">
      <c r="A16" s="1617" t="s">
        <v>1807</v>
      </c>
      <c r="B16" s="1615" t="s">
        <v>9164</v>
      </c>
      <c r="C16" s="1647">
        <v>0.04976851851851852</v>
      </c>
      <c r="D16" s="1598" t="s">
        <v>9476</v>
      </c>
      <c r="E16" s="1598" t="s">
        <v>9477</v>
      </c>
      <c r="F16" s="1598" t="s">
        <v>7020</v>
      </c>
      <c r="G16" s="1601" t="s">
        <v>9478</v>
      </c>
      <c r="H16" s="1598" t="s">
        <v>9479</v>
      </c>
      <c r="I16" s="1598" t="s">
        <v>3757</v>
      </c>
      <c r="J16" s="1598" t="s">
        <v>9480</v>
      </c>
      <c r="K16" s="1603" t="s">
        <v>9170</v>
      </c>
      <c r="L16" s="1598" t="s">
        <v>8846</v>
      </c>
      <c r="M16" s="1598" t="s">
        <v>9481</v>
      </c>
      <c r="N16" s="1598" t="s">
        <v>691</v>
      </c>
      <c r="O16" s="1598" t="s">
        <v>9482</v>
      </c>
      <c r="P16" s="1598" t="s">
        <v>6614</v>
      </c>
      <c r="Q16" s="1598" t="s">
        <v>9483</v>
      </c>
      <c r="R16" s="1598" t="s">
        <v>6983</v>
      </c>
      <c r="S16" s="1598" t="s">
        <v>9484</v>
      </c>
      <c r="T16" s="1598" t="s">
        <v>5902</v>
      </c>
      <c r="U16" s="1598" t="s">
        <v>9485</v>
      </c>
      <c r="V16" s="1598" t="s">
        <v>9486</v>
      </c>
      <c r="W16" s="1598" t="s">
        <v>9487</v>
      </c>
      <c r="X16" s="1598" t="s">
        <v>9488</v>
      </c>
      <c r="Y16" s="1598" t="s">
        <v>7853</v>
      </c>
      <c r="Z16" s="1598" t="s">
        <v>9489</v>
      </c>
      <c r="AA16" s="1598" t="s">
        <v>9490</v>
      </c>
      <c r="AB16" s="1598" t="s">
        <v>9491</v>
      </c>
      <c r="AC16" s="1598" t="s">
        <v>598</v>
      </c>
      <c r="AD16" s="1598" t="s">
        <v>3238</v>
      </c>
      <c r="AE16" s="1598" t="s">
        <v>5635</v>
      </c>
      <c r="AF16" s="1598" t="s">
        <v>9492</v>
      </c>
      <c r="AG16" s="1598" t="s">
        <v>309</v>
      </c>
      <c r="AH16" s="1598" t="s">
        <v>9493</v>
      </c>
      <c r="AI16" s="1598" t="s">
        <v>3218</v>
      </c>
      <c r="AJ16" s="1598" t="s">
        <v>9494</v>
      </c>
      <c r="AK16" s="1598" t="s">
        <v>9495</v>
      </c>
      <c r="AL16" s="1598" t="s">
        <v>344</v>
      </c>
      <c r="AM16" s="1598" t="s">
        <v>2226</v>
      </c>
      <c r="AN16" s="1598" t="s">
        <v>234</v>
      </c>
      <c r="AO16" s="1598" t="s">
        <v>9496</v>
      </c>
      <c r="AP16" s="1598" t="s">
        <v>9497</v>
      </c>
      <c r="AQ16" s="1648" t="s">
        <v>9498</v>
      </c>
      <c r="AR16" s="1598" t="s">
        <v>9499</v>
      </c>
      <c r="AS16" s="1598" t="s">
        <v>839</v>
      </c>
      <c r="AT16" s="1598" t="s">
        <v>2410</v>
      </c>
      <c r="AU16" s="1586" t="s">
        <v>9500</v>
      </c>
      <c r="AV16" s="1474" t="str">
        <f t="shared" si="1"/>
        <v>2:14</v>
      </c>
      <c r="AW16" s="1649"/>
    </row>
    <row r="17" ht="15.75" customHeight="1">
      <c r="A17" s="1554" t="s">
        <v>6417</v>
      </c>
      <c r="B17" s="1650" t="s">
        <v>9164</v>
      </c>
      <c r="C17" s="1556">
        <v>0.04982638888888889</v>
      </c>
      <c r="D17" s="1426" t="s">
        <v>9501</v>
      </c>
      <c r="E17" s="1426" t="s">
        <v>4866</v>
      </c>
      <c r="F17" s="1426" t="s">
        <v>9502</v>
      </c>
      <c r="G17" s="1426" t="s">
        <v>9503</v>
      </c>
      <c r="H17" s="1426" t="s">
        <v>9504</v>
      </c>
      <c r="I17" s="1426" t="s">
        <v>5232</v>
      </c>
      <c r="J17" s="1426" t="s">
        <v>9505</v>
      </c>
      <c r="K17" s="998" t="s">
        <v>9506</v>
      </c>
      <c r="L17" s="1426" t="s">
        <v>9507</v>
      </c>
      <c r="M17" s="1426" t="s">
        <v>9508</v>
      </c>
      <c r="N17" s="1426" t="s">
        <v>2097</v>
      </c>
      <c r="O17" s="1426" t="s">
        <v>9509</v>
      </c>
      <c r="P17" s="998" t="s">
        <v>4488</v>
      </c>
      <c r="Q17" s="1426" t="s">
        <v>9510</v>
      </c>
      <c r="R17" s="1426" t="s">
        <v>1937</v>
      </c>
      <c r="S17" s="1426" t="s">
        <v>3439</v>
      </c>
      <c r="T17" s="1426" t="s">
        <v>9511</v>
      </c>
      <c r="U17" s="1426" t="s">
        <v>9512</v>
      </c>
      <c r="V17" s="1426" t="s">
        <v>7821</v>
      </c>
      <c r="W17" s="1426" t="s">
        <v>5546</v>
      </c>
      <c r="X17" s="1426" t="s">
        <v>9179</v>
      </c>
      <c r="Y17" s="1426" t="s">
        <v>9287</v>
      </c>
      <c r="Z17" s="1426" t="s">
        <v>7963</v>
      </c>
      <c r="AA17" s="1651" t="s">
        <v>9513</v>
      </c>
      <c r="AB17" s="1426" t="s">
        <v>5960</v>
      </c>
      <c r="AC17" s="1426" t="s">
        <v>1097</v>
      </c>
      <c r="AD17" s="1426" t="s">
        <v>7066</v>
      </c>
      <c r="AE17" s="1426" t="s">
        <v>4975</v>
      </c>
      <c r="AF17" s="1426" t="s">
        <v>9514</v>
      </c>
      <c r="AG17" s="1426" t="s">
        <v>1528</v>
      </c>
      <c r="AH17" s="998" t="s">
        <v>9515</v>
      </c>
      <c r="AI17" s="1426" t="s">
        <v>8891</v>
      </c>
      <c r="AJ17" s="1426" t="s">
        <v>9516</v>
      </c>
      <c r="AK17" s="1426" t="s">
        <v>9517</v>
      </c>
      <c r="AL17" s="1426" t="s">
        <v>4431</v>
      </c>
      <c r="AM17" s="1426" t="s">
        <v>3462</v>
      </c>
      <c r="AN17" s="1426" t="s">
        <v>9518</v>
      </c>
      <c r="AO17" s="1426" t="s">
        <v>9321</v>
      </c>
      <c r="AP17" s="1592" t="s">
        <v>9292</v>
      </c>
      <c r="AQ17" s="1426" t="s">
        <v>9519</v>
      </c>
      <c r="AR17" s="1426" t="s">
        <v>9520</v>
      </c>
      <c r="AS17" s="1426" t="s">
        <v>8704</v>
      </c>
      <c r="AT17" s="1426" t="s">
        <v>9521</v>
      </c>
      <c r="AU17" s="1408" t="s">
        <v>9522</v>
      </c>
      <c r="AV17" s="1474" t="str">
        <f t="shared" si="1"/>
        <v>2:18</v>
      </c>
      <c r="AW17" s="1652" t="s">
        <v>9523</v>
      </c>
    </row>
    <row r="18">
      <c r="A18" s="1653" t="s">
        <v>2649</v>
      </c>
      <c r="B18" s="1605" t="s">
        <v>9191</v>
      </c>
      <c r="C18" s="1654">
        <v>0.04985763888888889</v>
      </c>
      <c r="D18" s="1038" t="s">
        <v>9524</v>
      </c>
      <c r="E18" s="1655" t="s">
        <v>9525</v>
      </c>
      <c r="F18" s="1640" t="s">
        <v>1149</v>
      </c>
      <c r="G18" s="1655" t="s">
        <v>9526</v>
      </c>
      <c r="H18" s="1139" t="s">
        <v>9527</v>
      </c>
      <c r="I18" s="824" t="s">
        <v>239</v>
      </c>
      <c r="J18" s="1656" t="s">
        <v>9528</v>
      </c>
      <c r="K18" s="1657" t="s">
        <v>1618</v>
      </c>
      <c r="L18" s="1656" t="s">
        <v>9529</v>
      </c>
      <c r="M18" s="1656" t="s">
        <v>9530</v>
      </c>
      <c r="N18" s="1657" t="s">
        <v>9531</v>
      </c>
      <c r="O18" s="1656" t="s">
        <v>9532</v>
      </c>
      <c r="P18" s="1656" t="s">
        <v>4559</v>
      </c>
      <c r="Q18" s="1658" t="s">
        <v>9533</v>
      </c>
      <c r="R18" s="1659" t="s">
        <v>5572</v>
      </c>
      <c r="S18" s="1658" t="s">
        <v>9534</v>
      </c>
      <c r="T18" s="1243" t="s">
        <v>9535</v>
      </c>
      <c r="U18" s="1243" t="s">
        <v>9536</v>
      </c>
      <c r="V18" s="1659" t="s">
        <v>6434</v>
      </c>
      <c r="W18" s="1660" t="s">
        <v>9537</v>
      </c>
      <c r="X18" s="1661" t="s">
        <v>6888</v>
      </c>
      <c r="Y18" s="1642" t="s">
        <v>8679</v>
      </c>
      <c r="Z18" s="1661" t="s">
        <v>9538</v>
      </c>
      <c r="AA18" s="1662" t="s">
        <v>1855</v>
      </c>
      <c r="AB18" s="1660" t="s">
        <v>9539</v>
      </c>
      <c r="AC18" s="1660" t="s">
        <v>4975</v>
      </c>
      <c r="AD18" s="1655" t="s">
        <v>9540</v>
      </c>
      <c r="AE18" s="1655" t="s">
        <v>5423</v>
      </c>
      <c r="AF18" s="1663" t="s">
        <v>9541</v>
      </c>
      <c r="AG18" s="1664" t="s">
        <v>156</v>
      </c>
      <c r="AH18" s="1664" t="s">
        <v>9542</v>
      </c>
      <c r="AI18" s="1663" t="s">
        <v>9543</v>
      </c>
      <c r="AJ18" s="1664" t="s">
        <v>9544</v>
      </c>
      <c r="AK18" s="1664" t="s">
        <v>2334</v>
      </c>
      <c r="AL18" s="1663" t="s">
        <v>4142</v>
      </c>
      <c r="AM18" s="1635" t="s">
        <v>9212</v>
      </c>
      <c r="AN18" s="1665" t="s">
        <v>4633</v>
      </c>
      <c r="AO18" s="1665" t="s">
        <v>9545</v>
      </c>
      <c r="AP18" s="1665" t="s">
        <v>9546</v>
      </c>
      <c r="AQ18" s="1665" t="s">
        <v>4577</v>
      </c>
      <c r="AR18" s="1665" t="s">
        <v>9547</v>
      </c>
      <c r="AS18" s="1665" t="s">
        <v>931</v>
      </c>
      <c r="AT18" s="1656" t="s">
        <v>9548</v>
      </c>
      <c r="AU18" s="1666" t="s">
        <v>9522</v>
      </c>
      <c r="AV18" s="1667" t="str">
        <f t="shared" si="1"/>
        <v>2:15</v>
      </c>
      <c r="AW18" s="1668"/>
    </row>
    <row r="19" ht="15.75" customHeight="1">
      <c r="A19" s="1554" t="s">
        <v>2086</v>
      </c>
      <c r="B19" s="1555" t="s">
        <v>9164</v>
      </c>
      <c r="C19" s="1556">
        <v>0.049895833333333334</v>
      </c>
      <c r="D19" s="998" t="s">
        <v>9549</v>
      </c>
      <c r="E19" s="1669" t="s">
        <v>956</v>
      </c>
      <c r="F19" s="1640" t="s">
        <v>9550</v>
      </c>
      <c r="G19" s="1669" t="s">
        <v>9551</v>
      </c>
      <c r="H19" s="824" t="s">
        <v>9552</v>
      </c>
      <c r="I19" s="925" t="s">
        <v>5637</v>
      </c>
      <c r="J19" s="1623" t="s">
        <v>9553</v>
      </c>
      <c r="K19" s="1670" t="s">
        <v>9554</v>
      </c>
      <c r="L19" s="1623" t="s">
        <v>9262</v>
      </c>
      <c r="M19" s="1623" t="s">
        <v>5095</v>
      </c>
      <c r="N19" s="1623" t="s">
        <v>9555</v>
      </c>
      <c r="O19" s="1670" t="s">
        <v>9556</v>
      </c>
      <c r="P19" s="998" t="s">
        <v>992</v>
      </c>
      <c r="Q19" s="1626" t="s">
        <v>3550</v>
      </c>
      <c r="R19" s="1671" t="s">
        <v>7960</v>
      </c>
      <c r="S19" s="1671" t="s">
        <v>9557</v>
      </c>
      <c r="T19" s="1671" t="s">
        <v>9558</v>
      </c>
      <c r="U19" s="1671" t="s">
        <v>1894</v>
      </c>
      <c r="V19" s="1626" t="s">
        <v>4467</v>
      </c>
      <c r="W19" s="1642" t="s">
        <v>9559</v>
      </c>
      <c r="X19" s="1672" t="s">
        <v>9560</v>
      </c>
      <c r="Y19" s="1642" t="s">
        <v>9561</v>
      </c>
      <c r="Z19" s="1642" t="s">
        <v>9562</v>
      </c>
      <c r="AA19" s="1642" t="s">
        <v>3322</v>
      </c>
      <c r="AB19" s="1672" t="s">
        <v>7409</v>
      </c>
      <c r="AC19" s="1672" t="s">
        <v>1222</v>
      </c>
      <c r="AD19" s="1669" t="s">
        <v>9563</v>
      </c>
      <c r="AE19" s="1669" t="s">
        <v>9564</v>
      </c>
      <c r="AF19" s="1673" t="s">
        <v>9565</v>
      </c>
      <c r="AG19" s="1643" t="s">
        <v>9566</v>
      </c>
      <c r="AH19" s="1643" t="s">
        <v>9567</v>
      </c>
      <c r="AI19" s="1643" t="s">
        <v>9568</v>
      </c>
      <c r="AJ19" s="1673" t="s">
        <v>9569</v>
      </c>
      <c r="AK19" s="1673" t="s">
        <v>962</v>
      </c>
      <c r="AL19" s="1643" t="s">
        <v>9570</v>
      </c>
      <c r="AM19" s="1645" t="s">
        <v>9571</v>
      </c>
      <c r="AN19" s="1644" t="s">
        <v>3162</v>
      </c>
      <c r="AO19" s="1645" t="s">
        <v>6862</v>
      </c>
      <c r="AP19" s="1644" t="s">
        <v>5725</v>
      </c>
      <c r="AQ19" s="1645" t="s">
        <v>9572</v>
      </c>
      <c r="AR19" s="1644" t="s">
        <v>1163</v>
      </c>
      <c r="AS19" s="1644" t="s">
        <v>3952</v>
      </c>
      <c r="AT19" s="1670" t="s">
        <v>6598</v>
      </c>
      <c r="AU19" s="1667" t="s">
        <v>9573</v>
      </c>
      <c r="AV19" s="1474" t="str">
        <f t="shared" si="1"/>
        <v>2:22</v>
      </c>
      <c r="AW19" s="1614" t="s">
        <v>9574</v>
      </c>
    </row>
    <row r="20">
      <c r="A20" s="1617" t="s">
        <v>1549</v>
      </c>
      <c r="B20" s="1605" t="s">
        <v>9164</v>
      </c>
      <c r="C20" s="1556">
        <v>0.04991898148148148</v>
      </c>
      <c r="D20" s="1674" t="s">
        <v>9575</v>
      </c>
      <c r="E20" s="1675" t="s">
        <v>9576</v>
      </c>
      <c r="F20" s="1675" t="s">
        <v>9577</v>
      </c>
      <c r="G20" s="1675" t="s">
        <v>9578</v>
      </c>
      <c r="H20" s="1675" t="s">
        <v>9579</v>
      </c>
      <c r="I20" s="1675">
        <v>48.07</v>
      </c>
      <c r="J20" s="1675" t="s">
        <v>9538</v>
      </c>
      <c r="K20" s="1675" t="s">
        <v>1788</v>
      </c>
      <c r="L20" s="1675">
        <v>56.32</v>
      </c>
      <c r="M20" s="1675" t="s">
        <v>175</v>
      </c>
      <c r="N20" s="1675" t="s">
        <v>9580</v>
      </c>
      <c r="O20" s="1675" t="s">
        <v>9581</v>
      </c>
      <c r="P20" s="1675">
        <v>47.77</v>
      </c>
      <c r="Q20" s="1675" t="s">
        <v>9582</v>
      </c>
      <c r="R20" s="1675" t="s">
        <v>6913</v>
      </c>
      <c r="S20" s="1675" t="s">
        <v>9583</v>
      </c>
      <c r="T20" s="1675" t="s">
        <v>2666</v>
      </c>
      <c r="U20" s="1675" t="s">
        <v>9584</v>
      </c>
      <c r="V20" s="1675">
        <v>59.79</v>
      </c>
      <c r="W20" s="1675" t="s">
        <v>9585</v>
      </c>
      <c r="X20" s="1675" t="s">
        <v>1855</v>
      </c>
      <c r="Y20" s="1675">
        <v>47.0</v>
      </c>
      <c r="Z20" s="1675" t="s">
        <v>9586</v>
      </c>
      <c r="AA20" s="1675" t="s">
        <v>9587</v>
      </c>
      <c r="AB20" s="1675" t="s">
        <v>6852</v>
      </c>
      <c r="AC20" s="1675">
        <v>47.56</v>
      </c>
      <c r="AD20" s="1675" t="s">
        <v>9205</v>
      </c>
      <c r="AE20" s="1675">
        <v>47.95</v>
      </c>
      <c r="AF20" s="1675" t="s">
        <v>9588</v>
      </c>
      <c r="AG20" s="1675" t="s">
        <v>9589</v>
      </c>
      <c r="AH20" s="1675">
        <v>57.67</v>
      </c>
      <c r="AI20" s="1675" t="s">
        <v>1119</v>
      </c>
      <c r="AJ20" s="1675" t="s">
        <v>9590</v>
      </c>
      <c r="AK20" s="1675" t="s">
        <v>7443</v>
      </c>
      <c r="AL20" s="1675">
        <v>56.37</v>
      </c>
      <c r="AM20" s="1675" t="s">
        <v>9591</v>
      </c>
      <c r="AN20" s="1675">
        <v>55.92</v>
      </c>
      <c r="AO20" s="1675" t="s">
        <v>4519</v>
      </c>
      <c r="AP20" s="1675" t="s">
        <v>9055</v>
      </c>
      <c r="AQ20" s="1675" t="s">
        <v>9592</v>
      </c>
      <c r="AR20" s="1675" t="s">
        <v>7604</v>
      </c>
      <c r="AS20" s="1675">
        <v>46.83</v>
      </c>
      <c r="AT20" s="1676" t="s">
        <v>9593</v>
      </c>
      <c r="AU20" s="1598" t="s">
        <v>9594</v>
      </c>
      <c r="AV20" s="1474" t="str">
        <f t="shared" si="1"/>
        <v>1:53</v>
      </c>
      <c r="AW20" s="1608" t="s">
        <v>9595</v>
      </c>
    </row>
    <row r="21">
      <c r="A21" s="1617" t="s">
        <v>2104</v>
      </c>
      <c r="B21" s="1605" t="s">
        <v>9164</v>
      </c>
      <c r="C21" s="1677">
        <v>0.049930555555555554</v>
      </c>
      <c r="D21" s="1678" t="s">
        <v>9596</v>
      </c>
      <c r="E21" s="1598" t="s">
        <v>6471</v>
      </c>
      <c r="F21" s="1598" t="s">
        <v>4239</v>
      </c>
      <c r="G21" s="1598" t="s">
        <v>9597</v>
      </c>
      <c r="H21" s="1598" t="s">
        <v>9598</v>
      </c>
      <c r="I21" s="1598" t="s">
        <v>5838</v>
      </c>
      <c r="J21" s="1598" t="s">
        <v>6444</v>
      </c>
      <c r="K21" s="1598" t="s">
        <v>9599</v>
      </c>
      <c r="L21" s="1598" t="s">
        <v>3581</v>
      </c>
      <c r="M21" s="1598" t="s">
        <v>1012</v>
      </c>
      <c r="N21" s="1598" t="s">
        <v>9600</v>
      </c>
      <c r="O21" s="1598" t="s">
        <v>800</v>
      </c>
      <c r="P21" s="1594">
        <v>47.54</v>
      </c>
      <c r="Q21" s="1679" t="s">
        <v>5845</v>
      </c>
      <c r="R21" s="1594" t="s">
        <v>9601</v>
      </c>
      <c r="S21" s="1679" t="s">
        <v>9433</v>
      </c>
      <c r="T21" s="1594" t="s">
        <v>9602</v>
      </c>
      <c r="U21" s="1679" t="s">
        <v>9603</v>
      </c>
      <c r="V21" s="1594">
        <v>58.55</v>
      </c>
      <c r="W21" s="1679" t="s">
        <v>9604</v>
      </c>
      <c r="X21" s="1679" t="s">
        <v>9605</v>
      </c>
      <c r="Y21" s="1562" t="s">
        <v>7853</v>
      </c>
      <c r="Z21" s="1679" t="s">
        <v>9606</v>
      </c>
      <c r="AA21" s="1598" t="s">
        <v>9607</v>
      </c>
      <c r="AB21" s="1679" t="s">
        <v>9491</v>
      </c>
      <c r="AC21" s="1474">
        <v>47.2</v>
      </c>
      <c r="AD21" s="1679" t="s">
        <v>9608</v>
      </c>
      <c r="AE21" s="1594">
        <v>47.88</v>
      </c>
      <c r="AF21" s="1679" t="s">
        <v>9609</v>
      </c>
      <c r="AG21" s="1679" t="s">
        <v>9610</v>
      </c>
      <c r="AH21" s="1679">
        <v>57.68</v>
      </c>
      <c r="AI21" s="1679" t="s">
        <v>2924</v>
      </c>
      <c r="AJ21" s="1594" t="s">
        <v>9611</v>
      </c>
      <c r="AK21" s="1562" t="s">
        <v>9612</v>
      </c>
      <c r="AL21" s="1679">
        <v>55.92</v>
      </c>
      <c r="AM21" s="1679" t="s">
        <v>2965</v>
      </c>
      <c r="AN21" s="1562" t="s">
        <v>5854</v>
      </c>
      <c r="AO21" s="1679" t="s">
        <v>7951</v>
      </c>
      <c r="AP21" s="1679" t="s">
        <v>9613</v>
      </c>
      <c r="AQ21" s="1679" t="s">
        <v>7036</v>
      </c>
      <c r="AR21" s="1679" t="s">
        <v>6544</v>
      </c>
      <c r="AS21" s="1680">
        <v>42.83</v>
      </c>
      <c r="AT21" s="1594" t="s">
        <v>9614</v>
      </c>
      <c r="AU21" s="1607" t="s">
        <v>9615</v>
      </c>
      <c r="AV21" s="1474" t="str">
        <f t="shared" si="1"/>
        <v>4:29</v>
      </c>
      <c r="AW21" s="1608" t="s">
        <v>9616</v>
      </c>
    </row>
    <row r="22" ht="15.75" customHeight="1">
      <c r="A22" s="1617" t="s">
        <v>2264</v>
      </c>
      <c r="B22" s="1555" t="s">
        <v>9164</v>
      </c>
      <c r="C22" s="1556">
        <v>0.0499537037037037</v>
      </c>
      <c r="D22" s="1586" t="s">
        <v>9617</v>
      </c>
      <c r="E22" s="1586" t="s">
        <v>2879</v>
      </c>
      <c r="F22" s="1586" t="s">
        <v>9618</v>
      </c>
      <c r="G22" s="1562" t="s">
        <v>9619</v>
      </c>
      <c r="H22" s="1586" t="s">
        <v>9620</v>
      </c>
      <c r="I22" s="793" t="s">
        <v>9564</v>
      </c>
      <c r="J22" s="1586" t="s">
        <v>1418</v>
      </c>
      <c r="K22" s="1586" t="s">
        <v>5307</v>
      </c>
      <c r="L22" s="1586" t="s">
        <v>9621</v>
      </c>
      <c r="M22" s="1586" t="s">
        <v>9622</v>
      </c>
      <c r="N22" s="1586" t="s">
        <v>9623</v>
      </c>
      <c r="O22" s="1586" t="s">
        <v>9624</v>
      </c>
      <c r="P22" s="1586" t="s">
        <v>7838</v>
      </c>
      <c r="Q22" s="1586" t="s">
        <v>4634</v>
      </c>
      <c r="R22" s="1626" t="s">
        <v>5572</v>
      </c>
      <c r="S22" s="1586" t="s">
        <v>4072</v>
      </c>
      <c r="T22" s="1586" t="s">
        <v>9354</v>
      </c>
      <c r="U22" s="1586" t="s">
        <v>9625</v>
      </c>
      <c r="V22" s="1586" t="s">
        <v>9626</v>
      </c>
      <c r="W22" s="1586" t="s">
        <v>9627</v>
      </c>
      <c r="X22" s="1586" t="s">
        <v>7410</v>
      </c>
      <c r="Y22" s="1586" t="s">
        <v>4358</v>
      </c>
      <c r="Z22" s="1586" t="s">
        <v>9628</v>
      </c>
      <c r="AA22" s="1586" t="s">
        <v>7410</v>
      </c>
      <c r="AB22" s="1586" t="s">
        <v>9629</v>
      </c>
      <c r="AC22" s="1586" t="s">
        <v>5687</v>
      </c>
      <c r="AD22" s="1586" t="s">
        <v>7468</v>
      </c>
      <c r="AE22" s="1586" t="s">
        <v>5949</v>
      </c>
      <c r="AF22" s="1586" t="s">
        <v>9630</v>
      </c>
      <c r="AG22" s="1586" t="s">
        <v>5100</v>
      </c>
      <c r="AH22" s="1586" t="s">
        <v>5325</v>
      </c>
      <c r="AI22" s="1586" t="s">
        <v>9631</v>
      </c>
      <c r="AJ22" s="1561" t="s">
        <v>9181</v>
      </c>
      <c r="AK22" s="1586" t="s">
        <v>2531</v>
      </c>
      <c r="AL22" s="1586" t="s">
        <v>9632</v>
      </c>
      <c r="AM22" s="1586" t="s">
        <v>9333</v>
      </c>
      <c r="AN22" s="1586" t="s">
        <v>558</v>
      </c>
      <c r="AO22" s="1586" t="s">
        <v>9633</v>
      </c>
      <c r="AP22" s="1586" t="s">
        <v>9634</v>
      </c>
      <c r="AQ22" s="1586" t="s">
        <v>4836</v>
      </c>
      <c r="AR22" s="1586" t="s">
        <v>7605</v>
      </c>
      <c r="AS22" s="1586" t="s">
        <v>9635</v>
      </c>
      <c r="AT22" s="1586" t="s">
        <v>3121</v>
      </c>
      <c r="AU22" s="1586" t="s">
        <v>9636</v>
      </c>
      <c r="AV22" s="1474" t="str">
        <f t="shared" si="1"/>
        <v>3:21</v>
      </c>
      <c r="AW22" s="1652" t="s">
        <v>9637</v>
      </c>
    </row>
    <row r="23" ht="15.75" customHeight="1">
      <c r="A23" s="1554" t="s">
        <v>9638</v>
      </c>
      <c r="B23" s="1555" t="s">
        <v>9164</v>
      </c>
      <c r="C23" s="1556">
        <v>0.049965277777777775</v>
      </c>
      <c r="D23" s="998" t="s">
        <v>9639</v>
      </c>
      <c r="E23" s="1586" t="s">
        <v>4381</v>
      </c>
      <c r="F23" s="1586" t="s">
        <v>9640</v>
      </c>
      <c r="G23" s="1586" t="s">
        <v>9641</v>
      </c>
      <c r="H23" s="1474" t="s">
        <v>2288</v>
      </c>
      <c r="I23" s="1586" t="s">
        <v>1386</v>
      </c>
      <c r="J23" s="1586" t="s">
        <v>381</v>
      </c>
      <c r="K23" s="1586" t="s">
        <v>9642</v>
      </c>
      <c r="L23" s="1586" t="s">
        <v>5503</v>
      </c>
      <c r="M23" s="1586" t="s">
        <v>6623</v>
      </c>
      <c r="N23" s="1586" t="s">
        <v>9643</v>
      </c>
      <c r="O23" s="1586" t="s">
        <v>2615</v>
      </c>
      <c r="P23" s="1474" t="s">
        <v>5351</v>
      </c>
      <c r="Q23" s="1586" t="s">
        <v>9644</v>
      </c>
      <c r="R23" s="1586" t="s">
        <v>3300</v>
      </c>
      <c r="S23" s="1586" t="s">
        <v>7280</v>
      </c>
      <c r="T23" s="1586" t="s">
        <v>8941</v>
      </c>
      <c r="U23" s="1586" t="s">
        <v>9645</v>
      </c>
      <c r="V23" s="1586" t="s">
        <v>5072</v>
      </c>
      <c r="W23" s="1586" t="s">
        <v>9646</v>
      </c>
      <c r="X23" s="1474" t="s">
        <v>6888</v>
      </c>
      <c r="Y23" s="1474" t="s">
        <v>5621</v>
      </c>
      <c r="Z23" s="1586" t="s">
        <v>9647</v>
      </c>
      <c r="AA23" s="1586" t="s">
        <v>2331</v>
      </c>
      <c r="AB23" s="1586" t="s">
        <v>5758</v>
      </c>
      <c r="AC23" s="1586" t="s">
        <v>786</v>
      </c>
      <c r="AD23" s="1586" t="s">
        <v>5363</v>
      </c>
      <c r="AE23" s="1586" t="s">
        <v>9648</v>
      </c>
      <c r="AF23" s="1586" t="s">
        <v>945</v>
      </c>
      <c r="AG23" s="1586" t="s">
        <v>9649</v>
      </c>
      <c r="AH23" s="1586" t="s">
        <v>6178</v>
      </c>
      <c r="AI23" s="1586" t="s">
        <v>693</v>
      </c>
      <c r="AJ23" s="1474" t="s">
        <v>9650</v>
      </c>
      <c r="AK23" s="1643" t="s">
        <v>7212</v>
      </c>
      <c r="AL23" s="1586" t="s">
        <v>4626</v>
      </c>
      <c r="AM23" s="1586" t="s">
        <v>3716</v>
      </c>
      <c r="AN23" s="1474" t="s">
        <v>6313</v>
      </c>
      <c r="AO23" s="1474" t="s">
        <v>7605</v>
      </c>
      <c r="AP23" s="1474" t="s">
        <v>9651</v>
      </c>
      <c r="AQ23" s="1474" t="s">
        <v>9298</v>
      </c>
      <c r="AR23" s="1474" t="s">
        <v>491</v>
      </c>
      <c r="AS23" s="1474" t="s">
        <v>6896</v>
      </c>
      <c r="AT23" s="1474" t="s">
        <v>9514</v>
      </c>
      <c r="AU23" s="1586" t="s">
        <v>9652</v>
      </c>
      <c r="AV23" s="1474" t="str">
        <f t="shared" si="1"/>
        <v>3:46</v>
      </c>
      <c r="AW23" s="1649" t="s">
        <v>8713</v>
      </c>
    </row>
    <row r="24" ht="15.75" customHeight="1">
      <c r="A24" s="1681" t="s">
        <v>6366</v>
      </c>
      <c r="B24" s="1555" t="s">
        <v>9164</v>
      </c>
      <c r="C24" s="1556">
        <v>0.05</v>
      </c>
      <c r="D24" s="998" t="s">
        <v>9653</v>
      </c>
      <c r="E24" s="1586" t="s">
        <v>8974</v>
      </c>
      <c r="F24" s="1586" t="s">
        <v>9618</v>
      </c>
      <c r="G24" s="1474" t="s">
        <v>9654</v>
      </c>
      <c r="H24" s="1586" t="s">
        <v>9655</v>
      </c>
      <c r="I24" s="1474" t="s">
        <v>1914</v>
      </c>
      <c r="J24" s="1586" t="s">
        <v>2867</v>
      </c>
      <c r="K24" s="1586" t="s">
        <v>9656</v>
      </c>
      <c r="L24" s="1586" t="s">
        <v>3320</v>
      </c>
      <c r="M24" s="1586" t="s">
        <v>9657</v>
      </c>
      <c r="N24" s="1586" t="s">
        <v>9658</v>
      </c>
      <c r="O24" s="1586" t="s">
        <v>9604</v>
      </c>
      <c r="P24" s="1474" t="s">
        <v>4020</v>
      </c>
      <c r="Q24" s="1586" t="s">
        <v>1918</v>
      </c>
      <c r="R24" s="1586" t="s">
        <v>6714</v>
      </c>
      <c r="S24" s="1586" t="s">
        <v>8160</v>
      </c>
      <c r="T24" s="1586" t="s">
        <v>6915</v>
      </c>
      <c r="U24" s="1586" t="s">
        <v>9659</v>
      </c>
      <c r="V24" s="1586" t="s">
        <v>9660</v>
      </c>
      <c r="W24" s="1586" t="s">
        <v>9661</v>
      </c>
      <c r="X24" s="1586" t="s">
        <v>9490</v>
      </c>
      <c r="Y24" s="1586" t="s">
        <v>9662</v>
      </c>
      <c r="Z24" s="1586" t="s">
        <v>9663</v>
      </c>
      <c r="AA24" s="1586" t="s">
        <v>9488</v>
      </c>
      <c r="AB24" s="1586" t="s">
        <v>9664</v>
      </c>
      <c r="AC24" s="1474" t="s">
        <v>1820</v>
      </c>
      <c r="AD24" s="1586" t="s">
        <v>9665</v>
      </c>
      <c r="AE24" s="1474" t="s">
        <v>5609</v>
      </c>
      <c r="AF24" s="1682" t="s">
        <v>9178</v>
      </c>
      <c r="AG24" s="1586" t="s">
        <v>609</v>
      </c>
      <c r="AH24" s="1586" t="s">
        <v>8143</v>
      </c>
      <c r="AI24" s="1586" t="s">
        <v>309</v>
      </c>
      <c r="AJ24" s="1474" t="s">
        <v>9666</v>
      </c>
      <c r="AK24" s="1586" t="s">
        <v>9667</v>
      </c>
      <c r="AL24" s="1474" t="s">
        <v>3269</v>
      </c>
      <c r="AM24" s="1586" t="s">
        <v>2056</v>
      </c>
      <c r="AN24" s="1474" t="s">
        <v>2633</v>
      </c>
      <c r="AO24" s="1586" t="s">
        <v>3490</v>
      </c>
      <c r="AP24" s="1586" t="s">
        <v>9668</v>
      </c>
      <c r="AQ24" s="1474" t="s">
        <v>9669</v>
      </c>
      <c r="AR24" s="1586" t="s">
        <v>1756</v>
      </c>
      <c r="AS24" s="1474" t="s">
        <v>8704</v>
      </c>
      <c r="AT24" s="1586" t="s">
        <v>9670</v>
      </c>
      <c r="AU24" s="1586" t="s">
        <v>9671</v>
      </c>
      <c r="AV24" s="1474" t="str">
        <f t="shared" si="1"/>
        <v>1:53</v>
      </c>
      <c r="AW24" s="1649"/>
    </row>
    <row r="25" ht="15.75" customHeight="1">
      <c r="A25" s="1617" t="s">
        <v>2680</v>
      </c>
      <c r="B25" s="1605" t="s">
        <v>9191</v>
      </c>
      <c r="C25" s="1556">
        <v>0.05008101851851852</v>
      </c>
      <c r="D25" s="998" t="s">
        <v>9672</v>
      </c>
      <c r="E25" s="998" t="s">
        <v>9673</v>
      </c>
      <c r="F25" s="998" t="s">
        <v>9584</v>
      </c>
      <c r="G25" s="998" t="s">
        <v>9674</v>
      </c>
      <c r="H25" s="998" t="s">
        <v>9675</v>
      </c>
      <c r="I25" s="998" t="s">
        <v>9676</v>
      </c>
      <c r="J25" s="1621" t="s">
        <v>1352</v>
      </c>
      <c r="K25" s="998" t="s">
        <v>1015</v>
      </c>
      <c r="L25" s="998" t="s">
        <v>9529</v>
      </c>
      <c r="M25" s="1623" t="s">
        <v>9508</v>
      </c>
      <c r="N25" s="1621" t="s">
        <v>2501</v>
      </c>
      <c r="O25" s="998" t="s">
        <v>9677</v>
      </c>
      <c r="P25" s="1621" t="s">
        <v>5609</v>
      </c>
      <c r="Q25" s="1621" t="s">
        <v>5823</v>
      </c>
      <c r="R25" s="998" t="s">
        <v>6825</v>
      </c>
      <c r="S25" s="998" t="s">
        <v>336</v>
      </c>
      <c r="T25" s="1621" t="s">
        <v>9201</v>
      </c>
      <c r="U25" s="998" t="s">
        <v>9678</v>
      </c>
      <c r="V25" s="998" t="s">
        <v>9679</v>
      </c>
      <c r="W25" s="998" t="s">
        <v>6791</v>
      </c>
      <c r="X25" s="998" t="s">
        <v>5902</v>
      </c>
      <c r="Y25" s="998" t="s">
        <v>5163</v>
      </c>
      <c r="Z25" s="998" t="s">
        <v>1132</v>
      </c>
      <c r="AA25" s="998" t="s">
        <v>9543</v>
      </c>
      <c r="AB25" s="998" t="s">
        <v>2519</v>
      </c>
      <c r="AC25" s="998" t="s">
        <v>1898</v>
      </c>
      <c r="AD25" s="998" t="s">
        <v>6326</v>
      </c>
      <c r="AE25" s="998" t="s">
        <v>3314</v>
      </c>
      <c r="AF25" s="998" t="s">
        <v>9210</v>
      </c>
      <c r="AG25" s="998" t="s">
        <v>9680</v>
      </c>
      <c r="AH25" s="998" t="s">
        <v>5016</v>
      </c>
      <c r="AI25" s="998" t="s">
        <v>3424</v>
      </c>
      <c r="AJ25" s="998" t="s">
        <v>9681</v>
      </c>
      <c r="AK25" s="998" t="s">
        <v>9682</v>
      </c>
      <c r="AL25" s="998" t="s">
        <v>5236</v>
      </c>
      <c r="AM25" s="998" t="s">
        <v>9276</v>
      </c>
      <c r="AN25" s="998" t="s">
        <v>4422</v>
      </c>
      <c r="AO25" s="998" t="s">
        <v>6970</v>
      </c>
      <c r="AP25" s="998" t="s">
        <v>9683</v>
      </c>
      <c r="AQ25" s="998" t="s">
        <v>9684</v>
      </c>
      <c r="AR25" s="998" t="s">
        <v>9685</v>
      </c>
      <c r="AS25" s="998" t="s">
        <v>4677</v>
      </c>
      <c r="AT25" s="998" t="s">
        <v>9686</v>
      </c>
      <c r="AU25" s="1643" t="s">
        <v>9215</v>
      </c>
      <c r="AV25" s="1474" t="str">
        <f t="shared" si="1"/>
        <v>2:51</v>
      </c>
      <c r="AW25" s="1683"/>
    </row>
    <row r="26">
      <c r="A26" s="1617" t="s">
        <v>7583</v>
      </c>
      <c r="B26" s="1615" t="s">
        <v>9191</v>
      </c>
      <c r="C26" s="1556">
        <v>0.05016203703703704</v>
      </c>
      <c r="D26" s="1594" t="s">
        <v>9687</v>
      </c>
      <c r="E26" s="1684" t="s">
        <v>6762</v>
      </c>
      <c r="F26" s="1594" t="s">
        <v>9688</v>
      </c>
      <c r="G26" s="1594" t="s">
        <v>9689</v>
      </c>
      <c r="H26" s="1594" t="s">
        <v>9690</v>
      </c>
      <c r="I26" s="1594" t="s">
        <v>5423</v>
      </c>
      <c r="J26" s="1594" t="s">
        <v>9691</v>
      </c>
      <c r="K26" s="1594" t="s">
        <v>5283</v>
      </c>
      <c r="L26" s="998" t="s">
        <v>5158</v>
      </c>
      <c r="M26" s="1621" t="s">
        <v>9197</v>
      </c>
      <c r="N26" s="1594" t="s">
        <v>9692</v>
      </c>
      <c r="O26" s="1594" t="s">
        <v>9693</v>
      </c>
      <c r="P26" s="1594" t="s">
        <v>5975</v>
      </c>
      <c r="Q26" s="1594" t="s">
        <v>2805</v>
      </c>
      <c r="R26" s="1594" t="s">
        <v>969</v>
      </c>
      <c r="S26" s="1594" t="s">
        <v>9694</v>
      </c>
      <c r="T26" s="1594" t="s">
        <v>1391</v>
      </c>
      <c r="U26" s="1594" t="s">
        <v>9536</v>
      </c>
      <c r="V26" s="1594" t="s">
        <v>9695</v>
      </c>
      <c r="W26" s="1594" t="s">
        <v>9696</v>
      </c>
      <c r="X26" s="1594" t="s">
        <v>1301</v>
      </c>
      <c r="Y26" s="1594" t="s">
        <v>1016</v>
      </c>
      <c r="Z26" s="1594" t="s">
        <v>9606</v>
      </c>
      <c r="AA26" s="1594" t="s">
        <v>9697</v>
      </c>
      <c r="AB26" s="1594" t="s">
        <v>9698</v>
      </c>
      <c r="AC26" s="1594" t="s">
        <v>4806</v>
      </c>
      <c r="AD26" s="1594" t="s">
        <v>9699</v>
      </c>
      <c r="AE26" s="1594" t="s">
        <v>2656</v>
      </c>
      <c r="AF26" s="1594" t="s">
        <v>5864</v>
      </c>
      <c r="AG26" s="1594" t="s">
        <v>9700</v>
      </c>
      <c r="AH26" s="1594" t="s">
        <v>4301</v>
      </c>
      <c r="AI26" s="1586" t="s">
        <v>4167</v>
      </c>
      <c r="AJ26" s="1594" t="s">
        <v>9701</v>
      </c>
      <c r="AK26" s="1594" t="s">
        <v>9528</v>
      </c>
      <c r="AL26" s="1594" t="s">
        <v>2513</v>
      </c>
      <c r="AM26" s="1594" t="s">
        <v>4077</v>
      </c>
      <c r="AN26" s="1594" t="s">
        <v>6088</v>
      </c>
      <c r="AO26" s="1594" t="s">
        <v>9702</v>
      </c>
      <c r="AP26" s="1594" t="s">
        <v>9703</v>
      </c>
      <c r="AQ26" s="1594" t="s">
        <v>4062</v>
      </c>
      <c r="AR26" s="1594" t="s">
        <v>2742</v>
      </c>
      <c r="AS26" s="1594" t="s">
        <v>756</v>
      </c>
      <c r="AT26" s="1594" t="s">
        <v>9704</v>
      </c>
      <c r="AU26" s="1586" t="s">
        <v>9705</v>
      </c>
      <c r="AV26" s="1474" t="str">
        <f t="shared" si="1"/>
        <v>3:20</v>
      </c>
      <c r="AW26" s="1116"/>
    </row>
    <row r="27" ht="15.75" customHeight="1">
      <c r="A27" s="1583" t="s">
        <v>1414</v>
      </c>
      <c r="B27" s="1555" t="s">
        <v>9164</v>
      </c>
      <c r="C27" s="1556">
        <v>0.05025462962962963</v>
      </c>
      <c r="D27" s="998" t="s">
        <v>9706</v>
      </c>
      <c r="E27" s="1640" t="s">
        <v>9707</v>
      </c>
      <c r="F27" s="1669" t="s">
        <v>7316</v>
      </c>
      <c r="G27" s="1562" t="s">
        <v>9708</v>
      </c>
      <c r="H27" s="925" t="s">
        <v>9709</v>
      </c>
      <c r="I27" s="925" t="s">
        <v>1114</v>
      </c>
      <c r="J27" s="1623" t="s">
        <v>7420</v>
      </c>
      <c r="K27" s="1670" t="s">
        <v>8288</v>
      </c>
      <c r="L27" s="1670" t="s">
        <v>5207</v>
      </c>
      <c r="M27" s="1685" t="str">
        <f>HYPERLINK("https://youtu.be/teAIifUZjFw","1:14.18")</f>
        <v>1:14.18</v>
      </c>
      <c r="N27" s="1670" t="s">
        <v>3779</v>
      </c>
      <c r="O27" s="1670" t="s">
        <v>9710</v>
      </c>
      <c r="P27" s="1670" t="s">
        <v>2095</v>
      </c>
      <c r="Q27" s="1671" t="s">
        <v>9711</v>
      </c>
      <c r="R27" s="1626" t="s">
        <v>9712</v>
      </c>
      <c r="S27" s="1626" t="s">
        <v>5537</v>
      </c>
      <c r="T27" s="1686" t="str">
        <f>HYPERLINK("https://youtu.be/AiXricVH5ss","1:24.99")</f>
        <v>1:24.99</v>
      </c>
      <c r="U27" s="1687" t="str">
        <f>HYPERLINK("https://www.twitch.tv/videos/450151935","2:00.31")</f>
        <v>2:00.31</v>
      </c>
      <c r="V27" s="1626" t="s">
        <v>9202</v>
      </c>
      <c r="W27" s="1688" t="str">
        <f>HYPERLINK("https://youtu.be/eafNhBoXVWA","1:46.09")</f>
        <v>1:46.09</v>
      </c>
      <c r="X27" s="1672" t="s">
        <v>4485</v>
      </c>
      <c r="Y27" s="1672" t="s">
        <v>9430</v>
      </c>
      <c r="Z27" s="1672" t="s">
        <v>9713</v>
      </c>
      <c r="AA27" s="1642" t="s">
        <v>9380</v>
      </c>
      <c r="AB27" s="1672" t="s">
        <v>7194</v>
      </c>
      <c r="AC27" s="1672" t="s">
        <v>7238</v>
      </c>
      <c r="AD27" s="1689" t="str">
        <f>HYPERLINK("https://youtu.be/8FEcTKESSh0","1:49.80")</f>
        <v>1:49.80</v>
      </c>
      <c r="AE27" s="1640" t="s">
        <v>5043</v>
      </c>
      <c r="AF27" s="1673" t="s">
        <v>9714</v>
      </c>
      <c r="AG27" s="1673" t="s">
        <v>9715</v>
      </c>
      <c r="AH27" s="1673" t="s">
        <v>9716</v>
      </c>
      <c r="AI27" s="1673" t="s">
        <v>4078</v>
      </c>
      <c r="AJ27" s="1673" t="s">
        <v>9717</v>
      </c>
      <c r="AK27" s="1643" t="s">
        <v>9602</v>
      </c>
      <c r="AL27" s="1673" t="s">
        <v>9718</v>
      </c>
      <c r="AM27" s="1645" t="s">
        <v>9571</v>
      </c>
      <c r="AN27" s="1645" t="s">
        <v>8942</v>
      </c>
      <c r="AO27" s="1645" t="s">
        <v>9685</v>
      </c>
      <c r="AP27" s="1644" t="s">
        <v>9719</v>
      </c>
      <c r="AQ27" s="1644" t="s">
        <v>9720</v>
      </c>
      <c r="AR27" s="1645" t="s">
        <v>9721</v>
      </c>
      <c r="AS27" s="1644" t="s">
        <v>5665</v>
      </c>
      <c r="AT27" s="1685" t="str">
        <f>HYPERLINK("https://youtu.be/xDirVtS1AZ4?t=4416","2:27.45")</f>
        <v>2:27.45</v>
      </c>
      <c r="AU27" s="1667" t="s">
        <v>9722</v>
      </c>
      <c r="AV27" s="1474" t="str">
        <f t="shared" si="1"/>
        <v>2:34</v>
      </c>
      <c r="AW27" s="1614" t="s">
        <v>9723</v>
      </c>
    </row>
    <row r="28">
      <c r="A28" s="1617" t="s">
        <v>7044</v>
      </c>
      <c r="B28" s="1615" t="s">
        <v>9164</v>
      </c>
      <c r="C28" s="1556">
        <v>0.0502662037037037</v>
      </c>
      <c r="D28" s="998" t="s">
        <v>9724</v>
      </c>
      <c r="E28" s="1586" t="s">
        <v>9369</v>
      </c>
      <c r="F28" s="1586" t="s">
        <v>9725</v>
      </c>
      <c r="G28" s="1586" t="s">
        <v>9726</v>
      </c>
      <c r="H28" s="1586" t="s">
        <v>9727</v>
      </c>
      <c r="I28" s="998" t="s">
        <v>263</v>
      </c>
      <c r="J28" s="998" t="s">
        <v>6192</v>
      </c>
      <c r="K28" s="1586" t="s">
        <v>9656</v>
      </c>
      <c r="L28" s="1586" t="s">
        <v>3581</v>
      </c>
      <c r="M28" s="998" t="s">
        <v>2787</v>
      </c>
      <c r="N28" s="1586" t="s">
        <v>9728</v>
      </c>
      <c r="O28" s="1586" t="s">
        <v>9729</v>
      </c>
      <c r="P28" s="998" t="s">
        <v>9730</v>
      </c>
      <c r="Q28" s="1586" t="s">
        <v>9731</v>
      </c>
      <c r="R28" s="998" t="s">
        <v>9732</v>
      </c>
      <c r="S28" s="1586" t="s">
        <v>9733</v>
      </c>
      <c r="T28" s="998" t="s">
        <v>9734</v>
      </c>
      <c r="U28" s="1586" t="s">
        <v>1099</v>
      </c>
      <c r="V28" s="998" t="s">
        <v>5072</v>
      </c>
      <c r="W28" s="998" t="s">
        <v>6793</v>
      </c>
      <c r="X28" s="998" t="s">
        <v>6888</v>
      </c>
      <c r="Y28" s="998" t="s">
        <v>883</v>
      </c>
      <c r="Z28" s="998" t="s">
        <v>9735</v>
      </c>
      <c r="AA28" s="1586" t="s">
        <v>9736</v>
      </c>
      <c r="AB28" s="998" t="s">
        <v>7237</v>
      </c>
      <c r="AC28" s="1586" t="s">
        <v>9676</v>
      </c>
      <c r="AD28" s="998" t="s">
        <v>6352</v>
      </c>
      <c r="AE28" s="1586" t="s">
        <v>9274</v>
      </c>
      <c r="AF28" s="1586" t="s">
        <v>9737</v>
      </c>
      <c r="AG28" s="998" t="s">
        <v>1843</v>
      </c>
      <c r="AH28" s="998" t="s">
        <v>2640</v>
      </c>
      <c r="AI28" s="1586" t="s">
        <v>9738</v>
      </c>
      <c r="AJ28" s="998" t="s">
        <v>9739</v>
      </c>
      <c r="AK28" s="998" t="s">
        <v>6634</v>
      </c>
      <c r="AL28" s="998" t="s">
        <v>4626</v>
      </c>
      <c r="AM28" s="998" t="s">
        <v>9740</v>
      </c>
      <c r="AN28" s="998" t="s">
        <v>4626</v>
      </c>
      <c r="AO28" s="998" t="s">
        <v>1910</v>
      </c>
      <c r="AP28" s="1586" t="s">
        <v>9741</v>
      </c>
      <c r="AQ28" s="998" t="s">
        <v>2227</v>
      </c>
      <c r="AR28" s="1586" t="s">
        <v>9052</v>
      </c>
      <c r="AS28" s="998" t="s">
        <v>1969</v>
      </c>
      <c r="AT28" s="1586" t="s">
        <v>9742</v>
      </c>
      <c r="AU28" s="1586" t="s">
        <v>9743</v>
      </c>
      <c r="AV28" s="1474" t="str">
        <f t="shared" si="1"/>
        <v>2:28</v>
      </c>
      <c r="AW28" s="1616" t="s">
        <v>9744</v>
      </c>
    </row>
    <row r="29">
      <c r="A29" s="1617" t="s">
        <v>9745</v>
      </c>
      <c r="B29" s="1690" t="s">
        <v>9164</v>
      </c>
      <c r="C29" s="1556">
        <v>0.0503125</v>
      </c>
      <c r="D29" s="998" t="s">
        <v>9746</v>
      </c>
      <c r="E29" s="1640" t="s">
        <v>9747</v>
      </c>
      <c r="F29" s="1640" t="s">
        <v>7010</v>
      </c>
      <c r="G29" s="1640" t="s">
        <v>9748</v>
      </c>
      <c r="H29" s="862" t="s">
        <v>9749</v>
      </c>
      <c r="I29" s="862" t="s">
        <v>8253</v>
      </c>
      <c r="J29" s="1623" t="s">
        <v>1906</v>
      </c>
      <c r="K29" s="1623" t="s">
        <v>6108</v>
      </c>
      <c r="L29" s="1623" t="s">
        <v>3554</v>
      </c>
      <c r="M29" s="1623" t="s">
        <v>9750</v>
      </c>
      <c r="N29" s="1623" t="s">
        <v>7133</v>
      </c>
      <c r="O29" s="1623" t="s">
        <v>4154</v>
      </c>
      <c r="P29" s="1623" t="s">
        <v>4718</v>
      </c>
      <c r="Q29" s="1626" t="s">
        <v>9751</v>
      </c>
      <c r="R29" s="1626" t="s">
        <v>9752</v>
      </c>
      <c r="S29" s="1626" t="s">
        <v>550</v>
      </c>
      <c r="T29" s="1626" t="s">
        <v>9753</v>
      </c>
      <c r="U29" s="1626" t="s">
        <v>9754</v>
      </c>
      <c r="V29" s="1626" t="s">
        <v>9755</v>
      </c>
      <c r="W29" s="1642" t="s">
        <v>9756</v>
      </c>
      <c r="X29" s="1642" t="s">
        <v>4485</v>
      </c>
      <c r="Y29" s="1642" t="s">
        <v>1545</v>
      </c>
      <c r="Z29" s="1642" t="s">
        <v>2403</v>
      </c>
      <c r="AA29" s="1642" t="s">
        <v>9757</v>
      </c>
      <c r="AB29" s="1642" t="s">
        <v>3808</v>
      </c>
      <c r="AC29" s="1642" t="s">
        <v>9758</v>
      </c>
      <c r="AD29" s="1640" t="s">
        <v>9759</v>
      </c>
      <c r="AE29" s="1640" t="s">
        <v>5949</v>
      </c>
      <c r="AF29" s="1643" t="s">
        <v>9760</v>
      </c>
      <c r="AG29" s="1643" t="s">
        <v>7488</v>
      </c>
      <c r="AH29" s="1643" t="s">
        <v>9761</v>
      </c>
      <c r="AI29" s="1643" t="s">
        <v>5178</v>
      </c>
      <c r="AJ29" s="1643" t="s">
        <v>9762</v>
      </c>
      <c r="AK29" s="1643" t="s">
        <v>9763</v>
      </c>
      <c r="AL29" s="1643" t="s">
        <v>9764</v>
      </c>
      <c r="AM29" s="1645" t="s">
        <v>9465</v>
      </c>
      <c r="AN29" s="1645" t="s">
        <v>9765</v>
      </c>
      <c r="AO29" s="1645" t="s">
        <v>3217</v>
      </c>
      <c r="AP29" s="1645" t="s">
        <v>9766</v>
      </c>
      <c r="AQ29" s="1645" t="s">
        <v>9767</v>
      </c>
      <c r="AR29" s="1645" t="s">
        <v>3016</v>
      </c>
      <c r="AS29" s="1645" t="s">
        <v>302</v>
      </c>
      <c r="AT29" s="1623" t="s">
        <v>9768</v>
      </c>
      <c r="AU29" s="1607" t="s">
        <v>9769</v>
      </c>
      <c r="AV29" s="1474" t="str">
        <f t="shared" si="1"/>
        <v>2:59</v>
      </c>
      <c r="AW29" s="1608" t="s">
        <v>9770</v>
      </c>
    </row>
    <row r="30" ht="15.75" customHeight="1">
      <c r="A30" s="1554" t="s">
        <v>9771</v>
      </c>
      <c r="B30" s="1650" t="s">
        <v>9191</v>
      </c>
      <c r="C30" s="1556">
        <v>0.05042824074074074</v>
      </c>
      <c r="D30" s="998" t="s">
        <v>9501</v>
      </c>
      <c r="E30" s="1640" t="s">
        <v>6384</v>
      </c>
      <c r="F30" s="1640" t="s">
        <v>9772</v>
      </c>
      <c r="G30" s="1669" t="s">
        <v>9773</v>
      </c>
      <c r="H30" s="925" t="s">
        <v>9774</v>
      </c>
      <c r="I30" s="862" t="s">
        <v>3367</v>
      </c>
      <c r="J30" s="1623" t="s">
        <v>4885</v>
      </c>
      <c r="K30" s="1623" t="s">
        <v>5283</v>
      </c>
      <c r="L30" s="1623" t="s">
        <v>2474</v>
      </c>
      <c r="M30" s="1623" t="s">
        <v>1832</v>
      </c>
      <c r="N30" s="1623" t="s">
        <v>4198</v>
      </c>
      <c r="O30" s="1623" t="s">
        <v>9775</v>
      </c>
      <c r="P30" s="1670" t="s">
        <v>761</v>
      </c>
      <c r="Q30" s="1626" t="s">
        <v>9776</v>
      </c>
      <c r="R30" s="1626" t="s">
        <v>3439</v>
      </c>
      <c r="S30" s="1626" t="s">
        <v>7223</v>
      </c>
      <c r="T30" s="1671" t="s">
        <v>3218</v>
      </c>
      <c r="U30" s="1626" t="s">
        <v>9331</v>
      </c>
      <c r="V30" s="1671" t="s">
        <v>5031</v>
      </c>
      <c r="W30" s="1672" t="s">
        <v>6949</v>
      </c>
      <c r="X30" s="1642" t="s">
        <v>2612</v>
      </c>
      <c r="Y30" s="1672" t="s">
        <v>9777</v>
      </c>
      <c r="Z30" s="1642" t="s">
        <v>9778</v>
      </c>
      <c r="AA30" s="1672" t="s">
        <v>9779</v>
      </c>
      <c r="AB30" s="998" t="s">
        <v>9780</v>
      </c>
      <c r="AC30" s="1672" t="s">
        <v>3692</v>
      </c>
      <c r="AD30" s="1631" t="s">
        <v>9205</v>
      </c>
      <c r="AE30" s="1640" t="s">
        <v>3314</v>
      </c>
      <c r="AF30" s="1643" t="s">
        <v>9781</v>
      </c>
      <c r="AG30" s="1673" t="s">
        <v>4001</v>
      </c>
      <c r="AH30" s="1673" t="s">
        <v>6174</v>
      </c>
      <c r="AI30" s="1474" t="s">
        <v>9736</v>
      </c>
      <c r="AJ30" s="1673" t="s">
        <v>9782</v>
      </c>
      <c r="AK30" s="1643" t="s">
        <v>9783</v>
      </c>
      <c r="AL30" s="1673" t="s">
        <v>3698</v>
      </c>
      <c r="AM30" s="1645" t="s">
        <v>9784</v>
      </c>
      <c r="AN30" s="1645" t="s">
        <v>5146</v>
      </c>
      <c r="AO30" s="1645" t="s">
        <v>1868</v>
      </c>
      <c r="AP30" s="1645" t="s">
        <v>9785</v>
      </c>
      <c r="AQ30" s="1644" t="s">
        <v>9786</v>
      </c>
      <c r="AR30" s="1644" t="s">
        <v>3743</v>
      </c>
      <c r="AS30" s="1644" t="s">
        <v>5323</v>
      </c>
      <c r="AT30" s="1623" t="s">
        <v>9787</v>
      </c>
      <c r="AU30" s="1607" t="s">
        <v>9788</v>
      </c>
      <c r="AV30" s="1474" t="str">
        <f t="shared" si="1"/>
        <v>2:55</v>
      </c>
      <c r="AW30" s="1668"/>
    </row>
    <row r="31" ht="15.75" customHeight="1">
      <c r="A31" s="1554" t="s">
        <v>4351</v>
      </c>
      <c r="B31" s="1555" t="s">
        <v>9164</v>
      </c>
      <c r="C31" s="1691">
        <v>0.05043981481481481</v>
      </c>
      <c r="D31" s="998" t="s">
        <v>9789</v>
      </c>
      <c r="E31" s="1474" t="s">
        <v>6975</v>
      </c>
      <c r="F31" s="1474" t="s">
        <v>1572</v>
      </c>
      <c r="G31" s="1474" t="s">
        <v>9790</v>
      </c>
      <c r="H31" s="1474" t="s">
        <v>9393</v>
      </c>
      <c r="I31" s="1474" t="s">
        <v>4758</v>
      </c>
      <c r="J31" s="1474" t="s">
        <v>4495</v>
      </c>
      <c r="K31" s="1474" t="s">
        <v>9642</v>
      </c>
      <c r="L31" s="1474" t="s">
        <v>3880</v>
      </c>
      <c r="M31" s="1474" t="s">
        <v>9791</v>
      </c>
      <c r="N31" s="1474" t="s">
        <v>9201</v>
      </c>
      <c r="O31" s="1474" t="s">
        <v>9792</v>
      </c>
      <c r="P31" s="1474" t="s">
        <v>5456</v>
      </c>
      <c r="Q31" s="1474" t="s">
        <v>9793</v>
      </c>
      <c r="R31" s="1474" t="s">
        <v>9794</v>
      </c>
      <c r="S31" s="1474" t="s">
        <v>9795</v>
      </c>
      <c r="T31" s="1474" t="s">
        <v>9796</v>
      </c>
      <c r="U31" s="1474" t="s">
        <v>9797</v>
      </c>
      <c r="V31" s="1474" t="s">
        <v>2284</v>
      </c>
      <c r="W31" s="1474" t="s">
        <v>9798</v>
      </c>
      <c r="X31" s="1474" t="s">
        <v>9799</v>
      </c>
      <c r="Y31" s="1474" t="s">
        <v>9662</v>
      </c>
      <c r="Z31" s="1474" t="s">
        <v>1132</v>
      </c>
      <c r="AA31" s="1474" t="s">
        <v>3424</v>
      </c>
      <c r="AB31" s="1474" t="s">
        <v>4885</v>
      </c>
      <c r="AC31" s="1474" t="s">
        <v>7238</v>
      </c>
      <c r="AD31" s="1474" t="s">
        <v>6326</v>
      </c>
      <c r="AE31" s="1474" t="s">
        <v>5635</v>
      </c>
      <c r="AF31" s="1474" t="s">
        <v>9800</v>
      </c>
      <c r="AG31" s="1474" t="s">
        <v>5939</v>
      </c>
      <c r="AH31" s="1474" t="s">
        <v>4106</v>
      </c>
      <c r="AI31" s="1474" t="s">
        <v>5178</v>
      </c>
      <c r="AJ31" s="1474" t="s">
        <v>9801</v>
      </c>
      <c r="AK31" s="1474" t="s">
        <v>9802</v>
      </c>
      <c r="AL31" s="1474" t="s">
        <v>6046</v>
      </c>
      <c r="AM31" s="1474" t="s">
        <v>1234</v>
      </c>
      <c r="AN31" s="1474" t="s">
        <v>4201</v>
      </c>
      <c r="AO31" s="1474" t="s">
        <v>9803</v>
      </c>
      <c r="AP31" s="1596" t="str">
        <f>HYPERLINK("https://www.twitch.tv/videos/511415405","2:00.79")</f>
        <v>2:00.79</v>
      </c>
      <c r="AQ31" s="1474" t="s">
        <v>3606</v>
      </c>
      <c r="AR31" s="1474" t="s">
        <v>6970</v>
      </c>
      <c r="AS31" s="1474" t="s">
        <v>9270</v>
      </c>
      <c r="AT31" s="1474" t="s">
        <v>9804</v>
      </c>
      <c r="AU31" s="1474" t="s">
        <v>9805</v>
      </c>
      <c r="AV31" s="1474" t="str">
        <f t="shared" si="1"/>
        <v>2:36</v>
      </c>
      <c r="AW31" s="1597" t="s">
        <v>7665</v>
      </c>
    </row>
    <row r="32">
      <c r="A32" s="1617" t="s">
        <v>1198</v>
      </c>
      <c r="B32" s="1605" t="s">
        <v>9164</v>
      </c>
      <c r="C32" s="1556">
        <v>0.050486111111111114</v>
      </c>
      <c r="D32" s="1640" t="s">
        <v>9806</v>
      </c>
      <c r="E32" s="1640" t="s">
        <v>4276</v>
      </c>
      <c r="F32" s="1640" t="s">
        <v>9807</v>
      </c>
      <c r="G32" s="1640" t="s">
        <v>9808</v>
      </c>
      <c r="H32" s="998" t="s">
        <v>9809</v>
      </c>
      <c r="I32" s="862" t="s">
        <v>927</v>
      </c>
      <c r="J32" s="1623" t="s">
        <v>5931</v>
      </c>
      <c r="K32" s="1623" t="s">
        <v>7501</v>
      </c>
      <c r="L32" s="1623" t="s">
        <v>6584</v>
      </c>
      <c r="M32" s="1623" t="s">
        <v>5063</v>
      </c>
      <c r="N32" s="1623" t="s">
        <v>9810</v>
      </c>
      <c r="O32" s="1623" t="s">
        <v>9811</v>
      </c>
      <c r="P32" s="1623" t="s">
        <v>9564</v>
      </c>
      <c r="Q32" s="1626" t="s">
        <v>170</v>
      </c>
      <c r="R32" s="1626" t="s">
        <v>4816</v>
      </c>
      <c r="S32" s="1626" t="s">
        <v>9528</v>
      </c>
      <c r="T32" s="1626" t="s">
        <v>9812</v>
      </c>
      <c r="U32" s="1626" t="s">
        <v>9813</v>
      </c>
      <c r="V32" s="1626" t="s">
        <v>9814</v>
      </c>
      <c r="W32" s="1642" t="s">
        <v>9815</v>
      </c>
      <c r="X32" s="1642" t="s">
        <v>9816</v>
      </c>
      <c r="Y32" s="1642" t="s">
        <v>8216</v>
      </c>
      <c r="Z32" s="1642" t="s">
        <v>9817</v>
      </c>
      <c r="AA32" s="1586" t="s">
        <v>9818</v>
      </c>
      <c r="AB32" s="1642" t="s">
        <v>3407</v>
      </c>
      <c r="AC32" s="1642" t="s">
        <v>1114</v>
      </c>
      <c r="AD32" s="1640" t="s">
        <v>9819</v>
      </c>
      <c r="AE32" s="1640" t="s">
        <v>2223</v>
      </c>
      <c r="AF32" s="1643" t="s">
        <v>9820</v>
      </c>
      <c r="AG32" s="1643" t="s">
        <v>529</v>
      </c>
      <c r="AH32" s="1643" t="s">
        <v>9821</v>
      </c>
      <c r="AI32" s="1643" t="s">
        <v>2708</v>
      </c>
      <c r="AJ32" s="1643" t="s">
        <v>9822</v>
      </c>
      <c r="AK32" s="1643" t="s">
        <v>7054</v>
      </c>
      <c r="AL32" s="1643" t="s">
        <v>2888</v>
      </c>
      <c r="AM32" s="1645" t="s">
        <v>9823</v>
      </c>
      <c r="AN32" s="1645" t="s">
        <v>9529</v>
      </c>
      <c r="AO32" s="1645" t="s">
        <v>9824</v>
      </c>
      <c r="AP32" s="1645" t="s">
        <v>9825</v>
      </c>
      <c r="AQ32" s="1645" t="s">
        <v>9826</v>
      </c>
      <c r="AR32" s="1645" t="s">
        <v>1160</v>
      </c>
      <c r="AS32" s="1645" t="s">
        <v>1545</v>
      </c>
      <c r="AT32" s="1623" t="s">
        <v>9827</v>
      </c>
      <c r="AU32" s="1607" t="s">
        <v>9828</v>
      </c>
      <c r="AV32" s="1474" t="str">
        <f t="shared" si="1"/>
        <v>3:47</v>
      </c>
      <c r="AW32" s="1608"/>
    </row>
    <row r="33" ht="15.75" customHeight="1">
      <c r="A33" s="1617" t="s">
        <v>1721</v>
      </c>
      <c r="B33" s="1555" t="s">
        <v>9164</v>
      </c>
      <c r="C33" s="1556">
        <v>0.05049768518518519</v>
      </c>
      <c r="D33" s="998" t="s">
        <v>9829</v>
      </c>
      <c r="E33" s="1669" t="s">
        <v>9830</v>
      </c>
      <c r="F33" s="1689" t="str">
        <f>HYPERLINK("https://www.youtube.com/watch?v=rtR6KkKhM6I","1:59.91")</f>
        <v>1:59.91</v>
      </c>
      <c r="G33" s="1669" t="s">
        <v>9831</v>
      </c>
      <c r="H33" s="1692" t="str">
        <f>HYPERLINK("https://www.youtube.com/watch?v=cg-eipYsN1s","1:54.47")</f>
        <v>1:54.47</v>
      </c>
      <c r="I33" s="925" t="s">
        <v>9777</v>
      </c>
      <c r="J33" s="1670" t="s">
        <v>6544</v>
      </c>
      <c r="K33" s="1623" t="s">
        <v>7603</v>
      </c>
      <c r="L33" s="1685" t="str">
        <f>HYPERLINK("https://www.youtube.com/watch?v=tJdjPKdAbw4","57.01")</f>
        <v>57.01</v>
      </c>
      <c r="M33" s="1670" t="s">
        <v>6860</v>
      </c>
      <c r="N33" s="1623" t="s">
        <v>2303</v>
      </c>
      <c r="O33" s="1670" t="s">
        <v>9537</v>
      </c>
      <c r="P33" s="1670" t="s">
        <v>280</v>
      </c>
      <c r="Q33" s="1671" t="s">
        <v>238</v>
      </c>
      <c r="R33" s="1671" t="s">
        <v>9832</v>
      </c>
      <c r="S33" s="1687" t="str">
        <f>HYPERLINK("https://www.youtube.com/watch?v=_3ms_ZhYFzo","1:18.01")</f>
        <v>1:18.01</v>
      </c>
      <c r="T33" s="1671" t="s">
        <v>9833</v>
      </c>
      <c r="U33" s="1687" t="str">
        <f>HYPERLINK("https://www.youtube.com/watch?v=ZOy_TI3Zw14","2:02.38")</f>
        <v>2:02.38</v>
      </c>
      <c r="V33" s="1671" t="s">
        <v>9814</v>
      </c>
      <c r="W33" s="1672" t="s">
        <v>3312</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9564</v>
      </c>
      <c r="AF33" s="1673" t="s">
        <v>9834</v>
      </c>
      <c r="AG33" s="1693" t="str">
        <f>HYPERLINK("https://www.youtube.com/watch?v=KXwTRrVVluY","1:30.62")</f>
        <v>1:30.62</v>
      </c>
      <c r="AH33" s="1673" t="s">
        <v>3053</v>
      </c>
      <c r="AI33" s="1673" t="s">
        <v>9715</v>
      </c>
      <c r="AJ33" s="1673" t="s">
        <v>9835</v>
      </c>
      <c r="AK33" s="1643" t="s">
        <v>9836</v>
      </c>
      <c r="AL33" s="1673" t="s">
        <v>9837</v>
      </c>
      <c r="AM33" s="1694" t="str">
        <f>HYPERLINK("https://www.youtube.com/watch?v=BAoEwuQ0LoI","1:25.68")</f>
        <v>1:25.68</v>
      </c>
      <c r="AN33" s="1694" t="str">
        <f>HYPERLINK("https://www.youtube.com/watch?v=F-LtZeEZXek","56.36")</f>
        <v>56.36</v>
      </c>
      <c r="AO33" s="1644" t="s">
        <v>9838</v>
      </c>
      <c r="AP33" s="1644" t="s">
        <v>9839</v>
      </c>
      <c r="AQ33" s="1644" t="s">
        <v>9840</v>
      </c>
      <c r="AR33" s="1694" t="str">
        <f>HYPERLINK("https://www.youtube.com/watch?v=WSIIkWWbKgE","1:21.74")</f>
        <v>1:21.74</v>
      </c>
      <c r="AS33" s="1644" t="s">
        <v>5657</v>
      </c>
      <c r="AT33" s="1685" t="str">
        <f>HYPERLINK("https://www.youtube.com/watch?v=H67SXBLcISI","2:29.09")</f>
        <v>2:29.09</v>
      </c>
      <c r="AU33" s="1667" t="s">
        <v>9841</v>
      </c>
      <c r="AV33" s="1474" t="str">
        <f t="shared" si="1"/>
        <v>2:03</v>
      </c>
      <c r="AW33" s="1695" t="s">
        <v>9842</v>
      </c>
    </row>
    <row r="34">
      <c r="A34" s="1617" t="s">
        <v>3096</v>
      </c>
      <c r="B34" s="1605" t="s">
        <v>9191</v>
      </c>
      <c r="C34" s="1556">
        <v>0.050520833333333334</v>
      </c>
      <c r="D34" s="1640" t="s">
        <v>9843</v>
      </c>
      <c r="E34" s="1678" t="s">
        <v>4612</v>
      </c>
      <c r="F34" s="1678" t="s">
        <v>9213</v>
      </c>
      <c r="G34" s="1640" t="s">
        <v>9844</v>
      </c>
      <c r="H34" s="1678" t="s">
        <v>9527</v>
      </c>
      <c r="I34" s="1678" t="s">
        <v>3120</v>
      </c>
      <c r="J34" s="1623" t="s">
        <v>9845</v>
      </c>
      <c r="K34" s="1696" t="s">
        <v>9846</v>
      </c>
      <c r="L34" s="1623" t="s">
        <v>9847</v>
      </c>
      <c r="M34" s="1562" t="s">
        <v>5882</v>
      </c>
      <c r="N34" s="1623" t="s">
        <v>887</v>
      </c>
      <c r="O34" s="1623" t="s">
        <v>9710</v>
      </c>
      <c r="P34" s="1623" t="s">
        <v>412</v>
      </c>
      <c r="Q34" s="1047" t="str">
        <f>HYPERLINK("https://www.twitch.tv/planktonsecretformula/v/1588460220?sr=a", "2:12.43")</f>
        <v>2:12.43</v>
      </c>
      <c r="R34" s="1626" t="s">
        <v>9794</v>
      </c>
      <c r="S34" s="1626" t="s">
        <v>9848</v>
      </c>
      <c r="T34" s="1658" t="s">
        <v>9849</v>
      </c>
      <c r="U34" s="1678" t="s">
        <v>9850</v>
      </c>
      <c r="V34" s="1678" t="s">
        <v>9851</v>
      </c>
      <c r="W34" s="1651" t="s">
        <v>9852</v>
      </c>
      <c r="X34" s="1642" t="s">
        <v>858</v>
      </c>
      <c r="Y34" s="1642" t="s">
        <v>7838</v>
      </c>
      <c r="Z34" s="1642" t="s">
        <v>9329</v>
      </c>
      <c r="AA34" s="1586" t="s">
        <v>9853</v>
      </c>
      <c r="AB34" s="1642" t="s">
        <v>4150</v>
      </c>
      <c r="AC34" s="1642" t="s">
        <v>942</v>
      </c>
      <c r="AD34" s="1640" t="s">
        <v>3959</v>
      </c>
      <c r="AE34" s="1640" t="s">
        <v>5975</v>
      </c>
      <c r="AF34" s="1643" t="s">
        <v>9854</v>
      </c>
      <c r="AG34" s="1678" t="s">
        <v>4647</v>
      </c>
      <c r="AH34" s="1643" t="s">
        <v>9855</v>
      </c>
      <c r="AI34" s="1643" t="s">
        <v>7952</v>
      </c>
      <c r="AJ34" s="1643" t="s">
        <v>9856</v>
      </c>
      <c r="AK34" s="1643" t="s">
        <v>9857</v>
      </c>
      <c r="AL34" s="1643" t="s">
        <v>9858</v>
      </c>
      <c r="AM34" s="1645" t="s">
        <v>3218</v>
      </c>
      <c r="AN34" s="1645" t="s">
        <v>9567</v>
      </c>
      <c r="AO34" s="1645" t="s">
        <v>3016</v>
      </c>
      <c r="AP34" s="1645" t="s">
        <v>9859</v>
      </c>
      <c r="AQ34" s="1047" t="str">
        <f>HYPERLINK("https://www.twitch.tv/planktonsecretformula/v/1678454360?sr=a&amp;t=0s", "1:37.46")</f>
        <v>1:37.46</v>
      </c>
      <c r="AR34" s="1645" t="s">
        <v>9860</v>
      </c>
      <c r="AS34" s="1645" t="s">
        <v>720</v>
      </c>
      <c r="AT34" s="1623" t="s">
        <v>9861</v>
      </c>
      <c r="AU34" s="1607" t="s">
        <v>9862</v>
      </c>
      <c r="AV34" s="1474" t="str">
        <f t="shared" si="1"/>
        <v>4:40</v>
      </c>
      <c r="AW34" s="1608" t="s">
        <v>9863</v>
      </c>
    </row>
    <row r="35" ht="15.75" customHeight="1">
      <c r="A35" s="1681" t="s">
        <v>9864</v>
      </c>
      <c r="B35" s="1555" t="s">
        <v>9164</v>
      </c>
      <c r="C35" s="1556">
        <v>0.050555555555555555</v>
      </c>
      <c r="D35" s="998" t="s">
        <v>9865</v>
      </c>
      <c r="E35" s="1640" t="s">
        <v>9866</v>
      </c>
      <c r="F35" s="1640" t="s">
        <v>9867</v>
      </c>
      <c r="G35" s="1640" t="s">
        <v>9868</v>
      </c>
      <c r="H35" s="862" t="s">
        <v>9869</v>
      </c>
      <c r="I35" s="862" t="s">
        <v>9870</v>
      </c>
      <c r="J35" s="1623" t="s">
        <v>9871</v>
      </c>
      <c r="K35" s="1623" t="s">
        <v>9872</v>
      </c>
      <c r="L35" s="1623" t="s">
        <v>9873</v>
      </c>
      <c r="M35" s="1623" t="s">
        <v>3211</v>
      </c>
      <c r="N35" s="1623" t="s">
        <v>9874</v>
      </c>
      <c r="O35" s="1623" t="s">
        <v>9775</v>
      </c>
      <c r="P35" s="1623" t="s">
        <v>4915</v>
      </c>
      <c r="Q35" s="1626" t="s">
        <v>9875</v>
      </c>
      <c r="R35" s="1626" t="s">
        <v>2713</v>
      </c>
      <c r="S35" s="1626" t="s">
        <v>6999</v>
      </c>
      <c r="T35" s="1626" t="s">
        <v>9876</v>
      </c>
      <c r="U35" s="1626" t="s">
        <v>9877</v>
      </c>
      <c r="V35" s="1626" t="s">
        <v>9202</v>
      </c>
      <c r="W35" s="1642" t="s">
        <v>9878</v>
      </c>
      <c r="X35" s="1642" t="s">
        <v>9879</v>
      </c>
      <c r="Y35" s="1642" t="s">
        <v>9880</v>
      </c>
      <c r="Z35" s="1642" t="s">
        <v>1382</v>
      </c>
      <c r="AA35" s="1642" t="s">
        <v>9881</v>
      </c>
      <c r="AB35" s="1642" t="s">
        <v>7096</v>
      </c>
      <c r="AC35" s="1672" t="s">
        <v>2174</v>
      </c>
      <c r="AD35" s="1640" t="s">
        <v>9882</v>
      </c>
      <c r="AE35" s="1640" t="s">
        <v>9564</v>
      </c>
      <c r="AF35" s="1643" t="s">
        <v>9883</v>
      </c>
      <c r="AG35" s="1643" t="s">
        <v>9884</v>
      </c>
      <c r="AH35" s="1643" t="s">
        <v>5688</v>
      </c>
      <c r="AI35" s="1643" t="s">
        <v>9885</v>
      </c>
      <c r="AJ35" s="1643" t="s">
        <v>9886</v>
      </c>
      <c r="AK35" s="1643" t="s">
        <v>4485</v>
      </c>
      <c r="AL35" s="1643" t="s">
        <v>5781</v>
      </c>
      <c r="AM35" s="1645" t="s">
        <v>1855</v>
      </c>
      <c r="AN35" s="1645" t="s">
        <v>4633</v>
      </c>
      <c r="AO35" s="1645" t="s">
        <v>9887</v>
      </c>
      <c r="AP35" s="1645" t="s">
        <v>9888</v>
      </c>
      <c r="AQ35" s="1645" t="s">
        <v>9889</v>
      </c>
      <c r="AR35" s="1645" t="s">
        <v>9580</v>
      </c>
      <c r="AS35" s="1645" t="s">
        <v>883</v>
      </c>
      <c r="AT35" s="1623" t="s">
        <v>9890</v>
      </c>
      <c r="AU35" s="1607" t="s">
        <v>9891</v>
      </c>
      <c r="AV35" s="1474" t="str">
        <f t="shared" si="1"/>
        <v>2:07</v>
      </c>
      <c r="AW35" s="1668"/>
    </row>
    <row r="36">
      <c r="A36" s="1617" t="s">
        <v>647</v>
      </c>
      <c r="B36" s="1605" t="s">
        <v>9164</v>
      </c>
      <c r="C36" s="1556">
        <v>0.050555555555555555</v>
      </c>
      <c r="D36" s="998" t="s">
        <v>9892</v>
      </c>
      <c r="E36" s="998" t="s">
        <v>9893</v>
      </c>
      <c r="F36" s="998" t="s">
        <v>9894</v>
      </c>
      <c r="G36" s="998" t="s">
        <v>9895</v>
      </c>
      <c r="H36" s="998" t="s">
        <v>9896</v>
      </c>
      <c r="I36" s="998" t="s">
        <v>2559</v>
      </c>
      <c r="J36" s="998" t="s">
        <v>1302</v>
      </c>
      <c r="K36" s="998" t="s">
        <v>9897</v>
      </c>
      <c r="L36" s="998" t="s">
        <v>4269</v>
      </c>
      <c r="M36" s="998" t="s">
        <v>4178</v>
      </c>
      <c r="N36" s="998" t="s">
        <v>9898</v>
      </c>
      <c r="O36" s="998" t="s">
        <v>9899</v>
      </c>
      <c r="P36" s="998" t="s">
        <v>9900</v>
      </c>
      <c r="Q36" s="998" t="s">
        <v>9901</v>
      </c>
      <c r="R36" s="998" t="s">
        <v>1869</v>
      </c>
      <c r="S36" s="998" t="s">
        <v>9902</v>
      </c>
      <c r="T36" s="998" t="s">
        <v>9763</v>
      </c>
      <c r="U36" s="998" t="s">
        <v>9903</v>
      </c>
      <c r="V36" s="998" t="s">
        <v>9904</v>
      </c>
      <c r="W36" s="998" t="s">
        <v>4767</v>
      </c>
      <c r="X36" s="998" t="s">
        <v>9905</v>
      </c>
      <c r="Y36" s="998" t="s">
        <v>5163</v>
      </c>
      <c r="Z36" s="998" t="s">
        <v>9906</v>
      </c>
      <c r="AA36" s="998" t="s">
        <v>9907</v>
      </c>
      <c r="AB36" s="998" t="s">
        <v>9908</v>
      </c>
      <c r="AC36" s="998" t="s">
        <v>7238</v>
      </c>
      <c r="AD36" s="998" t="s">
        <v>9909</v>
      </c>
      <c r="AE36" s="998" t="s">
        <v>9378</v>
      </c>
      <c r="AF36" s="998" t="s">
        <v>9910</v>
      </c>
      <c r="AG36" s="998" t="s">
        <v>5159</v>
      </c>
      <c r="AH36" s="998" t="s">
        <v>4454</v>
      </c>
      <c r="AI36" s="998" t="s">
        <v>9911</v>
      </c>
      <c r="AJ36" s="998" t="s">
        <v>9912</v>
      </c>
      <c r="AK36" s="998" t="s">
        <v>1672</v>
      </c>
      <c r="AL36" s="998" t="s">
        <v>9913</v>
      </c>
      <c r="AM36" s="998" t="s">
        <v>4047</v>
      </c>
      <c r="AN36" s="998" t="s">
        <v>4084</v>
      </c>
      <c r="AO36" s="998" t="s">
        <v>6388</v>
      </c>
      <c r="AP36" s="998" t="s">
        <v>9914</v>
      </c>
      <c r="AQ36" s="998" t="s">
        <v>9915</v>
      </c>
      <c r="AR36" s="998" t="s">
        <v>9469</v>
      </c>
      <c r="AS36" s="998" t="s">
        <v>839</v>
      </c>
      <c r="AT36" s="998" t="s">
        <v>9916</v>
      </c>
      <c r="AU36" s="1607" t="s">
        <v>9805</v>
      </c>
      <c r="AV36" s="1474" t="str">
        <f t="shared" si="1"/>
        <v>2:26</v>
      </c>
      <c r="AW36" s="1608" t="s">
        <v>9917</v>
      </c>
    </row>
    <row r="37" ht="15.75" customHeight="1">
      <c r="A37" s="1554" t="s">
        <v>741</v>
      </c>
      <c r="B37" s="1650" t="s">
        <v>9191</v>
      </c>
      <c r="C37" s="1556">
        <v>0.05056712962962963</v>
      </c>
      <c r="D37" s="1621" t="s">
        <v>9192</v>
      </c>
      <c r="E37" s="1669" t="s">
        <v>9707</v>
      </c>
      <c r="F37" s="1684" t="s">
        <v>9193</v>
      </c>
      <c r="G37" s="1586" t="s">
        <v>9918</v>
      </c>
      <c r="H37" s="1586" t="s">
        <v>9267</v>
      </c>
      <c r="I37" s="1684" t="s">
        <v>5054</v>
      </c>
      <c r="J37" s="1586" t="s">
        <v>1027</v>
      </c>
      <c r="K37" s="1586" t="s">
        <v>4929</v>
      </c>
      <c r="L37" s="1586" t="s">
        <v>2290</v>
      </c>
      <c r="M37" s="1586" t="s">
        <v>2243</v>
      </c>
      <c r="N37" s="1586" t="s">
        <v>9667</v>
      </c>
      <c r="O37" s="1586" t="s">
        <v>9919</v>
      </c>
      <c r="P37" s="1586" t="s">
        <v>4020</v>
      </c>
      <c r="Q37" s="1586" t="s">
        <v>9920</v>
      </c>
      <c r="R37" s="1586" t="s">
        <v>3117</v>
      </c>
      <c r="S37" s="1586" t="s">
        <v>9278</v>
      </c>
      <c r="T37" s="1586" t="s">
        <v>2359</v>
      </c>
      <c r="U37" s="1586" t="s">
        <v>9427</v>
      </c>
      <c r="V37" s="1586" t="s">
        <v>2882</v>
      </c>
      <c r="W37" s="1586" t="s">
        <v>9921</v>
      </c>
      <c r="X37" s="1586" t="s">
        <v>9922</v>
      </c>
      <c r="Y37" s="1586" t="s">
        <v>863</v>
      </c>
      <c r="Z37" s="1586" t="s">
        <v>9586</v>
      </c>
      <c r="AA37" s="1586" t="s">
        <v>7054</v>
      </c>
      <c r="AB37" s="1586" t="s">
        <v>6187</v>
      </c>
      <c r="AC37" s="1474" t="s">
        <v>537</v>
      </c>
      <c r="AD37" s="1586" t="s">
        <v>9923</v>
      </c>
      <c r="AE37" s="1586" t="s">
        <v>2656</v>
      </c>
      <c r="AF37" s="1586" t="s">
        <v>9924</v>
      </c>
      <c r="AG37" s="1586" t="s">
        <v>9763</v>
      </c>
      <c r="AH37" s="1586" t="s">
        <v>2961</v>
      </c>
      <c r="AI37" s="1586" t="s">
        <v>9925</v>
      </c>
      <c r="AJ37" s="1586" t="s">
        <v>3228</v>
      </c>
      <c r="AK37" s="1586" t="s">
        <v>5278</v>
      </c>
      <c r="AL37" s="1586" t="s">
        <v>4201</v>
      </c>
      <c r="AM37" s="1586" t="s">
        <v>3322</v>
      </c>
      <c r="AN37" s="1586" t="s">
        <v>344</v>
      </c>
      <c r="AO37" s="1586" t="s">
        <v>9926</v>
      </c>
      <c r="AP37" s="1586" t="s">
        <v>9927</v>
      </c>
      <c r="AQ37" s="1586" t="s">
        <v>6987</v>
      </c>
      <c r="AR37" s="1586" t="s">
        <v>2698</v>
      </c>
      <c r="AS37" s="1586" t="s">
        <v>4098</v>
      </c>
      <c r="AT37" s="1586" t="s">
        <v>5571</v>
      </c>
      <c r="AU37" s="1586" t="s">
        <v>9615</v>
      </c>
      <c r="AV37" s="1474" t="str">
        <f t="shared" si="1"/>
        <v>3:34</v>
      </c>
      <c r="AW37" s="1616" t="s">
        <v>9928</v>
      </c>
    </row>
    <row r="38" ht="15.75" customHeight="1">
      <c r="A38" s="1617" t="s">
        <v>647</v>
      </c>
      <c r="B38" s="1650" t="s">
        <v>9191</v>
      </c>
      <c r="C38" s="1691">
        <v>0.05056712962962963</v>
      </c>
      <c r="D38" s="998" t="s">
        <v>9929</v>
      </c>
      <c r="E38" s="1474" t="s">
        <v>9930</v>
      </c>
      <c r="F38" s="1474" t="s">
        <v>9645</v>
      </c>
      <c r="G38" s="1474" t="s">
        <v>9931</v>
      </c>
      <c r="H38" s="1474" t="s">
        <v>4458</v>
      </c>
      <c r="I38" s="1474" t="s">
        <v>1183</v>
      </c>
      <c r="J38" s="1586" t="s">
        <v>3476</v>
      </c>
      <c r="K38" s="1586" t="s">
        <v>3476</v>
      </c>
      <c r="L38" s="1474" t="s">
        <v>9932</v>
      </c>
      <c r="M38" s="1474" t="s">
        <v>9933</v>
      </c>
      <c r="N38" s="1474" t="s">
        <v>9591</v>
      </c>
      <c r="O38" s="1684" t="s">
        <v>9198</v>
      </c>
      <c r="P38" s="1474" t="s">
        <v>8250</v>
      </c>
      <c r="Q38" s="1474" t="s">
        <v>787</v>
      </c>
      <c r="R38" s="1586" t="s">
        <v>3476</v>
      </c>
      <c r="S38" s="1474" t="s">
        <v>9934</v>
      </c>
      <c r="T38" s="1474" t="s">
        <v>156</v>
      </c>
      <c r="U38" s="1474" t="s">
        <v>9935</v>
      </c>
      <c r="V38" s="1474" t="s">
        <v>9936</v>
      </c>
      <c r="W38" s="1474" t="s">
        <v>9937</v>
      </c>
      <c r="X38" s="1474" t="s">
        <v>9757</v>
      </c>
      <c r="Y38" s="1474" t="s">
        <v>9758</v>
      </c>
      <c r="Z38" s="1474" t="s">
        <v>151</v>
      </c>
      <c r="AA38" s="1474" t="s">
        <v>9938</v>
      </c>
      <c r="AB38" s="1474" t="s">
        <v>9445</v>
      </c>
      <c r="AC38" s="1474" t="s">
        <v>4488</v>
      </c>
      <c r="AD38" s="1474" t="s">
        <v>2323</v>
      </c>
      <c r="AE38" s="1474" t="s">
        <v>9880</v>
      </c>
      <c r="AF38" s="1474" t="s">
        <v>9939</v>
      </c>
      <c r="AG38" s="1474" t="s">
        <v>9940</v>
      </c>
      <c r="AH38" s="1474" t="s">
        <v>4475</v>
      </c>
      <c r="AI38" s="1474" t="s">
        <v>3805</v>
      </c>
      <c r="AJ38" s="1474" t="s">
        <v>9941</v>
      </c>
      <c r="AK38" s="1474" t="s">
        <v>1163</v>
      </c>
      <c r="AL38" s="1474" t="s">
        <v>9761</v>
      </c>
      <c r="AM38" s="1474" t="s">
        <v>874</v>
      </c>
      <c r="AN38" s="1586" t="s">
        <v>9942</v>
      </c>
      <c r="AO38" s="1586" t="s">
        <v>3476</v>
      </c>
      <c r="AP38" s="1474" t="s">
        <v>5477</v>
      </c>
      <c r="AQ38" s="1474" t="s">
        <v>252</v>
      </c>
      <c r="AR38" s="1474" t="s">
        <v>9943</v>
      </c>
      <c r="AS38" s="1474" t="s">
        <v>9944</v>
      </c>
      <c r="AT38" s="1474" t="s">
        <v>9945</v>
      </c>
      <c r="AU38" s="1586" t="s">
        <v>9946</v>
      </c>
      <c r="AV38" s="1474" t="str">
        <f t="shared" si="1"/>
        <v>3:07</v>
      </c>
      <c r="AW38" s="1649" t="s">
        <v>9947</v>
      </c>
    </row>
    <row r="39" ht="15.75" customHeight="1">
      <c r="A39" s="1554" t="s">
        <v>4265</v>
      </c>
      <c r="B39" s="1555" t="s">
        <v>9164</v>
      </c>
      <c r="C39" s="1691">
        <v>0.05060185185185185</v>
      </c>
      <c r="D39" s="998" t="s">
        <v>9948</v>
      </c>
      <c r="E39" s="1669" t="s">
        <v>3298</v>
      </c>
      <c r="F39" s="1669" t="s">
        <v>6125</v>
      </c>
      <c r="G39" s="1669" t="s">
        <v>9949</v>
      </c>
      <c r="H39" s="925" t="s">
        <v>9950</v>
      </c>
      <c r="I39" s="925" t="s">
        <v>4790</v>
      </c>
      <c r="J39" s="1670" t="s">
        <v>9394</v>
      </c>
      <c r="K39" s="1670" t="s">
        <v>7501</v>
      </c>
      <c r="L39" s="1670" t="s">
        <v>5636</v>
      </c>
      <c r="M39" s="1670" t="s">
        <v>9951</v>
      </c>
      <c r="N39" s="1670" t="s">
        <v>5393</v>
      </c>
      <c r="O39" s="1670" t="s">
        <v>9952</v>
      </c>
      <c r="P39" s="1670" t="s">
        <v>5949</v>
      </c>
      <c r="Q39" s="1671" t="s">
        <v>9953</v>
      </c>
      <c r="R39" s="1671" t="s">
        <v>5555</v>
      </c>
      <c r="S39" s="1671" t="s">
        <v>7096</v>
      </c>
      <c r="T39" s="1671" t="s">
        <v>9954</v>
      </c>
      <c r="U39" s="1671" t="s">
        <v>6261</v>
      </c>
      <c r="V39" s="1671" t="s">
        <v>3924</v>
      </c>
      <c r="W39" s="1672" t="s">
        <v>9955</v>
      </c>
      <c r="X39" s="1672" t="s">
        <v>7491</v>
      </c>
      <c r="Y39" s="1672" t="s">
        <v>1846</v>
      </c>
      <c r="Z39" s="1672" t="s">
        <v>1906</v>
      </c>
      <c r="AA39" s="1672" t="s">
        <v>9956</v>
      </c>
      <c r="AB39" s="1672" t="s">
        <v>9445</v>
      </c>
      <c r="AC39" s="1672" t="s">
        <v>5637</v>
      </c>
      <c r="AD39" s="1669" t="s">
        <v>6609</v>
      </c>
      <c r="AE39" s="1669" t="s">
        <v>7838</v>
      </c>
      <c r="AF39" s="1673" t="s">
        <v>9957</v>
      </c>
      <c r="AG39" s="1673" t="s">
        <v>9884</v>
      </c>
      <c r="AH39" s="1673" t="s">
        <v>8339</v>
      </c>
      <c r="AI39" s="1673" t="s">
        <v>5632</v>
      </c>
      <c r="AJ39" s="1673" t="s">
        <v>9958</v>
      </c>
      <c r="AK39" s="1673" t="s">
        <v>9959</v>
      </c>
      <c r="AL39" s="1673" t="s">
        <v>9960</v>
      </c>
      <c r="AM39" s="1644" t="s">
        <v>9961</v>
      </c>
      <c r="AN39" s="1644" t="s">
        <v>9962</v>
      </c>
      <c r="AO39" s="1644" t="s">
        <v>9963</v>
      </c>
      <c r="AP39" s="1644" t="s">
        <v>9964</v>
      </c>
      <c r="AQ39" s="1644" t="s">
        <v>9826</v>
      </c>
      <c r="AR39" s="1644" t="s">
        <v>9965</v>
      </c>
      <c r="AS39" s="1644" t="s">
        <v>4399</v>
      </c>
      <c r="AT39" s="1670" t="s">
        <v>9966</v>
      </c>
      <c r="AU39" s="1667" t="s">
        <v>9967</v>
      </c>
      <c r="AV39" s="1474" t="str">
        <f t="shared" si="1"/>
        <v>1:56</v>
      </c>
      <c r="AW39" s="1668"/>
    </row>
    <row r="40" ht="15.75" customHeight="1">
      <c r="A40" s="1583" t="s">
        <v>899</v>
      </c>
      <c r="B40" s="1555" t="s">
        <v>9164</v>
      </c>
      <c r="C40" s="1556">
        <v>0.05061342592592592</v>
      </c>
      <c r="D40" s="998" t="s">
        <v>9968</v>
      </c>
      <c r="E40" s="1586" t="s">
        <v>9369</v>
      </c>
      <c r="F40" s="1586" t="s">
        <v>5515</v>
      </c>
      <c r="G40" s="1474" t="s">
        <v>9969</v>
      </c>
      <c r="H40" s="1586" t="s">
        <v>9970</v>
      </c>
      <c r="I40" s="1586" t="s">
        <v>388</v>
      </c>
      <c r="J40" s="1586" t="s">
        <v>7954</v>
      </c>
      <c r="K40" s="1474" t="s">
        <v>9642</v>
      </c>
      <c r="L40" s="1586" t="s">
        <v>9971</v>
      </c>
      <c r="M40" s="1586" t="s">
        <v>9972</v>
      </c>
      <c r="N40" s="1586" t="s">
        <v>4406</v>
      </c>
      <c r="O40" s="1586" t="s">
        <v>9973</v>
      </c>
      <c r="P40" s="1586" t="s">
        <v>1584</v>
      </c>
      <c r="Q40" s="1560" t="s">
        <v>9974</v>
      </c>
      <c r="R40" s="1586" t="s">
        <v>9975</v>
      </c>
      <c r="S40" s="1474" t="s">
        <v>9976</v>
      </c>
      <c r="T40" s="1586" t="s">
        <v>9740</v>
      </c>
      <c r="U40" s="1586" t="s">
        <v>6765</v>
      </c>
      <c r="V40" s="1586" t="s">
        <v>2479</v>
      </c>
      <c r="W40" s="1595" t="str">
        <f>HYPERLINK("https://www.youtube.com/watch?v=nn1ub1z3NYM","1:45.96")</f>
        <v>1:45.96</v>
      </c>
      <c r="X40" s="1586" t="s">
        <v>5779</v>
      </c>
      <c r="Y40" s="1474" t="s">
        <v>5621</v>
      </c>
      <c r="Z40" s="1586" t="s">
        <v>1499</v>
      </c>
      <c r="AA40" s="1586" t="s">
        <v>9977</v>
      </c>
      <c r="AB40" s="1586" t="s">
        <v>9978</v>
      </c>
      <c r="AC40" s="1586" t="s">
        <v>1114</v>
      </c>
      <c r="AD40" s="1586" t="s">
        <v>9979</v>
      </c>
      <c r="AE40" s="1560" t="s">
        <v>4631</v>
      </c>
      <c r="AF40" s="1474" t="s">
        <v>9980</v>
      </c>
      <c r="AG40" s="1586" t="s">
        <v>1867</v>
      </c>
      <c r="AH40" s="1586" t="s">
        <v>3053</v>
      </c>
      <c r="AI40" s="1586" t="s">
        <v>9981</v>
      </c>
      <c r="AJ40" s="1474" t="s">
        <v>8574</v>
      </c>
      <c r="AK40" s="1586" t="s">
        <v>9982</v>
      </c>
      <c r="AL40" s="1474" t="s">
        <v>4359</v>
      </c>
      <c r="AM40" s="1474" t="s">
        <v>9983</v>
      </c>
      <c r="AN40" s="1474" t="s">
        <v>2513</v>
      </c>
      <c r="AO40" s="1586" t="s">
        <v>3607</v>
      </c>
      <c r="AP40" s="1586" t="s">
        <v>9984</v>
      </c>
      <c r="AQ40" s="1586" t="s">
        <v>9985</v>
      </c>
      <c r="AR40" s="1586" t="s">
        <v>1302</v>
      </c>
      <c r="AS40" s="1586" t="s">
        <v>4714</v>
      </c>
      <c r="AT40" s="1586" t="s">
        <v>9986</v>
      </c>
      <c r="AU40" s="1586" t="s">
        <v>9987</v>
      </c>
      <c r="AV40" s="1474" t="str">
        <f t="shared" si="1"/>
        <v>2:25</v>
      </c>
      <c r="AW40" s="1616"/>
    </row>
    <row r="41">
      <c r="A41" s="1583" t="s">
        <v>9988</v>
      </c>
      <c r="B41" s="1615" t="s">
        <v>9164</v>
      </c>
      <c r="C41" s="1556">
        <v>0.050625</v>
      </c>
      <c r="D41" s="1697" t="s">
        <v>9989</v>
      </c>
      <c r="E41" s="1586" t="s">
        <v>4743</v>
      </c>
      <c r="F41" s="1586" t="s">
        <v>9990</v>
      </c>
      <c r="G41" s="1586" t="s">
        <v>9991</v>
      </c>
      <c r="H41" s="1586" t="s">
        <v>1744</v>
      </c>
      <c r="I41" s="1586" t="s">
        <v>1898</v>
      </c>
      <c r="J41" s="1586" t="s">
        <v>9992</v>
      </c>
      <c r="K41" s="1586" t="s">
        <v>3628</v>
      </c>
      <c r="L41" s="1586" t="s">
        <v>9993</v>
      </c>
      <c r="M41" s="1586" t="s">
        <v>9994</v>
      </c>
      <c r="N41" s="1586" t="s">
        <v>9995</v>
      </c>
      <c r="O41" s="1586" t="s">
        <v>9996</v>
      </c>
      <c r="P41" s="1586" t="s">
        <v>9880</v>
      </c>
      <c r="Q41" s="1586" t="s">
        <v>4651</v>
      </c>
      <c r="R41" s="1586" t="s">
        <v>4017</v>
      </c>
      <c r="S41" s="1586" t="s">
        <v>2684</v>
      </c>
      <c r="T41" s="1586" t="s">
        <v>2359</v>
      </c>
      <c r="U41" s="1586" t="s">
        <v>9997</v>
      </c>
      <c r="V41" s="1586" t="s">
        <v>2214</v>
      </c>
      <c r="W41" s="1586" t="s">
        <v>7152</v>
      </c>
      <c r="X41" s="1586" t="s">
        <v>9998</v>
      </c>
      <c r="Y41" s="1586" t="s">
        <v>9999</v>
      </c>
      <c r="Z41" s="1586" t="s">
        <v>10000</v>
      </c>
      <c r="AA41" s="1586" t="s">
        <v>10001</v>
      </c>
      <c r="AB41" s="1586"/>
      <c r="AC41" s="1586" t="s">
        <v>10002</v>
      </c>
      <c r="AD41" s="1586" t="s">
        <v>10003</v>
      </c>
      <c r="AE41" s="1586" t="s">
        <v>4975</v>
      </c>
      <c r="AF41" s="1586" t="s">
        <v>10004</v>
      </c>
      <c r="AG41" s="1586" t="s">
        <v>10005</v>
      </c>
      <c r="AH41" s="1586" t="s">
        <v>10006</v>
      </c>
      <c r="AI41" s="1586" t="s">
        <v>729</v>
      </c>
      <c r="AJ41" s="1586" t="s">
        <v>10007</v>
      </c>
      <c r="AK41" s="1586" t="s">
        <v>9174</v>
      </c>
      <c r="AL41" s="1586" t="s">
        <v>10008</v>
      </c>
      <c r="AM41" s="1586" t="s">
        <v>10009</v>
      </c>
      <c r="AN41" s="1586" t="s">
        <v>9241</v>
      </c>
      <c r="AO41" s="1586" t="s">
        <v>5037</v>
      </c>
      <c r="AP41" s="1586" t="s">
        <v>10010</v>
      </c>
      <c r="AQ41" s="1586" t="s">
        <v>10011</v>
      </c>
      <c r="AR41" s="1586" t="s">
        <v>7608</v>
      </c>
      <c r="AS41" s="1586" t="s">
        <v>5831</v>
      </c>
      <c r="AT41" s="1586" t="s">
        <v>8881</v>
      </c>
      <c r="AU41" s="1586" t="s">
        <v>10012</v>
      </c>
      <c r="AV41" s="1474" t="str">
        <f t="shared" si="1"/>
        <v>2:05</v>
      </c>
      <c r="AW41" s="1649"/>
    </row>
    <row r="42">
      <c r="A42" s="1583" t="s">
        <v>10013</v>
      </c>
      <c r="B42" s="1605" t="s">
        <v>9164</v>
      </c>
      <c r="C42" s="1556">
        <v>0.0506712962962963</v>
      </c>
      <c r="D42" s="1697" t="s">
        <v>10014</v>
      </c>
      <c r="E42" s="1640" t="s">
        <v>3298</v>
      </c>
      <c r="F42" s="1640" t="s">
        <v>9512</v>
      </c>
      <c r="G42" s="1640" t="s">
        <v>10015</v>
      </c>
      <c r="H42" s="862" t="s">
        <v>10016</v>
      </c>
      <c r="I42" s="862" t="s">
        <v>10017</v>
      </c>
      <c r="J42" s="1623" t="s">
        <v>10018</v>
      </c>
      <c r="K42" s="1623" t="s">
        <v>8295</v>
      </c>
      <c r="L42" s="1623" t="s">
        <v>4333</v>
      </c>
      <c r="M42" s="1623" t="s">
        <v>8296</v>
      </c>
      <c r="N42" s="1623" t="s">
        <v>10019</v>
      </c>
      <c r="O42" s="1623" t="s">
        <v>2247</v>
      </c>
      <c r="P42" s="1623" t="s">
        <v>8253</v>
      </c>
      <c r="Q42" s="1626" t="s">
        <v>7431</v>
      </c>
      <c r="R42" s="1626" t="s">
        <v>10020</v>
      </c>
      <c r="S42" s="1626" t="s">
        <v>10021</v>
      </c>
      <c r="T42" s="1626" t="s">
        <v>10022</v>
      </c>
      <c r="U42" s="1626" t="s">
        <v>10023</v>
      </c>
      <c r="V42" s="1626" t="s">
        <v>10024</v>
      </c>
      <c r="W42" s="1642" t="s">
        <v>10025</v>
      </c>
      <c r="X42" s="1642" t="s">
        <v>10026</v>
      </c>
      <c r="Y42" s="1642" t="s">
        <v>6317</v>
      </c>
      <c r="Z42" s="1642" t="s">
        <v>10027</v>
      </c>
      <c r="AA42" s="1586" t="s">
        <v>1677</v>
      </c>
      <c r="AB42" s="1642" t="s">
        <v>10028</v>
      </c>
      <c r="AC42" s="1642" t="s">
        <v>7238</v>
      </c>
      <c r="AD42" s="1640" t="s">
        <v>10029</v>
      </c>
      <c r="AE42" s="1640" t="s">
        <v>537</v>
      </c>
      <c r="AF42" s="1643" t="s">
        <v>10030</v>
      </c>
      <c r="AG42" s="1643" t="s">
        <v>4001</v>
      </c>
      <c r="AH42" s="1643" t="s">
        <v>5325</v>
      </c>
      <c r="AI42" s="1643" t="s">
        <v>10031</v>
      </c>
      <c r="AJ42" s="1643" t="s">
        <v>10032</v>
      </c>
      <c r="AK42" s="1643" t="s">
        <v>174</v>
      </c>
      <c r="AL42" s="1643" t="s">
        <v>2624</v>
      </c>
      <c r="AM42" s="1645" t="s">
        <v>9513</v>
      </c>
      <c r="AN42" s="1645" t="s">
        <v>9764</v>
      </c>
      <c r="AO42" s="1645" t="s">
        <v>9702</v>
      </c>
      <c r="AP42" s="1645" t="s">
        <v>10033</v>
      </c>
      <c r="AQ42" s="1645" t="s">
        <v>10034</v>
      </c>
      <c r="AR42" s="1645" t="s">
        <v>4848</v>
      </c>
      <c r="AS42" s="1645" t="s">
        <v>10035</v>
      </c>
      <c r="AT42" s="1623" t="s">
        <v>10036</v>
      </c>
      <c r="AU42" s="1607" t="s">
        <v>9828</v>
      </c>
      <c r="AV42" s="1474" t="str">
        <f t="shared" si="1"/>
        <v>3:31</v>
      </c>
      <c r="AW42" s="1668"/>
    </row>
    <row r="43" ht="15.75" customHeight="1">
      <c r="A43" s="1681" t="s">
        <v>10037</v>
      </c>
      <c r="B43" s="1555" t="s">
        <v>9164</v>
      </c>
      <c r="C43" s="1556">
        <v>0.05070601851851852</v>
      </c>
      <c r="D43" s="998" t="s">
        <v>10038</v>
      </c>
      <c r="E43" s="1669" t="s">
        <v>3198</v>
      </c>
      <c r="F43" s="1669" t="s">
        <v>9360</v>
      </c>
      <c r="G43" s="1669" t="s">
        <v>10039</v>
      </c>
      <c r="H43" s="925" t="s">
        <v>10040</v>
      </c>
      <c r="I43" s="925" t="s">
        <v>388</v>
      </c>
      <c r="J43" s="1670" t="s">
        <v>10041</v>
      </c>
      <c r="K43" s="1670" t="s">
        <v>3506</v>
      </c>
      <c r="L43" s="1670" t="s">
        <v>5524</v>
      </c>
      <c r="M43" s="1670" t="s">
        <v>10042</v>
      </c>
      <c r="N43" s="1670" t="s">
        <v>9876</v>
      </c>
      <c r="O43" s="1670" t="s">
        <v>10043</v>
      </c>
      <c r="P43" s="1670" t="s">
        <v>5053</v>
      </c>
      <c r="Q43" s="1671" t="s">
        <v>10044</v>
      </c>
      <c r="R43" s="1671" t="s">
        <v>732</v>
      </c>
      <c r="S43" s="1671" t="s">
        <v>5037</v>
      </c>
      <c r="T43" s="1671" t="s">
        <v>9879</v>
      </c>
      <c r="U43" s="1671" t="s">
        <v>10045</v>
      </c>
      <c r="V43" s="1671" t="s">
        <v>2479</v>
      </c>
      <c r="W43" s="1672" t="s">
        <v>10046</v>
      </c>
      <c r="X43" s="1672" t="s">
        <v>6188</v>
      </c>
      <c r="Y43" s="1672" t="s">
        <v>7547</v>
      </c>
      <c r="Z43" s="1672" t="s">
        <v>10047</v>
      </c>
      <c r="AA43" s="1672" t="s">
        <v>10048</v>
      </c>
      <c r="AB43" s="1672" t="s">
        <v>2643</v>
      </c>
      <c r="AC43" s="1672" t="s">
        <v>3113</v>
      </c>
      <c r="AD43" s="1669" t="s">
        <v>10049</v>
      </c>
      <c r="AE43" s="1669" t="s">
        <v>6319</v>
      </c>
      <c r="AF43" s="1673" t="s">
        <v>9315</v>
      </c>
      <c r="AG43" s="1673" t="s">
        <v>10050</v>
      </c>
      <c r="AH43" s="1673" t="s">
        <v>2256</v>
      </c>
      <c r="AI43" s="1673" t="s">
        <v>10051</v>
      </c>
      <c r="AJ43" s="1673" t="s">
        <v>10052</v>
      </c>
      <c r="AK43" s="1673" t="s">
        <v>10053</v>
      </c>
      <c r="AL43" s="1673" t="s">
        <v>5494</v>
      </c>
      <c r="AM43" s="1644" t="s">
        <v>9905</v>
      </c>
      <c r="AN43" s="1644" t="s">
        <v>5494</v>
      </c>
      <c r="AO43" s="1644" t="s">
        <v>2303</v>
      </c>
      <c r="AP43" s="1644" t="s">
        <v>10054</v>
      </c>
      <c r="AQ43" s="1644" t="s">
        <v>10055</v>
      </c>
      <c r="AR43" s="1644" t="s">
        <v>4698</v>
      </c>
      <c r="AS43" s="1644" t="s">
        <v>4402</v>
      </c>
      <c r="AT43" s="1670" t="s">
        <v>10056</v>
      </c>
      <c r="AU43" s="1667" t="s">
        <v>10057</v>
      </c>
      <c r="AV43" s="1474" t="str">
        <f t="shared" si="1"/>
        <v>2:54</v>
      </c>
      <c r="AW43" s="1668"/>
    </row>
    <row r="44">
      <c r="A44" s="1617" t="s">
        <v>2823</v>
      </c>
      <c r="B44" s="1615" t="s">
        <v>9164</v>
      </c>
      <c r="C44" s="1556">
        <v>0.050826388888888886</v>
      </c>
      <c r="D44" s="1586" t="s">
        <v>10058</v>
      </c>
      <c r="E44" s="1586" t="s">
        <v>6865</v>
      </c>
      <c r="F44" s="1640" t="s">
        <v>10059</v>
      </c>
      <c r="G44" s="1586" t="s">
        <v>10060</v>
      </c>
      <c r="H44" s="1586" t="s">
        <v>6594</v>
      </c>
      <c r="I44" s="1586" t="s">
        <v>1292</v>
      </c>
      <c r="J44" s="1586" t="s">
        <v>10061</v>
      </c>
      <c r="K44" s="1586" t="s">
        <v>3975</v>
      </c>
      <c r="L44" s="1586" t="s">
        <v>5937</v>
      </c>
      <c r="M44" s="1586" t="s">
        <v>10062</v>
      </c>
      <c r="N44" s="1586" t="s">
        <v>6741</v>
      </c>
      <c r="O44" s="1586" t="s">
        <v>10063</v>
      </c>
      <c r="P44" s="1586" t="s">
        <v>9648</v>
      </c>
      <c r="Q44" s="1586" t="s">
        <v>10064</v>
      </c>
      <c r="R44" s="1586" t="s">
        <v>10065</v>
      </c>
      <c r="S44" s="1586" t="s">
        <v>10066</v>
      </c>
      <c r="T44" s="1586" t="s">
        <v>1707</v>
      </c>
      <c r="U44" s="1586" t="s">
        <v>10067</v>
      </c>
      <c r="V44" s="1586" t="s">
        <v>8341</v>
      </c>
      <c r="W44" s="1586" t="s">
        <v>5554</v>
      </c>
      <c r="X44" s="1586" t="s">
        <v>10068</v>
      </c>
      <c r="Y44" s="1586" t="s">
        <v>8244</v>
      </c>
      <c r="Z44" s="1586" t="s">
        <v>10069</v>
      </c>
      <c r="AA44" s="1642" t="s">
        <v>10070</v>
      </c>
      <c r="AB44" s="1586" t="s">
        <v>1906</v>
      </c>
      <c r="AC44" s="1586" t="s">
        <v>7238</v>
      </c>
      <c r="AD44" s="1586" t="s">
        <v>10071</v>
      </c>
      <c r="AE44" s="1586" t="s">
        <v>4975</v>
      </c>
      <c r="AF44" s="1586" t="s">
        <v>10072</v>
      </c>
      <c r="AG44" s="1586" t="s">
        <v>1177</v>
      </c>
      <c r="AH44" s="1586" t="s">
        <v>3899</v>
      </c>
      <c r="AI44" s="1586" t="s">
        <v>10073</v>
      </c>
      <c r="AJ44" s="1586" t="s">
        <v>10074</v>
      </c>
      <c r="AK44" s="1586" t="s">
        <v>9982</v>
      </c>
      <c r="AL44" s="1586" t="s">
        <v>4364</v>
      </c>
      <c r="AM44" s="1586" t="s">
        <v>9982</v>
      </c>
      <c r="AN44" s="1586" t="s">
        <v>9241</v>
      </c>
      <c r="AO44" s="1586" t="s">
        <v>6970</v>
      </c>
      <c r="AP44" s="1586" t="s">
        <v>10075</v>
      </c>
      <c r="AQ44" s="1586" t="s">
        <v>10076</v>
      </c>
      <c r="AR44" s="1586" t="s">
        <v>5185</v>
      </c>
      <c r="AS44" s="1586" t="s">
        <v>6155</v>
      </c>
      <c r="AT44" s="1586" t="s">
        <v>10077</v>
      </c>
      <c r="AU44" s="1586" t="s">
        <v>10078</v>
      </c>
      <c r="AV44" s="1474" t="str">
        <f t="shared" si="1"/>
        <v>2:25</v>
      </c>
      <c r="AW44" s="1649"/>
    </row>
    <row r="45" ht="15.75" customHeight="1">
      <c r="A45" s="1617" t="s">
        <v>4652</v>
      </c>
      <c r="B45" s="1555" t="s">
        <v>9164</v>
      </c>
      <c r="C45" s="1691">
        <v>0.050868055555555555</v>
      </c>
      <c r="D45" s="998" t="s">
        <v>10079</v>
      </c>
      <c r="E45" s="1474" t="s">
        <v>7215</v>
      </c>
      <c r="F45" s="1474" t="s">
        <v>10080</v>
      </c>
      <c r="G45" s="1474" t="s">
        <v>10081</v>
      </c>
      <c r="H45" s="1474" t="s">
        <v>9267</v>
      </c>
      <c r="I45" s="1474" t="s">
        <v>1292</v>
      </c>
      <c r="J45" s="1474" t="s">
        <v>4848</v>
      </c>
      <c r="K45" s="1474" t="s">
        <v>9656</v>
      </c>
      <c r="L45" s="1474" t="s">
        <v>9515</v>
      </c>
      <c r="M45" s="1474" t="s">
        <v>5454</v>
      </c>
      <c r="N45" s="1474" t="s">
        <v>8678</v>
      </c>
      <c r="O45" s="1474" t="s">
        <v>10082</v>
      </c>
      <c r="P45" s="1474" t="s">
        <v>4300</v>
      </c>
      <c r="Q45" s="1474" t="s">
        <v>10083</v>
      </c>
      <c r="R45" s="1474" t="s">
        <v>6921</v>
      </c>
      <c r="S45" s="1474" t="s">
        <v>9472</v>
      </c>
      <c r="T45" s="1474" t="s">
        <v>4620</v>
      </c>
      <c r="U45" s="1474" t="s">
        <v>10084</v>
      </c>
      <c r="V45" s="1474" t="s">
        <v>9695</v>
      </c>
      <c r="W45" s="1474" t="s">
        <v>10085</v>
      </c>
      <c r="X45" s="1474" t="s">
        <v>9700</v>
      </c>
      <c r="Y45" s="1474" t="s">
        <v>3635</v>
      </c>
      <c r="Z45" s="1474" t="s">
        <v>10086</v>
      </c>
      <c r="AA45" s="1474" t="s">
        <v>10087</v>
      </c>
      <c r="AB45" s="1474" t="s">
        <v>194</v>
      </c>
      <c r="AC45" s="1474" t="s">
        <v>3015</v>
      </c>
      <c r="AD45" s="1474" t="s">
        <v>10088</v>
      </c>
      <c r="AE45" s="1474" t="s">
        <v>620</v>
      </c>
      <c r="AF45" s="1474" t="s">
        <v>10089</v>
      </c>
      <c r="AG45" s="1474" t="s">
        <v>6054</v>
      </c>
      <c r="AH45" s="1474" t="s">
        <v>9268</v>
      </c>
      <c r="AI45" s="1474" t="s">
        <v>6995</v>
      </c>
      <c r="AJ45" s="1474" t="s">
        <v>10090</v>
      </c>
      <c r="AK45" s="1474" t="s">
        <v>5482</v>
      </c>
      <c r="AL45" s="1474" t="s">
        <v>3207</v>
      </c>
      <c r="AM45" s="1474" t="s">
        <v>10091</v>
      </c>
      <c r="AN45" s="1474" t="s">
        <v>3342</v>
      </c>
      <c r="AO45" s="1474" t="s">
        <v>9642</v>
      </c>
      <c r="AP45" s="1474" t="s">
        <v>10092</v>
      </c>
      <c r="AQ45" s="1474" t="s">
        <v>10093</v>
      </c>
      <c r="AR45" s="1474" t="s">
        <v>9506</v>
      </c>
      <c r="AS45" s="1474" t="s">
        <v>5148</v>
      </c>
      <c r="AT45" s="1474" t="s">
        <v>10094</v>
      </c>
      <c r="AU45" s="1474" t="s">
        <v>10095</v>
      </c>
      <c r="AV45" s="1474" t="str">
        <f t="shared" si="1"/>
        <v>2:44</v>
      </c>
      <c r="AW45" s="1597"/>
    </row>
    <row r="46" ht="15.75" customHeight="1">
      <c r="A46" s="1617" t="s">
        <v>1876</v>
      </c>
      <c r="B46" s="1698" t="s">
        <v>9217</v>
      </c>
      <c r="C46" s="1699">
        <v>0.05092592592592592</v>
      </c>
      <c r="D46" s="1700" t="s">
        <v>9218</v>
      </c>
      <c r="E46" s="1701" t="s">
        <v>9219</v>
      </c>
      <c r="F46" s="1700" t="s">
        <v>9220</v>
      </c>
      <c r="G46" s="1586" t="s">
        <v>10096</v>
      </c>
      <c r="H46" s="1700" t="s">
        <v>9222</v>
      </c>
      <c r="I46" s="1474" t="s">
        <v>1409</v>
      </c>
      <c r="J46" s="1669" t="s">
        <v>10097</v>
      </c>
      <c r="K46" s="1474" t="s">
        <v>9876</v>
      </c>
      <c r="L46" s="1669" t="s">
        <v>2329</v>
      </c>
      <c r="M46" s="1474" t="s">
        <v>2713</v>
      </c>
      <c r="N46" s="1700" t="s">
        <v>9183</v>
      </c>
      <c r="O46" s="1474" t="s">
        <v>10098</v>
      </c>
      <c r="P46" s="1669" t="s">
        <v>639</v>
      </c>
      <c r="Q46" s="1701" t="s">
        <v>9227</v>
      </c>
      <c r="R46" s="1700" t="s">
        <v>9228</v>
      </c>
      <c r="S46" s="1474" t="s">
        <v>1163</v>
      </c>
      <c r="T46" s="1669" t="s">
        <v>7290</v>
      </c>
      <c r="U46" s="1701" t="s">
        <v>9230</v>
      </c>
      <c r="V46" s="1700" t="s">
        <v>4295</v>
      </c>
      <c r="W46" s="1474" t="s">
        <v>10099</v>
      </c>
      <c r="X46" s="1700" t="s">
        <v>9232</v>
      </c>
      <c r="Y46" s="1474" t="s">
        <v>5722</v>
      </c>
      <c r="Z46" s="1640" t="s">
        <v>10100</v>
      </c>
      <c r="AA46" s="1474" t="s">
        <v>2305</v>
      </c>
      <c r="AB46" s="1669" t="s">
        <v>9545</v>
      </c>
      <c r="AC46" s="1586" t="s">
        <v>10101</v>
      </c>
      <c r="AD46" s="1669" t="s">
        <v>10102</v>
      </c>
      <c r="AE46" s="1586" t="s">
        <v>10103</v>
      </c>
      <c r="AF46" s="1669" t="s">
        <v>10104</v>
      </c>
      <c r="AG46" s="1474" t="s">
        <v>8149</v>
      </c>
      <c r="AH46" s="1640" t="s">
        <v>9993</v>
      </c>
      <c r="AI46" s="1701" t="s">
        <v>9237</v>
      </c>
      <c r="AJ46" s="1669" t="s">
        <v>10105</v>
      </c>
      <c r="AK46" s="1474" t="s">
        <v>5960</v>
      </c>
      <c r="AL46" s="1700" t="s">
        <v>9239</v>
      </c>
      <c r="AM46" s="1474" t="s">
        <v>9607</v>
      </c>
      <c r="AN46" s="1669" t="s">
        <v>3919</v>
      </c>
      <c r="AO46" s="1586" t="s">
        <v>4891</v>
      </c>
      <c r="AP46" s="1640" t="s">
        <v>10106</v>
      </c>
      <c r="AQ46" s="1586" t="s">
        <v>10107</v>
      </c>
      <c r="AR46" s="1640" t="s">
        <v>10108</v>
      </c>
      <c r="AS46" s="1474" t="s">
        <v>973</v>
      </c>
      <c r="AT46" s="1700" t="s">
        <v>9245</v>
      </c>
      <c r="AU46" s="1701" t="s">
        <v>9246</v>
      </c>
      <c r="AV46" s="1474" t="str">
        <f t="shared" si="1"/>
        <v>2:24</v>
      </c>
      <c r="AW46" s="1616"/>
    </row>
    <row r="47">
      <c r="A47" s="1617" t="s">
        <v>2582</v>
      </c>
      <c r="B47" s="1618" t="s">
        <v>9191</v>
      </c>
      <c r="C47" s="1556">
        <v>0.05092592592592592</v>
      </c>
      <c r="D47" s="998" t="s">
        <v>10109</v>
      </c>
      <c r="E47" s="1640" t="s">
        <v>10110</v>
      </c>
      <c r="F47" s="1640" t="s">
        <v>10111</v>
      </c>
      <c r="G47" s="1640" t="s">
        <v>10112</v>
      </c>
      <c r="H47" s="862" t="s">
        <v>10113</v>
      </c>
      <c r="I47" s="862" t="s">
        <v>2959</v>
      </c>
      <c r="J47" s="1623" t="s">
        <v>8008</v>
      </c>
      <c r="K47" s="1623" t="s">
        <v>3593</v>
      </c>
      <c r="L47" s="1623" t="s">
        <v>5874</v>
      </c>
      <c r="M47" s="1623" t="s">
        <v>3131</v>
      </c>
      <c r="N47" s="1623" t="s">
        <v>874</v>
      </c>
      <c r="O47" s="1623" t="s">
        <v>10114</v>
      </c>
      <c r="P47" s="1623" t="s">
        <v>774</v>
      </c>
      <c r="Q47" s="1626" t="s">
        <v>7272</v>
      </c>
      <c r="R47" s="1626" t="s">
        <v>6942</v>
      </c>
      <c r="S47" s="1626" t="s">
        <v>7603</v>
      </c>
      <c r="T47" s="1626" t="s">
        <v>10115</v>
      </c>
      <c r="U47" s="1702" t="s">
        <v>7402</v>
      </c>
      <c r="V47" s="1626" t="s">
        <v>10116</v>
      </c>
      <c r="W47" s="1642" t="s">
        <v>6890</v>
      </c>
      <c r="X47" s="1642" t="s">
        <v>10117</v>
      </c>
      <c r="Y47" s="1642" t="s">
        <v>10118</v>
      </c>
      <c r="Z47" s="1642" t="s">
        <v>7223</v>
      </c>
      <c r="AA47" s="1642" t="s">
        <v>1934</v>
      </c>
      <c r="AB47" s="1642" t="s">
        <v>10119</v>
      </c>
      <c r="AC47" s="1642" t="s">
        <v>2448</v>
      </c>
      <c r="AD47" s="1640" t="s">
        <v>10120</v>
      </c>
      <c r="AE47" s="1640" t="s">
        <v>5331</v>
      </c>
      <c r="AF47" s="1643" t="s">
        <v>10121</v>
      </c>
      <c r="AG47" s="1643" t="s">
        <v>5277</v>
      </c>
      <c r="AH47" s="1643" t="s">
        <v>4475</v>
      </c>
      <c r="AI47" s="1643" t="s">
        <v>10122</v>
      </c>
      <c r="AJ47" s="1632" t="s">
        <v>9210</v>
      </c>
      <c r="AK47" s="1643" t="s">
        <v>194</v>
      </c>
      <c r="AL47" s="1643" t="s">
        <v>5961</v>
      </c>
      <c r="AM47" s="1645" t="s">
        <v>4078</v>
      </c>
      <c r="AN47" s="1645" t="s">
        <v>3734</v>
      </c>
      <c r="AO47" s="1645" t="s">
        <v>2401</v>
      </c>
      <c r="AP47" s="1645" t="s">
        <v>10123</v>
      </c>
      <c r="AQ47" s="1645" t="s">
        <v>4316</v>
      </c>
      <c r="AR47" s="1645" t="s">
        <v>7261</v>
      </c>
      <c r="AS47" s="1645" t="s">
        <v>6614</v>
      </c>
      <c r="AT47" s="1623" t="s">
        <v>10124</v>
      </c>
      <c r="AU47" s="1083" t="s">
        <v>10125</v>
      </c>
      <c r="AV47" s="1474" t="str">
        <f t="shared" si="1"/>
        <v>4:25</v>
      </c>
      <c r="AW47" s="1614"/>
    </row>
    <row r="48" ht="15.75" customHeight="1">
      <c r="A48" s="1554" t="s">
        <v>4505</v>
      </c>
      <c r="B48" s="1650" t="s">
        <v>9191</v>
      </c>
      <c r="C48" s="1556">
        <v>0.05100810185185185</v>
      </c>
      <c r="D48" s="998" t="s">
        <v>10126</v>
      </c>
      <c r="E48" s="1640" t="s">
        <v>10127</v>
      </c>
      <c r="F48" s="1640" t="s">
        <v>10128</v>
      </c>
      <c r="G48" s="1669" t="s">
        <v>10129</v>
      </c>
      <c r="H48" s="862" t="s">
        <v>10130</v>
      </c>
      <c r="I48" s="862" t="s">
        <v>1409</v>
      </c>
      <c r="J48" s="1623" t="s">
        <v>5185</v>
      </c>
      <c r="K48" s="1623" t="s">
        <v>9874</v>
      </c>
      <c r="L48" s="1623" t="s">
        <v>4418</v>
      </c>
      <c r="M48" s="1623" t="s">
        <v>1452</v>
      </c>
      <c r="N48" s="1623" t="s">
        <v>9180</v>
      </c>
      <c r="O48" s="1623" t="s">
        <v>9374</v>
      </c>
      <c r="P48" s="1623" t="s">
        <v>10131</v>
      </c>
      <c r="Q48" s="1626" t="s">
        <v>10132</v>
      </c>
      <c r="R48" s="1626" t="s">
        <v>3439</v>
      </c>
      <c r="S48" s="1626" t="s">
        <v>7194</v>
      </c>
      <c r="T48" s="1626" t="s">
        <v>10133</v>
      </c>
      <c r="U48" s="1626" t="s">
        <v>10134</v>
      </c>
      <c r="V48" s="1671" t="s">
        <v>1363</v>
      </c>
      <c r="W48" s="1642" t="s">
        <v>10135</v>
      </c>
      <c r="X48" s="1642" t="s">
        <v>9925</v>
      </c>
      <c r="Y48" s="1642" t="s">
        <v>4020</v>
      </c>
      <c r="Z48" s="1642" t="s">
        <v>7151</v>
      </c>
      <c r="AA48" s="1642" t="s">
        <v>1092</v>
      </c>
      <c r="AB48" s="1642" t="s">
        <v>3947</v>
      </c>
      <c r="AC48" s="1672" t="s">
        <v>7798</v>
      </c>
      <c r="AD48" s="1640" t="s">
        <v>10136</v>
      </c>
      <c r="AE48" s="1669" t="s">
        <v>2162</v>
      </c>
      <c r="AF48" s="1643" t="s">
        <v>10137</v>
      </c>
      <c r="AG48" s="1643" t="s">
        <v>10138</v>
      </c>
      <c r="AH48" s="1643" t="s">
        <v>10139</v>
      </c>
      <c r="AI48" s="1643" t="s">
        <v>9589</v>
      </c>
      <c r="AJ48" s="1643" t="s">
        <v>10140</v>
      </c>
      <c r="AK48" s="1643" t="s">
        <v>10141</v>
      </c>
      <c r="AL48" s="1643" t="s">
        <v>4539</v>
      </c>
      <c r="AM48" s="1645" t="s">
        <v>10142</v>
      </c>
      <c r="AN48" s="1645" t="s">
        <v>3414</v>
      </c>
      <c r="AO48" s="1645" t="s">
        <v>10143</v>
      </c>
      <c r="AP48" s="1645" t="s">
        <v>10144</v>
      </c>
      <c r="AQ48" s="1645" t="s">
        <v>4316</v>
      </c>
      <c r="AR48" s="1645" t="s">
        <v>10145</v>
      </c>
      <c r="AS48" s="1645" t="s">
        <v>4561</v>
      </c>
      <c r="AT48" s="1623" t="s">
        <v>10146</v>
      </c>
      <c r="AU48" s="1607" t="s">
        <v>10147</v>
      </c>
      <c r="AV48" s="1474" t="str">
        <f t="shared" si="1"/>
        <v>3:17</v>
      </c>
      <c r="AW48" s="1608" t="s">
        <v>10148</v>
      </c>
    </row>
    <row r="49" ht="15.75" customHeight="1">
      <c r="A49" s="1617" t="s">
        <v>1052</v>
      </c>
      <c r="B49" s="1605" t="s">
        <v>9191</v>
      </c>
      <c r="C49" s="1556">
        <v>0.05112268518518519</v>
      </c>
      <c r="D49" s="1640" t="s">
        <v>10149</v>
      </c>
      <c r="E49" s="1640" t="s">
        <v>4664</v>
      </c>
      <c r="F49" s="1640" t="s">
        <v>10150</v>
      </c>
      <c r="G49" s="1640" t="s">
        <v>10151</v>
      </c>
      <c r="H49" s="998" t="s">
        <v>10152</v>
      </c>
      <c r="I49" s="862" t="s">
        <v>5423</v>
      </c>
      <c r="J49" s="1623" t="s">
        <v>9373</v>
      </c>
      <c r="K49" s="1623" t="s">
        <v>10153</v>
      </c>
      <c r="L49" s="1562" t="s">
        <v>3651</v>
      </c>
      <c r="M49" s="1623" t="s">
        <v>4459</v>
      </c>
      <c r="N49" s="1623" t="s">
        <v>9905</v>
      </c>
      <c r="O49" s="1623" t="s">
        <v>10154</v>
      </c>
      <c r="P49" s="1623" t="s">
        <v>1523</v>
      </c>
      <c r="Q49" s="1626" t="s">
        <v>10155</v>
      </c>
      <c r="R49" s="1703" t="s">
        <v>10156</v>
      </c>
      <c r="S49" s="1626" t="s">
        <v>416</v>
      </c>
      <c r="T49" s="1626" t="s">
        <v>10157</v>
      </c>
      <c r="U49" s="1626" t="s">
        <v>10158</v>
      </c>
      <c r="V49" s="1626" t="s">
        <v>10159</v>
      </c>
      <c r="W49" s="1642" t="s">
        <v>10160</v>
      </c>
      <c r="X49" s="1642" t="s">
        <v>10161</v>
      </c>
      <c r="Y49" s="1660" t="s">
        <v>973</v>
      </c>
      <c r="Z49" s="1642" t="s">
        <v>10162</v>
      </c>
      <c r="AA49" s="1586" t="s">
        <v>10163</v>
      </c>
      <c r="AB49" s="1642" t="s">
        <v>2844</v>
      </c>
      <c r="AC49" s="1642" t="s">
        <v>5091</v>
      </c>
      <c r="AD49" s="1640" t="s">
        <v>10164</v>
      </c>
      <c r="AE49" s="1640" t="s">
        <v>5589</v>
      </c>
      <c r="AF49" s="1643" t="s">
        <v>9392</v>
      </c>
      <c r="AG49" s="1643" t="s">
        <v>274</v>
      </c>
      <c r="AH49" s="1643" t="s">
        <v>464</v>
      </c>
      <c r="AI49" s="1643" t="s">
        <v>10165</v>
      </c>
      <c r="AJ49" s="1643" t="s">
        <v>10166</v>
      </c>
      <c r="AK49" s="1643" t="s">
        <v>4153</v>
      </c>
      <c r="AL49" s="1643" t="s">
        <v>10167</v>
      </c>
      <c r="AM49" s="1645" t="s">
        <v>10168</v>
      </c>
      <c r="AN49" s="1704" t="s">
        <v>3219</v>
      </c>
      <c r="AO49" s="1645" t="s">
        <v>8295</v>
      </c>
      <c r="AP49" s="1645" t="s">
        <v>10169</v>
      </c>
      <c r="AQ49" s="1645" t="s">
        <v>10170</v>
      </c>
      <c r="AR49" s="1645" t="s">
        <v>10171</v>
      </c>
      <c r="AS49" s="1645" t="s">
        <v>9121</v>
      </c>
      <c r="AT49" s="1623" t="s">
        <v>10172</v>
      </c>
      <c r="AU49" s="1607" t="s">
        <v>10173</v>
      </c>
      <c r="AV49" s="1474" t="str">
        <f t="shared" si="1"/>
        <v>4:57</v>
      </c>
      <c r="AW49" s="1668"/>
    </row>
    <row r="50">
      <c r="A50" s="1617" t="s">
        <v>2374</v>
      </c>
      <c r="B50" s="1615" t="s">
        <v>9191</v>
      </c>
      <c r="C50" s="1556">
        <v>0.05112268518518519</v>
      </c>
      <c r="D50" s="1586" t="s">
        <v>10174</v>
      </c>
      <c r="E50" s="1586" t="s">
        <v>4525</v>
      </c>
      <c r="F50" s="1586" t="s">
        <v>6167</v>
      </c>
      <c r="G50" s="1684" t="s">
        <v>9194</v>
      </c>
      <c r="H50" s="998" t="s">
        <v>10175</v>
      </c>
      <c r="I50" s="1586" t="s">
        <v>767</v>
      </c>
      <c r="J50" s="1586" t="s">
        <v>7607</v>
      </c>
      <c r="K50" s="1586" t="s">
        <v>2502</v>
      </c>
      <c r="L50" s="1586" t="s">
        <v>1363</v>
      </c>
      <c r="M50" s="1586" t="s">
        <v>10176</v>
      </c>
      <c r="N50" s="1586" t="s">
        <v>9276</v>
      </c>
      <c r="O50" s="1586" t="s">
        <v>10177</v>
      </c>
      <c r="P50" s="1586" t="s">
        <v>3635</v>
      </c>
      <c r="Q50" s="1586" t="s">
        <v>10178</v>
      </c>
      <c r="R50" s="1586" t="s">
        <v>10179</v>
      </c>
      <c r="S50" s="1586" t="s">
        <v>3782</v>
      </c>
      <c r="T50" s="1586" t="s">
        <v>7491</v>
      </c>
      <c r="U50" s="1626" t="s">
        <v>9613</v>
      </c>
      <c r="V50" s="1586" t="s">
        <v>10180</v>
      </c>
      <c r="W50" s="1586" t="s">
        <v>10181</v>
      </c>
      <c r="X50" s="1586" t="s">
        <v>1484</v>
      </c>
      <c r="Y50" s="1586" t="s">
        <v>8250</v>
      </c>
      <c r="Z50" s="1586" t="s">
        <v>9431</v>
      </c>
      <c r="AA50" s="1642" t="s">
        <v>615</v>
      </c>
      <c r="AB50" s="1586" t="s">
        <v>10182</v>
      </c>
      <c r="AC50" s="1586" t="s">
        <v>5331</v>
      </c>
      <c r="AD50" s="1586" t="s">
        <v>10183</v>
      </c>
      <c r="AE50" s="1586" t="s">
        <v>3635</v>
      </c>
      <c r="AF50" s="1586" t="s">
        <v>10184</v>
      </c>
      <c r="AG50" s="1586" t="s">
        <v>10185</v>
      </c>
      <c r="AH50" s="1586" t="s">
        <v>2526</v>
      </c>
      <c r="AI50" s="1586" t="s">
        <v>6200</v>
      </c>
      <c r="AJ50" s="1586" t="s">
        <v>10186</v>
      </c>
      <c r="AK50" s="1586" t="s">
        <v>9702</v>
      </c>
      <c r="AL50" s="1586" t="s">
        <v>10187</v>
      </c>
      <c r="AM50" s="1586" t="s">
        <v>2708</v>
      </c>
      <c r="AN50" s="1586" t="s">
        <v>10188</v>
      </c>
      <c r="AO50" s="1586" t="s">
        <v>7420</v>
      </c>
      <c r="AP50" s="1586" t="s">
        <v>10189</v>
      </c>
      <c r="AQ50" s="1586" t="s">
        <v>10190</v>
      </c>
      <c r="AR50" s="1586" t="s">
        <v>2255</v>
      </c>
      <c r="AS50" s="1586" t="s">
        <v>8244</v>
      </c>
      <c r="AT50" s="1586" t="s">
        <v>10191</v>
      </c>
      <c r="AU50" s="1586" t="s">
        <v>10192</v>
      </c>
      <c r="AV50" s="1474" t="str">
        <f t="shared" si="1"/>
        <v>3:15</v>
      </c>
      <c r="AW50" s="1097"/>
    </row>
    <row r="51">
      <c r="A51" s="1617" t="s">
        <v>2714</v>
      </c>
      <c r="B51" s="1615" t="s">
        <v>9164</v>
      </c>
      <c r="C51" s="1556">
        <v>0.051145833333333335</v>
      </c>
      <c r="D51" s="998" t="s">
        <v>10193</v>
      </c>
      <c r="E51" s="793" t="s">
        <v>4138</v>
      </c>
      <c r="F51" s="793" t="s">
        <v>1682</v>
      </c>
      <c r="G51" s="793" t="s">
        <v>10194</v>
      </c>
      <c r="H51" s="998" t="s">
        <v>10195</v>
      </c>
      <c r="I51" s="793" t="s">
        <v>10101</v>
      </c>
      <c r="J51" s="793" t="s">
        <v>10196</v>
      </c>
      <c r="K51" s="793" t="s">
        <v>10196</v>
      </c>
      <c r="L51" s="793" t="s">
        <v>4142</v>
      </c>
      <c r="M51" s="793" t="s">
        <v>3464</v>
      </c>
      <c r="N51" s="793" t="s">
        <v>10197</v>
      </c>
      <c r="O51" s="793" t="s">
        <v>10198</v>
      </c>
      <c r="P51" s="793" t="s">
        <v>9206</v>
      </c>
      <c r="Q51" s="793" t="s">
        <v>10199</v>
      </c>
      <c r="R51" s="793" t="s">
        <v>10200</v>
      </c>
      <c r="S51" s="1558" t="s">
        <v>6833</v>
      </c>
      <c r="T51" s="793" t="s">
        <v>10201</v>
      </c>
      <c r="U51" s="793" t="s">
        <v>230</v>
      </c>
      <c r="V51" s="793" t="s">
        <v>10202</v>
      </c>
      <c r="W51" s="793" t="s">
        <v>10203</v>
      </c>
      <c r="X51" s="793" t="s">
        <v>10204</v>
      </c>
      <c r="Y51" s="793" t="s">
        <v>598</v>
      </c>
      <c r="Z51" s="793" t="s">
        <v>10205</v>
      </c>
      <c r="AA51" s="793" t="s">
        <v>9938</v>
      </c>
      <c r="AB51" s="793" t="s">
        <v>5931</v>
      </c>
      <c r="AC51" s="793" t="s">
        <v>1236</v>
      </c>
      <c r="AD51" s="793" t="s">
        <v>10206</v>
      </c>
      <c r="AE51" s="793" t="s">
        <v>9648</v>
      </c>
      <c r="AF51" s="793" t="s">
        <v>10207</v>
      </c>
      <c r="AG51" s="793" t="s">
        <v>10208</v>
      </c>
      <c r="AH51" s="793" t="s">
        <v>3762</v>
      </c>
      <c r="AI51" s="793" t="s">
        <v>10209</v>
      </c>
      <c r="AJ51" s="793" t="s">
        <v>10210</v>
      </c>
      <c r="AK51" s="793" t="s">
        <v>10211</v>
      </c>
      <c r="AL51" s="793" t="s">
        <v>4984</v>
      </c>
      <c r="AM51" s="793" t="s">
        <v>3618</v>
      </c>
      <c r="AN51" s="793" t="s">
        <v>5661</v>
      </c>
      <c r="AO51" s="793" t="s">
        <v>5185</v>
      </c>
      <c r="AP51" s="793" t="s">
        <v>10212</v>
      </c>
      <c r="AQ51" s="793" t="s">
        <v>3371</v>
      </c>
      <c r="AR51" s="793" t="s">
        <v>10213</v>
      </c>
      <c r="AS51" s="793" t="s">
        <v>1397</v>
      </c>
      <c r="AT51" s="793" t="s">
        <v>702</v>
      </c>
      <c r="AU51" s="793" t="s">
        <v>10214</v>
      </c>
      <c r="AV51" s="1474" t="str">
        <f t="shared" si="1"/>
        <v>3:47</v>
      </c>
      <c r="AW51" s="1705" t="s">
        <v>10215</v>
      </c>
    </row>
    <row r="52" ht="15.75" customHeight="1">
      <c r="A52" s="1554" t="s">
        <v>10216</v>
      </c>
      <c r="B52" s="1706" t="s">
        <v>9164</v>
      </c>
      <c r="C52" s="1556">
        <v>0.051180555555555556</v>
      </c>
      <c r="D52" s="998" t="s">
        <v>10217</v>
      </c>
      <c r="E52" s="1586" t="s">
        <v>10218</v>
      </c>
      <c r="F52" s="1586" t="s">
        <v>4156</v>
      </c>
      <c r="G52" s="1586" t="s">
        <v>10219</v>
      </c>
      <c r="H52" s="1586" t="s">
        <v>10220</v>
      </c>
      <c r="I52" s="1586" t="s">
        <v>161</v>
      </c>
      <c r="J52" s="1586" t="s">
        <v>887</v>
      </c>
      <c r="K52" s="1586" t="s">
        <v>7133</v>
      </c>
      <c r="L52" s="1586" t="s">
        <v>9381</v>
      </c>
      <c r="M52" s="1586" t="s">
        <v>5951</v>
      </c>
      <c r="N52" s="1586" t="s">
        <v>10221</v>
      </c>
      <c r="O52" s="1586" t="s">
        <v>10222</v>
      </c>
      <c r="P52" s="1586" t="s">
        <v>5620</v>
      </c>
      <c r="Q52" s="1586" t="s">
        <v>6727</v>
      </c>
      <c r="R52" s="1586" t="s">
        <v>10223</v>
      </c>
      <c r="S52" s="1586" t="s">
        <v>9052</v>
      </c>
      <c r="T52" s="1474" t="s">
        <v>4199</v>
      </c>
      <c r="U52" s="1474" t="s">
        <v>10224</v>
      </c>
      <c r="V52" s="1586" t="s">
        <v>1963</v>
      </c>
      <c r="W52" s="1586" t="s">
        <v>10225</v>
      </c>
      <c r="X52" s="1586" t="s">
        <v>10226</v>
      </c>
      <c r="Y52" s="1586" t="s">
        <v>9648</v>
      </c>
      <c r="Z52" s="1586" t="s">
        <v>10227</v>
      </c>
      <c r="AA52" s="1586" t="s">
        <v>10228</v>
      </c>
      <c r="AB52" s="1586" t="s">
        <v>10229</v>
      </c>
      <c r="AC52" s="1586" t="s">
        <v>849</v>
      </c>
      <c r="AD52" s="1586" t="s">
        <v>10136</v>
      </c>
      <c r="AE52" s="1586" t="s">
        <v>3216</v>
      </c>
      <c r="AF52" s="1474" t="s">
        <v>10230</v>
      </c>
      <c r="AG52" s="1586" t="s">
        <v>387</v>
      </c>
      <c r="AH52" s="1586" t="s">
        <v>10231</v>
      </c>
      <c r="AI52" s="1586" t="s">
        <v>10232</v>
      </c>
      <c r="AJ52" s="1586" t="s">
        <v>10233</v>
      </c>
      <c r="AK52" s="1586" t="s">
        <v>10234</v>
      </c>
      <c r="AL52" s="1586" t="s">
        <v>4858</v>
      </c>
      <c r="AM52" s="1586" t="s">
        <v>6967</v>
      </c>
      <c r="AN52" s="1586" t="s">
        <v>9837</v>
      </c>
      <c r="AO52" s="1595" t="str">
        <f>HYPERLINK("https://clips.twitch.tv/AltruisticEmpathicManateeDoritosChip","1:20.90")</f>
        <v>1:20.90</v>
      </c>
      <c r="AP52" s="1586" t="s">
        <v>10235</v>
      </c>
      <c r="AQ52" s="1586" t="s">
        <v>10236</v>
      </c>
      <c r="AR52" s="1586" t="s">
        <v>10237</v>
      </c>
      <c r="AS52" s="1586" t="s">
        <v>9270</v>
      </c>
      <c r="AT52" s="1586" t="s">
        <v>10238</v>
      </c>
      <c r="AU52" s="1586" t="s">
        <v>10239</v>
      </c>
      <c r="AV52" s="1474" t="str">
        <f t="shared" si="1"/>
        <v>2:40</v>
      </c>
      <c r="AW52" s="1649" t="s">
        <v>10240</v>
      </c>
    </row>
    <row r="53" ht="15.75" customHeight="1">
      <c r="A53" s="1617" t="s">
        <v>3750</v>
      </c>
      <c r="B53" s="1698" t="s">
        <v>9164</v>
      </c>
      <c r="C53" s="1707">
        <v>0.05123738425925926</v>
      </c>
      <c r="D53" s="1640" t="s">
        <v>10241</v>
      </c>
      <c r="E53" s="1640" t="s">
        <v>3910</v>
      </c>
      <c r="F53" s="1640" t="s">
        <v>10242</v>
      </c>
      <c r="G53" s="1640" t="s">
        <v>9666</v>
      </c>
      <c r="H53" s="862" t="s">
        <v>10243</v>
      </c>
      <c r="I53" s="862" t="s">
        <v>2559</v>
      </c>
      <c r="J53" s="1623" t="s">
        <v>9874</v>
      </c>
      <c r="K53" s="1623" t="s">
        <v>8283</v>
      </c>
      <c r="L53" s="1623" t="s">
        <v>10244</v>
      </c>
      <c r="M53" s="1623" t="s">
        <v>5572</v>
      </c>
      <c r="N53" s="1708" t="s">
        <v>1162</v>
      </c>
      <c r="O53" s="1623" t="s">
        <v>3457</v>
      </c>
      <c r="P53" s="1623" t="s">
        <v>9314</v>
      </c>
      <c r="Q53" s="1626" t="s">
        <v>10245</v>
      </c>
      <c r="R53" s="1626" t="s">
        <v>9832</v>
      </c>
      <c r="S53" s="1626" t="s">
        <v>10246</v>
      </c>
      <c r="T53" s="1626" t="s">
        <v>10247</v>
      </c>
      <c r="U53" s="1626" t="s">
        <v>10248</v>
      </c>
      <c r="V53" s="1626" t="s">
        <v>4226</v>
      </c>
      <c r="W53" s="1642" t="s">
        <v>10249</v>
      </c>
      <c r="X53" s="1642" t="s">
        <v>10250</v>
      </c>
      <c r="Y53" s="1642" t="s">
        <v>10251</v>
      </c>
      <c r="Z53" s="1642" t="s">
        <v>1352</v>
      </c>
      <c r="AA53" s="1642" t="s">
        <v>9589</v>
      </c>
      <c r="AB53" s="1642" t="s">
        <v>9976</v>
      </c>
      <c r="AC53" s="1642" t="s">
        <v>483</v>
      </c>
      <c r="AD53" s="1640" t="s">
        <v>10252</v>
      </c>
      <c r="AE53" s="1640" t="s">
        <v>5043</v>
      </c>
      <c r="AF53" s="1643" t="s">
        <v>10253</v>
      </c>
      <c r="AG53" s="1643" t="s">
        <v>10254</v>
      </c>
      <c r="AH53" s="1643" t="s">
        <v>10255</v>
      </c>
      <c r="AI53" s="1643" t="s">
        <v>312</v>
      </c>
      <c r="AJ53" s="1643" t="s">
        <v>10256</v>
      </c>
      <c r="AK53" s="1613" t="s">
        <v>9738</v>
      </c>
      <c r="AL53" s="1643" t="s">
        <v>9529</v>
      </c>
      <c r="AM53" s="1645" t="s">
        <v>10257</v>
      </c>
      <c r="AN53" s="1645" t="s">
        <v>571</v>
      </c>
      <c r="AO53" s="1645" t="s">
        <v>10258</v>
      </c>
      <c r="AP53" s="1645" t="s">
        <v>10259</v>
      </c>
      <c r="AQ53" s="998" t="s">
        <v>10260</v>
      </c>
      <c r="AR53" s="1709" t="s">
        <v>10261</v>
      </c>
      <c r="AS53" s="1645" t="s">
        <v>10262</v>
      </c>
      <c r="AT53" s="1623" t="s">
        <v>10263</v>
      </c>
      <c r="AU53" s="1607" t="s">
        <v>10264</v>
      </c>
      <c r="AV53" s="1474" t="str">
        <f t="shared" si="1"/>
        <v>4:25</v>
      </c>
      <c r="AW53" s="1608" t="s">
        <v>10265</v>
      </c>
    </row>
    <row r="54" ht="15.75" customHeight="1">
      <c r="A54" s="1617" t="s">
        <v>1721</v>
      </c>
      <c r="B54" s="1710" t="s">
        <v>9217</v>
      </c>
      <c r="C54" s="1691">
        <v>0.051319444444444445</v>
      </c>
      <c r="D54" s="998" t="s">
        <v>10266</v>
      </c>
      <c r="E54" s="1474" t="s">
        <v>10267</v>
      </c>
      <c r="F54" s="1474" t="s">
        <v>10268</v>
      </c>
      <c r="G54" s="1474" t="s">
        <v>10269</v>
      </c>
      <c r="H54" s="1474" t="s">
        <v>5104</v>
      </c>
      <c r="I54" s="1474" t="s">
        <v>6626</v>
      </c>
      <c r="J54" s="1474" t="s">
        <v>10270</v>
      </c>
      <c r="K54" s="1474" t="s">
        <v>9333</v>
      </c>
      <c r="L54" s="1474" t="s">
        <v>3900</v>
      </c>
      <c r="M54" s="1474" t="s">
        <v>10020</v>
      </c>
      <c r="N54" s="1474" t="s">
        <v>9816</v>
      </c>
      <c r="O54" s="1474" t="s">
        <v>10271</v>
      </c>
      <c r="P54" s="1711" t="s">
        <v>9226</v>
      </c>
      <c r="Q54" s="1474" t="s">
        <v>10272</v>
      </c>
      <c r="R54" s="1474" t="s">
        <v>5940</v>
      </c>
      <c r="S54" s="1474" t="s">
        <v>1160</v>
      </c>
      <c r="T54" s="1474" t="s">
        <v>10273</v>
      </c>
      <c r="U54" s="1474" t="s">
        <v>1075</v>
      </c>
      <c r="V54" s="1474" t="s">
        <v>452</v>
      </c>
      <c r="W54" s="1474" t="s">
        <v>10274</v>
      </c>
      <c r="X54" s="1474" t="s">
        <v>309</v>
      </c>
      <c r="Y54" s="1474" t="s">
        <v>10275</v>
      </c>
      <c r="Z54" s="1474" t="s">
        <v>6972</v>
      </c>
      <c r="AA54" s="1474" t="s">
        <v>10051</v>
      </c>
      <c r="AB54" s="1474" t="s">
        <v>4519</v>
      </c>
      <c r="AC54" s="1474" t="s">
        <v>6156</v>
      </c>
      <c r="AD54" s="1474" t="s">
        <v>10276</v>
      </c>
      <c r="AE54" s="1711" t="s">
        <v>5589</v>
      </c>
      <c r="AF54" s="1711" t="s">
        <v>2803</v>
      </c>
      <c r="AG54" s="1474" t="s">
        <v>4602</v>
      </c>
      <c r="AH54" s="1474" t="s">
        <v>10277</v>
      </c>
      <c r="AI54" s="1474" t="s">
        <v>10278</v>
      </c>
      <c r="AJ54" s="1474" t="s">
        <v>10279</v>
      </c>
      <c r="AK54" s="1474" t="s">
        <v>6108</v>
      </c>
      <c r="AL54" s="1474" t="s">
        <v>6339</v>
      </c>
      <c r="AM54" s="1711" t="s">
        <v>9240</v>
      </c>
      <c r="AN54" s="1586" t="s">
        <v>2474</v>
      </c>
      <c r="AO54" s="1474" t="s">
        <v>4961</v>
      </c>
      <c r="AP54" s="1474" t="s">
        <v>10280</v>
      </c>
      <c r="AQ54" s="1474" t="s">
        <v>10281</v>
      </c>
      <c r="AR54" s="1474" t="s">
        <v>8288</v>
      </c>
      <c r="AS54" s="1474" t="s">
        <v>4447</v>
      </c>
      <c r="AT54" s="1474" t="s">
        <v>10282</v>
      </c>
      <c r="AU54" s="1474" t="s">
        <v>10283</v>
      </c>
      <c r="AV54" s="1474" t="str">
        <f t="shared" si="1"/>
        <v>3:15</v>
      </c>
      <c r="AW54" s="1649" t="s">
        <v>10284</v>
      </c>
    </row>
    <row r="55">
      <c r="A55" s="1617" t="s">
        <v>1945</v>
      </c>
      <c r="B55" s="1605" t="s">
        <v>9164</v>
      </c>
      <c r="C55" s="1556">
        <v>0.05133101851851852</v>
      </c>
      <c r="D55" s="1697" t="s">
        <v>10285</v>
      </c>
      <c r="E55" s="1640" t="s">
        <v>10286</v>
      </c>
      <c r="F55" s="1640" t="s">
        <v>10287</v>
      </c>
      <c r="G55" s="1640" t="s">
        <v>10288</v>
      </c>
      <c r="H55" s="862" t="s">
        <v>10289</v>
      </c>
      <c r="I55" s="862" t="s">
        <v>3113</v>
      </c>
      <c r="J55" s="1623" t="s">
        <v>1932</v>
      </c>
      <c r="K55" s="1623" t="s">
        <v>10290</v>
      </c>
      <c r="L55" s="1623" t="s">
        <v>4187</v>
      </c>
      <c r="M55" s="1623" t="s">
        <v>10291</v>
      </c>
      <c r="N55" s="1623" t="s">
        <v>9438</v>
      </c>
      <c r="O55" s="1623" t="s">
        <v>10292</v>
      </c>
      <c r="P55" s="1623" t="s">
        <v>9378</v>
      </c>
      <c r="Q55" s="1626" t="s">
        <v>10293</v>
      </c>
      <c r="R55" s="1626" t="s">
        <v>10065</v>
      </c>
      <c r="S55" s="1626" t="s">
        <v>7510</v>
      </c>
      <c r="T55" s="1626" t="s">
        <v>10070</v>
      </c>
      <c r="U55" s="1626" t="s">
        <v>10294</v>
      </c>
      <c r="V55" s="1626" t="s">
        <v>9851</v>
      </c>
      <c r="W55" s="1642" t="s">
        <v>10295</v>
      </c>
      <c r="X55" s="1642" t="s">
        <v>10296</v>
      </c>
      <c r="Y55" s="1642" t="s">
        <v>5558</v>
      </c>
      <c r="Z55" s="1642" t="s">
        <v>1499</v>
      </c>
      <c r="AA55" s="1642" t="s">
        <v>10297</v>
      </c>
      <c r="AB55" s="1642" t="s">
        <v>6405</v>
      </c>
      <c r="AC55" s="1642" t="s">
        <v>263</v>
      </c>
      <c r="AD55" s="1640" t="s">
        <v>9655</v>
      </c>
      <c r="AE55" s="1640" t="s">
        <v>5558</v>
      </c>
      <c r="AF55" s="1643" t="s">
        <v>10298</v>
      </c>
      <c r="AG55" s="1643" t="s">
        <v>5900</v>
      </c>
      <c r="AH55" s="1643" t="s">
        <v>4068</v>
      </c>
      <c r="AI55" s="1643" t="s">
        <v>10299</v>
      </c>
      <c r="AJ55" s="1643" t="s">
        <v>10300</v>
      </c>
      <c r="AK55" s="1643" t="s">
        <v>10226</v>
      </c>
      <c r="AL55" s="1643" t="s">
        <v>3233</v>
      </c>
      <c r="AM55" s="1645" t="s">
        <v>9680</v>
      </c>
      <c r="AN55" s="1645" t="s">
        <v>4076</v>
      </c>
      <c r="AO55" s="1645" t="s">
        <v>10301</v>
      </c>
      <c r="AP55" s="1645" t="s">
        <v>10302</v>
      </c>
      <c r="AQ55" s="1645" t="s">
        <v>9889</v>
      </c>
      <c r="AR55" s="1645" t="s">
        <v>10303</v>
      </c>
      <c r="AS55" s="1645" t="s">
        <v>9172</v>
      </c>
      <c r="AT55" s="1623" t="s">
        <v>10304</v>
      </c>
      <c r="AU55" s="1607" t="s">
        <v>10305</v>
      </c>
      <c r="AV55" s="1474" t="str">
        <f t="shared" si="1"/>
        <v>1:34</v>
      </c>
      <c r="AW55" s="1668"/>
    </row>
    <row r="56">
      <c r="A56" s="1617" t="s">
        <v>2991</v>
      </c>
      <c r="B56" s="1605" t="s">
        <v>9164</v>
      </c>
      <c r="C56" s="1556">
        <v>0.05134259259259259</v>
      </c>
      <c r="D56" s="1640" t="s">
        <v>10306</v>
      </c>
      <c r="E56" s="1640" t="s">
        <v>6623</v>
      </c>
      <c r="F56" s="1640" t="s">
        <v>10307</v>
      </c>
      <c r="G56" s="1640" t="s">
        <v>10308</v>
      </c>
      <c r="H56" s="1640" t="s">
        <v>10309</v>
      </c>
      <c r="I56" s="1640" t="s">
        <v>1292</v>
      </c>
      <c r="J56" s="1623" t="s">
        <v>5059</v>
      </c>
      <c r="K56" s="1623" t="s">
        <v>9405</v>
      </c>
      <c r="L56" s="1623" t="s">
        <v>4896</v>
      </c>
      <c r="M56" s="1623" t="s">
        <v>3642</v>
      </c>
      <c r="N56" s="1623" t="s">
        <v>2074</v>
      </c>
      <c r="O56" s="1623" t="s">
        <v>10310</v>
      </c>
      <c r="P56" s="1623" t="s">
        <v>4559</v>
      </c>
      <c r="Q56" s="1626" t="s">
        <v>10311</v>
      </c>
      <c r="R56" s="1626" t="s">
        <v>2599</v>
      </c>
      <c r="S56" s="1626" t="s">
        <v>10312</v>
      </c>
      <c r="T56" s="1626" t="s">
        <v>10313</v>
      </c>
      <c r="U56" s="1626" t="s">
        <v>10158</v>
      </c>
      <c r="V56" s="1626" t="s">
        <v>10314</v>
      </c>
      <c r="W56" s="1642" t="s">
        <v>10315</v>
      </c>
      <c r="X56" s="1642" t="s">
        <v>9237</v>
      </c>
      <c r="Y56" s="1642" t="s">
        <v>9900</v>
      </c>
      <c r="Z56" s="1642" t="s">
        <v>3036</v>
      </c>
      <c r="AA56" s="1586" t="s">
        <v>593</v>
      </c>
      <c r="AB56" s="1642" t="s">
        <v>9496</v>
      </c>
      <c r="AC56" s="1642" t="s">
        <v>9777</v>
      </c>
      <c r="AD56" s="1640" t="s">
        <v>10316</v>
      </c>
      <c r="AE56" s="1640" t="s">
        <v>10317</v>
      </c>
      <c r="AF56" s="1643" t="s">
        <v>10318</v>
      </c>
      <c r="AG56" s="1643" t="s">
        <v>10319</v>
      </c>
      <c r="AH56" s="1643" t="s">
        <v>1970</v>
      </c>
      <c r="AI56" s="1643" t="s">
        <v>420</v>
      </c>
      <c r="AJ56" s="1643" t="s">
        <v>10320</v>
      </c>
      <c r="AK56" s="1643" t="s">
        <v>10321</v>
      </c>
      <c r="AL56" s="1643" t="s">
        <v>5765</v>
      </c>
      <c r="AM56" s="1645" t="s">
        <v>10322</v>
      </c>
      <c r="AN56" s="1645" t="s">
        <v>6584</v>
      </c>
      <c r="AO56" s="1645" t="s">
        <v>10323</v>
      </c>
      <c r="AP56" s="1645" t="s">
        <v>10324</v>
      </c>
      <c r="AQ56" s="1645" t="s">
        <v>9889</v>
      </c>
      <c r="AR56" s="1645" t="s">
        <v>9531</v>
      </c>
      <c r="AS56" s="1645" t="s">
        <v>1969</v>
      </c>
      <c r="AT56" s="1623" t="s">
        <v>10325</v>
      </c>
      <c r="AU56" s="1607" t="s">
        <v>10192</v>
      </c>
      <c r="AV56" s="1474" t="str">
        <f t="shared" si="1"/>
        <v>2:56</v>
      </c>
      <c r="AW56" s="1608" t="s">
        <v>10326</v>
      </c>
    </row>
    <row r="57" ht="15.75" customHeight="1">
      <c r="A57" s="1583" t="s">
        <v>1414</v>
      </c>
      <c r="B57" s="1710" t="s">
        <v>9217</v>
      </c>
      <c r="C57" s="1691">
        <v>0.05134259259259259</v>
      </c>
      <c r="D57" s="998" t="s">
        <v>10327</v>
      </c>
      <c r="E57" s="1669" t="s">
        <v>6034</v>
      </c>
      <c r="F57" s="1669" t="s">
        <v>10307</v>
      </c>
      <c r="G57" s="1669" t="s">
        <v>10328</v>
      </c>
      <c r="H57" s="925" t="s">
        <v>10329</v>
      </c>
      <c r="I57" s="1712" t="s">
        <v>350</v>
      </c>
      <c r="J57" s="1670" t="s">
        <v>10330</v>
      </c>
      <c r="K57" s="1670" t="s">
        <v>4047</v>
      </c>
      <c r="L57" s="1713" t="s">
        <v>3810</v>
      </c>
      <c r="M57" s="1670" t="s">
        <v>5718</v>
      </c>
      <c r="N57" s="1670" t="s">
        <v>7421</v>
      </c>
      <c r="O57" s="1713" t="s">
        <v>9225</v>
      </c>
      <c r="P57" s="1670" t="s">
        <v>388</v>
      </c>
      <c r="Q57" s="1671" t="s">
        <v>10331</v>
      </c>
      <c r="R57" s="1671" t="s">
        <v>1622</v>
      </c>
      <c r="S57" s="1671" t="s">
        <v>10332</v>
      </c>
      <c r="T57" s="1714" t="s">
        <v>9229</v>
      </c>
      <c r="U57" s="1671" t="s">
        <v>10333</v>
      </c>
      <c r="V57" s="1671" t="s">
        <v>4070</v>
      </c>
      <c r="W57" s="1715" t="s">
        <v>9231</v>
      </c>
      <c r="X57" s="1672" t="s">
        <v>4373</v>
      </c>
      <c r="Y57" s="1672" t="s">
        <v>6626</v>
      </c>
      <c r="Z57" s="1672" t="s">
        <v>7249</v>
      </c>
      <c r="AA57" s="1672" t="s">
        <v>9738</v>
      </c>
      <c r="AB57" s="1715" t="s">
        <v>9235</v>
      </c>
      <c r="AC57" s="1672" t="s">
        <v>7624</v>
      </c>
      <c r="AD57" s="1645" t="s">
        <v>10334</v>
      </c>
      <c r="AE57" s="1669" t="s">
        <v>10335</v>
      </c>
      <c r="AF57" s="1673" t="s">
        <v>10336</v>
      </c>
      <c r="AG57" s="1673" t="s">
        <v>10337</v>
      </c>
      <c r="AH57" s="1673" t="s">
        <v>10338</v>
      </c>
      <c r="AI57" s="1673" t="s">
        <v>10339</v>
      </c>
      <c r="AJ57" s="1673" t="s">
        <v>10340</v>
      </c>
      <c r="AK57" s="1716" t="s">
        <v>886</v>
      </c>
      <c r="AL57" s="1673" t="s">
        <v>1562</v>
      </c>
      <c r="AM57" s="1644" t="s">
        <v>10185</v>
      </c>
      <c r="AN57" s="1645" t="s">
        <v>4691</v>
      </c>
      <c r="AO57" s="1644" t="s">
        <v>10341</v>
      </c>
      <c r="AP57" s="1644" t="s">
        <v>10342</v>
      </c>
      <c r="AQ57" s="1644" t="s">
        <v>10343</v>
      </c>
      <c r="AR57" s="1644" t="s">
        <v>10344</v>
      </c>
      <c r="AS57" s="1644" t="s">
        <v>4631</v>
      </c>
      <c r="AT57" s="1670" t="s">
        <v>10345</v>
      </c>
      <c r="AU57" s="1667" t="s">
        <v>10346</v>
      </c>
      <c r="AV57" s="1474" t="str">
        <f t="shared" si="1"/>
        <v>1:58</v>
      </c>
      <c r="AW57" s="1668"/>
    </row>
    <row r="58" ht="15.75" customHeight="1">
      <c r="A58" s="1554" t="s">
        <v>3380</v>
      </c>
      <c r="B58" s="1555" t="s">
        <v>9164</v>
      </c>
      <c r="C58" s="1691">
        <v>0.05134259259259259</v>
      </c>
      <c r="D58" s="998" t="s">
        <v>10347</v>
      </c>
      <c r="E58" s="1474" t="s">
        <v>10348</v>
      </c>
      <c r="F58" s="1474" t="s">
        <v>10349</v>
      </c>
      <c r="G58" s="1474" t="s">
        <v>7285</v>
      </c>
      <c r="H58" s="1474" t="s">
        <v>9427</v>
      </c>
      <c r="I58" s="1474" t="s">
        <v>6342</v>
      </c>
      <c r="J58" s="1474" t="s">
        <v>10350</v>
      </c>
      <c r="K58" s="1474" t="s">
        <v>3975</v>
      </c>
      <c r="L58" s="1474" t="s">
        <v>10351</v>
      </c>
      <c r="M58" s="1474" t="s">
        <v>10352</v>
      </c>
      <c r="N58" s="1474" t="s">
        <v>2924</v>
      </c>
      <c r="O58" s="1474" t="s">
        <v>10353</v>
      </c>
      <c r="P58" s="1474" t="s">
        <v>1005</v>
      </c>
      <c r="Q58" s="1474" t="s">
        <v>2465</v>
      </c>
      <c r="R58" s="1474" t="s">
        <v>10065</v>
      </c>
      <c r="S58" s="1474" t="s">
        <v>9934</v>
      </c>
      <c r="T58" s="1474" t="s">
        <v>10354</v>
      </c>
      <c r="U58" s="1474" t="s">
        <v>10355</v>
      </c>
      <c r="V58" s="1474" t="s">
        <v>9679</v>
      </c>
      <c r="W58" s="1474" t="s">
        <v>10356</v>
      </c>
      <c r="X58" s="1474" t="s">
        <v>10357</v>
      </c>
      <c r="Y58" s="1474" t="s">
        <v>388</v>
      </c>
      <c r="Z58" s="1474" t="s">
        <v>7194</v>
      </c>
      <c r="AA58" s="1474" t="s">
        <v>9884</v>
      </c>
      <c r="AB58" s="1474" t="s">
        <v>9299</v>
      </c>
      <c r="AC58" s="1474" t="s">
        <v>849</v>
      </c>
      <c r="AD58" s="1474" t="s">
        <v>10358</v>
      </c>
      <c r="AE58" s="1474" t="s">
        <v>388</v>
      </c>
      <c r="AF58" s="1474" t="s">
        <v>10359</v>
      </c>
      <c r="AG58" s="1474" t="s">
        <v>10360</v>
      </c>
      <c r="AH58" s="1474" t="s">
        <v>5318</v>
      </c>
      <c r="AI58" s="1474" t="s">
        <v>10361</v>
      </c>
      <c r="AJ58" s="1474" t="s">
        <v>10300</v>
      </c>
      <c r="AK58" s="1474" t="s">
        <v>6939</v>
      </c>
      <c r="AL58" s="1474" t="s">
        <v>3316</v>
      </c>
      <c r="AM58" s="1474" t="s">
        <v>4151</v>
      </c>
      <c r="AN58" s="1474" t="s">
        <v>5794</v>
      </c>
      <c r="AO58" s="1474" t="s">
        <v>6541</v>
      </c>
      <c r="AP58" s="1474" t="s">
        <v>10362</v>
      </c>
      <c r="AQ58" s="1474" t="s">
        <v>10363</v>
      </c>
      <c r="AR58" s="1474" t="s">
        <v>10364</v>
      </c>
      <c r="AS58" s="1644" t="s">
        <v>4435</v>
      </c>
      <c r="AT58" s="1474" t="s">
        <v>10365</v>
      </c>
      <c r="AU58" s="1474" t="s">
        <v>9615</v>
      </c>
      <c r="AV58" s="1474" t="str">
        <f t="shared" si="1"/>
        <v>2:27</v>
      </c>
      <c r="AW58" s="1649"/>
    </row>
    <row r="59" ht="15.75" customHeight="1">
      <c r="A59" s="1617" t="s">
        <v>1347</v>
      </c>
      <c r="B59" s="1615" t="s">
        <v>9217</v>
      </c>
      <c r="C59" s="1556">
        <v>0.05140046296296296</v>
      </c>
      <c r="D59" s="1586" t="s">
        <v>10366</v>
      </c>
      <c r="E59" s="1586" t="s">
        <v>1745</v>
      </c>
      <c r="F59" s="1586" t="s">
        <v>10367</v>
      </c>
      <c r="G59" s="1701" t="s">
        <v>9221</v>
      </c>
      <c r="H59" s="998" t="s">
        <v>10368</v>
      </c>
      <c r="I59" s="1586" t="s">
        <v>1668</v>
      </c>
      <c r="J59" s="1701" t="s">
        <v>9223</v>
      </c>
      <c r="K59" s="1586" t="s">
        <v>7156</v>
      </c>
      <c r="L59" s="1586" t="s">
        <v>10369</v>
      </c>
      <c r="M59" s="1701" t="s">
        <v>9224</v>
      </c>
      <c r="N59" s="1586" t="s">
        <v>10370</v>
      </c>
      <c r="O59" s="1586" t="s">
        <v>10371</v>
      </c>
      <c r="P59" s="1586" t="s">
        <v>1114</v>
      </c>
      <c r="Q59" s="1586" t="s">
        <v>10155</v>
      </c>
      <c r="R59" s="1586" t="s">
        <v>10372</v>
      </c>
      <c r="S59" s="1586" t="s">
        <v>9212</v>
      </c>
      <c r="T59" s="1586" t="s">
        <v>10373</v>
      </c>
      <c r="U59" s="1586" t="s">
        <v>10080</v>
      </c>
      <c r="V59" s="1586" t="s">
        <v>5991</v>
      </c>
      <c r="W59" s="1586" t="s">
        <v>10374</v>
      </c>
      <c r="X59" s="1586" t="s">
        <v>630</v>
      </c>
      <c r="Y59" s="1586" t="s">
        <v>10375</v>
      </c>
      <c r="Z59" s="1586" t="s">
        <v>10376</v>
      </c>
      <c r="AA59" s="1717" t="s">
        <v>9234</v>
      </c>
      <c r="AB59" s="1586" t="s">
        <v>6083</v>
      </c>
      <c r="AC59" s="1586" t="s">
        <v>10377</v>
      </c>
      <c r="AD59" s="1586" t="s">
        <v>9598</v>
      </c>
      <c r="AE59" s="1586" t="s">
        <v>2605</v>
      </c>
      <c r="AF59" s="1586" t="s">
        <v>10378</v>
      </c>
      <c r="AG59" s="1701" t="s">
        <v>4615</v>
      </c>
      <c r="AH59" s="1701" t="s">
        <v>5338</v>
      </c>
      <c r="AI59" s="1586" t="s">
        <v>10379</v>
      </c>
      <c r="AJ59" s="1586" t="s">
        <v>10380</v>
      </c>
      <c r="AK59" s="1586" t="s">
        <v>7212</v>
      </c>
      <c r="AL59" s="1586" t="s">
        <v>3899</v>
      </c>
      <c r="AM59" s="1586" t="s">
        <v>10381</v>
      </c>
      <c r="AN59" s="1586" t="s">
        <v>3821</v>
      </c>
      <c r="AO59" s="1701" t="s">
        <v>9242</v>
      </c>
      <c r="AP59" s="1718" t="s">
        <v>9243</v>
      </c>
      <c r="AQ59" s="1586" t="s">
        <v>3244</v>
      </c>
      <c r="AR59" s="1586" t="s">
        <v>1618</v>
      </c>
      <c r="AS59" s="1586" t="s">
        <v>4718</v>
      </c>
      <c r="AT59" s="1586" t="s">
        <v>10382</v>
      </c>
      <c r="AU59" s="1586" t="s">
        <v>9615</v>
      </c>
      <c r="AV59" s="1474" t="str">
        <f t="shared" si="1"/>
        <v>2:22</v>
      </c>
      <c r="AW59" s="1616" t="s">
        <v>10383</v>
      </c>
    </row>
    <row r="60" ht="15.75" customHeight="1">
      <c r="A60" s="1617" t="s">
        <v>4053</v>
      </c>
      <c r="B60" s="1605" t="s">
        <v>9164</v>
      </c>
      <c r="C60" s="1556">
        <v>0.05153935185185185</v>
      </c>
      <c r="D60" s="793" t="s">
        <v>10384</v>
      </c>
      <c r="E60" s="793" t="s">
        <v>7871</v>
      </c>
      <c r="F60" s="793" t="s">
        <v>10385</v>
      </c>
      <c r="G60" s="793" t="s">
        <v>4968</v>
      </c>
      <c r="H60" s="998" t="s">
        <v>10386</v>
      </c>
      <c r="I60" s="793" t="s">
        <v>1292</v>
      </c>
      <c r="J60" s="793" t="s">
        <v>10387</v>
      </c>
      <c r="K60" s="793" t="s">
        <v>3678</v>
      </c>
      <c r="L60" s="793" t="s">
        <v>4226</v>
      </c>
      <c r="M60" s="793" t="s">
        <v>6783</v>
      </c>
      <c r="N60" s="793" t="s">
        <v>10388</v>
      </c>
      <c r="O60" s="793" t="s">
        <v>3803</v>
      </c>
      <c r="P60" s="793" t="s">
        <v>8250</v>
      </c>
      <c r="Q60" s="793" t="s">
        <v>10389</v>
      </c>
      <c r="R60" s="793" t="s">
        <v>3439</v>
      </c>
      <c r="S60" s="1719" t="s">
        <v>10018</v>
      </c>
      <c r="T60" s="793" t="s">
        <v>9836</v>
      </c>
      <c r="U60" s="793" t="s">
        <v>10390</v>
      </c>
      <c r="V60" s="793" t="s">
        <v>1703</v>
      </c>
      <c r="W60" s="793" t="s">
        <v>10391</v>
      </c>
      <c r="X60" s="793" t="s">
        <v>1761</v>
      </c>
      <c r="Y60" s="793" t="s">
        <v>3692</v>
      </c>
      <c r="Z60" s="793" t="s">
        <v>6963</v>
      </c>
      <c r="AA60" s="793" t="s">
        <v>964</v>
      </c>
      <c r="AB60" s="793" t="s">
        <v>10392</v>
      </c>
      <c r="AC60" s="793" t="s">
        <v>10377</v>
      </c>
      <c r="AD60" s="793" t="s">
        <v>10393</v>
      </c>
      <c r="AE60" s="793" t="s">
        <v>4975</v>
      </c>
      <c r="AF60" s="1562" t="s">
        <v>10394</v>
      </c>
      <c r="AG60" s="793" t="s">
        <v>10395</v>
      </c>
      <c r="AH60" s="793" t="s">
        <v>10396</v>
      </c>
      <c r="AI60" s="793" t="s">
        <v>10397</v>
      </c>
      <c r="AJ60" s="793" t="s">
        <v>10398</v>
      </c>
      <c r="AK60" s="793" t="s">
        <v>5159</v>
      </c>
      <c r="AL60" s="793" t="s">
        <v>10187</v>
      </c>
      <c r="AM60" s="793" t="s">
        <v>10379</v>
      </c>
      <c r="AN60" s="793" t="s">
        <v>2594</v>
      </c>
      <c r="AO60" s="793" t="s">
        <v>5837</v>
      </c>
      <c r="AP60" s="1719" t="s">
        <v>10123</v>
      </c>
      <c r="AQ60" s="793" t="s">
        <v>10399</v>
      </c>
      <c r="AR60" s="793" t="s">
        <v>5059</v>
      </c>
      <c r="AS60" s="793" t="s">
        <v>9270</v>
      </c>
      <c r="AT60" s="793" t="s">
        <v>10400</v>
      </c>
      <c r="AU60" s="793" t="s">
        <v>10401</v>
      </c>
      <c r="AV60" s="1474" t="str">
        <f t="shared" si="1"/>
        <v>2:41</v>
      </c>
      <c r="AW60" s="1720" t="s">
        <v>10402</v>
      </c>
    </row>
    <row r="61" ht="15.75" customHeight="1">
      <c r="A61" s="1554" t="s">
        <v>2025</v>
      </c>
      <c r="B61" s="1555" t="s">
        <v>9164</v>
      </c>
      <c r="C61" s="1556">
        <v>0.05157407407407407</v>
      </c>
      <c r="D61" s="998" t="s">
        <v>10403</v>
      </c>
      <c r="E61" s="1640" t="s">
        <v>10404</v>
      </c>
      <c r="F61" s="1640" t="s">
        <v>10405</v>
      </c>
      <c r="G61" s="1669" t="s">
        <v>9895</v>
      </c>
      <c r="H61" s="925" t="s">
        <v>10406</v>
      </c>
      <c r="I61" s="925" t="s">
        <v>2098</v>
      </c>
      <c r="J61" s="1670" t="s">
        <v>5528</v>
      </c>
      <c r="K61" s="1670" t="s">
        <v>3506</v>
      </c>
      <c r="L61" s="1670" t="s">
        <v>10407</v>
      </c>
      <c r="M61" s="1670" t="s">
        <v>10062</v>
      </c>
      <c r="N61" s="1670" t="s">
        <v>1232</v>
      </c>
      <c r="O61" s="1670" t="s">
        <v>10374</v>
      </c>
      <c r="P61" s="1670" t="s">
        <v>10408</v>
      </c>
      <c r="Q61" s="1671" t="s">
        <v>10409</v>
      </c>
      <c r="R61" s="1671" t="s">
        <v>10410</v>
      </c>
      <c r="S61" s="1671" t="s">
        <v>10411</v>
      </c>
      <c r="T61" s="1671" t="s">
        <v>6967</v>
      </c>
      <c r="U61" s="1671" t="s">
        <v>2749</v>
      </c>
      <c r="V61" s="1671" t="s">
        <v>5130</v>
      </c>
      <c r="W61" s="1672" t="s">
        <v>10412</v>
      </c>
      <c r="X61" s="1672" t="s">
        <v>10413</v>
      </c>
      <c r="Y61" s="1672" t="s">
        <v>10275</v>
      </c>
      <c r="Z61" s="1672" t="s">
        <v>9235</v>
      </c>
      <c r="AA61" s="1672" t="s">
        <v>6200</v>
      </c>
      <c r="AB61" s="1672" t="s">
        <v>5931</v>
      </c>
      <c r="AC61" s="1672" t="s">
        <v>6491</v>
      </c>
      <c r="AD61" s="1640" t="s">
        <v>10414</v>
      </c>
      <c r="AE61" s="1669" t="s">
        <v>5609</v>
      </c>
      <c r="AF61" s="1673" t="s">
        <v>10415</v>
      </c>
      <c r="AG61" s="1673" t="s">
        <v>10416</v>
      </c>
      <c r="AH61" s="1673" t="s">
        <v>10417</v>
      </c>
      <c r="AI61" s="1673" t="s">
        <v>1105</v>
      </c>
      <c r="AJ61" s="1673" t="s">
        <v>10418</v>
      </c>
      <c r="AK61" s="1643" t="s">
        <v>630</v>
      </c>
      <c r="AL61" s="1643" t="s">
        <v>10419</v>
      </c>
      <c r="AM61" s="1644" t="s">
        <v>3733</v>
      </c>
      <c r="AN61" s="1644" t="s">
        <v>10420</v>
      </c>
      <c r="AO61" s="1644" t="s">
        <v>10421</v>
      </c>
      <c r="AP61" s="1644" t="s">
        <v>10422</v>
      </c>
      <c r="AQ61" s="1644" t="s">
        <v>10423</v>
      </c>
      <c r="AR61" s="1645" t="s">
        <v>7501</v>
      </c>
      <c r="AS61" s="1644" t="s">
        <v>4435</v>
      </c>
      <c r="AT61" s="1670" t="s">
        <v>10424</v>
      </c>
      <c r="AU61" s="1667" t="s">
        <v>10425</v>
      </c>
      <c r="AV61" s="1474" t="str">
        <f t="shared" si="1"/>
        <v>4:40</v>
      </c>
      <c r="AW61" s="1668" t="s">
        <v>10426</v>
      </c>
    </row>
    <row r="62" ht="15.75" customHeight="1">
      <c r="A62" s="1617" t="s">
        <v>10427</v>
      </c>
      <c r="B62" s="1605" t="s">
        <v>9164</v>
      </c>
      <c r="C62" s="1556">
        <v>0.051631944444444446</v>
      </c>
      <c r="D62" s="1640" t="s">
        <v>10428</v>
      </c>
      <c r="E62" s="1640" t="s">
        <v>7685</v>
      </c>
      <c r="F62" s="1640" t="s">
        <v>9360</v>
      </c>
      <c r="G62" s="1640" t="s">
        <v>10429</v>
      </c>
      <c r="H62" s="862" t="s">
        <v>10430</v>
      </c>
      <c r="I62" s="862" t="s">
        <v>10431</v>
      </c>
      <c r="J62" s="1623" t="s">
        <v>10432</v>
      </c>
      <c r="K62" s="1623" t="s">
        <v>7212</v>
      </c>
      <c r="L62" s="1623" t="s">
        <v>4467</v>
      </c>
      <c r="M62" s="1623" t="s">
        <v>10433</v>
      </c>
      <c r="N62" s="1623" t="s">
        <v>9833</v>
      </c>
      <c r="O62" s="1623" t="s">
        <v>10434</v>
      </c>
      <c r="P62" s="1623" t="s">
        <v>2174</v>
      </c>
      <c r="Q62" s="1626" t="s">
        <v>10435</v>
      </c>
      <c r="R62" s="1626" t="s">
        <v>5940</v>
      </c>
      <c r="S62" s="1626" t="s">
        <v>5681</v>
      </c>
      <c r="T62" s="1626" t="s">
        <v>6323</v>
      </c>
      <c r="U62" s="1626" t="s">
        <v>10436</v>
      </c>
      <c r="V62" s="1626" t="s">
        <v>10437</v>
      </c>
      <c r="W62" s="1642" t="s">
        <v>10438</v>
      </c>
      <c r="X62" s="1642" t="s">
        <v>630</v>
      </c>
      <c r="Y62" s="1642" t="s">
        <v>5122</v>
      </c>
      <c r="Z62" s="1642" t="s">
        <v>10439</v>
      </c>
      <c r="AA62" s="1586" t="s">
        <v>10440</v>
      </c>
      <c r="AB62" s="1642" t="s">
        <v>10028</v>
      </c>
      <c r="AC62" s="1642" t="s">
        <v>4758</v>
      </c>
      <c r="AD62" s="1640" t="s">
        <v>10441</v>
      </c>
      <c r="AE62" s="1640" t="s">
        <v>9730</v>
      </c>
      <c r="AF62" s="1721" t="s">
        <v>10442</v>
      </c>
      <c r="AG62" s="1643" t="s">
        <v>7835</v>
      </c>
      <c r="AH62" s="1643" t="s">
        <v>10417</v>
      </c>
      <c r="AI62" s="1643" t="s">
        <v>4124</v>
      </c>
      <c r="AJ62" s="1643" t="s">
        <v>10443</v>
      </c>
      <c r="AK62" s="1643" t="s">
        <v>1520</v>
      </c>
      <c r="AL62" s="1643" t="s">
        <v>3486</v>
      </c>
      <c r="AM62" s="1645" t="s">
        <v>6200</v>
      </c>
      <c r="AN62" s="1645" t="s">
        <v>5765</v>
      </c>
      <c r="AO62" s="1645" t="s">
        <v>7605</v>
      </c>
      <c r="AP62" s="1645" t="s">
        <v>10444</v>
      </c>
      <c r="AQ62" s="1645" t="s">
        <v>3514</v>
      </c>
      <c r="AR62" s="1645" t="s">
        <v>9995</v>
      </c>
      <c r="AS62" s="1645" t="s">
        <v>4098</v>
      </c>
      <c r="AT62" s="1623" t="s">
        <v>10445</v>
      </c>
      <c r="AU62" s="1607" t="s">
        <v>10446</v>
      </c>
      <c r="AV62" s="1474" t="str">
        <f t="shared" si="1"/>
        <v>2:25</v>
      </c>
      <c r="AW62" s="1683" t="s">
        <v>10447</v>
      </c>
    </row>
    <row r="63" ht="15.75" customHeight="1">
      <c r="A63" s="1681" t="s">
        <v>10448</v>
      </c>
      <c r="B63" s="1555" t="s">
        <v>9164</v>
      </c>
      <c r="C63" s="1691">
        <v>0.051631944444444446</v>
      </c>
      <c r="D63" s="998" t="s">
        <v>10449</v>
      </c>
      <c r="E63" s="334" t="s">
        <v>8818</v>
      </c>
      <c r="F63" s="334" t="s">
        <v>9243</v>
      </c>
      <c r="G63" s="334" t="s">
        <v>10450</v>
      </c>
      <c r="H63" s="334" t="s">
        <v>10451</v>
      </c>
      <c r="I63" s="334" t="s">
        <v>10377</v>
      </c>
      <c r="J63" s="334" t="s">
        <v>3507</v>
      </c>
      <c r="K63" s="334" t="s">
        <v>10452</v>
      </c>
      <c r="L63" s="334" t="s">
        <v>5276</v>
      </c>
      <c r="M63" s="334" t="s">
        <v>715</v>
      </c>
      <c r="N63" s="334" t="s">
        <v>10453</v>
      </c>
      <c r="O63" s="334" t="s">
        <v>4767</v>
      </c>
      <c r="P63" s="334" t="s">
        <v>5054</v>
      </c>
      <c r="Q63" s="334" t="s">
        <v>10454</v>
      </c>
      <c r="R63" s="334" t="s">
        <v>10455</v>
      </c>
      <c r="S63" s="334" t="s">
        <v>10237</v>
      </c>
      <c r="T63" s="334" t="s">
        <v>9680</v>
      </c>
      <c r="U63" s="334" t="s">
        <v>10456</v>
      </c>
      <c r="V63" s="334" t="s">
        <v>10457</v>
      </c>
      <c r="W63" s="334" t="s">
        <v>10458</v>
      </c>
      <c r="X63" s="334" t="s">
        <v>10379</v>
      </c>
      <c r="Y63" s="334" t="s">
        <v>4758</v>
      </c>
      <c r="Z63" s="334" t="s">
        <v>6834</v>
      </c>
      <c r="AA63" s="334" t="s">
        <v>5939</v>
      </c>
      <c r="AB63" s="334" t="s">
        <v>10459</v>
      </c>
      <c r="AC63" s="334" t="s">
        <v>388</v>
      </c>
      <c r="AD63" s="334" t="s">
        <v>6146</v>
      </c>
      <c r="AE63" s="334" t="s">
        <v>3113</v>
      </c>
      <c r="AF63" s="334" t="s">
        <v>10129</v>
      </c>
      <c r="AG63" s="334" t="s">
        <v>10460</v>
      </c>
      <c r="AH63" s="334" t="s">
        <v>5496</v>
      </c>
      <c r="AI63" s="334" t="s">
        <v>3582</v>
      </c>
      <c r="AJ63" s="334" t="s">
        <v>10461</v>
      </c>
      <c r="AK63" s="334" t="s">
        <v>10297</v>
      </c>
      <c r="AL63" s="334" t="s">
        <v>5311</v>
      </c>
      <c r="AM63" s="334" t="s">
        <v>10462</v>
      </c>
      <c r="AN63" s="334" t="s">
        <v>9028</v>
      </c>
      <c r="AO63" s="334" t="s">
        <v>5171</v>
      </c>
      <c r="AP63" s="334" t="s">
        <v>10463</v>
      </c>
      <c r="AQ63" s="334" t="s">
        <v>3699</v>
      </c>
      <c r="AR63" s="334" t="s">
        <v>9818</v>
      </c>
      <c r="AS63" s="334" t="s">
        <v>4744</v>
      </c>
      <c r="AT63" s="334" t="s">
        <v>10464</v>
      </c>
      <c r="AU63" s="1722" t="str">
        <f>HYPERLINK("https://splits.io/pc9","1:16:48")</f>
        <v>1:16:48</v>
      </c>
      <c r="AV63" s="1474" t="str">
        <f t="shared" si="1"/>
        <v>2:27</v>
      </c>
      <c r="AW63" s="1723" t="s">
        <v>10465</v>
      </c>
    </row>
    <row r="64" ht="15.75" customHeight="1">
      <c r="A64" s="1554" t="s">
        <v>5928</v>
      </c>
      <c r="B64" s="1555" t="s">
        <v>9164</v>
      </c>
      <c r="C64" s="1691">
        <v>0.051631944444444446</v>
      </c>
      <c r="D64" s="998" t="s">
        <v>10466</v>
      </c>
      <c r="E64" s="334" t="s">
        <v>7871</v>
      </c>
      <c r="F64" s="334" t="s">
        <v>10467</v>
      </c>
      <c r="G64" s="334" t="s">
        <v>5427</v>
      </c>
      <c r="H64" s="334" t="s">
        <v>10040</v>
      </c>
      <c r="I64" s="334" t="s">
        <v>4758</v>
      </c>
      <c r="J64" s="334" t="s">
        <v>9350</v>
      </c>
      <c r="K64" s="334" t="s">
        <v>9042</v>
      </c>
      <c r="L64" s="334" t="s">
        <v>5914</v>
      </c>
      <c r="M64" s="334" t="s">
        <v>937</v>
      </c>
      <c r="N64" s="334" t="s">
        <v>10468</v>
      </c>
      <c r="O64" s="334" t="s">
        <v>10271</v>
      </c>
      <c r="P64" s="334" t="s">
        <v>10131</v>
      </c>
      <c r="Q64" s="334" t="s">
        <v>10469</v>
      </c>
      <c r="R64" s="334" t="s">
        <v>10410</v>
      </c>
      <c r="S64" s="334" t="s">
        <v>6704</v>
      </c>
      <c r="T64" s="334" t="s">
        <v>10470</v>
      </c>
      <c r="U64" s="334" t="s">
        <v>10471</v>
      </c>
      <c r="V64" s="334" t="s">
        <v>10472</v>
      </c>
      <c r="W64" s="334" t="s">
        <v>10473</v>
      </c>
      <c r="X64" s="334" t="s">
        <v>10474</v>
      </c>
      <c r="Y64" s="334" t="s">
        <v>1165</v>
      </c>
      <c r="Z64" s="334" t="s">
        <v>4885</v>
      </c>
      <c r="AA64" s="334" t="s">
        <v>10475</v>
      </c>
      <c r="AB64" s="334" t="s">
        <v>6885</v>
      </c>
      <c r="AC64" s="334" t="s">
        <v>10476</v>
      </c>
      <c r="AD64" s="334" t="s">
        <v>10477</v>
      </c>
      <c r="AE64" s="793" t="s">
        <v>5558</v>
      </c>
      <c r="AF64" s="334" t="s">
        <v>10478</v>
      </c>
      <c r="AG64" s="334" t="s">
        <v>10479</v>
      </c>
      <c r="AH64" s="334" t="s">
        <v>2253</v>
      </c>
      <c r="AI64" s="334" t="s">
        <v>5339</v>
      </c>
      <c r="AJ64" s="334" t="s">
        <v>8876</v>
      </c>
      <c r="AK64" s="334" t="s">
        <v>1791</v>
      </c>
      <c r="AL64" s="334" t="s">
        <v>5765</v>
      </c>
      <c r="AM64" s="334" t="s">
        <v>10480</v>
      </c>
      <c r="AN64" s="334" t="s">
        <v>10481</v>
      </c>
      <c r="AO64" s="334" t="s">
        <v>9459</v>
      </c>
      <c r="AP64" s="334" t="s">
        <v>10482</v>
      </c>
      <c r="AQ64" s="334" t="s">
        <v>10483</v>
      </c>
      <c r="AR64" s="334" t="s">
        <v>4873</v>
      </c>
      <c r="AS64" s="334" t="s">
        <v>3040</v>
      </c>
      <c r="AT64" s="334" t="s">
        <v>10484</v>
      </c>
      <c r="AU64" s="334" t="s">
        <v>10485</v>
      </c>
      <c r="AV64" s="1474" t="str">
        <f t="shared" si="1"/>
        <v>3:33</v>
      </c>
      <c r="AW64" s="1723"/>
    </row>
    <row r="65" ht="15.75" customHeight="1">
      <c r="A65" s="1554" t="s">
        <v>4244</v>
      </c>
      <c r="B65" s="1555" t="s">
        <v>9164</v>
      </c>
      <c r="C65" s="1691">
        <v>0.05164351851851852</v>
      </c>
      <c r="D65" s="998" t="s">
        <v>10486</v>
      </c>
      <c r="E65" s="334" t="s">
        <v>9369</v>
      </c>
      <c r="F65" s="334" t="s">
        <v>10487</v>
      </c>
      <c r="G65" s="334" t="s">
        <v>9221</v>
      </c>
      <c r="H65" s="334" t="s">
        <v>10488</v>
      </c>
      <c r="I65" s="334" t="s">
        <v>1292</v>
      </c>
      <c r="J65" s="334" t="s">
        <v>806</v>
      </c>
      <c r="K65" s="334" t="s">
        <v>6810</v>
      </c>
      <c r="L65" s="334" t="s">
        <v>3734</v>
      </c>
      <c r="M65" s="334" t="s">
        <v>10433</v>
      </c>
      <c r="N65" s="334" t="s">
        <v>9560</v>
      </c>
      <c r="O65" s="334" t="s">
        <v>10135</v>
      </c>
      <c r="P65" s="334" t="s">
        <v>5217</v>
      </c>
      <c r="Q65" s="334" t="s">
        <v>10489</v>
      </c>
      <c r="R65" s="334" t="s">
        <v>9084</v>
      </c>
      <c r="S65" s="334" t="s">
        <v>10490</v>
      </c>
      <c r="T65" s="334" t="s">
        <v>10491</v>
      </c>
      <c r="U65" s="334" t="s">
        <v>10492</v>
      </c>
      <c r="V65" s="334" t="s">
        <v>10493</v>
      </c>
      <c r="W65" s="334" t="s">
        <v>10494</v>
      </c>
      <c r="X65" s="334" t="s">
        <v>609</v>
      </c>
      <c r="Y65" s="334" t="s">
        <v>10495</v>
      </c>
      <c r="Z65" s="334" t="s">
        <v>7249</v>
      </c>
      <c r="AA65" s="334" t="s">
        <v>5685</v>
      </c>
      <c r="AB65" s="334" t="s">
        <v>7607</v>
      </c>
      <c r="AC65" s="334" t="s">
        <v>7798</v>
      </c>
      <c r="AD65" s="334" t="s">
        <v>10496</v>
      </c>
      <c r="AE65" s="334" t="s">
        <v>1914</v>
      </c>
      <c r="AF65" s="334" t="s">
        <v>10497</v>
      </c>
      <c r="AG65" s="334" t="s">
        <v>528</v>
      </c>
      <c r="AH65" s="334" t="s">
        <v>5496</v>
      </c>
      <c r="AI65" s="334" t="s">
        <v>10498</v>
      </c>
      <c r="AJ65" s="334" t="s">
        <v>10499</v>
      </c>
      <c r="AK65" s="334" t="s">
        <v>10500</v>
      </c>
      <c r="AL65" s="334" t="s">
        <v>5214</v>
      </c>
      <c r="AM65" s="334" t="s">
        <v>9938</v>
      </c>
      <c r="AN65" s="334" t="s">
        <v>9621</v>
      </c>
      <c r="AO65" s="334" t="s">
        <v>10344</v>
      </c>
      <c r="AP65" s="334" t="s">
        <v>10501</v>
      </c>
      <c r="AQ65" s="334" t="s">
        <v>10502</v>
      </c>
      <c r="AR65" s="334" t="s">
        <v>3628</v>
      </c>
      <c r="AS65" s="334" t="s">
        <v>10503</v>
      </c>
      <c r="AT65" s="334" t="s">
        <v>10298</v>
      </c>
      <c r="AU65" s="334" t="s">
        <v>10504</v>
      </c>
      <c r="AV65" s="1474" t="str">
        <f t="shared" si="1"/>
        <v>3:13</v>
      </c>
      <c r="AW65" s="1723" t="s">
        <v>10505</v>
      </c>
    </row>
    <row r="66" ht="15.75" customHeight="1">
      <c r="A66" s="1583" t="s">
        <v>899</v>
      </c>
      <c r="B66" s="1710" t="s">
        <v>9217</v>
      </c>
      <c r="C66" s="1691">
        <v>0.05167824074074074</v>
      </c>
      <c r="D66" s="998" t="s">
        <v>10506</v>
      </c>
      <c r="E66" s="334" t="s">
        <v>10507</v>
      </c>
      <c r="F66" s="334" t="s">
        <v>5945</v>
      </c>
      <c r="G66" s="334" t="s">
        <v>10508</v>
      </c>
      <c r="H66" s="334" t="s">
        <v>10509</v>
      </c>
      <c r="I66" s="334" t="s">
        <v>1902</v>
      </c>
      <c r="J66" s="334" t="s">
        <v>10370</v>
      </c>
      <c r="K66" s="334" t="s">
        <v>9517</v>
      </c>
      <c r="L66" s="334" t="s">
        <v>1963</v>
      </c>
      <c r="M66" s="334" t="s">
        <v>6921</v>
      </c>
      <c r="N66" s="334" t="s">
        <v>10510</v>
      </c>
      <c r="O66" s="334" t="s">
        <v>10511</v>
      </c>
      <c r="P66" s="334" t="s">
        <v>2384</v>
      </c>
      <c r="Q66" s="334" t="s">
        <v>722</v>
      </c>
      <c r="R66" s="334" t="s">
        <v>10512</v>
      </c>
      <c r="S66" s="334" t="s">
        <v>10513</v>
      </c>
      <c r="T66" s="334" t="s">
        <v>10514</v>
      </c>
      <c r="U66" s="334" t="s">
        <v>10092</v>
      </c>
      <c r="V66" s="334" t="s">
        <v>488</v>
      </c>
      <c r="W66" s="334" t="s">
        <v>6007</v>
      </c>
      <c r="X66" s="334" t="s">
        <v>10515</v>
      </c>
      <c r="Y66" s="334" t="s">
        <v>942</v>
      </c>
      <c r="Z66" s="334" t="s">
        <v>3947</v>
      </c>
      <c r="AA66" s="334" t="s">
        <v>1619</v>
      </c>
      <c r="AB66" s="334" t="s">
        <v>10516</v>
      </c>
      <c r="AC66" s="334" t="s">
        <v>9416</v>
      </c>
      <c r="AD66" s="793" t="s">
        <v>10517</v>
      </c>
      <c r="AE66" s="334" t="s">
        <v>1928</v>
      </c>
      <c r="AF66" s="334" t="s">
        <v>9980</v>
      </c>
      <c r="AG66" s="334" t="s">
        <v>7958</v>
      </c>
      <c r="AH66" s="334" t="s">
        <v>4467</v>
      </c>
      <c r="AI66" s="334" t="s">
        <v>1706</v>
      </c>
      <c r="AJ66" s="334" t="s">
        <v>10518</v>
      </c>
      <c r="AK66" s="334" t="s">
        <v>4081</v>
      </c>
      <c r="AL66" s="334" t="s">
        <v>5338</v>
      </c>
      <c r="AM66" s="334" t="s">
        <v>10519</v>
      </c>
      <c r="AN66" s="334" t="s">
        <v>10520</v>
      </c>
      <c r="AO66" s="334" t="s">
        <v>10521</v>
      </c>
      <c r="AP66" s="334" t="s">
        <v>10522</v>
      </c>
      <c r="AQ66" s="334" t="s">
        <v>10523</v>
      </c>
      <c r="AR66" s="334" t="s">
        <v>10524</v>
      </c>
      <c r="AS66" s="334" t="s">
        <v>2577</v>
      </c>
      <c r="AT66" s="334" t="s">
        <v>10525</v>
      </c>
      <c r="AU66" s="334" t="s">
        <v>10526</v>
      </c>
      <c r="AV66" s="1474" t="str">
        <f t="shared" si="1"/>
        <v>2:51</v>
      </c>
      <c r="AW66" s="1724"/>
    </row>
    <row r="67" ht="15.75" customHeight="1">
      <c r="A67" s="1617" t="s">
        <v>4652</v>
      </c>
      <c r="B67" s="1650" t="s">
        <v>9191</v>
      </c>
      <c r="C67" s="1691">
        <v>0.05170138888888889</v>
      </c>
      <c r="D67" s="998" t="s">
        <v>10527</v>
      </c>
      <c r="E67" s="334" t="s">
        <v>4281</v>
      </c>
      <c r="F67" s="334" t="s">
        <v>10084</v>
      </c>
      <c r="G67" s="334" t="s">
        <v>9991</v>
      </c>
      <c r="H67" s="334" t="s">
        <v>10528</v>
      </c>
      <c r="I67" s="334" t="s">
        <v>10529</v>
      </c>
      <c r="J67" s="334" t="s">
        <v>10097</v>
      </c>
      <c r="K67" s="334" t="s">
        <v>9459</v>
      </c>
      <c r="L67" s="334" t="s">
        <v>4101</v>
      </c>
      <c r="M67" s="334" t="s">
        <v>7124</v>
      </c>
      <c r="N67" s="334" t="s">
        <v>6216</v>
      </c>
      <c r="O67" s="334" t="s">
        <v>10222</v>
      </c>
      <c r="P67" s="334" t="s">
        <v>483</v>
      </c>
      <c r="Q67" s="334" t="s">
        <v>2828</v>
      </c>
      <c r="R67" s="334" t="s">
        <v>9261</v>
      </c>
      <c r="S67" s="334" t="s">
        <v>10421</v>
      </c>
      <c r="T67" s="334" t="s">
        <v>2924</v>
      </c>
      <c r="U67" s="334" t="s">
        <v>10530</v>
      </c>
      <c r="V67" s="334" t="s">
        <v>10531</v>
      </c>
      <c r="W67" s="334" t="s">
        <v>10458</v>
      </c>
      <c r="X67" s="334" t="s">
        <v>3733</v>
      </c>
      <c r="Y67" s="334" t="s">
        <v>2448</v>
      </c>
      <c r="Z67" s="334" t="s">
        <v>491</v>
      </c>
      <c r="AA67" s="334" t="s">
        <v>630</v>
      </c>
      <c r="AB67" s="334" t="s">
        <v>10532</v>
      </c>
      <c r="AC67" s="334" t="s">
        <v>5866</v>
      </c>
      <c r="AD67" s="334" t="s">
        <v>10152</v>
      </c>
      <c r="AE67" s="334" t="s">
        <v>143</v>
      </c>
      <c r="AF67" s="334" t="s">
        <v>10533</v>
      </c>
      <c r="AG67" s="334" t="s">
        <v>10534</v>
      </c>
      <c r="AH67" s="334" t="s">
        <v>10535</v>
      </c>
      <c r="AI67" s="334" t="s">
        <v>10536</v>
      </c>
      <c r="AJ67" s="334" t="s">
        <v>10537</v>
      </c>
      <c r="AK67" s="334" t="s">
        <v>9545</v>
      </c>
      <c r="AL67" s="334" t="s">
        <v>4542</v>
      </c>
      <c r="AM67" s="334" t="s">
        <v>10397</v>
      </c>
      <c r="AN67" s="334" t="s">
        <v>10538</v>
      </c>
      <c r="AO67" s="334" t="s">
        <v>10143</v>
      </c>
      <c r="AP67" s="334" t="s">
        <v>3329</v>
      </c>
      <c r="AQ67" s="334" t="s">
        <v>10539</v>
      </c>
      <c r="AR67" s="334" t="s">
        <v>10540</v>
      </c>
      <c r="AS67" s="334" t="s">
        <v>6614</v>
      </c>
      <c r="AT67" s="334" t="s">
        <v>10541</v>
      </c>
      <c r="AU67" s="334" t="s">
        <v>10542</v>
      </c>
      <c r="AV67" s="1474" t="str">
        <f t="shared" si="1"/>
        <v>2:37</v>
      </c>
      <c r="AW67" s="1724" t="s">
        <v>10543</v>
      </c>
    </row>
    <row r="68" ht="15.75" customHeight="1">
      <c r="A68" s="1617" t="s">
        <v>5135</v>
      </c>
      <c r="B68" s="1615" t="s">
        <v>9191</v>
      </c>
      <c r="C68" s="1556">
        <v>0.05171296296296296</v>
      </c>
      <c r="D68" s="1697" t="s">
        <v>10544</v>
      </c>
      <c r="E68" s="793" t="s">
        <v>10545</v>
      </c>
      <c r="F68" s="793" t="s">
        <v>163</v>
      </c>
      <c r="G68" s="793" t="s">
        <v>10546</v>
      </c>
      <c r="H68" s="793" t="s">
        <v>10547</v>
      </c>
      <c r="I68" s="793" t="s">
        <v>10548</v>
      </c>
      <c r="J68" s="793" t="s">
        <v>887</v>
      </c>
      <c r="K68" s="793" t="s">
        <v>4929</v>
      </c>
      <c r="L68" s="793" t="s">
        <v>1954</v>
      </c>
      <c r="M68" s="1725" t="s">
        <v>10549</v>
      </c>
      <c r="N68" s="793" t="s">
        <v>10550</v>
      </c>
      <c r="O68" s="793" t="s">
        <v>1696</v>
      </c>
      <c r="P68" s="793" t="s">
        <v>5122</v>
      </c>
      <c r="Q68" s="793" t="s">
        <v>2677</v>
      </c>
      <c r="R68" s="793" t="s">
        <v>10551</v>
      </c>
      <c r="S68" s="793" t="s">
        <v>9296</v>
      </c>
      <c r="T68" s="793" t="s">
        <v>10552</v>
      </c>
      <c r="U68" s="793" t="s">
        <v>10349</v>
      </c>
      <c r="V68" s="1725" t="s">
        <v>10553</v>
      </c>
      <c r="W68" s="1725" t="s">
        <v>10554</v>
      </c>
      <c r="X68" s="793" t="s">
        <v>10228</v>
      </c>
      <c r="Y68" s="998" t="s">
        <v>2559</v>
      </c>
      <c r="Z68" s="793" t="s">
        <v>1518</v>
      </c>
      <c r="AA68" s="793" t="s">
        <v>200</v>
      </c>
      <c r="AB68" s="1725" t="s">
        <v>10555</v>
      </c>
      <c r="AC68" s="793" t="s">
        <v>1914</v>
      </c>
      <c r="AD68" s="793" t="s">
        <v>10556</v>
      </c>
      <c r="AE68" s="793" t="s">
        <v>3855</v>
      </c>
      <c r="AF68" s="793" t="s">
        <v>10557</v>
      </c>
      <c r="AG68" s="793" t="s">
        <v>528</v>
      </c>
      <c r="AH68" s="793" t="s">
        <v>10558</v>
      </c>
      <c r="AI68" s="793" t="s">
        <v>5521</v>
      </c>
      <c r="AJ68" s="793" t="s">
        <v>10559</v>
      </c>
      <c r="AK68" s="793" t="s">
        <v>10560</v>
      </c>
      <c r="AL68" s="793" t="s">
        <v>1748</v>
      </c>
      <c r="AM68" s="793" t="s">
        <v>10388</v>
      </c>
      <c r="AN68" s="793" t="s">
        <v>10561</v>
      </c>
      <c r="AO68" s="793" t="s">
        <v>2900</v>
      </c>
      <c r="AP68" s="793" t="s">
        <v>2072</v>
      </c>
      <c r="AQ68" s="793" t="s">
        <v>759</v>
      </c>
      <c r="AR68" s="793" t="s">
        <v>10171</v>
      </c>
      <c r="AS68" s="793" t="s">
        <v>8254</v>
      </c>
      <c r="AT68" s="793" t="s">
        <v>10562</v>
      </c>
      <c r="AU68" s="793" t="s">
        <v>10563</v>
      </c>
      <c r="AV68" s="1474" t="str">
        <f t="shared" si="1"/>
        <v>4:14</v>
      </c>
      <c r="AW68" s="1720" t="s">
        <v>10564</v>
      </c>
    </row>
    <row r="69" ht="15.75" customHeight="1">
      <c r="A69" s="1617" t="s">
        <v>2189</v>
      </c>
      <c r="B69" s="1706" t="s">
        <v>9191</v>
      </c>
      <c r="C69" s="1556">
        <v>0.05173611111111111</v>
      </c>
      <c r="D69" s="998" t="s">
        <v>10565</v>
      </c>
      <c r="E69" s="793" t="s">
        <v>10566</v>
      </c>
      <c r="F69" s="793" t="s">
        <v>10567</v>
      </c>
      <c r="G69" s="793" t="s">
        <v>10568</v>
      </c>
      <c r="H69" s="793" t="s">
        <v>7011</v>
      </c>
      <c r="I69" s="793" t="s">
        <v>496</v>
      </c>
      <c r="J69" s="793" t="s">
        <v>9602</v>
      </c>
      <c r="K69" s="793" t="s">
        <v>9175</v>
      </c>
      <c r="L69" s="793" t="s">
        <v>8337</v>
      </c>
      <c r="M69" s="793" t="s">
        <v>3645</v>
      </c>
      <c r="N69" s="793" t="s">
        <v>10569</v>
      </c>
      <c r="O69" s="793" t="s">
        <v>10570</v>
      </c>
      <c r="P69" s="793" t="s">
        <v>3757</v>
      </c>
      <c r="Q69" s="793" t="s">
        <v>10571</v>
      </c>
      <c r="R69" s="793" t="s">
        <v>10512</v>
      </c>
      <c r="S69" s="793" t="s">
        <v>5655</v>
      </c>
      <c r="T69" s="793" t="s">
        <v>10572</v>
      </c>
      <c r="U69" s="793" t="s">
        <v>10573</v>
      </c>
      <c r="V69" s="793" t="s">
        <v>128</v>
      </c>
      <c r="W69" s="793" t="s">
        <v>5689</v>
      </c>
      <c r="X69" s="793" t="s">
        <v>10416</v>
      </c>
      <c r="Y69" s="793" t="s">
        <v>1165</v>
      </c>
      <c r="Z69" s="793" t="s">
        <v>10574</v>
      </c>
      <c r="AA69" s="793" t="s">
        <v>5939</v>
      </c>
      <c r="AB69" s="793" t="s">
        <v>7604</v>
      </c>
      <c r="AC69" s="793" t="s">
        <v>161</v>
      </c>
      <c r="AD69" s="793" t="s">
        <v>10441</v>
      </c>
      <c r="AE69" s="793" t="s">
        <v>9870</v>
      </c>
      <c r="AF69" s="793" t="s">
        <v>9883</v>
      </c>
      <c r="AG69" s="793" t="s">
        <v>10575</v>
      </c>
      <c r="AH69" s="793" t="s">
        <v>10576</v>
      </c>
      <c r="AI69" s="793" t="s">
        <v>10577</v>
      </c>
      <c r="AJ69" s="793" t="s">
        <v>6172</v>
      </c>
      <c r="AK69" s="793" t="s">
        <v>6862</v>
      </c>
      <c r="AL69" s="793" t="s">
        <v>10578</v>
      </c>
      <c r="AM69" s="793" t="s">
        <v>2980</v>
      </c>
      <c r="AN69" s="793" t="s">
        <v>5214</v>
      </c>
      <c r="AO69" s="793" t="s">
        <v>10341</v>
      </c>
      <c r="AP69" s="793" t="s">
        <v>10579</v>
      </c>
      <c r="AQ69" s="793" t="s">
        <v>10580</v>
      </c>
      <c r="AR69" s="793" t="s">
        <v>197</v>
      </c>
      <c r="AS69" s="793" t="s">
        <v>10581</v>
      </c>
      <c r="AT69" s="793" t="s">
        <v>10582</v>
      </c>
      <c r="AU69" s="793" t="s">
        <v>10583</v>
      </c>
      <c r="AV69" s="1474" t="str">
        <f t="shared" si="1"/>
        <v>3:51</v>
      </c>
      <c r="AW69" s="1720" t="s">
        <v>10584</v>
      </c>
    </row>
    <row r="70" ht="15.75" customHeight="1">
      <c r="A70" s="1617" t="s">
        <v>7559</v>
      </c>
      <c r="B70" s="1605" t="s">
        <v>9217</v>
      </c>
      <c r="C70" s="1556">
        <v>0.051805555555555556</v>
      </c>
      <c r="D70" s="793" t="s">
        <v>10585</v>
      </c>
      <c r="E70" s="793" t="s">
        <v>10586</v>
      </c>
      <c r="F70" s="998" t="s">
        <v>10587</v>
      </c>
      <c r="G70" s="793" t="s">
        <v>10588</v>
      </c>
      <c r="H70" s="1589" t="s">
        <v>10589</v>
      </c>
      <c r="I70" s="1589">
        <v>49.81</v>
      </c>
      <c r="J70" s="1589" t="s">
        <v>10590</v>
      </c>
      <c r="K70" s="1589" t="s">
        <v>6341</v>
      </c>
      <c r="L70" s="1589">
        <v>59.57</v>
      </c>
      <c r="M70" s="1589" t="s">
        <v>10591</v>
      </c>
      <c r="N70" s="1589" t="s">
        <v>10592</v>
      </c>
      <c r="O70" s="1588" t="s">
        <v>6949</v>
      </c>
      <c r="P70" s="1588" t="s">
        <v>10593</v>
      </c>
      <c r="Q70" s="1588" t="s">
        <v>10594</v>
      </c>
      <c r="R70" s="1589" t="s">
        <v>10595</v>
      </c>
      <c r="S70" s="1589" t="s">
        <v>10237</v>
      </c>
      <c r="T70" s="1589" t="s">
        <v>10596</v>
      </c>
      <c r="U70" s="1589" t="s">
        <v>10597</v>
      </c>
      <c r="V70" s="1589" t="s">
        <v>4329</v>
      </c>
      <c r="W70" s="1589" t="s">
        <v>10598</v>
      </c>
      <c r="X70" s="1589" t="s">
        <v>10599</v>
      </c>
      <c r="Y70" s="1588" t="s">
        <v>10101</v>
      </c>
      <c r="Z70" s="1726" t="s">
        <v>9233</v>
      </c>
      <c r="AA70" s="1589" t="s">
        <v>966</v>
      </c>
      <c r="AB70" s="1588" t="s">
        <v>4353</v>
      </c>
      <c r="AC70" s="1589">
        <v>49.53</v>
      </c>
      <c r="AD70" s="1589" t="s">
        <v>2003</v>
      </c>
      <c r="AE70" s="1588" t="s">
        <v>10600</v>
      </c>
      <c r="AF70" s="1589" t="s">
        <v>9358</v>
      </c>
      <c r="AG70" s="1589" t="s">
        <v>10601</v>
      </c>
      <c r="AH70" s="1589">
        <v>59.93</v>
      </c>
      <c r="AI70" s="1589" t="s">
        <v>10602</v>
      </c>
      <c r="AJ70" s="1589" t="s">
        <v>10603</v>
      </c>
      <c r="AK70" s="1589" t="s">
        <v>5996</v>
      </c>
      <c r="AL70" s="1589">
        <v>59.13</v>
      </c>
      <c r="AM70" s="1589" t="s">
        <v>10540</v>
      </c>
      <c r="AN70" s="1589">
        <v>57.86</v>
      </c>
      <c r="AO70" s="1589" t="s">
        <v>7289</v>
      </c>
      <c r="AP70" s="1589" t="s">
        <v>10604</v>
      </c>
      <c r="AQ70" s="1589" t="s">
        <v>10107</v>
      </c>
      <c r="AR70" s="1589" t="s">
        <v>6273</v>
      </c>
      <c r="AS70" s="1589">
        <v>47.67</v>
      </c>
      <c r="AT70" s="793" t="s">
        <v>10605</v>
      </c>
      <c r="AU70" s="793" t="s">
        <v>10606</v>
      </c>
      <c r="AV70" s="1474" t="str">
        <f t="shared" si="1"/>
        <v>2:57</v>
      </c>
      <c r="AW70" s="1705" t="s">
        <v>10607</v>
      </c>
    </row>
    <row r="71">
      <c r="A71" s="974" t="s">
        <v>1257</v>
      </c>
      <c r="B71" s="1615" t="s">
        <v>9191</v>
      </c>
      <c r="C71" s="1727">
        <v>0.05181712962962963</v>
      </c>
      <c r="D71" s="1562" t="s">
        <v>10608</v>
      </c>
      <c r="E71" s="1562" t="s">
        <v>7692</v>
      </c>
      <c r="F71" s="1562" t="s">
        <v>10609</v>
      </c>
      <c r="G71" s="1562" t="s">
        <v>10610</v>
      </c>
      <c r="H71" s="1562" t="s">
        <v>10611</v>
      </c>
      <c r="I71" s="1562" t="s">
        <v>5081</v>
      </c>
      <c r="J71" s="1562" t="s">
        <v>9587</v>
      </c>
      <c r="K71" s="1562" t="s">
        <v>9201</v>
      </c>
      <c r="L71" s="1562" t="s">
        <v>10576</v>
      </c>
      <c r="M71" s="1562" t="s">
        <v>1453</v>
      </c>
      <c r="N71" s="1562" t="s">
        <v>10073</v>
      </c>
      <c r="O71" s="1562" t="s">
        <v>7066</v>
      </c>
      <c r="P71" s="1562" t="s">
        <v>9676</v>
      </c>
      <c r="Q71" s="1562" t="s">
        <v>10612</v>
      </c>
      <c r="R71" s="1562" t="s">
        <v>6891</v>
      </c>
      <c r="S71" s="1562" t="s">
        <v>3653</v>
      </c>
      <c r="T71" s="1562" t="s">
        <v>10613</v>
      </c>
      <c r="U71" s="1562" t="s">
        <v>10614</v>
      </c>
      <c r="V71" s="1562" t="s">
        <v>10531</v>
      </c>
      <c r="W71" s="1562" t="s">
        <v>9273</v>
      </c>
      <c r="X71" s="1562" t="s">
        <v>10161</v>
      </c>
      <c r="Y71" s="1562" t="s">
        <v>10615</v>
      </c>
      <c r="Z71" s="1562" t="s">
        <v>6431</v>
      </c>
      <c r="AA71" s="1562" t="s">
        <v>957</v>
      </c>
      <c r="AB71" s="1562" t="s">
        <v>10616</v>
      </c>
      <c r="AC71" s="1562" t="s">
        <v>2098</v>
      </c>
      <c r="AD71" s="1562" t="s">
        <v>10617</v>
      </c>
      <c r="AE71" s="1562" t="s">
        <v>2174</v>
      </c>
      <c r="AF71" s="1562" t="s">
        <v>10298</v>
      </c>
      <c r="AG71" s="1562" t="s">
        <v>174</v>
      </c>
      <c r="AH71" s="1562" t="s">
        <v>10618</v>
      </c>
      <c r="AI71" s="1562" t="s">
        <v>246</v>
      </c>
      <c r="AJ71" s="1562" t="s">
        <v>10619</v>
      </c>
      <c r="AK71" s="1562" t="s">
        <v>9887</v>
      </c>
      <c r="AL71" s="1562" t="s">
        <v>4772</v>
      </c>
      <c r="AM71" s="1562" t="s">
        <v>10620</v>
      </c>
      <c r="AN71" s="1562" t="s">
        <v>9932</v>
      </c>
      <c r="AO71" s="1562" t="s">
        <v>10621</v>
      </c>
      <c r="AP71" s="1562" t="s">
        <v>10622</v>
      </c>
      <c r="AQ71" s="1562" t="s">
        <v>10623</v>
      </c>
      <c r="AR71" s="1562" t="s">
        <v>10624</v>
      </c>
      <c r="AS71" s="1562" t="s">
        <v>353</v>
      </c>
      <c r="AT71" s="1562" t="s">
        <v>10625</v>
      </c>
      <c r="AU71" s="1586" t="s">
        <v>10626</v>
      </c>
      <c r="AV71" s="1474" t="str">
        <f t="shared" si="1"/>
        <v>3:49</v>
      </c>
      <c r="AW71" s="1728" t="s">
        <v>10627</v>
      </c>
    </row>
    <row r="72" ht="15.75" customHeight="1">
      <c r="A72" s="1554" t="s">
        <v>3132</v>
      </c>
      <c r="B72" s="1650" t="s">
        <v>9191</v>
      </c>
      <c r="C72" s="1691">
        <v>0.051863425925925924</v>
      </c>
      <c r="D72" s="998" t="s">
        <v>10628</v>
      </c>
      <c r="E72" s="334" t="s">
        <v>6601</v>
      </c>
      <c r="F72" s="334" t="s">
        <v>10629</v>
      </c>
      <c r="G72" s="334" t="s">
        <v>10630</v>
      </c>
      <c r="H72" s="334" t="s">
        <v>10631</v>
      </c>
      <c r="I72" s="334" t="s">
        <v>10632</v>
      </c>
      <c r="J72" s="334" t="s">
        <v>1672</v>
      </c>
      <c r="K72" s="334" t="s">
        <v>1589</v>
      </c>
      <c r="L72" s="334" t="s">
        <v>3141</v>
      </c>
      <c r="M72" s="334" t="s">
        <v>10410</v>
      </c>
      <c r="N72" s="334" t="s">
        <v>5159</v>
      </c>
      <c r="O72" s="334" t="s">
        <v>10633</v>
      </c>
      <c r="P72" s="334" t="s">
        <v>1236</v>
      </c>
      <c r="Q72" s="334" t="s">
        <v>10634</v>
      </c>
      <c r="R72" s="334" t="s">
        <v>5816</v>
      </c>
      <c r="S72" s="334" t="s">
        <v>10635</v>
      </c>
      <c r="T72" s="334" t="s">
        <v>10636</v>
      </c>
      <c r="U72" s="334" t="s">
        <v>10637</v>
      </c>
      <c r="V72" s="334" t="s">
        <v>10180</v>
      </c>
      <c r="W72" s="334" t="s">
        <v>10638</v>
      </c>
      <c r="X72" s="334" t="s">
        <v>10536</v>
      </c>
      <c r="Y72" s="334" t="s">
        <v>3367</v>
      </c>
      <c r="Z72" s="334" t="s">
        <v>10639</v>
      </c>
      <c r="AA72" s="334" t="s">
        <v>10640</v>
      </c>
      <c r="AB72" s="334" t="s">
        <v>9052</v>
      </c>
      <c r="AC72" s="334" t="s">
        <v>5866</v>
      </c>
      <c r="AD72" s="334" t="s">
        <v>10641</v>
      </c>
      <c r="AE72" s="334" t="s">
        <v>1183</v>
      </c>
      <c r="AF72" s="334" t="s">
        <v>10642</v>
      </c>
      <c r="AG72" s="334" t="s">
        <v>10643</v>
      </c>
      <c r="AH72" s="334" t="s">
        <v>5276</v>
      </c>
      <c r="AI72" s="334" t="s">
        <v>10577</v>
      </c>
      <c r="AJ72" s="334" t="s">
        <v>10644</v>
      </c>
      <c r="AK72" s="334" t="s">
        <v>1906</v>
      </c>
      <c r="AL72" s="334" t="s">
        <v>10618</v>
      </c>
      <c r="AM72" s="334" t="s">
        <v>10645</v>
      </c>
      <c r="AN72" s="334" t="s">
        <v>3207</v>
      </c>
      <c r="AO72" s="334" t="s">
        <v>9354</v>
      </c>
      <c r="AP72" s="334" t="s">
        <v>10646</v>
      </c>
      <c r="AQ72" s="334" t="s">
        <v>10647</v>
      </c>
      <c r="AR72" s="334" t="s">
        <v>2228</v>
      </c>
      <c r="AS72" s="334" t="s">
        <v>4864</v>
      </c>
      <c r="AT72" s="334" t="s">
        <v>10648</v>
      </c>
      <c r="AU72" s="334" t="s">
        <v>10649</v>
      </c>
      <c r="AV72" s="1474" t="str">
        <f t="shared" si="1"/>
        <v>2:06</v>
      </c>
      <c r="AW72" s="1720" t="s">
        <v>10650</v>
      </c>
    </row>
    <row r="73" ht="15.75" customHeight="1">
      <c r="A73" s="1554" t="s">
        <v>1128</v>
      </c>
      <c r="B73" s="1555" t="s">
        <v>9164</v>
      </c>
      <c r="C73" s="1691">
        <v>0.051875</v>
      </c>
      <c r="D73" s="998" t="s">
        <v>10651</v>
      </c>
      <c r="E73" s="334" t="s">
        <v>3212</v>
      </c>
      <c r="F73" s="334" t="s">
        <v>10652</v>
      </c>
      <c r="G73" s="334" t="s">
        <v>10653</v>
      </c>
      <c r="H73" s="334" t="s">
        <v>10654</v>
      </c>
      <c r="I73" s="334" t="s">
        <v>10655</v>
      </c>
      <c r="J73" s="334" t="s">
        <v>2531</v>
      </c>
      <c r="K73" s="334" t="s">
        <v>10656</v>
      </c>
      <c r="L73" s="334" t="s">
        <v>9435</v>
      </c>
      <c r="M73" s="334" t="s">
        <v>7174</v>
      </c>
      <c r="N73" s="334" t="s">
        <v>9680</v>
      </c>
      <c r="O73" s="334" t="s">
        <v>4481</v>
      </c>
      <c r="P73" s="334" t="s">
        <v>1523</v>
      </c>
      <c r="Q73" s="334" t="s">
        <v>10657</v>
      </c>
      <c r="R73" s="334" t="s">
        <v>1869</v>
      </c>
      <c r="S73" s="334" t="s">
        <v>4445</v>
      </c>
      <c r="T73" s="334" t="s">
        <v>10658</v>
      </c>
      <c r="U73" s="334" t="s">
        <v>10456</v>
      </c>
      <c r="V73" s="334" t="s">
        <v>6610</v>
      </c>
      <c r="W73" s="334" t="s">
        <v>4481</v>
      </c>
      <c r="X73" s="334" t="s">
        <v>10073</v>
      </c>
      <c r="Y73" s="334" t="s">
        <v>10103</v>
      </c>
      <c r="Z73" s="334" t="s">
        <v>6556</v>
      </c>
      <c r="AA73" s="334" t="s">
        <v>420</v>
      </c>
      <c r="AB73" s="334" t="s">
        <v>624</v>
      </c>
      <c r="AC73" s="334" t="s">
        <v>4852</v>
      </c>
      <c r="AD73" s="334" t="s">
        <v>10496</v>
      </c>
      <c r="AE73" s="334" t="s">
        <v>849</v>
      </c>
      <c r="AF73" s="334" t="s">
        <v>10659</v>
      </c>
      <c r="AG73" s="334" t="s">
        <v>10660</v>
      </c>
      <c r="AH73" s="334" t="s">
        <v>10407</v>
      </c>
      <c r="AI73" s="334" t="s">
        <v>10661</v>
      </c>
      <c r="AJ73" s="334" t="s">
        <v>10662</v>
      </c>
      <c r="AK73" s="334" t="s">
        <v>10663</v>
      </c>
      <c r="AL73" s="334" t="s">
        <v>5688</v>
      </c>
      <c r="AM73" s="334" t="s">
        <v>10664</v>
      </c>
      <c r="AN73" s="334" t="s">
        <v>6410</v>
      </c>
      <c r="AO73" s="793" t="s">
        <v>10261</v>
      </c>
      <c r="AP73" s="334" t="s">
        <v>10665</v>
      </c>
      <c r="AQ73" s="334" t="s">
        <v>10666</v>
      </c>
      <c r="AR73" s="334" t="s">
        <v>9922</v>
      </c>
      <c r="AS73" s="334" t="s">
        <v>4714</v>
      </c>
      <c r="AT73" s="334" t="s">
        <v>10667</v>
      </c>
      <c r="AU73" s="793" t="s">
        <v>10668</v>
      </c>
      <c r="AV73" s="1474" t="str">
        <f t="shared" si="1"/>
        <v>0:37</v>
      </c>
      <c r="AW73" s="1724" t="s">
        <v>10669</v>
      </c>
    </row>
    <row r="74">
      <c r="A74" s="1617" t="s">
        <v>7515</v>
      </c>
      <c r="B74" s="1615" t="s">
        <v>9164</v>
      </c>
      <c r="C74" s="1556">
        <v>0.05188657407407407</v>
      </c>
      <c r="D74" s="793" t="s">
        <v>10670</v>
      </c>
      <c r="E74" s="998" t="s">
        <v>175</v>
      </c>
      <c r="F74" s="998" t="s">
        <v>10671</v>
      </c>
      <c r="G74" s="998" t="s">
        <v>10672</v>
      </c>
      <c r="H74" s="998" t="s">
        <v>10673</v>
      </c>
      <c r="I74" s="998" t="s">
        <v>143</v>
      </c>
      <c r="J74" s="998" t="s">
        <v>4153</v>
      </c>
      <c r="K74" s="998" t="s">
        <v>9897</v>
      </c>
      <c r="L74" s="998" t="s">
        <v>2881</v>
      </c>
      <c r="M74" s="998" t="s">
        <v>10674</v>
      </c>
      <c r="N74" s="998" t="s">
        <v>4078</v>
      </c>
      <c r="O74" s="998" t="s">
        <v>10675</v>
      </c>
      <c r="P74" s="998" t="s">
        <v>5219</v>
      </c>
      <c r="Q74" s="998" t="s">
        <v>10676</v>
      </c>
      <c r="R74" s="998" t="s">
        <v>5638</v>
      </c>
      <c r="S74" s="998" t="s">
        <v>10677</v>
      </c>
      <c r="T74" s="998" t="s">
        <v>9237</v>
      </c>
      <c r="U74" s="998" t="s">
        <v>10678</v>
      </c>
      <c r="V74" s="998" t="s">
        <v>5368</v>
      </c>
      <c r="W74" s="998" t="s">
        <v>10679</v>
      </c>
      <c r="X74" s="998" t="s">
        <v>10680</v>
      </c>
      <c r="Y74" s="998" t="s">
        <v>10681</v>
      </c>
      <c r="Z74" s="998" t="s">
        <v>9908</v>
      </c>
      <c r="AA74" s="998" t="s">
        <v>5178</v>
      </c>
      <c r="AB74" s="998" t="s">
        <v>691</v>
      </c>
      <c r="AC74" s="998" t="s">
        <v>10682</v>
      </c>
      <c r="AD74" s="998" t="s">
        <v>2729</v>
      </c>
      <c r="AE74" s="998" t="s">
        <v>5975</v>
      </c>
      <c r="AF74" s="998" t="s">
        <v>10683</v>
      </c>
      <c r="AG74" s="998" t="s">
        <v>2414</v>
      </c>
      <c r="AH74" s="998" t="s">
        <v>2881</v>
      </c>
      <c r="AI74" s="998" t="s">
        <v>199</v>
      </c>
      <c r="AJ74" s="998" t="s">
        <v>10684</v>
      </c>
      <c r="AK74" s="998" t="s">
        <v>9915</v>
      </c>
      <c r="AL74" s="998" t="s">
        <v>10369</v>
      </c>
      <c r="AM74" s="998" t="s">
        <v>9885</v>
      </c>
      <c r="AN74" s="998" t="s">
        <v>3639</v>
      </c>
      <c r="AO74" s="998" t="s">
        <v>4860</v>
      </c>
      <c r="AP74" s="998" t="s">
        <v>10324</v>
      </c>
      <c r="AQ74" s="998" t="s">
        <v>10666</v>
      </c>
      <c r="AR74" s="998" t="s">
        <v>10685</v>
      </c>
      <c r="AS74" s="998" t="s">
        <v>6614</v>
      </c>
      <c r="AT74" s="998" t="s">
        <v>9415</v>
      </c>
      <c r="AU74" s="793" t="s">
        <v>10686</v>
      </c>
      <c r="AV74" s="1474" t="str">
        <f t="shared" si="1"/>
        <v>4:21</v>
      </c>
      <c r="AW74" s="1720" t="s">
        <v>10687</v>
      </c>
    </row>
    <row r="75">
      <c r="A75" s="1617" t="s">
        <v>9106</v>
      </c>
      <c r="B75" s="1605" t="s">
        <v>9164</v>
      </c>
      <c r="C75" s="1556">
        <v>0.05193287037037037</v>
      </c>
      <c r="D75" s="1697" t="s">
        <v>10688</v>
      </c>
      <c r="E75" s="793" t="s">
        <v>7215</v>
      </c>
      <c r="F75" s="793" t="s">
        <v>10689</v>
      </c>
      <c r="G75" s="793" t="s">
        <v>10690</v>
      </c>
      <c r="H75" s="793" t="s">
        <v>10691</v>
      </c>
      <c r="I75" s="793" t="s">
        <v>2384</v>
      </c>
      <c r="J75" s="793" t="s">
        <v>4264</v>
      </c>
      <c r="K75" s="793" t="s">
        <v>9838</v>
      </c>
      <c r="L75" s="793"/>
      <c r="M75" s="793" t="s">
        <v>6816</v>
      </c>
      <c r="N75" s="793" t="s">
        <v>4698</v>
      </c>
      <c r="O75" s="793" t="s">
        <v>9231</v>
      </c>
      <c r="P75" s="793" t="s">
        <v>10317</v>
      </c>
      <c r="Q75" s="793" t="s">
        <v>10692</v>
      </c>
      <c r="R75" s="793" t="s">
        <v>10693</v>
      </c>
      <c r="S75" s="793" t="s">
        <v>9496</v>
      </c>
      <c r="T75" s="793" t="s">
        <v>9853</v>
      </c>
      <c r="U75" s="793" t="s">
        <v>2269</v>
      </c>
      <c r="V75" s="793" t="s">
        <v>9695</v>
      </c>
      <c r="W75" s="793" t="s">
        <v>6001</v>
      </c>
      <c r="X75" s="793" t="s">
        <v>630</v>
      </c>
      <c r="Y75" s="793" t="s">
        <v>9662</v>
      </c>
      <c r="Z75" s="793" t="s">
        <v>10047</v>
      </c>
      <c r="AA75" s="793" t="s">
        <v>7301</v>
      </c>
      <c r="AB75" s="793" t="s">
        <v>9531</v>
      </c>
      <c r="AC75" s="793" t="s">
        <v>3015</v>
      </c>
      <c r="AD75" s="793" t="s">
        <v>10694</v>
      </c>
      <c r="AE75" s="793" t="s">
        <v>10695</v>
      </c>
      <c r="AF75" s="793" t="s">
        <v>10696</v>
      </c>
      <c r="AG75" s="793" t="s">
        <v>10460</v>
      </c>
      <c r="AH75" s="793" t="s">
        <v>10697</v>
      </c>
      <c r="AI75" s="793" t="s">
        <v>10698</v>
      </c>
      <c r="AJ75" s="793" t="s">
        <v>10699</v>
      </c>
      <c r="AK75" s="793" t="s">
        <v>10700</v>
      </c>
      <c r="AL75" s="793" t="s">
        <v>3362</v>
      </c>
      <c r="AM75" s="793" t="s">
        <v>10701</v>
      </c>
      <c r="AN75" s="793" t="s">
        <v>3651</v>
      </c>
      <c r="AO75" s="793" t="s">
        <v>10702</v>
      </c>
      <c r="AP75" s="793" t="s">
        <v>10703</v>
      </c>
      <c r="AQ75" s="793" t="s">
        <v>10704</v>
      </c>
      <c r="AR75" s="793" t="s">
        <v>10705</v>
      </c>
      <c r="AS75" s="793" t="s">
        <v>3798</v>
      </c>
      <c r="AT75" s="793" t="s">
        <v>10706</v>
      </c>
      <c r="AU75" s="793" t="s">
        <v>10707</v>
      </c>
      <c r="AV75" s="1474" t="str">
        <f t="shared" si="1"/>
        <v>4:12</v>
      </c>
      <c r="AW75" s="1724"/>
    </row>
    <row r="76" ht="15.75" customHeight="1">
      <c r="A76" s="1681" t="s">
        <v>10708</v>
      </c>
      <c r="B76" s="1555" t="s">
        <v>9164</v>
      </c>
      <c r="C76" s="1691">
        <v>0.05199074074074074</v>
      </c>
      <c r="D76" s="998" t="s">
        <v>10709</v>
      </c>
      <c r="E76" s="334" t="s">
        <v>10710</v>
      </c>
      <c r="F76" s="334" t="s">
        <v>10711</v>
      </c>
      <c r="G76" s="334" t="s">
        <v>10712</v>
      </c>
      <c r="H76" s="334" t="s">
        <v>7104</v>
      </c>
      <c r="I76" s="334" t="s">
        <v>10275</v>
      </c>
      <c r="J76" s="334" t="s">
        <v>10713</v>
      </c>
      <c r="K76" s="334" t="s">
        <v>10714</v>
      </c>
      <c r="L76" s="334" t="s">
        <v>3141</v>
      </c>
      <c r="M76" s="334" t="s">
        <v>10715</v>
      </c>
      <c r="N76" s="334" t="s">
        <v>9982</v>
      </c>
      <c r="O76" s="334" t="s">
        <v>10716</v>
      </c>
      <c r="P76" s="334" t="s">
        <v>2438</v>
      </c>
      <c r="Q76" s="334" t="s">
        <v>5138</v>
      </c>
      <c r="R76" s="334" t="s">
        <v>5418</v>
      </c>
      <c r="S76" s="334" t="s">
        <v>10717</v>
      </c>
      <c r="T76" s="334" t="s">
        <v>5900</v>
      </c>
      <c r="U76" s="334" t="s">
        <v>10718</v>
      </c>
      <c r="V76" s="334" t="s">
        <v>6610</v>
      </c>
      <c r="W76" s="334" t="s">
        <v>7521</v>
      </c>
      <c r="X76" s="334" t="s">
        <v>10719</v>
      </c>
      <c r="Y76" s="334" t="s">
        <v>2098</v>
      </c>
      <c r="Z76" s="334" t="s">
        <v>10720</v>
      </c>
      <c r="AA76" s="334" t="s">
        <v>10413</v>
      </c>
      <c r="AB76" s="334" t="s">
        <v>10721</v>
      </c>
      <c r="AC76" s="334" t="s">
        <v>5589</v>
      </c>
      <c r="AD76" s="334" t="s">
        <v>10722</v>
      </c>
      <c r="AE76" s="334" t="s">
        <v>7798</v>
      </c>
      <c r="AF76" s="334" t="s">
        <v>10723</v>
      </c>
      <c r="AG76" s="334" t="s">
        <v>10663</v>
      </c>
      <c r="AH76" s="334" t="s">
        <v>10724</v>
      </c>
      <c r="AI76" s="334" t="s">
        <v>10725</v>
      </c>
      <c r="AJ76" s="334" t="s">
        <v>10726</v>
      </c>
      <c r="AK76" s="334" t="s">
        <v>810</v>
      </c>
      <c r="AL76" s="334" t="s">
        <v>3342</v>
      </c>
      <c r="AM76" s="334" t="s">
        <v>10165</v>
      </c>
      <c r="AN76" s="334" t="s">
        <v>10727</v>
      </c>
      <c r="AO76" s="793" t="s">
        <v>10728</v>
      </c>
      <c r="AP76" s="793" t="s">
        <v>10729</v>
      </c>
      <c r="AQ76" s="334" t="s">
        <v>5458</v>
      </c>
      <c r="AR76" s="334" t="s">
        <v>10201</v>
      </c>
      <c r="AS76" s="334" t="s">
        <v>1009</v>
      </c>
      <c r="AT76" s="334" t="s">
        <v>10318</v>
      </c>
      <c r="AU76" s="1722" t="str">
        <f>HYPERLINK("https://splits.io/m3t","1:18:40")</f>
        <v>1:18:40</v>
      </c>
      <c r="AV76" s="1474" t="str">
        <f t="shared" si="1"/>
        <v>3:48</v>
      </c>
      <c r="AW76" s="1723" t="s">
        <v>10730</v>
      </c>
    </row>
    <row r="77" ht="15.75" customHeight="1">
      <c r="A77" s="1681" t="s">
        <v>10731</v>
      </c>
      <c r="B77" s="1555" t="s">
        <v>9164</v>
      </c>
      <c r="C77" s="1691">
        <v>0.052002314814814814</v>
      </c>
      <c r="D77" s="998" t="s">
        <v>10732</v>
      </c>
      <c r="E77" s="334" t="s">
        <v>9508</v>
      </c>
      <c r="F77" s="334" t="s">
        <v>10733</v>
      </c>
      <c r="G77" s="334" t="s">
        <v>10734</v>
      </c>
      <c r="H77" s="334" t="s">
        <v>10735</v>
      </c>
      <c r="I77" s="334" t="s">
        <v>3652</v>
      </c>
      <c r="J77" s="334" t="s">
        <v>9874</v>
      </c>
      <c r="K77" s="334" t="s">
        <v>4445</v>
      </c>
      <c r="L77" s="334" t="s">
        <v>3501</v>
      </c>
      <c r="M77" s="334" t="s">
        <v>10455</v>
      </c>
      <c r="N77" s="334" t="s">
        <v>4485</v>
      </c>
      <c r="O77" s="334" t="s">
        <v>10736</v>
      </c>
      <c r="P77" s="334" t="s">
        <v>10737</v>
      </c>
      <c r="Q77" s="334" t="s">
        <v>4942</v>
      </c>
      <c r="R77" s="334" t="s">
        <v>1453</v>
      </c>
      <c r="S77" s="334" t="s">
        <v>9954</v>
      </c>
      <c r="T77" s="334" t="s">
        <v>529</v>
      </c>
      <c r="U77" s="334" t="s">
        <v>1989</v>
      </c>
      <c r="V77" s="334" t="s">
        <v>465</v>
      </c>
      <c r="W77" s="334" t="s">
        <v>5842</v>
      </c>
      <c r="X77" s="334" t="s">
        <v>10232</v>
      </c>
      <c r="Y77" s="334" t="s">
        <v>2448</v>
      </c>
      <c r="Z77" s="334" t="s">
        <v>5348</v>
      </c>
      <c r="AA77" s="334" t="s">
        <v>9982</v>
      </c>
      <c r="AB77" s="334" t="s">
        <v>10738</v>
      </c>
      <c r="AC77" s="334" t="s">
        <v>3113</v>
      </c>
      <c r="AD77" s="334" t="s">
        <v>10739</v>
      </c>
      <c r="AE77" s="334" t="s">
        <v>5219</v>
      </c>
      <c r="AF77" s="334" t="s">
        <v>10740</v>
      </c>
      <c r="AG77" s="334" t="s">
        <v>10741</v>
      </c>
      <c r="AH77" s="334" t="s">
        <v>2253</v>
      </c>
      <c r="AI77" s="334" t="s">
        <v>10742</v>
      </c>
      <c r="AJ77" s="334" t="s">
        <v>10743</v>
      </c>
      <c r="AK77" s="334" t="s">
        <v>4647</v>
      </c>
      <c r="AL77" s="334" t="s">
        <v>6178</v>
      </c>
      <c r="AM77" s="334" t="s">
        <v>1458</v>
      </c>
      <c r="AN77" s="334" t="s">
        <v>5575</v>
      </c>
      <c r="AO77" s="334" t="s">
        <v>5283</v>
      </c>
      <c r="AP77" s="334" t="s">
        <v>4693</v>
      </c>
      <c r="AQ77" s="334" t="s">
        <v>10744</v>
      </c>
      <c r="AR77" s="334" t="s">
        <v>10745</v>
      </c>
      <c r="AS77" s="334" t="s">
        <v>10746</v>
      </c>
      <c r="AT77" s="334" t="s">
        <v>10747</v>
      </c>
      <c r="AU77" s="334" t="s">
        <v>10748</v>
      </c>
      <c r="AV77" s="1474" t="str">
        <f t="shared" si="1"/>
        <v>3:32</v>
      </c>
      <c r="AW77" s="1723" t="s">
        <v>10749</v>
      </c>
    </row>
    <row r="78" ht="15.75" customHeight="1">
      <c r="A78" s="1681" t="s">
        <v>10750</v>
      </c>
      <c r="B78" s="1650" t="s">
        <v>9191</v>
      </c>
      <c r="C78" s="1691">
        <v>0.05201388888888889</v>
      </c>
      <c r="D78" s="998" t="s">
        <v>10751</v>
      </c>
      <c r="E78" s="793" t="s">
        <v>10752</v>
      </c>
      <c r="F78" s="334" t="s">
        <v>10753</v>
      </c>
      <c r="G78" s="334" t="s">
        <v>10754</v>
      </c>
      <c r="H78" s="334" t="s">
        <v>129</v>
      </c>
      <c r="I78" s="334" t="s">
        <v>10755</v>
      </c>
      <c r="J78" s="334" t="s">
        <v>10756</v>
      </c>
      <c r="K78" s="334" t="s">
        <v>4221</v>
      </c>
      <c r="L78" s="334" t="s">
        <v>10757</v>
      </c>
      <c r="M78" s="334" t="s">
        <v>10758</v>
      </c>
      <c r="N78" s="334" t="s">
        <v>10759</v>
      </c>
      <c r="O78" s="334" t="s">
        <v>10760</v>
      </c>
      <c r="P78" s="334" t="s">
        <v>161</v>
      </c>
      <c r="Q78" s="334" t="s">
        <v>10761</v>
      </c>
      <c r="R78" s="334" t="s">
        <v>6942</v>
      </c>
      <c r="S78" s="334" t="s">
        <v>10762</v>
      </c>
      <c r="T78" s="334" t="s">
        <v>10763</v>
      </c>
      <c r="U78" s="334" t="s">
        <v>10764</v>
      </c>
      <c r="V78" s="334" t="s">
        <v>8512</v>
      </c>
      <c r="W78" s="334" t="s">
        <v>10765</v>
      </c>
      <c r="X78" s="334" t="s">
        <v>10232</v>
      </c>
      <c r="Y78" s="334" t="s">
        <v>209</v>
      </c>
      <c r="Z78" s="334" t="s">
        <v>2378</v>
      </c>
      <c r="AA78" s="334" t="s">
        <v>5963</v>
      </c>
      <c r="AB78" s="334" t="s">
        <v>9555</v>
      </c>
      <c r="AC78" s="334" t="s">
        <v>927</v>
      </c>
      <c r="AD78" s="334" t="s">
        <v>10766</v>
      </c>
      <c r="AE78" s="334" t="s">
        <v>1165</v>
      </c>
      <c r="AF78" s="334" t="s">
        <v>10767</v>
      </c>
      <c r="AG78" s="334" t="s">
        <v>2980</v>
      </c>
      <c r="AH78" s="334" t="s">
        <v>6219</v>
      </c>
      <c r="AI78" s="334" t="s">
        <v>1568</v>
      </c>
      <c r="AJ78" s="334" t="s">
        <v>10768</v>
      </c>
      <c r="AK78" s="334" t="s">
        <v>3628</v>
      </c>
      <c r="AL78" s="334" t="s">
        <v>3900</v>
      </c>
      <c r="AM78" s="334" t="s">
        <v>841</v>
      </c>
      <c r="AN78" s="334" t="s">
        <v>4542</v>
      </c>
      <c r="AO78" s="334" t="s">
        <v>2255</v>
      </c>
      <c r="AP78" s="334" t="s">
        <v>10769</v>
      </c>
      <c r="AQ78" s="334" t="s">
        <v>1072</v>
      </c>
      <c r="AR78" s="334" t="s">
        <v>9232</v>
      </c>
      <c r="AS78" s="334" t="s">
        <v>9172</v>
      </c>
      <c r="AT78" s="334" t="s">
        <v>10770</v>
      </c>
      <c r="AU78" s="334" t="s">
        <v>10771</v>
      </c>
      <c r="AV78" s="1474" t="str">
        <f t="shared" si="1"/>
        <v>2:58</v>
      </c>
      <c r="AW78" s="1724" t="s">
        <v>10772</v>
      </c>
    </row>
    <row r="79" ht="15.75" customHeight="1">
      <c r="A79" s="1554" t="s">
        <v>7159</v>
      </c>
      <c r="B79" s="1650" t="s">
        <v>9191</v>
      </c>
      <c r="C79" s="1691">
        <v>0.05207175925925926</v>
      </c>
      <c r="D79" s="998" t="s">
        <v>10773</v>
      </c>
      <c r="E79" s="334" t="s">
        <v>10774</v>
      </c>
      <c r="F79" s="334" t="s">
        <v>10775</v>
      </c>
      <c r="G79" s="334" t="s">
        <v>10776</v>
      </c>
      <c r="H79" s="334" t="s">
        <v>9414</v>
      </c>
      <c r="I79" s="334" t="s">
        <v>4927</v>
      </c>
      <c r="J79" s="334" t="s">
        <v>9784</v>
      </c>
      <c r="K79" s="334" t="s">
        <v>10421</v>
      </c>
      <c r="L79" s="334" t="s">
        <v>10777</v>
      </c>
      <c r="M79" s="334" t="s">
        <v>2819</v>
      </c>
      <c r="N79" s="334" t="s">
        <v>10778</v>
      </c>
      <c r="O79" s="334" t="s">
        <v>10779</v>
      </c>
      <c r="P79" s="334" t="s">
        <v>767</v>
      </c>
      <c r="Q79" s="334" t="s">
        <v>10780</v>
      </c>
      <c r="R79" s="334" t="s">
        <v>4960</v>
      </c>
      <c r="S79" s="334" t="s">
        <v>6196</v>
      </c>
      <c r="T79" s="334" t="s">
        <v>5900</v>
      </c>
      <c r="U79" s="334" t="s">
        <v>10781</v>
      </c>
      <c r="V79" s="334" t="s">
        <v>2420</v>
      </c>
      <c r="W79" s="334" t="s">
        <v>9236</v>
      </c>
      <c r="X79" s="334" t="s">
        <v>10782</v>
      </c>
      <c r="Y79" s="334" t="s">
        <v>1409</v>
      </c>
      <c r="Z79" s="334" t="s">
        <v>6912</v>
      </c>
      <c r="AA79" s="334" t="s">
        <v>1483</v>
      </c>
      <c r="AB79" s="334" t="s">
        <v>10783</v>
      </c>
      <c r="AC79" s="334" t="s">
        <v>239</v>
      </c>
      <c r="AD79" s="334" t="s">
        <v>4271</v>
      </c>
      <c r="AE79" s="334" t="s">
        <v>6156</v>
      </c>
      <c r="AF79" s="334" t="s">
        <v>10784</v>
      </c>
      <c r="AG79" s="334" t="s">
        <v>10232</v>
      </c>
      <c r="AH79" s="334" t="s">
        <v>8340</v>
      </c>
      <c r="AI79" s="334" t="s">
        <v>10577</v>
      </c>
      <c r="AJ79" s="334" t="s">
        <v>10785</v>
      </c>
      <c r="AK79" s="334" t="s">
        <v>10786</v>
      </c>
      <c r="AL79" s="334" t="s">
        <v>4366</v>
      </c>
      <c r="AM79" s="334" t="s">
        <v>10339</v>
      </c>
      <c r="AN79" s="334" t="s">
        <v>3900</v>
      </c>
      <c r="AO79" s="334" t="s">
        <v>4221</v>
      </c>
      <c r="AP79" s="334" t="s">
        <v>10064</v>
      </c>
      <c r="AQ79" s="334" t="s">
        <v>10787</v>
      </c>
      <c r="AR79" s="334" t="s">
        <v>1482</v>
      </c>
      <c r="AS79" s="334" t="s">
        <v>6317</v>
      </c>
      <c r="AT79" s="334" t="s">
        <v>7285</v>
      </c>
      <c r="AU79" s="334" t="s">
        <v>10788</v>
      </c>
      <c r="AV79" s="1474" t="str">
        <f t="shared" si="1"/>
        <v>3:10</v>
      </c>
      <c r="AW79" s="1724" t="s">
        <v>10789</v>
      </c>
    </row>
    <row r="80">
      <c r="A80" s="974" t="s">
        <v>3905</v>
      </c>
      <c r="B80" s="1710" t="s">
        <v>9217</v>
      </c>
      <c r="C80" s="1654">
        <v>0.052141203703703703</v>
      </c>
      <c r="D80" s="998" t="s">
        <v>10790</v>
      </c>
      <c r="E80" s="1640" t="s">
        <v>3007</v>
      </c>
      <c r="F80" s="1640" t="s">
        <v>10791</v>
      </c>
      <c r="G80" s="1678" t="s">
        <v>10792</v>
      </c>
      <c r="H80" s="1678" t="s">
        <v>10793</v>
      </c>
      <c r="I80" s="1678" t="s">
        <v>2433</v>
      </c>
      <c r="J80" s="1678" t="s">
        <v>8156</v>
      </c>
      <c r="K80" s="1729" t="s">
        <v>6348</v>
      </c>
      <c r="L80" s="1730" t="s">
        <v>8337</v>
      </c>
      <c r="M80" s="1678" t="s">
        <v>10794</v>
      </c>
      <c r="N80" s="1678" t="s">
        <v>5900</v>
      </c>
      <c r="O80" s="1678" t="s">
        <v>5641</v>
      </c>
      <c r="P80" s="1678" t="s">
        <v>1914</v>
      </c>
      <c r="Q80" s="1678" t="s">
        <v>10795</v>
      </c>
      <c r="R80" s="1678" t="s">
        <v>10796</v>
      </c>
      <c r="S80" s="1731" t="s">
        <v>2267</v>
      </c>
      <c r="T80" s="1678" t="s">
        <v>9488</v>
      </c>
      <c r="U80" s="1678" t="s">
        <v>3550</v>
      </c>
      <c r="V80" s="1678" t="s">
        <v>10797</v>
      </c>
      <c r="W80" s="1678" t="s">
        <v>10798</v>
      </c>
      <c r="X80" s="1678" t="s">
        <v>4470</v>
      </c>
      <c r="Y80" s="1678" t="s">
        <v>3692</v>
      </c>
      <c r="Z80" s="1678" t="s">
        <v>4190</v>
      </c>
      <c r="AA80" s="1678" t="s">
        <v>174</v>
      </c>
      <c r="AB80" s="1678" t="s">
        <v>627</v>
      </c>
      <c r="AC80" s="1678" t="s">
        <v>6156</v>
      </c>
      <c r="AD80" s="1562" t="s">
        <v>9620</v>
      </c>
      <c r="AE80" s="1678" t="s">
        <v>479</v>
      </c>
      <c r="AF80" s="1678" t="s">
        <v>10799</v>
      </c>
      <c r="AG80" s="1678" t="s">
        <v>10800</v>
      </c>
      <c r="AH80" s="1678" t="s">
        <v>4590</v>
      </c>
      <c r="AI80" s="1678" t="s">
        <v>10801</v>
      </c>
      <c r="AJ80" s="1678" t="s">
        <v>10802</v>
      </c>
      <c r="AK80" s="1678" t="s">
        <v>10803</v>
      </c>
      <c r="AL80" s="1678" t="s">
        <v>5051</v>
      </c>
      <c r="AM80" s="1678" t="s">
        <v>10462</v>
      </c>
      <c r="AN80" s="1678" t="s">
        <v>4333</v>
      </c>
      <c r="AO80" s="1678" t="s">
        <v>9602</v>
      </c>
      <c r="AP80" s="1678" t="s">
        <v>10804</v>
      </c>
      <c r="AQ80" s="1729" t="s">
        <v>9244</v>
      </c>
      <c r="AR80" s="1678" t="s">
        <v>10805</v>
      </c>
      <c r="AS80" s="1732" t="s">
        <v>756</v>
      </c>
      <c r="AT80" s="1678" t="s">
        <v>10806</v>
      </c>
      <c r="AU80" s="1607" t="s">
        <v>10807</v>
      </c>
      <c r="AV80" s="1474" t="str">
        <f t="shared" si="1"/>
        <v>4:08</v>
      </c>
      <c r="AW80" s="1666" t="s">
        <v>10808</v>
      </c>
    </row>
    <row r="81">
      <c r="A81" s="1617" t="s">
        <v>3971</v>
      </c>
      <c r="B81" s="1605" t="s">
        <v>9164</v>
      </c>
      <c r="C81" s="1556">
        <v>0.0522337962962963</v>
      </c>
      <c r="D81" s="1697" t="s">
        <v>10809</v>
      </c>
      <c r="E81" s="793" t="s">
        <v>10810</v>
      </c>
      <c r="F81" s="793" t="s">
        <v>10811</v>
      </c>
      <c r="G81" s="793" t="s">
        <v>10812</v>
      </c>
      <c r="H81" s="793" t="s">
        <v>10813</v>
      </c>
      <c r="I81" s="793" t="s">
        <v>1974</v>
      </c>
      <c r="J81" s="793" t="s">
        <v>8891</v>
      </c>
      <c r="K81" s="793" t="s">
        <v>4445</v>
      </c>
      <c r="L81" s="793" t="s">
        <v>5832</v>
      </c>
      <c r="M81" s="793" t="s">
        <v>10814</v>
      </c>
      <c r="N81" s="793" t="s">
        <v>10209</v>
      </c>
      <c r="O81" s="793" t="s">
        <v>10815</v>
      </c>
      <c r="P81" s="793" t="s">
        <v>5219</v>
      </c>
      <c r="Q81" s="793" t="s">
        <v>10816</v>
      </c>
      <c r="R81" s="793" t="s">
        <v>6346</v>
      </c>
      <c r="S81" s="793" t="s">
        <v>609</v>
      </c>
      <c r="T81" s="793" t="s">
        <v>10620</v>
      </c>
      <c r="U81" s="793" t="s">
        <v>9644</v>
      </c>
      <c r="V81" s="793" t="s">
        <v>10817</v>
      </c>
      <c r="W81" s="793" t="s">
        <v>10818</v>
      </c>
      <c r="X81" s="793" t="s">
        <v>10819</v>
      </c>
      <c r="Y81" s="793" t="s">
        <v>761</v>
      </c>
      <c r="Z81" s="793" t="s">
        <v>10820</v>
      </c>
      <c r="AA81" s="998" t="s">
        <v>10821</v>
      </c>
      <c r="AB81" s="793" t="s">
        <v>8283</v>
      </c>
      <c r="AC81" s="793" t="s">
        <v>10600</v>
      </c>
      <c r="AD81" s="793" t="s">
        <v>7101</v>
      </c>
      <c r="AE81" s="793" t="s">
        <v>2162</v>
      </c>
      <c r="AF81" s="1038" t="s">
        <v>10822</v>
      </c>
      <c r="AG81" s="793" t="s">
        <v>10823</v>
      </c>
      <c r="AH81" s="793" t="s">
        <v>5099</v>
      </c>
      <c r="AI81" s="793" t="s">
        <v>7828</v>
      </c>
      <c r="AJ81" s="793" t="s">
        <v>10824</v>
      </c>
      <c r="AK81" s="793" t="s">
        <v>10825</v>
      </c>
      <c r="AL81" s="793" t="s">
        <v>10538</v>
      </c>
      <c r="AM81" s="793" t="s">
        <v>10211</v>
      </c>
      <c r="AN81" s="793" t="s">
        <v>999</v>
      </c>
      <c r="AO81" s="793" t="s">
        <v>6527</v>
      </c>
      <c r="AP81" s="793" t="s">
        <v>5691</v>
      </c>
      <c r="AQ81" s="793" t="s">
        <v>10826</v>
      </c>
      <c r="AR81" s="793" t="s">
        <v>694</v>
      </c>
      <c r="AS81" s="1038" t="s">
        <v>2827</v>
      </c>
      <c r="AT81" s="793" t="s">
        <v>10827</v>
      </c>
      <c r="AU81" s="793" t="s">
        <v>10828</v>
      </c>
      <c r="AV81" s="1474" t="str">
        <f t="shared" si="1"/>
        <v>4:32</v>
      </c>
      <c r="AW81" s="1720" t="s">
        <v>10829</v>
      </c>
    </row>
    <row r="82">
      <c r="A82" s="1617" t="s">
        <v>5305</v>
      </c>
      <c r="B82" s="1615" t="s">
        <v>9191</v>
      </c>
      <c r="C82" s="1556">
        <v>0.05232638888888889</v>
      </c>
      <c r="D82" s="1697" t="s">
        <v>10830</v>
      </c>
      <c r="E82" s="793" t="s">
        <v>1233</v>
      </c>
      <c r="F82" s="793" t="s">
        <v>10831</v>
      </c>
      <c r="G82" s="793" t="s">
        <v>10832</v>
      </c>
      <c r="H82" s="793" t="s">
        <v>10833</v>
      </c>
      <c r="I82" s="793" t="s">
        <v>1351</v>
      </c>
      <c r="J82" s="793" t="s">
        <v>7443</v>
      </c>
      <c r="K82" s="793" t="s">
        <v>10432</v>
      </c>
      <c r="L82" s="793" t="s">
        <v>10834</v>
      </c>
      <c r="M82" s="793" t="s">
        <v>7089</v>
      </c>
      <c r="N82" s="793" t="s">
        <v>10835</v>
      </c>
      <c r="O82" s="793" t="s">
        <v>10836</v>
      </c>
      <c r="P82" s="793" t="s">
        <v>520</v>
      </c>
      <c r="Q82" s="793" t="s">
        <v>10272</v>
      </c>
      <c r="R82" s="793" t="s">
        <v>5272</v>
      </c>
      <c r="S82" s="793" t="s">
        <v>10073</v>
      </c>
      <c r="T82" s="793" t="s">
        <v>10837</v>
      </c>
      <c r="U82" s="793" t="s">
        <v>10838</v>
      </c>
      <c r="V82" s="793" t="s">
        <v>10839</v>
      </c>
      <c r="W82" s="793" t="s">
        <v>6438</v>
      </c>
      <c r="X82" s="793" t="s">
        <v>312</v>
      </c>
      <c r="Y82" s="793" t="s">
        <v>7625</v>
      </c>
      <c r="Z82" s="793" t="s">
        <v>782</v>
      </c>
      <c r="AA82" s="334" t="s">
        <v>10073</v>
      </c>
      <c r="AB82" s="793" t="s">
        <v>10840</v>
      </c>
      <c r="AC82" s="793" t="s">
        <v>6342</v>
      </c>
      <c r="AD82" s="793" t="s">
        <v>10841</v>
      </c>
      <c r="AE82" s="793" t="s">
        <v>225</v>
      </c>
      <c r="AF82" s="793" t="s">
        <v>9748</v>
      </c>
      <c r="AG82" s="793" t="s">
        <v>4083</v>
      </c>
      <c r="AH82" s="793" t="s">
        <v>1954</v>
      </c>
      <c r="AI82" s="793" t="s">
        <v>419</v>
      </c>
      <c r="AJ82" s="793" t="s">
        <v>10842</v>
      </c>
      <c r="AK82" s="793" t="s">
        <v>10843</v>
      </c>
      <c r="AL82" s="793" t="s">
        <v>10578</v>
      </c>
      <c r="AM82" s="793" t="s">
        <v>2980</v>
      </c>
      <c r="AN82" s="793" t="s">
        <v>6070</v>
      </c>
      <c r="AO82" s="793" t="s">
        <v>3727</v>
      </c>
      <c r="AP82" s="793" t="s">
        <v>10844</v>
      </c>
      <c r="AQ82" s="793" t="s">
        <v>7088</v>
      </c>
      <c r="AR82" s="793" t="s">
        <v>6341</v>
      </c>
      <c r="AS82" s="793" t="s">
        <v>10845</v>
      </c>
      <c r="AT82" s="793" t="s">
        <v>10846</v>
      </c>
      <c r="AU82" s="793" t="s">
        <v>10847</v>
      </c>
      <c r="AV82" s="1474" t="str">
        <f t="shared" si="1"/>
        <v>3:48</v>
      </c>
      <c r="AW82" s="1724"/>
    </row>
    <row r="83" ht="15.75" customHeight="1">
      <c r="A83" s="1554" t="s">
        <v>10848</v>
      </c>
      <c r="B83" s="1555" t="s">
        <v>9164</v>
      </c>
      <c r="C83" s="1691">
        <v>0.05240740740740741</v>
      </c>
      <c r="D83" s="998" t="s">
        <v>10849</v>
      </c>
      <c r="E83" s="334" t="s">
        <v>1745</v>
      </c>
      <c r="F83" s="334" t="s">
        <v>7451</v>
      </c>
      <c r="G83" s="334" t="s">
        <v>10559</v>
      </c>
      <c r="H83" s="334" t="s">
        <v>10850</v>
      </c>
      <c r="I83" s="334" t="s">
        <v>10851</v>
      </c>
      <c r="J83" s="334" t="s">
        <v>10852</v>
      </c>
      <c r="K83" s="334" t="s">
        <v>10853</v>
      </c>
      <c r="L83" s="334" t="s">
        <v>4475</v>
      </c>
      <c r="M83" s="334" t="s">
        <v>3300</v>
      </c>
      <c r="N83" s="334" t="s">
        <v>4882</v>
      </c>
      <c r="O83" s="334" t="s">
        <v>10854</v>
      </c>
      <c r="P83" s="334" t="s">
        <v>10855</v>
      </c>
      <c r="Q83" s="334" t="s">
        <v>4247</v>
      </c>
      <c r="R83" s="334" t="s">
        <v>10179</v>
      </c>
      <c r="S83" s="334" t="s">
        <v>10341</v>
      </c>
      <c r="T83" s="334" t="s">
        <v>5100</v>
      </c>
      <c r="U83" s="334" t="s">
        <v>10856</v>
      </c>
      <c r="V83" s="334" t="s">
        <v>10857</v>
      </c>
      <c r="W83" s="334" t="s">
        <v>10858</v>
      </c>
      <c r="X83" s="334" t="s">
        <v>10859</v>
      </c>
      <c r="Y83" s="334" t="s">
        <v>6626</v>
      </c>
      <c r="Z83" s="334" t="s">
        <v>10720</v>
      </c>
      <c r="AA83" s="334" t="s">
        <v>1934</v>
      </c>
      <c r="AB83" s="334" t="s">
        <v>7000</v>
      </c>
      <c r="AC83" s="334" t="s">
        <v>1537</v>
      </c>
      <c r="AD83" s="334" t="s">
        <v>10860</v>
      </c>
      <c r="AE83" s="334" t="s">
        <v>1537</v>
      </c>
      <c r="AF83" s="334" t="s">
        <v>10861</v>
      </c>
      <c r="AG83" s="334" t="s">
        <v>10498</v>
      </c>
      <c r="AH83" s="334" t="s">
        <v>2112</v>
      </c>
      <c r="AI83" s="334" t="s">
        <v>3371</v>
      </c>
      <c r="AJ83" s="334" t="s">
        <v>10862</v>
      </c>
      <c r="AK83" s="334" t="s">
        <v>8284</v>
      </c>
      <c r="AL83" s="334" t="s">
        <v>10863</v>
      </c>
      <c r="AM83" s="334" t="s">
        <v>1190</v>
      </c>
      <c r="AN83" s="334" t="s">
        <v>3008</v>
      </c>
      <c r="AO83" s="334" t="s">
        <v>10864</v>
      </c>
      <c r="AP83" s="334" t="s">
        <v>3661</v>
      </c>
      <c r="AQ83" s="334" t="s">
        <v>10865</v>
      </c>
      <c r="AR83" s="334" t="s">
        <v>10866</v>
      </c>
      <c r="AS83" s="334" t="s">
        <v>9270</v>
      </c>
      <c r="AT83" s="334" t="s">
        <v>9886</v>
      </c>
      <c r="AU83" s="334" t="s">
        <v>10867</v>
      </c>
      <c r="AV83" s="1474" t="str">
        <f t="shared" si="1"/>
        <v>3:40</v>
      </c>
      <c r="AW83" s="1723" t="s">
        <v>10868</v>
      </c>
    </row>
    <row r="84" ht="15.75" customHeight="1">
      <c r="A84" s="1681" t="s">
        <v>10869</v>
      </c>
      <c r="B84" s="1555" t="s">
        <v>9164</v>
      </c>
      <c r="C84" s="1691">
        <v>0.05263888888888889</v>
      </c>
      <c r="D84" s="998" t="s">
        <v>10870</v>
      </c>
      <c r="E84" s="334" t="s">
        <v>7692</v>
      </c>
      <c r="F84" s="334" t="s">
        <v>10871</v>
      </c>
      <c r="G84" s="334" t="s">
        <v>10872</v>
      </c>
      <c r="H84" s="334" t="s">
        <v>10873</v>
      </c>
      <c r="I84" s="334" t="s">
        <v>10874</v>
      </c>
      <c r="J84" s="334" t="s">
        <v>10875</v>
      </c>
      <c r="K84" s="334" t="s">
        <v>4153</v>
      </c>
      <c r="L84" s="334" t="s">
        <v>4226</v>
      </c>
      <c r="M84" s="334" t="s">
        <v>9906</v>
      </c>
      <c r="N84" s="334" t="s">
        <v>10876</v>
      </c>
      <c r="O84" s="334" t="s">
        <v>9205</v>
      </c>
      <c r="P84" s="334" t="s">
        <v>483</v>
      </c>
      <c r="Q84" s="334" t="s">
        <v>10877</v>
      </c>
      <c r="R84" s="334" t="s">
        <v>5638</v>
      </c>
      <c r="S84" s="334" t="s">
        <v>6579</v>
      </c>
      <c r="T84" s="334" t="s">
        <v>10878</v>
      </c>
      <c r="U84" s="334" t="s">
        <v>10879</v>
      </c>
      <c r="V84" s="334" t="s">
        <v>10880</v>
      </c>
      <c r="W84" s="334" t="s">
        <v>10881</v>
      </c>
      <c r="X84" s="334" t="s">
        <v>10882</v>
      </c>
      <c r="Y84" s="334" t="s">
        <v>1537</v>
      </c>
      <c r="Z84" s="334" t="s">
        <v>7607</v>
      </c>
      <c r="AA84" s="793" t="s">
        <v>6523</v>
      </c>
      <c r="AB84" s="334" t="s">
        <v>9803</v>
      </c>
      <c r="AC84" s="334" t="s">
        <v>10615</v>
      </c>
      <c r="AD84" s="334" t="s">
        <v>3045</v>
      </c>
      <c r="AE84" s="334" t="s">
        <v>4790</v>
      </c>
      <c r="AF84" s="334" t="s">
        <v>10883</v>
      </c>
      <c r="AG84" s="334" t="s">
        <v>2889</v>
      </c>
      <c r="AH84" s="334" t="s">
        <v>7821</v>
      </c>
      <c r="AI84" s="334" t="s">
        <v>10884</v>
      </c>
      <c r="AJ84" s="334" t="s">
        <v>10885</v>
      </c>
      <c r="AK84" s="334" t="s">
        <v>10228</v>
      </c>
      <c r="AL84" s="334" t="s">
        <v>10886</v>
      </c>
      <c r="AM84" s="334" t="s">
        <v>10887</v>
      </c>
      <c r="AN84" s="334" t="s">
        <v>3899</v>
      </c>
      <c r="AO84" s="334" t="s">
        <v>9602</v>
      </c>
      <c r="AP84" s="334" t="s">
        <v>10888</v>
      </c>
      <c r="AQ84" s="334" t="s">
        <v>10889</v>
      </c>
      <c r="AR84" s="334" t="s">
        <v>1381</v>
      </c>
      <c r="AS84" s="334" t="s">
        <v>1009</v>
      </c>
      <c r="AT84" s="334" t="s">
        <v>10890</v>
      </c>
      <c r="AU84" s="334" t="s">
        <v>10891</v>
      </c>
      <c r="AV84" s="1474" t="str">
        <f t="shared" si="1"/>
        <v>4:28</v>
      </c>
      <c r="AW84" s="1723" t="s">
        <v>10892</v>
      </c>
    </row>
    <row r="85">
      <c r="A85" s="1617" t="s">
        <v>3624</v>
      </c>
      <c r="B85" s="1698" t="s">
        <v>9217</v>
      </c>
      <c r="C85" s="1556">
        <v>0.052662037037037035</v>
      </c>
      <c r="D85" s="998" t="s">
        <v>10893</v>
      </c>
      <c r="E85" s="998" t="s">
        <v>533</v>
      </c>
      <c r="F85" s="998" t="s">
        <v>10894</v>
      </c>
      <c r="G85" s="998" t="s">
        <v>10895</v>
      </c>
      <c r="H85" s="998" t="s">
        <v>9434</v>
      </c>
      <c r="I85" s="998" t="s">
        <v>10896</v>
      </c>
      <c r="J85" s="998" t="s">
        <v>1591</v>
      </c>
      <c r="K85" s="998" t="s">
        <v>10897</v>
      </c>
      <c r="L85" s="998" t="s">
        <v>2882</v>
      </c>
      <c r="M85" s="998" t="s">
        <v>270</v>
      </c>
      <c r="N85" s="998" t="s">
        <v>9720</v>
      </c>
      <c r="O85" s="998" t="s">
        <v>10898</v>
      </c>
      <c r="P85" s="998" t="s">
        <v>10899</v>
      </c>
      <c r="Q85" s="998" t="s">
        <v>3473</v>
      </c>
      <c r="R85" s="998" t="s">
        <v>10900</v>
      </c>
      <c r="S85" s="998" t="s">
        <v>6154</v>
      </c>
      <c r="T85" s="998" t="s">
        <v>10901</v>
      </c>
      <c r="U85" s="998" t="s">
        <v>10902</v>
      </c>
      <c r="V85" s="998" t="s">
        <v>10903</v>
      </c>
      <c r="W85" s="998" t="s">
        <v>10904</v>
      </c>
      <c r="X85" s="998" t="s">
        <v>2807</v>
      </c>
      <c r="Y85" s="998" t="s">
        <v>2840</v>
      </c>
      <c r="Z85" s="998" t="s">
        <v>6444</v>
      </c>
      <c r="AA85" s="793" t="s">
        <v>10905</v>
      </c>
      <c r="AB85" s="998" t="s">
        <v>9248</v>
      </c>
      <c r="AC85" s="998" t="s">
        <v>7624</v>
      </c>
      <c r="AD85" s="1733" t="s">
        <v>9236</v>
      </c>
      <c r="AE85" s="998" t="s">
        <v>335</v>
      </c>
      <c r="AF85" s="998" t="s">
        <v>10906</v>
      </c>
      <c r="AG85" s="998" t="s">
        <v>7068</v>
      </c>
      <c r="AH85" s="998" t="s">
        <v>3831</v>
      </c>
      <c r="AI85" s="998" t="s">
        <v>10907</v>
      </c>
      <c r="AJ85" s="998" t="s">
        <v>10908</v>
      </c>
      <c r="AK85" s="998" t="s">
        <v>10909</v>
      </c>
      <c r="AL85" s="998" t="s">
        <v>4614</v>
      </c>
      <c r="AM85" s="998" t="s">
        <v>5841</v>
      </c>
      <c r="AN85" s="1733" t="s">
        <v>9241</v>
      </c>
      <c r="AO85" s="998" t="s">
        <v>10910</v>
      </c>
      <c r="AP85" s="998" t="s">
        <v>10911</v>
      </c>
      <c r="AQ85" s="998" t="s">
        <v>10912</v>
      </c>
      <c r="AR85" s="998" t="s">
        <v>6108</v>
      </c>
      <c r="AS85" s="998" t="s">
        <v>8216</v>
      </c>
      <c r="AT85" s="998" t="s">
        <v>10913</v>
      </c>
      <c r="AU85" s="1734" t="s">
        <v>10914</v>
      </c>
      <c r="AV85" s="1474" t="str">
        <f t="shared" si="1"/>
        <v>4:43</v>
      </c>
      <c r="AW85" s="1705" t="s">
        <v>10915</v>
      </c>
    </row>
    <row r="86" ht="15.75" customHeight="1">
      <c r="A86" s="1617" t="s">
        <v>10916</v>
      </c>
      <c r="B86" s="1615" t="s">
        <v>9164</v>
      </c>
      <c r="C86" s="1556">
        <v>0.05267361111111111</v>
      </c>
      <c r="D86" s="1697" t="s">
        <v>10306</v>
      </c>
      <c r="E86" s="793" t="s">
        <v>175</v>
      </c>
      <c r="F86" s="793" t="s">
        <v>10917</v>
      </c>
      <c r="G86" s="793" t="s">
        <v>10918</v>
      </c>
      <c r="H86" s="793" t="s">
        <v>10919</v>
      </c>
      <c r="I86" s="793" t="s">
        <v>5684</v>
      </c>
      <c r="J86" s="998" t="s">
        <v>10920</v>
      </c>
      <c r="K86" s="793" t="s">
        <v>10921</v>
      </c>
      <c r="L86" s="793" t="s">
        <v>3831</v>
      </c>
      <c r="M86" s="793" t="s">
        <v>7050</v>
      </c>
      <c r="N86" s="793" t="s">
        <v>10922</v>
      </c>
      <c r="O86" s="793" t="s">
        <v>10923</v>
      </c>
      <c r="P86" s="793" t="s">
        <v>10275</v>
      </c>
      <c r="Q86" s="793" t="s">
        <v>10924</v>
      </c>
      <c r="R86" s="793" t="s">
        <v>5701</v>
      </c>
      <c r="S86" s="793" t="s">
        <v>10925</v>
      </c>
      <c r="T86" s="793" t="s">
        <v>10926</v>
      </c>
      <c r="U86" s="793" t="s">
        <v>10927</v>
      </c>
      <c r="V86" s="793" t="s">
        <v>3924</v>
      </c>
      <c r="W86" s="793" t="s">
        <v>10928</v>
      </c>
      <c r="X86" s="793" t="s">
        <v>2414</v>
      </c>
      <c r="Y86" s="793" t="s">
        <v>9870</v>
      </c>
      <c r="Z86" s="793" t="s">
        <v>9394</v>
      </c>
      <c r="AA86" s="793" t="s">
        <v>10929</v>
      </c>
      <c r="AB86" s="793" t="s">
        <v>10490</v>
      </c>
      <c r="AC86" s="793" t="s">
        <v>9758</v>
      </c>
      <c r="AD86" s="793" t="s">
        <v>10930</v>
      </c>
      <c r="AE86" s="793" t="s">
        <v>2384</v>
      </c>
      <c r="AF86" s="793" t="s">
        <v>10931</v>
      </c>
      <c r="AG86" s="793" t="s">
        <v>10932</v>
      </c>
      <c r="AH86" s="793" t="s">
        <v>4226</v>
      </c>
      <c r="AI86" s="793" t="s">
        <v>10933</v>
      </c>
      <c r="AJ86" s="793" t="s">
        <v>10934</v>
      </c>
      <c r="AK86" s="793" t="s">
        <v>1774</v>
      </c>
      <c r="AL86" s="793" t="s">
        <v>2609</v>
      </c>
      <c r="AM86" s="793" t="s">
        <v>1774</v>
      </c>
      <c r="AN86" s="793" t="s">
        <v>2609</v>
      </c>
      <c r="AO86" s="793" t="s">
        <v>6273</v>
      </c>
      <c r="AP86" s="793" t="s">
        <v>10935</v>
      </c>
      <c r="AQ86" s="793" t="s">
        <v>2206</v>
      </c>
      <c r="AR86" s="793" t="s">
        <v>10744</v>
      </c>
      <c r="AS86" s="793" t="s">
        <v>10936</v>
      </c>
      <c r="AT86" s="793" t="s">
        <v>10937</v>
      </c>
      <c r="AU86" s="793" t="s">
        <v>10938</v>
      </c>
      <c r="AV86" s="1474" t="str">
        <f t="shared" si="1"/>
        <v>5:58</v>
      </c>
      <c r="AW86" s="1720" t="s">
        <v>10939</v>
      </c>
    </row>
    <row r="87" ht="15.75" customHeight="1">
      <c r="A87" s="1554" t="s">
        <v>6127</v>
      </c>
      <c r="B87" s="1650" t="s">
        <v>9191</v>
      </c>
      <c r="C87" s="1691">
        <v>0.05275462962962963</v>
      </c>
      <c r="D87" s="998" t="s">
        <v>10940</v>
      </c>
      <c r="E87" s="334" t="s">
        <v>6034</v>
      </c>
      <c r="F87" s="334" t="s">
        <v>10941</v>
      </c>
      <c r="G87" s="334" t="s">
        <v>9358</v>
      </c>
      <c r="H87" s="334" t="s">
        <v>6856</v>
      </c>
      <c r="I87" s="334" t="s">
        <v>2283</v>
      </c>
      <c r="J87" s="334" t="s">
        <v>4167</v>
      </c>
      <c r="K87" s="334" t="s">
        <v>10635</v>
      </c>
      <c r="L87" s="334" t="s">
        <v>5396</v>
      </c>
      <c r="M87" s="334" t="s">
        <v>4152</v>
      </c>
      <c r="N87" s="334" t="s">
        <v>10942</v>
      </c>
      <c r="O87" s="334" t="s">
        <v>10943</v>
      </c>
      <c r="P87" s="334" t="s">
        <v>6392</v>
      </c>
      <c r="Q87" s="334" t="s">
        <v>10944</v>
      </c>
      <c r="R87" s="334" t="s">
        <v>10945</v>
      </c>
      <c r="S87" s="334" t="s">
        <v>9179</v>
      </c>
      <c r="T87" s="334" t="s">
        <v>2614</v>
      </c>
      <c r="U87" s="334" t="s">
        <v>498</v>
      </c>
      <c r="V87" s="334" t="s">
        <v>10946</v>
      </c>
      <c r="W87" s="334" t="s">
        <v>10947</v>
      </c>
      <c r="X87" s="334" t="s">
        <v>9361</v>
      </c>
      <c r="Y87" s="334" t="s">
        <v>5869</v>
      </c>
      <c r="Z87" s="334" t="s">
        <v>9555</v>
      </c>
      <c r="AA87" s="334" t="s">
        <v>10948</v>
      </c>
      <c r="AB87" s="334" t="s">
        <v>491</v>
      </c>
      <c r="AC87" s="334" t="s">
        <v>9416</v>
      </c>
      <c r="AD87" s="334" t="s">
        <v>10949</v>
      </c>
      <c r="AE87" s="334" t="s">
        <v>10950</v>
      </c>
      <c r="AF87" s="334" t="s">
        <v>10032</v>
      </c>
      <c r="AG87" s="334" t="s">
        <v>8150</v>
      </c>
      <c r="AH87" s="334" t="s">
        <v>725</v>
      </c>
      <c r="AI87" s="334" t="s">
        <v>5426</v>
      </c>
      <c r="AJ87" s="334" t="s">
        <v>10951</v>
      </c>
      <c r="AK87" s="334" t="s">
        <v>9495</v>
      </c>
      <c r="AL87" s="334" t="s">
        <v>5281</v>
      </c>
      <c r="AM87" s="334" t="s">
        <v>2725</v>
      </c>
      <c r="AN87" s="334" t="s">
        <v>6592</v>
      </c>
      <c r="AO87" s="334" t="s">
        <v>6293</v>
      </c>
      <c r="AP87" s="334" t="s">
        <v>10952</v>
      </c>
      <c r="AQ87" s="334" t="s">
        <v>10953</v>
      </c>
      <c r="AR87" s="334" t="s">
        <v>10572</v>
      </c>
      <c r="AS87" s="334" t="s">
        <v>9564</v>
      </c>
      <c r="AT87" s="334" t="s">
        <v>10954</v>
      </c>
      <c r="AU87" s="334" t="s">
        <v>10955</v>
      </c>
      <c r="AV87" s="1474" t="str">
        <f t="shared" si="1"/>
        <v>3:59</v>
      </c>
      <c r="AW87" s="1724" t="s">
        <v>10956</v>
      </c>
    </row>
    <row r="88" ht="15.75" customHeight="1">
      <c r="A88" s="1681" t="s">
        <v>10957</v>
      </c>
      <c r="B88" s="1710" t="s">
        <v>9217</v>
      </c>
      <c r="C88" s="1691">
        <v>0.05291666666666667</v>
      </c>
      <c r="D88" s="998" t="s">
        <v>10958</v>
      </c>
      <c r="E88" s="334" t="s">
        <v>10959</v>
      </c>
      <c r="F88" s="334" t="s">
        <v>5966</v>
      </c>
      <c r="G88" s="334" t="s">
        <v>10166</v>
      </c>
      <c r="H88" s="334" t="s">
        <v>10509</v>
      </c>
      <c r="I88" s="334" t="s">
        <v>3120</v>
      </c>
      <c r="J88" s="334" t="s">
        <v>10960</v>
      </c>
      <c r="K88" s="334" t="s">
        <v>5523</v>
      </c>
      <c r="L88" s="334" t="s">
        <v>7429</v>
      </c>
      <c r="M88" s="334" t="s">
        <v>10961</v>
      </c>
      <c r="N88" s="334" t="s">
        <v>10962</v>
      </c>
      <c r="O88" s="334" t="s">
        <v>10963</v>
      </c>
      <c r="P88" s="334" t="s">
        <v>10377</v>
      </c>
      <c r="Q88" s="334" t="s">
        <v>10964</v>
      </c>
      <c r="R88" s="334" t="s">
        <v>5940</v>
      </c>
      <c r="S88" s="334" t="s">
        <v>2666</v>
      </c>
      <c r="T88" s="334" t="s">
        <v>9568</v>
      </c>
      <c r="U88" s="334" t="s">
        <v>5598</v>
      </c>
      <c r="V88" s="334" t="s">
        <v>1148</v>
      </c>
      <c r="W88" s="334" t="s">
        <v>1896</v>
      </c>
      <c r="X88" s="334" t="s">
        <v>3363</v>
      </c>
      <c r="Y88" s="334" t="s">
        <v>663</v>
      </c>
      <c r="Z88" s="334" t="s">
        <v>10965</v>
      </c>
      <c r="AA88" s="793" t="s">
        <v>7296</v>
      </c>
      <c r="AB88" s="334" t="s">
        <v>3678</v>
      </c>
      <c r="AC88" s="334" t="s">
        <v>2448</v>
      </c>
      <c r="AD88" s="334" t="s">
        <v>10966</v>
      </c>
      <c r="AE88" s="334" t="s">
        <v>10967</v>
      </c>
      <c r="AF88" s="334" t="s">
        <v>10968</v>
      </c>
      <c r="AG88" s="334" t="s">
        <v>2755</v>
      </c>
      <c r="AH88" s="334" t="s">
        <v>10202</v>
      </c>
      <c r="AI88" s="334" t="s">
        <v>10969</v>
      </c>
      <c r="AJ88" s="334" t="s">
        <v>10970</v>
      </c>
      <c r="AK88" s="334" t="s">
        <v>10971</v>
      </c>
      <c r="AL88" s="334" t="s">
        <v>1748</v>
      </c>
      <c r="AM88" s="334" t="s">
        <v>2556</v>
      </c>
      <c r="AN88" s="334" t="s">
        <v>10972</v>
      </c>
      <c r="AO88" s="334" t="s">
        <v>10973</v>
      </c>
      <c r="AP88" s="334" t="s">
        <v>8996</v>
      </c>
      <c r="AQ88" s="334" t="s">
        <v>10974</v>
      </c>
      <c r="AR88" s="334" t="s">
        <v>10878</v>
      </c>
      <c r="AS88" s="334" t="s">
        <v>4374</v>
      </c>
      <c r="AT88" s="334" t="s">
        <v>10975</v>
      </c>
      <c r="AU88" s="334" t="s">
        <v>10976</v>
      </c>
      <c r="AV88" s="1474" t="str">
        <f t="shared" si="1"/>
        <v>2:38</v>
      </c>
      <c r="AW88" s="1724"/>
    </row>
    <row r="89" ht="15.75" customHeight="1">
      <c r="A89" s="1617" t="s">
        <v>6462</v>
      </c>
      <c r="B89" s="1605" t="s">
        <v>9164</v>
      </c>
      <c r="C89" s="1556">
        <v>0.05324074074074074</v>
      </c>
      <c r="D89" s="998" t="s">
        <v>10977</v>
      </c>
      <c r="E89" s="998" t="s">
        <v>10978</v>
      </c>
      <c r="F89" s="998" t="s">
        <v>10979</v>
      </c>
      <c r="G89" s="998" t="s">
        <v>9912</v>
      </c>
      <c r="H89" s="998" t="s">
        <v>10980</v>
      </c>
      <c r="I89" s="998" t="s">
        <v>6156</v>
      </c>
      <c r="J89" s="998" t="s">
        <v>1707</v>
      </c>
      <c r="K89" s="998" t="s">
        <v>4289</v>
      </c>
      <c r="L89" s="998" t="s">
        <v>10981</v>
      </c>
      <c r="M89" s="998" t="s">
        <v>10982</v>
      </c>
      <c r="N89" s="998" t="s">
        <v>10983</v>
      </c>
      <c r="O89" s="998" t="s">
        <v>10984</v>
      </c>
      <c r="P89" s="998" t="s">
        <v>10985</v>
      </c>
      <c r="Q89" s="998" t="s">
        <v>10986</v>
      </c>
      <c r="R89" s="998" t="s">
        <v>10987</v>
      </c>
      <c r="S89" s="998" t="s">
        <v>10859</v>
      </c>
      <c r="T89" s="998" t="s">
        <v>10988</v>
      </c>
      <c r="U89" s="998" t="s">
        <v>10989</v>
      </c>
      <c r="V89" s="998" t="s">
        <v>2901</v>
      </c>
      <c r="W89" s="998" t="s">
        <v>10990</v>
      </c>
      <c r="X89" s="998" t="s">
        <v>10991</v>
      </c>
      <c r="Y89" s="998" t="s">
        <v>5684</v>
      </c>
      <c r="Z89" s="998" t="s">
        <v>3574</v>
      </c>
      <c r="AA89" s="793" t="s">
        <v>10992</v>
      </c>
      <c r="AB89" s="998" t="s">
        <v>10312</v>
      </c>
      <c r="AC89" s="998" t="s">
        <v>5637</v>
      </c>
      <c r="AD89" s="998" t="s">
        <v>10993</v>
      </c>
      <c r="AE89" s="998" t="s">
        <v>10103</v>
      </c>
      <c r="AF89" s="998" t="s">
        <v>10994</v>
      </c>
      <c r="AG89" s="998" t="s">
        <v>10800</v>
      </c>
      <c r="AH89" s="998" t="s">
        <v>5844</v>
      </c>
      <c r="AI89" s="998" t="s">
        <v>10995</v>
      </c>
      <c r="AJ89" s="998" t="s">
        <v>10996</v>
      </c>
      <c r="AK89" s="793" t="s">
        <v>10997</v>
      </c>
      <c r="AL89" s="998" t="s">
        <v>10618</v>
      </c>
      <c r="AM89" s="998" t="s">
        <v>8580</v>
      </c>
      <c r="AN89" s="998" t="s">
        <v>10457</v>
      </c>
      <c r="AO89" s="998" t="s">
        <v>4549</v>
      </c>
      <c r="AP89" s="998" t="s">
        <v>10998</v>
      </c>
      <c r="AQ89" s="998" t="s">
        <v>10999</v>
      </c>
      <c r="AR89" s="793" t="s">
        <v>3830</v>
      </c>
      <c r="AS89" s="998" t="s">
        <v>11000</v>
      </c>
      <c r="AT89" s="998" t="s">
        <v>11001</v>
      </c>
      <c r="AU89" s="793" t="s">
        <v>10914</v>
      </c>
      <c r="AV89" s="1474" t="str">
        <f t="shared" si="1"/>
        <v>3:53</v>
      </c>
      <c r="AW89" s="1720" t="s">
        <v>11002</v>
      </c>
    </row>
    <row r="90">
      <c r="A90" s="1617" t="s">
        <v>4803</v>
      </c>
      <c r="B90" s="1615" t="s">
        <v>9217</v>
      </c>
      <c r="C90" s="1556">
        <v>0.05331018518518518</v>
      </c>
      <c r="D90" s="793" t="s">
        <v>11003</v>
      </c>
      <c r="E90" s="793" t="s">
        <v>7502</v>
      </c>
      <c r="F90" s="793" t="s">
        <v>10775</v>
      </c>
      <c r="G90" s="793" t="s">
        <v>11004</v>
      </c>
      <c r="H90" s="998" t="s">
        <v>11005</v>
      </c>
      <c r="I90" s="793" t="s">
        <v>11006</v>
      </c>
      <c r="J90" s="793" t="s">
        <v>10550</v>
      </c>
      <c r="K90" s="793" t="s">
        <v>9354</v>
      </c>
      <c r="L90" s="793" t="s">
        <v>4482</v>
      </c>
      <c r="M90" s="793" t="s">
        <v>11007</v>
      </c>
      <c r="N90" s="793" t="s">
        <v>10339</v>
      </c>
      <c r="O90" s="793" t="s">
        <v>11008</v>
      </c>
      <c r="P90" s="793" t="s">
        <v>6342</v>
      </c>
      <c r="Q90" s="793" t="s">
        <v>11009</v>
      </c>
      <c r="R90" s="793" t="s">
        <v>2148</v>
      </c>
      <c r="S90" s="793" t="s">
        <v>7311</v>
      </c>
      <c r="T90" s="793" t="s">
        <v>6838</v>
      </c>
      <c r="U90" s="793" t="s">
        <v>11010</v>
      </c>
      <c r="V90" s="793" t="s">
        <v>10531</v>
      </c>
      <c r="W90" s="793" t="s">
        <v>11011</v>
      </c>
      <c r="X90" s="793" t="s">
        <v>7830</v>
      </c>
      <c r="Y90" s="793" t="s">
        <v>5538</v>
      </c>
      <c r="Z90" s="793" t="s">
        <v>10341</v>
      </c>
      <c r="AA90" s="793" t="s">
        <v>11012</v>
      </c>
      <c r="AB90" s="793" t="s">
        <v>3567</v>
      </c>
      <c r="AC90" s="793" t="s">
        <v>11013</v>
      </c>
      <c r="AD90" s="793" t="s">
        <v>11014</v>
      </c>
      <c r="AE90" s="793" t="s">
        <v>5869</v>
      </c>
      <c r="AF90" s="793" t="s">
        <v>11015</v>
      </c>
      <c r="AG90" s="793" t="s">
        <v>9684</v>
      </c>
      <c r="AH90" s="793" t="s">
        <v>11016</v>
      </c>
      <c r="AI90" s="793" t="s">
        <v>11017</v>
      </c>
      <c r="AJ90" s="793" t="s">
        <v>11018</v>
      </c>
      <c r="AK90" s="793" t="s">
        <v>2228</v>
      </c>
      <c r="AL90" s="793" t="s">
        <v>2197</v>
      </c>
      <c r="AM90" s="793" t="s">
        <v>11019</v>
      </c>
      <c r="AN90" s="793" t="s">
        <v>4688</v>
      </c>
      <c r="AO90" s="793" t="s">
        <v>11020</v>
      </c>
      <c r="AP90" s="793" t="s">
        <v>2813</v>
      </c>
      <c r="AQ90" s="793" t="s">
        <v>11021</v>
      </c>
      <c r="AR90" s="793" t="s">
        <v>1760</v>
      </c>
      <c r="AS90" s="793" t="s">
        <v>973</v>
      </c>
      <c r="AT90" s="793" t="s">
        <v>11022</v>
      </c>
      <c r="AU90" s="793" t="s">
        <v>11023</v>
      </c>
      <c r="AV90" s="1474" t="str">
        <f t="shared" si="1"/>
        <v>4:18</v>
      </c>
      <c r="AW90" s="1724"/>
    </row>
    <row r="91" ht="15.75" customHeight="1">
      <c r="A91" s="1681" t="s">
        <v>11024</v>
      </c>
      <c r="B91" s="1710" t="s">
        <v>9217</v>
      </c>
      <c r="C91" s="1556">
        <v>0.05348379629629629</v>
      </c>
      <c r="D91" s="998" t="s">
        <v>11025</v>
      </c>
      <c r="E91" s="334" t="s">
        <v>10810</v>
      </c>
      <c r="F91" s="334" t="s">
        <v>6591</v>
      </c>
      <c r="G91" s="334" t="s">
        <v>11026</v>
      </c>
      <c r="H91" s="334" t="s">
        <v>11027</v>
      </c>
      <c r="I91" s="334" t="s">
        <v>2350</v>
      </c>
      <c r="J91" s="334" t="s">
        <v>9734</v>
      </c>
      <c r="K91" s="334" t="s">
        <v>9229</v>
      </c>
      <c r="L91" s="334" t="s">
        <v>4880</v>
      </c>
      <c r="M91" s="334" t="s">
        <v>11028</v>
      </c>
      <c r="N91" s="334" t="s">
        <v>11029</v>
      </c>
      <c r="O91" s="334" t="s">
        <v>4335</v>
      </c>
      <c r="P91" s="334" t="s">
        <v>927</v>
      </c>
      <c r="Q91" s="793" t="s">
        <v>11030</v>
      </c>
      <c r="R91" s="334" t="s">
        <v>10595</v>
      </c>
      <c r="S91" s="334" t="s">
        <v>9940</v>
      </c>
      <c r="T91" s="334" t="s">
        <v>10782</v>
      </c>
      <c r="U91" s="334" t="s">
        <v>11031</v>
      </c>
      <c r="V91" s="334" t="s">
        <v>3229</v>
      </c>
      <c r="W91" s="334" t="s">
        <v>11032</v>
      </c>
      <c r="X91" s="334" t="s">
        <v>3146</v>
      </c>
      <c r="Y91" s="334" t="s">
        <v>1427</v>
      </c>
      <c r="Z91" s="334" t="s">
        <v>9642</v>
      </c>
      <c r="AA91" s="793" t="s">
        <v>11033</v>
      </c>
      <c r="AB91" s="334" t="s">
        <v>10350</v>
      </c>
      <c r="AC91" s="334" t="s">
        <v>1155</v>
      </c>
      <c r="AD91" s="334" t="s">
        <v>11034</v>
      </c>
      <c r="AE91" s="334" t="s">
        <v>587</v>
      </c>
      <c r="AF91" s="793" t="s">
        <v>11035</v>
      </c>
      <c r="AG91" s="334" t="s">
        <v>5887</v>
      </c>
      <c r="AH91" s="334" t="s">
        <v>9814</v>
      </c>
      <c r="AI91" s="334" t="s">
        <v>2639</v>
      </c>
      <c r="AJ91" s="334" t="s">
        <v>11036</v>
      </c>
      <c r="AK91" s="334" t="s">
        <v>9656</v>
      </c>
      <c r="AL91" s="334" t="s">
        <v>11037</v>
      </c>
      <c r="AM91" s="334" t="s">
        <v>9408</v>
      </c>
      <c r="AN91" s="334" t="s">
        <v>10618</v>
      </c>
      <c r="AO91" s="334" t="s">
        <v>9333</v>
      </c>
      <c r="AP91" s="334" t="s">
        <v>11038</v>
      </c>
      <c r="AQ91" s="334" t="s">
        <v>4472</v>
      </c>
      <c r="AR91" s="334" t="s">
        <v>1381</v>
      </c>
      <c r="AS91" s="334" t="s">
        <v>9430</v>
      </c>
      <c r="AT91" s="334" t="s">
        <v>4745</v>
      </c>
      <c r="AU91" s="334" t="s">
        <v>11039</v>
      </c>
      <c r="AV91" s="1474" t="str">
        <f t="shared" si="1"/>
        <v>3:27</v>
      </c>
      <c r="AW91" s="1720" t="s">
        <v>11040</v>
      </c>
    </row>
    <row r="92">
      <c r="A92" s="1617" t="s">
        <v>5479</v>
      </c>
      <c r="B92" s="1605" t="s">
        <v>9164</v>
      </c>
      <c r="C92" s="1556">
        <v>0.05376157407407407</v>
      </c>
      <c r="D92" s="793" t="s">
        <v>11041</v>
      </c>
      <c r="E92" s="793" t="s">
        <v>11042</v>
      </c>
      <c r="F92" s="793" t="s">
        <v>11043</v>
      </c>
      <c r="G92" s="793" t="s">
        <v>11044</v>
      </c>
      <c r="H92" s="1735" t="s">
        <v>11045</v>
      </c>
      <c r="I92" s="998" t="s">
        <v>239</v>
      </c>
      <c r="J92" s="793" t="s">
        <v>10228</v>
      </c>
      <c r="K92" s="793" t="s">
        <v>11046</v>
      </c>
      <c r="L92" s="793" t="s">
        <v>2520</v>
      </c>
      <c r="M92" s="793" t="s">
        <v>1261</v>
      </c>
      <c r="N92" s="793" t="s">
        <v>11047</v>
      </c>
      <c r="O92" s="793" t="s">
        <v>11048</v>
      </c>
      <c r="P92" s="793" t="s">
        <v>863</v>
      </c>
      <c r="Q92" s="793" t="s">
        <v>4411</v>
      </c>
      <c r="R92" s="793" t="s">
        <v>11049</v>
      </c>
      <c r="S92" s="1736" t="s">
        <v>11050</v>
      </c>
      <c r="T92" s="1736" t="s">
        <v>9779</v>
      </c>
      <c r="U92" s="793" t="s">
        <v>11051</v>
      </c>
      <c r="V92" s="793" t="s">
        <v>11052</v>
      </c>
      <c r="W92" s="793" t="s">
        <v>7143</v>
      </c>
      <c r="X92" s="793" t="s">
        <v>11053</v>
      </c>
      <c r="Y92" s="793" t="s">
        <v>2123</v>
      </c>
      <c r="Z92" s="793" t="s">
        <v>10350</v>
      </c>
      <c r="AA92" s="793" t="s">
        <v>11054</v>
      </c>
      <c r="AB92" s="793" t="s">
        <v>11055</v>
      </c>
      <c r="AC92" s="793" t="s">
        <v>7238</v>
      </c>
      <c r="AD92" s="793" t="s">
        <v>6100</v>
      </c>
      <c r="AE92" s="793" t="s">
        <v>2448</v>
      </c>
      <c r="AF92" s="793" t="s">
        <v>11056</v>
      </c>
      <c r="AG92" s="793" t="s">
        <v>11057</v>
      </c>
      <c r="AH92" s="793" t="s">
        <v>5031</v>
      </c>
      <c r="AI92" s="793" t="s">
        <v>7080</v>
      </c>
      <c r="AJ92" s="793" t="s">
        <v>11058</v>
      </c>
      <c r="AK92" s="793" t="s">
        <v>4873</v>
      </c>
      <c r="AL92" s="793" t="s">
        <v>11059</v>
      </c>
      <c r="AM92" s="793" t="s">
        <v>4883</v>
      </c>
      <c r="AN92" s="793" t="s">
        <v>11060</v>
      </c>
      <c r="AO92" s="793" t="s">
        <v>6634</v>
      </c>
      <c r="AP92" s="793" t="s">
        <v>11061</v>
      </c>
      <c r="AQ92" s="793" t="s">
        <v>11062</v>
      </c>
      <c r="AR92" s="793" t="s">
        <v>5215</v>
      </c>
      <c r="AS92" s="793" t="s">
        <v>9387</v>
      </c>
      <c r="AT92" s="793" t="s">
        <v>11063</v>
      </c>
      <c r="AU92" s="793" t="s">
        <v>11064</v>
      </c>
      <c r="AV92" s="1474" t="str">
        <f t="shared" si="1"/>
        <v>4:58</v>
      </c>
      <c r="AW92" s="1737"/>
    </row>
    <row r="93" ht="15.75" customHeight="1">
      <c r="A93" s="1681" t="s">
        <v>6627</v>
      </c>
      <c r="B93" s="1710" t="s">
        <v>9217</v>
      </c>
      <c r="C93" s="1691">
        <v>0.05386574074074074</v>
      </c>
      <c r="D93" s="334" t="s">
        <v>11065</v>
      </c>
      <c r="E93" s="334" t="s">
        <v>11066</v>
      </c>
      <c r="F93" s="334" t="s">
        <v>11067</v>
      </c>
      <c r="G93" s="334" t="s">
        <v>4297</v>
      </c>
      <c r="H93" s="334" t="s">
        <v>11068</v>
      </c>
      <c r="I93" s="334" t="s">
        <v>11006</v>
      </c>
      <c r="J93" s="334" t="s">
        <v>11069</v>
      </c>
      <c r="K93" s="334" t="s">
        <v>11070</v>
      </c>
      <c r="L93" s="334" t="s">
        <v>1434</v>
      </c>
      <c r="M93" s="334" t="s">
        <v>4569</v>
      </c>
      <c r="N93" s="334" t="s">
        <v>7043</v>
      </c>
      <c r="O93" s="334" t="s">
        <v>11071</v>
      </c>
      <c r="P93" s="334" t="s">
        <v>6342</v>
      </c>
      <c r="Q93" s="334" t="s">
        <v>11072</v>
      </c>
      <c r="R93" s="334" t="s">
        <v>9534</v>
      </c>
      <c r="S93" s="334" t="s">
        <v>11073</v>
      </c>
      <c r="T93" s="334" t="s">
        <v>7421</v>
      </c>
      <c r="U93" s="334" t="s">
        <v>11074</v>
      </c>
      <c r="V93" s="334" t="s">
        <v>11075</v>
      </c>
      <c r="W93" s="334" t="s">
        <v>11076</v>
      </c>
      <c r="X93" s="334" t="s">
        <v>1332</v>
      </c>
      <c r="Y93" s="334" t="s">
        <v>1949</v>
      </c>
      <c r="Z93" s="334" t="s">
        <v>9201</v>
      </c>
      <c r="AA93" s="998" t="s">
        <v>11077</v>
      </c>
      <c r="AB93" s="334" t="s">
        <v>11078</v>
      </c>
      <c r="AC93" s="334" t="s">
        <v>8245</v>
      </c>
      <c r="AD93" s="334" t="s">
        <v>11079</v>
      </c>
      <c r="AE93" s="334" t="s">
        <v>11080</v>
      </c>
      <c r="AF93" s="334" t="s">
        <v>10662</v>
      </c>
      <c r="AG93" s="334" t="s">
        <v>11081</v>
      </c>
      <c r="AH93" s="334" t="s">
        <v>11082</v>
      </c>
      <c r="AI93" s="334" t="s">
        <v>3654</v>
      </c>
      <c r="AJ93" s="334" t="s">
        <v>11083</v>
      </c>
      <c r="AK93" s="334" t="s">
        <v>11084</v>
      </c>
      <c r="AL93" s="334" t="s">
        <v>11085</v>
      </c>
      <c r="AM93" s="334" t="s">
        <v>10321</v>
      </c>
      <c r="AN93" s="334" t="s">
        <v>9851</v>
      </c>
      <c r="AO93" s="793" t="s">
        <v>10022</v>
      </c>
      <c r="AP93" s="334" t="s">
        <v>11086</v>
      </c>
      <c r="AQ93" s="334" t="s">
        <v>11087</v>
      </c>
      <c r="AR93" s="334" t="s">
        <v>11088</v>
      </c>
      <c r="AS93" s="334" t="s">
        <v>9648</v>
      </c>
      <c r="AT93" s="334" t="s">
        <v>11089</v>
      </c>
      <c r="AU93" s="334" t="s">
        <v>11023</v>
      </c>
      <c r="AV93" s="1474" t="str">
        <f t="shared" si="1"/>
        <v>3:30</v>
      </c>
      <c r="AW93" s="1724"/>
    </row>
    <row r="94">
      <c r="A94" s="1617" t="s">
        <v>5376</v>
      </c>
      <c r="B94" s="1605" t="s">
        <v>9217</v>
      </c>
      <c r="C94" s="1556">
        <v>0.05482638888888889</v>
      </c>
      <c r="D94" s="1697" t="s">
        <v>11090</v>
      </c>
      <c r="E94" s="793" t="s">
        <v>9933</v>
      </c>
      <c r="F94" s="793" t="s">
        <v>11091</v>
      </c>
      <c r="G94" s="793" t="s">
        <v>11092</v>
      </c>
      <c r="H94" s="793" t="s">
        <v>11093</v>
      </c>
      <c r="I94" s="793" t="s">
        <v>11094</v>
      </c>
      <c r="J94" s="793" t="s">
        <v>11095</v>
      </c>
      <c r="K94" s="793" t="s">
        <v>10354</v>
      </c>
      <c r="L94" s="793" t="s">
        <v>11096</v>
      </c>
      <c r="M94" s="793" t="s">
        <v>1758</v>
      </c>
      <c r="N94" s="793" t="s">
        <v>6532</v>
      </c>
      <c r="O94" s="793" t="s">
        <v>11097</v>
      </c>
      <c r="P94" s="793" t="s">
        <v>6626</v>
      </c>
      <c r="Q94" s="793" t="s">
        <v>11098</v>
      </c>
      <c r="R94" s="793" t="s">
        <v>9647</v>
      </c>
      <c r="S94" s="793" t="s">
        <v>11099</v>
      </c>
      <c r="T94" s="793" t="s">
        <v>11012</v>
      </c>
      <c r="U94" s="793" t="s">
        <v>11100</v>
      </c>
      <c r="V94" s="793" t="s">
        <v>842</v>
      </c>
      <c r="W94" s="793" t="s">
        <v>6474</v>
      </c>
      <c r="X94" s="793" t="s">
        <v>11101</v>
      </c>
      <c r="Y94" s="793" t="s">
        <v>1678</v>
      </c>
      <c r="Z94" s="793" t="s">
        <v>10370</v>
      </c>
      <c r="AA94" s="793" t="s">
        <v>2390</v>
      </c>
      <c r="AB94" s="793" t="s">
        <v>6870</v>
      </c>
      <c r="AC94" s="793" t="s">
        <v>11102</v>
      </c>
      <c r="AD94" s="793" t="s">
        <v>11103</v>
      </c>
      <c r="AE94" s="793" t="s">
        <v>1537</v>
      </c>
      <c r="AF94" s="793" t="s">
        <v>11104</v>
      </c>
      <c r="AG94" s="793" t="s">
        <v>11105</v>
      </c>
      <c r="AH94" s="793" t="s">
        <v>11106</v>
      </c>
      <c r="AI94" s="793" t="s">
        <v>5820</v>
      </c>
      <c r="AJ94" s="793" t="s">
        <v>11107</v>
      </c>
      <c r="AK94" s="793" t="s">
        <v>246</v>
      </c>
      <c r="AL94" s="793" t="s">
        <v>8337</v>
      </c>
      <c r="AM94" s="793" t="s">
        <v>4302</v>
      </c>
      <c r="AN94" s="793" t="s">
        <v>11108</v>
      </c>
      <c r="AO94" s="793" t="s">
        <v>1707</v>
      </c>
      <c r="AP94" s="793" t="s">
        <v>885</v>
      </c>
      <c r="AQ94" s="793" t="s">
        <v>11109</v>
      </c>
      <c r="AR94" s="793" t="s">
        <v>11110</v>
      </c>
      <c r="AS94" s="793" t="s">
        <v>2223</v>
      </c>
      <c r="AT94" s="793" t="s">
        <v>11111</v>
      </c>
      <c r="AU94" s="793" t="s">
        <v>11112</v>
      </c>
      <c r="AV94" s="1474" t="str">
        <f t="shared" si="1"/>
        <v>3:40</v>
      </c>
      <c r="AW94" s="1720" t="s">
        <v>11113</v>
      </c>
    </row>
    <row r="95">
      <c r="A95" s="1617" t="s">
        <v>5345</v>
      </c>
      <c r="B95" s="1605" t="s">
        <v>9164</v>
      </c>
      <c r="C95" s="1556">
        <v>0.05482638888888889</v>
      </c>
      <c r="D95" s="1594" t="s">
        <v>11114</v>
      </c>
      <c r="E95" s="1594" t="s">
        <v>9791</v>
      </c>
      <c r="F95" s="1594" t="s">
        <v>11115</v>
      </c>
      <c r="G95" s="1594" t="s">
        <v>11116</v>
      </c>
      <c r="H95" s="1594" t="s">
        <v>11117</v>
      </c>
      <c r="I95" s="1594">
        <v>50.26</v>
      </c>
      <c r="J95" s="1594" t="s">
        <v>11095</v>
      </c>
      <c r="K95" s="1594" t="s">
        <v>11118</v>
      </c>
      <c r="L95" s="1594" t="s">
        <v>11119</v>
      </c>
      <c r="M95" s="1594" t="s">
        <v>2252</v>
      </c>
      <c r="N95" s="1594" t="s">
        <v>11120</v>
      </c>
      <c r="O95" s="1594" t="s">
        <v>11121</v>
      </c>
      <c r="P95" s="1594">
        <v>49.15</v>
      </c>
      <c r="Q95" s="1594" t="s">
        <v>11122</v>
      </c>
      <c r="R95" s="1594" t="s">
        <v>3403</v>
      </c>
      <c r="S95" s="1594" t="s">
        <v>11123</v>
      </c>
      <c r="T95" s="1594" t="s">
        <v>5100</v>
      </c>
      <c r="U95" s="1594" t="s">
        <v>3262</v>
      </c>
      <c r="V95" s="1594" t="s">
        <v>11124</v>
      </c>
      <c r="W95" s="1594" t="s">
        <v>11125</v>
      </c>
      <c r="X95" s="1594" t="s">
        <v>11126</v>
      </c>
      <c r="Y95" s="1594">
        <v>51.87</v>
      </c>
      <c r="Z95" s="1594" t="s">
        <v>6341</v>
      </c>
      <c r="AA95" s="1594" t="s">
        <v>6603</v>
      </c>
      <c r="AB95" s="1594" t="s">
        <v>6579</v>
      </c>
      <c r="AC95" s="1594">
        <v>49.75</v>
      </c>
      <c r="AD95" s="1594" t="s">
        <v>11127</v>
      </c>
      <c r="AE95" s="1594">
        <v>50.16</v>
      </c>
      <c r="AF95" s="1594" t="s">
        <v>11128</v>
      </c>
      <c r="AG95" s="1594" t="s">
        <v>11129</v>
      </c>
      <c r="AH95" s="1594" t="s">
        <v>6436</v>
      </c>
      <c r="AI95" s="1594" t="s">
        <v>6730</v>
      </c>
      <c r="AJ95" s="1594" t="s">
        <v>11130</v>
      </c>
      <c r="AK95" s="1594" t="s">
        <v>11047</v>
      </c>
      <c r="AL95" s="1594">
        <v>59.29</v>
      </c>
      <c r="AM95" s="1594" t="s">
        <v>4472</v>
      </c>
      <c r="AN95" s="1594" t="s">
        <v>625</v>
      </c>
      <c r="AO95" s="1594" t="s">
        <v>11131</v>
      </c>
      <c r="AP95" s="1594" t="s">
        <v>11132</v>
      </c>
      <c r="AQ95" s="1594" t="s">
        <v>11133</v>
      </c>
      <c r="AR95" s="1594" t="s">
        <v>6906</v>
      </c>
      <c r="AS95" s="1594">
        <v>47.7</v>
      </c>
      <c r="AT95" s="1594" t="s">
        <v>11134</v>
      </c>
      <c r="AU95" s="1598" t="s">
        <v>11135</v>
      </c>
      <c r="AV95" s="1474" t="str">
        <f t="shared" si="1"/>
        <v>5:51</v>
      </c>
      <c r="AW95" s="1705" t="s">
        <v>11136</v>
      </c>
    </row>
    <row r="96">
      <c r="A96" s="1617" t="s">
        <v>5599</v>
      </c>
      <c r="B96" s="1615" t="s">
        <v>9164</v>
      </c>
      <c r="C96" s="1556">
        <v>0.05559027777777778</v>
      </c>
      <c r="D96" s="1697" t="s">
        <v>11137</v>
      </c>
      <c r="E96" s="793" t="s">
        <v>11138</v>
      </c>
      <c r="F96" s="793" t="s">
        <v>11139</v>
      </c>
      <c r="G96" s="793" t="s">
        <v>11140</v>
      </c>
      <c r="H96" s="793" t="s">
        <v>5977</v>
      </c>
      <c r="I96" s="793" t="s">
        <v>1911</v>
      </c>
      <c r="J96" s="793" t="s">
        <v>11141</v>
      </c>
      <c r="K96" s="793" t="s">
        <v>6345</v>
      </c>
      <c r="L96" s="793" t="s">
        <v>8984</v>
      </c>
      <c r="M96" s="793" t="s">
        <v>6912</v>
      </c>
      <c r="N96" s="793" t="s">
        <v>11142</v>
      </c>
      <c r="O96" s="793" t="s">
        <v>11143</v>
      </c>
      <c r="P96" s="793" t="s">
        <v>190</v>
      </c>
      <c r="Q96" s="793" t="s">
        <v>1667</v>
      </c>
      <c r="R96" s="793" t="s">
        <v>11144</v>
      </c>
      <c r="S96" s="793" t="s">
        <v>5326</v>
      </c>
      <c r="T96" s="793" t="s">
        <v>11145</v>
      </c>
      <c r="U96" s="793" t="s">
        <v>11146</v>
      </c>
      <c r="V96" s="793" t="s">
        <v>6624</v>
      </c>
      <c r="W96" s="793" t="s">
        <v>9267</v>
      </c>
      <c r="X96" s="793" t="s">
        <v>5033</v>
      </c>
      <c r="Y96" s="793" t="s">
        <v>101</v>
      </c>
      <c r="Z96" s="793" t="s">
        <v>11147</v>
      </c>
      <c r="AA96" s="793" t="s">
        <v>10907</v>
      </c>
      <c r="AB96" s="793" t="s">
        <v>3506</v>
      </c>
      <c r="AC96" s="793" t="s">
        <v>4758</v>
      </c>
      <c r="AD96" s="793" t="s">
        <v>6167</v>
      </c>
      <c r="AE96" s="793" t="s">
        <v>860</v>
      </c>
      <c r="AF96" s="793" t="s">
        <v>11148</v>
      </c>
      <c r="AG96" s="793" t="s">
        <v>11149</v>
      </c>
      <c r="AH96" s="793" t="s">
        <v>4096</v>
      </c>
      <c r="AI96" s="793" t="s">
        <v>11150</v>
      </c>
      <c r="AJ96" s="793" t="s">
        <v>11151</v>
      </c>
      <c r="AK96" s="793" t="s">
        <v>4563</v>
      </c>
      <c r="AL96" s="793" t="s">
        <v>572</v>
      </c>
      <c r="AM96" s="793" t="s">
        <v>11152</v>
      </c>
      <c r="AN96" s="793" t="s">
        <v>11153</v>
      </c>
      <c r="AO96" s="793" t="s">
        <v>1105</v>
      </c>
      <c r="AP96" s="793" t="s">
        <v>11154</v>
      </c>
      <c r="AQ96" s="793" t="s">
        <v>11155</v>
      </c>
      <c r="AR96" s="793" t="s">
        <v>11156</v>
      </c>
      <c r="AS96" s="793" t="s">
        <v>830</v>
      </c>
      <c r="AT96" s="793" t="s">
        <v>11157</v>
      </c>
      <c r="AU96" s="793" t="s">
        <v>11158</v>
      </c>
      <c r="AV96" s="1474" t="str">
        <f t="shared" si="1"/>
        <v>5:05</v>
      </c>
      <c r="AW96" s="1720" t="s">
        <v>11159</v>
      </c>
    </row>
    <row r="97">
      <c r="A97" s="1617" t="s">
        <v>4957</v>
      </c>
      <c r="B97" s="1615" t="s">
        <v>9191</v>
      </c>
      <c r="C97" s="1647">
        <v>0.05565972222222222</v>
      </c>
      <c r="D97" s="793" t="s">
        <v>11160</v>
      </c>
      <c r="E97" s="793" t="s">
        <v>3211</v>
      </c>
      <c r="F97" s="793" t="s">
        <v>11161</v>
      </c>
      <c r="G97" s="793" t="s">
        <v>11162</v>
      </c>
      <c r="H97" s="998" t="s">
        <v>9703</v>
      </c>
      <c r="I97" s="793" t="s">
        <v>3503</v>
      </c>
      <c r="J97" s="793" t="s">
        <v>9925</v>
      </c>
      <c r="K97" s="793" t="s">
        <v>806</v>
      </c>
      <c r="L97" s="793" t="s">
        <v>11163</v>
      </c>
      <c r="M97" s="793" t="s">
        <v>11164</v>
      </c>
      <c r="N97" s="793" t="s">
        <v>6454</v>
      </c>
      <c r="O97" s="793" t="s">
        <v>11165</v>
      </c>
      <c r="P97" s="793" t="s">
        <v>10600</v>
      </c>
      <c r="Q97" s="793" t="s">
        <v>11166</v>
      </c>
      <c r="R97" s="793" t="s">
        <v>10372</v>
      </c>
      <c r="S97" s="793" t="s">
        <v>419</v>
      </c>
      <c r="T97" s="793" t="s">
        <v>11167</v>
      </c>
      <c r="U97" s="793" t="s">
        <v>11168</v>
      </c>
      <c r="V97" s="793" t="s">
        <v>11169</v>
      </c>
      <c r="W97" s="793" t="s">
        <v>11170</v>
      </c>
      <c r="X97" s="793" t="s">
        <v>11171</v>
      </c>
      <c r="Y97" s="793" t="s">
        <v>2448</v>
      </c>
      <c r="Z97" s="793" t="s">
        <v>5445</v>
      </c>
      <c r="AA97" s="793" t="s">
        <v>10536</v>
      </c>
      <c r="AB97" s="793" t="s">
        <v>10853</v>
      </c>
      <c r="AC97" s="793" t="s">
        <v>10377</v>
      </c>
      <c r="AD97" s="793" t="s">
        <v>11172</v>
      </c>
      <c r="AE97" s="793" t="s">
        <v>5577</v>
      </c>
      <c r="AF97" s="793" t="s">
        <v>11173</v>
      </c>
      <c r="AG97" s="793" t="s">
        <v>11174</v>
      </c>
      <c r="AH97" s="793" t="s">
        <v>11175</v>
      </c>
      <c r="AI97" s="793" t="s">
        <v>11176</v>
      </c>
      <c r="AJ97" s="793" t="s">
        <v>11177</v>
      </c>
      <c r="AK97" s="793" t="s">
        <v>6838</v>
      </c>
      <c r="AL97" s="793" t="s">
        <v>3762</v>
      </c>
      <c r="AM97" s="793" t="s">
        <v>4883</v>
      </c>
      <c r="AN97" s="793" t="s">
        <v>11178</v>
      </c>
      <c r="AO97" s="793" t="s">
        <v>2056</v>
      </c>
      <c r="AP97" s="793" t="s">
        <v>11179</v>
      </c>
      <c r="AQ97" s="793" t="s">
        <v>11180</v>
      </c>
      <c r="AR97" s="793" t="s">
        <v>11181</v>
      </c>
      <c r="AS97" s="793" t="s">
        <v>2172</v>
      </c>
      <c r="AT97" s="793" t="s">
        <v>11182</v>
      </c>
      <c r="AU97" s="793" t="s">
        <v>11183</v>
      </c>
      <c r="AV97" s="1474" t="str">
        <f t="shared" si="1"/>
        <v>8:24</v>
      </c>
      <c r="AW97" s="1720" t="s">
        <v>10240</v>
      </c>
    </row>
    <row r="98">
      <c r="A98" s="974" t="s">
        <v>5786</v>
      </c>
      <c r="B98" s="1738" t="s">
        <v>11184</v>
      </c>
      <c r="C98" s="1739">
        <v>0.05614583333333333</v>
      </c>
      <c r="D98" s="998" t="s">
        <v>11185</v>
      </c>
      <c r="E98" s="1116" t="s">
        <v>10404</v>
      </c>
      <c r="F98" s="1116" t="s">
        <v>11186</v>
      </c>
      <c r="G98" s="1116" t="s">
        <v>11187</v>
      </c>
      <c r="H98" s="1740" t="s">
        <v>1364</v>
      </c>
      <c r="I98" s="1116" t="s">
        <v>9880</v>
      </c>
      <c r="J98" s="1116" t="s">
        <v>11188</v>
      </c>
      <c r="K98" s="1116" t="s">
        <v>11189</v>
      </c>
      <c r="L98" s="1116" t="s">
        <v>4725</v>
      </c>
      <c r="M98" s="1116" t="s">
        <v>7249</v>
      </c>
      <c r="N98" s="1116" t="s">
        <v>10430</v>
      </c>
      <c r="O98" s="1116" t="s">
        <v>11190</v>
      </c>
      <c r="P98" s="1116" t="s">
        <v>9314</v>
      </c>
      <c r="Q98" s="1116" t="s">
        <v>11191</v>
      </c>
      <c r="R98" s="1116" t="s">
        <v>4017</v>
      </c>
      <c r="S98" s="1116" t="s">
        <v>5450</v>
      </c>
      <c r="T98" s="1116" t="s">
        <v>1650</v>
      </c>
      <c r="U98" s="1116" t="s">
        <v>9453</v>
      </c>
      <c r="V98" s="1116" t="s">
        <v>2752</v>
      </c>
      <c r="W98" s="1116" t="s">
        <v>11192</v>
      </c>
      <c r="X98" s="1116" t="s">
        <v>11193</v>
      </c>
      <c r="Y98" s="1116" t="s">
        <v>11194</v>
      </c>
      <c r="Z98" s="1116" t="s">
        <v>11195</v>
      </c>
      <c r="AA98" s="1180" t="s">
        <v>2129</v>
      </c>
      <c r="AB98" s="1116" t="s">
        <v>10910</v>
      </c>
      <c r="AC98" s="1116" t="s">
        <v>786</v>
      </c>
      <c r="AD98" s="1116" t="s">
        <v>9396</v>
      </c>
      <c r="AE98" s="1116" t="s">
        <v>537</v>
      </c>
      <c r="AF98" s="1116" t="s">
        <v>11196</v>
      </c>
      <c r="AG98" s="1116" t="s">
        <v>11197</v>
      </c>
      <c r="AH98" s="1116" t="s">
        <v>9936</v>
      </c>
      <c r="AI98" s="1116" t="s">
        <v>11198</v>
      </c>
      <c r="AJ98" s="1116" t="s">
        <v>11199</v>
      </c>
      <c r="AK98" s="1116" t="s">
        <v>11200</v>
      </c>
      <c r="AL98" s="1116" t="s">
        <v>10697</v>
      </c>
      <c r="AM98" s="1116" t="s">
        <v>9973</v>
      </c>
      <c r="AN98" s="1116" t="s">
        <v>11201</v>
      </c>
      <c r="AO98" s="1116" t="s">
        <v>11202</v>
      </c>
      <c r="AP98" s="1116" t="s">
        <v>11203</v>
      </c>
      <c r="AQ98" s="1116" t="s">
        <v>2816</v>
      </c>
      <c r="AR98" s="1116" t="s">
        <v>10641</v>
      </c>
      <c r="AS98" s="1116" t="s">
        <v>11204</v>
      </c>
      <c r="AT98" s="1116" t="s">
        <v>11205</v>
      </c>
      <c r="AU98" s="1116" t="s">
        <v>11206</v>
      </c>
      <c r="AV98" s="1097" t="str">
        <f t="shared" si="1"/>
        <v>8:47</v>
      </c>
      <c r="AW98" s="1616" t="s">
        <v>11207</v>
      </c>
    </row>
    <row r="99">
      <c r="A99" s="1681" t="s">
        <v>11208</v>
      </c>
      <c r="B99" s="1650" t="s">
        <v>9191</v>
      </c>
      <c r="C99" s="1691">
        <v>0.057881944444444444</v>
      </c>
      <c r="D99" s="793" t="s">
        <v>11209</v>
      </c>
      <c r="E99" s="334" t="s">
        <v>11210</v>
      </c>
      <c r="F99" s="793" t="s">
        <v>11211</v>
      </c>
      <c r="G99" s="793" t="s">
        <v>11212</v>
      </c>
      <c r="H99" s="334" t="s">
        <v>11213</v>
      </c>
      <c r="I99" s="334" t="s">
        <v>1094</v>
      </c>
      <c r="J99" s="334" t="s">
        <v>11214</v>
      </c>
      <c r="K99" s="334" t="s">
        <v>3716</v>
      </c>
      <c r="L99" s="334" t="s">
        <v>11215</v>
      </c>
      <c r="M99" s="334" t="s">
        <v>7954</v>
      </c>
      <c r="N99" s="334" t="s">
        <v>11216</v>
      </c>
      <c r="O99" s="334" t="s">
        <v>11217</v>
      </c>
      <c r="P99" s="334" t="s">
        <v>3817</v>
      </c>
      <c r="Q99" s="334" t="s">
        <v>11218</v>
      </c>
      <c r="R99" s="334" t="s">
        <v>11219</v>
      </c>
      <c r="S99" s="334" t="s">
        <v>11220</v>
      </c>
      <c r="T99" s="334" t="s">
        <v>1676</v>
      </c>
      <c r="U99" s="334" t="s">
        <v>11221</v>
      </c>
      <c r="V99" s="334" t="s">
        <v>11222</v>
      </c>
      <c r="W99" s="334" t="s">
        <v>11223</v>
      </c>
      <c r="X99" s="334" t="s">
        <v>11224</v>
      </c>
      <c r="Y99" s="334" t="s">
        <v>2977</v>
      </c>
      <c r="Z99" s="334" t="s">
        <v>11225</v>
      </c>
      <c r="AA99" s="793" t="s">
        <v>11226</v>
      </c>
      <c r="AB99" s="334" t="s">
        <v>9734</v>
      </c>
      <c r="AC99" s="334" t="s">
        <v>3470</v>
      </c>
      <c r="AD99" s="334" t="s">
        <v>5405</v>
      </c>
      <c r="AE99" s="334" t="s">
        <v>2616</v>
      </c>
      <c r="AF99" s="334" t="s">
        <v>11227</v>
      </c>
      <c r="AG99" s="334" t="s">
        <v>5890</v>
      </c>
      <c r="AH99" s="334" t="s">
        <v>11228</v>
      </c>
      <c r="AI99" s="334" t="s">
        <v>4904</v>
      </c>
      <c r="AJ99" s="334" t="s">
        <v>11229</v>
      </c>
      <c r="AK99" s="334" t="s">
        <v>11230</v>
      </c>
      <c r="AL99" s="334" t="s">
        <v>4032</v>
      </c>
      <c r="AM99" s="334" t="s">
        <v>4912</v>
      </c>
      <c r="AN99" s="334" t="s">
        <v>11231</v>
      </c>
      <c r="AO99" s="334" t="s">
        <v>10601</v>
      </c>
      <c r="AP99" s="334" t="s">
        <v>11232</v>
      </c>
      <c r="AQ99" s="334" t="s">
        <v>6855</v>
      </c>
      <c r="AR99" s="334" t="s">
        <v>11233</v>
      </c>
      <c r="AS99" s="334" t="s">
        <v>620</v>
      </c>
      <c r="AT99" s="334" t="s">
        <v>11234</v>
      </c>
      <c r="AU99" s="334" t="s">
        <v>11235</v>
      </c>
      <c r="AV99" s="1474" t="str">
        <f t="shared" si="1"/>
        <v>2:11</v>
      </c>
      <c r="AW99" s="1724" t="s">
        <v>11236</v>
      </c>
    </row>
    <row r="100">
      <c r="A100" s="1653" t="s">
        <v>6549</v>
      </c>
      <c r="B100" s="1741" t="s">
        <v>11184</v>
      </c>
      <c r="C100" s="1742">
        <v>0.0609375</v>
      </c>
      <c r="D100" s="1743" t="s">
        <v>11237</v>
      </c>
      <c r="E100" s="1744" t="s">
        <v>3585</v>
      </c>
      <c r="F100" s="1744" t="s">
        <v>11238</v>
      </c>
      <c r="G100" s="1744" t="s">
        <v>11239</v>
      </c>
      <c r="H100" s="1743" t="s">
        <v>11240</v>
      </c>
      <c r="I100" s="1745" t="s">
        <v>9416</v>
      </c>
      <c r="J100" s="1746" t="s">
        <v>11241</v>
      </c>
      <c r="K100" s="1746" t="s">
        <v>1672</v>
      </c>
      <c r="L100" s="1746" t="s">
        <v>6959</v>
      </c>
      <c r="M100" s="1746" t="s">
        <v>11242</v>
      </c>
      <c r="N100" s="1746" t="s">
        <v>6948</v>
      </c>
      <c r="O100" s="1746" t="s">
        <v>11243</v>
      </c>
      <c r="P100" s="1746" t="s">
        <v>1646</v>
      </c>
      <c r="Q100" s="1747" t="s">
        <v>11244</v>
      </c>
      <c r="R100" s="1747" t="s">
        <v>11245</v>
      </c>
      <c r="S100" s="1747" t="s">
        <v>11246</v>
      </c>
      <c r="T100" s="1747" t="s">
        <v>11247</v>
      </c>
      <c r="U100" s="1747" t="s">
        <v>11248</v>
      </c>
      <c r="V100" s="1747" t="s">
        <v>11249</v>
      </c>
      <c r="W100" s="1748" t="s">
        <v>11250</v>
      </c>
      <c r="X100" s="1748" t="s">
        <v>11226</v>
      </c>
      <c r="Y100" s="1748" t="s">
        <v>10950</v>
      </c>
      <c r="Z100" s="1748" t="s">
        <v>7030</v>
      </c>
      <c r="AA100" s="1749" t="s">
        <v>11156</v>
      </c>
      <c r="AB100" s="1748" t="s">
        <v>11251</v>
      </c>
      <c r="AC100" s="1748" t="s">
        <v>9515</v>
      </c>
      <c r="AD100" s="1744" t="s">
        <v>11252</v>
      </c>
      <c r="AE100" s="1744" t="s">
        <v>1372</v>
      </c>
      <c r="AF100" s="1750" t="s">
        <v>11253</v>
      </c>
      <c r="AG100" s="1750" t="s">
        <v>11254</v>
      </c>
      <c r="AH100" s="1750" t="s">
        <v>11255</v>
      </c>
      <c r="AI100" s="1750" t="s">
        <v>6725</v>
      </c>
      <c r="AJ100" s="1750" t="s">
        <v>11256</v>
      </c>
      <c r="AK100" s="1750" t="s">
        <v>10680</v>
      </c>
      <c r="AL100" s="1750" t="s">
        <v>1885</v>
      </c>
      <c r="AM100" s="1751" t="s">
        <v>8996</v>
      </c>
      <c r="AN100" s="1751" t="s">
        <v>11257</v>
      </c>
      <c r="AO100" s="1751" t="s">
        <v>4493</v>
      </c>
      <c r="AP100" s="1751" t="s">
        <v>11258</v>
      </c>
      <c r="AQ100" s="1751" t="s">
        <v>6451</v>
      </c>
      <c r="AR100" s="1751" t="s">
        <v>11259</v>
      </c>
      <c r="AS100" s="1751" t="s">
        <v>9936</v>
      </c>
      <c r="AT100" s="1746" t="s">
        <v>11260</v>
      </c>
      <c r="AU100" s="1752" t="s">
        <v>11261</v>
      </c>
      <c r="AV100" s="1474" t="str">
        <f t="shared" si="1"/>
        <v>7:58</v>
      </c>
      <c r="AW100" s="1608" t="s">
        <v>11262</v>
      </c>
    </row>
    <row r="101" ht="15.75" customHeight="1">
      <c r="A101" s="1617" t="s">
        <v>6421</v>
      </c>
      <c r="B101" s="1650" t="s">
        <v>9191</v>
      </c>
      <c r="C101" s="1556">
        <v>0.06635416666666667</v>
      </c>
      <c r="D101" s="998" t="s">
        <v>11263</v>
      </c>
      <c r="E101" s="998" t="s">
        <v>9042</v>
      </c>
      <c r="F101" s="998" t="s">
        <v>11264</v>
      </c>
      <c r="G101" s="998" t="s">
        <v>11265</v>
      </c>
      <c r="H101" s="998" t="s">
        <v>11266</v>
      </c>
      <c r="I101" s="998" t="s">
        <v>3479</v>
      </c>
      <c r="J101" s="998" t="s">
        <v>11267</v>
      </c>
      <c r="K101" s="998" t="s">
        <v>4002</v>
      </c>
      <c r="L101" s="998" t="s">
        <v>6913</v>
      </c>
      <c r="M101" s="998" t="s">
        <v>936</v>
      </c>
      <c r="N101" s="998" t="s">
        <v>11268</v>
      </c>
      <c r="O101" s="998" t="s">
        <v>11269</v>
      </c>
      <c r="P101" s="998" t="s">
        <v>11270</v>
      </c>
      <c r="Q101" s="998" t="s">
        <v>11271</v>
      </c>
      <c r="R101" s="998" t="s">
        <v>4579</v>
      </c>
      <c r="S101" s="998" t="s">
        <v>11272</v>
      </c>
      <c r="T101" s="998" t="s">
        <v>6474</v>
      </c>
      <c r="U101" s="998" t="s">
        <v>11273</v>
      </c>
      <c r="V101" s="998" t="s">
        <v>7502</v>
      </c>
      <c r="W101" s="998" t="s">
        <v>11274</v>
      </c>
      <c r="X101" s="998" t="s">
        <v>11275</v>
      </c>
      <c r="Y101" s="998" t="s">
        <v>758</v>
      </c>
      <c r="Z101" s="998" t="s">
        <v>11276</v>
      </c>
      <c r="AA101" s="334"/>
      <c r="AB101" s="998" t="s">
        <v>11277</v>
      </c>
      <c r="AC101" s="998" t="s">
        <v>177</v>
      </c>
      <c r="AD101" s="998" t="s">
        <v>11278</v>
      </c>
      <c r="AE101" s="998" t="s">
        <v>11279</v>
      </c>
      <c r="AF101" s="998" t="s">
        <v>11280</v>
      </c>
      <c r="AG101" s="998" t="s">
        <v>11281</v>
      </c>
      <c r="AH101" s="998" t="s">
        <v>11282</v>
      </c>
      <c r="AI101" s="998" t="s">
        <v>11283</v>
      </c>
      <c r="AJ101" s="998" t="s">
        <v>11284</v>
      </c>
      <c r="AK101" s="998" t="s">
        <v>11285</v>
      </c>
      <c r="AL101" s="998" t="s">
        <v>11286</v>
      </c>
      <c r="AM101" s="998" t="s">
        <v>11287</v>
      </c>
      <c r="AN101" s="998" t="s">
        <v>9796</v>
      </c>
      <c r="AO101" s="998" t="s">
        <v>2330</v>
      </c>
      <c r="AP101" s="998" t="s">
        <v>11288</v>
      </c>
      <c r="AQ101" s="998" t="s">
        <v>132</v>
      </c>
      <c r="AR101" s="998" t="s">
        <v>11289</v>
      </c>
      <c r="AS101" s="998" t="s">
        <v>4084</v>
      </c>
      <c r="AT101" s="998" t="s">
        <v>11290</v>
      </c>
      <c r="AU101" s="1408" t="s">
        <v>11291</v>
      </c>
      <c r="AV101" s="1474" t="str">
        <f t="shared" si="1"/>
        <v>9:53</v>
      </c>
      <c r="AW101" s="1705" t="s">
        <v>11292</v>
      </c>
    </row>
    <row r="102">
      <c r="A102" s="1617" t="s">
        <v>7044</v>
      </c>
      <c r="B102" s="1615" t="s">
        <v>9191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9696</v>
      </c>
      <c r="X102" s="1594"/>
      <c r="Y102" s="1594"/>
      <c r="Z102" s="1594"/>
      <c r="AA102" s="1594"/>
      <c r="AB102" s="1601" t="s">
        <v>2985</v>
      </c>
      <c r="AC102" s="1594"/>
      <c r="AD102" s="1594"/>
      <c r="AE102" s="1598"/>
      <c r="AF102" s="1594"/>
      <c r="AG102" s="1594"/>
      <c r="AH102" s="1594"/>
      <c r="AI102" s="1594"/>
      <c r="AJ102" s="1594"/>
      <c r="AK102" s="1594"/>
      <c r="AL102" s="1594"/>
      <c r="AM102" s="1601" t="s">
        <v>2401</v>
      </c>
      <c r="AN102" s="1594"/>
      <c r="AO102" s="1594"/>
      <c r="AP102" s="1594"/>
      <c r="AQ102" s="1594"/>
      <c r="AR102" s="1594"/>
      <c r="AS102" s="1594"/>
      <c r="AT102" s="1594"/>
      <c r="AU102" s="1474"/>
      <c r="AV102" s="1474"/>
      <c r="AW102" s="1649"/>
    </row>
    <row r="103">
      <c r="A103" s="1617" t="s">
        <v>4659</v>
      </c>
      <c r="B103" s="1605" t="s">
        <v>9191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61" t="s">
        <v>11293</v>
      </c>
      <c r="E1" s="1762" t="s">
        <v>7525</v>
      </c>
      <c r="F1" s="1763" t="s">
        <v>7527</v>
      </c>
      <c r="G1" s="1764" t="s">
        <v>38</v>
      </c>
      <c r="H1" s="1765" t="s">
        <v>36</v>
      </c>
      <c r="I1" s="1761" t="s">
        <v>11294</v>
      </c>
      <c r="J1" s="1766" t="s">
        <v>39</v>
      </c>
      <c r="K1" s="1767" t="s">
        <v>7526</v>
      </c>
      <c r="L1" s="1495" t="s">
        <v>9159</v>
      </c>
      <c r="M1" s="1496" t="s">
        <v>9160</v>
      </c>
      <c r="N1" s="1768" t="s">
        <v>9161</v>
      </c>
      <c r="O1" s="1769" t="s">
        <v>9162</v>
      </c>
    </row>
    <row r="2" ht="15.75" customHeight="1">
      <c r="A2" s="1770" t="s">
        <v>9163</v>
      </c>
      <c r="B2" s="1771" t="s">
        <v>9164</v>
      </c>
      <c r="C2" s="1772">
        <v>0.0496875</v>
      </c>
      <c r="D2" s="1773" t="s">
        <v>11295</v>
      </c>
      <c r="E2" s="1774" t="s">
        <v>11296</v>
      </c>
      <c r="F2" s="1775" t="s">
        <v>11297</v>
      </c>
      <c r="G2" s="1776" t="s">
        <v>11298</v>
      </c>
      <c r="H2" s="1777" t="s">
        <v>11299</v>
      </c>
      <c r="I2" s="1778" t="s">
        <v>11300</v>
      </c>
      <c r="J2" s="1779" t="s">
        <v>11301</v>
      </c>
      <c r="K2" s="1780" t="s">
        <v>11302</v>
      </c>
      <c r="L2" s="1781" t="s">
        <v>9188</v>
      </c>
      <c r="M2" s="1772">
        <v>0.05042824074074074</v>
      </c>
      <c r="N2" s="1782" t="str">
        <f t="shared" ref="N2:N41" si="1">TEXT(M2-C2, "m:ss")</f>
        <v>1:04</v>
      </c>
      <c r="O2" s="1783"/>
    </row>
    <row r="3" ht="15.75" customHeight="1">
      <c r="A3" s="1784" t="s">
        <v>9190</v>
      </c>
      <c r="B3" s="1785" t="s">
        <v>9191</v>
      </c>
      <c r="C3" s="1786">
        <v>0.051458333333333335</v>
      </c>
      <c r="D3" s="1525" t="s">
        <v>11303</v>
      </c>
      <c r="E3" s="1526" t="s">
        <v>11304</v>
      </c>
      <c r="F3" s="1527" t="s">
        <v>11305</v>
      </c>
      <c r="G3" s="1528" t="s">
        <v>11306</v>
      </c>
      <c r="H3" s="1530" t="s">
        <v>11307</v>
      </c>
      <c r="I3" s="1525" t="s">
        <v>11308</v>
      </c>
      <c r="J3" s="1532" t="s">
        <v>11309</v>
      </c>
      <c r="K3" s="1535" t="s">
        <v>11310</v>
      </c>
      <c r="L3" s="1527" t="s">
        <v>5046</v>
      </c>
      <c r="M3" s="1786">
        <v>0.05236111111111111</v>
      </c>
      <c r="N3" s="1787" t="str">
        <f t="shared" si="1"/>
        <v>1:18</v>
      </c>
      <c r="O3" s="1788"/>
    </row>
    <row r="4" ht="15.75" customHeight="1">
      <c r="A4" s="1789" t="s">
        <v>9216</v>
      </c>
      <c r="B4" s="1790" t="s">
        <v>9217</v>
      </c>
      <c r="C4" s="1791">
        <f>C26</f>
        <v>0.05158564815</v>
      </c>
      <c r="D4" s="1792" t="s">
        <v>11311</v>
      </c>
      <c r="E4" s="1793" t="s">
        <v>11312</v>
      </c>
      <c r="F4" s="1794" t="s">
        <v>11313</v>
      </c>
      <c r="G4" s="1795" t="s">
        <v>11314</v>
      </c>
      <c r="H4" s="1796" t="s">
        <v>11315</v>
      </c>
      <c r="I4" s="1792" t="s">
        <v>11316</v>
      </c>
      <c r="J4" s="1797" t="s">
        <v>11317</v>
      </c>
      <c r="K4" s="1798" t="s">
        <v>11318</v>
      </c>
      <c r="L4" s="1799" t="s">
        <v>9245</v>
      </c>
      <c r="M4" s="1800">
        <f>M26</f>
        <v>0.0521412037</v>
      </c>
      <c r="N4" s="1800" t="str">
        <f t="shared" si="1"/>
        <v>0:48</v>
      </c>
      <c r="O4" s="1783"/>
    </row>
    <row r="5" ht="15.75" customHeight="1">
      <c r="A5" s="974" t="s">
        <v>981</v>
      </c>
      <c r="B5" s="1706" t="s">
        <v>9164</v>
      </c>
      <c r="C5" s="1801">
        <v>0.04980324074074074</v>
      </c>
      <c r="D5" s="1802" t="s">
        <v>11295</v>
      </c>
      <c r="E5" s="1595" t="s">
        <v>11319</v>
      </c>
      <c r="F5" s="1802" t="s">
        <v>11297</v>
      </c>
      <c r="G5" s="1802" t="s">
        <v>11298</v>
      </c>
      <c r="H5" s="1802" t="s">
        <v>11299</v>
      </c>
      <c r="I5" s="1802" t="s">
        <v>11300</v>
      </c>
      <c r="J5" s="1803" t="s">
        <v>11320</v>
      </c>
      <c r="K5" s="1804" t="s">
        <v>11321</v>
      </c>
      <c r="L5" s="1558" t="s">
        <v>9253</v>
      </c>
      <c r="M5" s="1805">
        <v>0.05032407407407408</v>
      </c>
      <c r="N5" s="1806" t="str">
        <f t="shared" si="1"/>
        <v>0:45</v>
      </c>
      <c r="O5" s="1646" t="s">
        <v>11322</v>
      </c>
    </row>
    <row r="6">
      <c r="A6" s="1807" t="s">
        <v>2544</v>
      </c>
      <c r="B6" s="1808" t="s">
        <v>9164</v>
      </c>
      <c r="C6" s="1809">
        <v>0.049953125</v>
      </c>
      <c r="D6" s="1810" t="s">
        <v>11323</v>
      </c>
      <c r="E6" s="1811" t="s">
        <v>11324</v>
      </c>
      <c r="F6" s="1803" t="s">
        <v>11325</v>
      </c>
      <c r="G6" s="1803" t="s">
        <v>11326</v>
      </c>
      <c r="H6" s="1592" t="s">
        <v>11327</v>
      </c>
      <c r="I6" s="1803" t="s">
        <v>8698</v>
      </c>
      <c r="J6" s="1803" t="s">
        <v>11328</v>
      </c>
      <c r="K6" s="1812" t="s">
        <v>11302</v>
      </c>
      <c r="L6" s="1803" t="s">
        <v>9280</v>
      </c>
      <c r="M6" s="1813">
        <v>0.05068287037037037</v>
      </c>
      <c r="N6" s="1813" t="str">
        <f t="shared" si="1"/>
        <v>1:03</v>
      </c>
      <c r="O6" s="1646"/>
    </row>
    <row r="7" ht="15.75" customHeight="1">
      <c r="A7" s="1753" t="s">
        <v>1876</v>
      </c>
      <c r="B7" s="1555" t="s">
        <v>9164</v>
      </c>
      <c r="C7" s="1814">
        <v>0.0499537037037037</v>
      </c>
      <c r="D7" s="1592" t="s">
        <v>11329</v>
      </c>
      <c r="E7" s="1592" t="s">
        <v>11330</v>
      </c>
      <c r="F7" s="1592" t="s">
        <v>11331</v>
      </c>
      <c r="G7" s="1592" t="s">
        <v>11332</v>
      </c>
      <c r="H7" s="1592" t="s">
        <v>11333</v>
      </c>
      <c r="I7" s="1592" t="s">
        <v>11334</v>
      </c>
      <c r="J7" s="1592" t="s">
        <v>11335</v>
      </c>
      <c r="K7" s="1815" t="s">
        <v>11336</v>
      </c>
      <c r="L7" s="1559" t="s">
        <v>9188</v>
      </c>
      <c r="M7" s="1813">
        <v>0.05056712962962963</v>
      </c>
      <c r="N7" s="1816" t="str">
        <f t="shared" si="1"/>
        <v>0:53</v>
      </c>
      <c r="O7" s="1646" t="s">
        <v>11337</v>
      </c>
    </row>
    <row r="8" ht="15.75" customHeight="1">
      <c r="A8" s="1817" t="s">
        <v>436</v>
      </c>
      <c r="B8" s="1555" t="s">
        <v>9164</v>
      </c>
      <c r="C8" s="1809">
        <v>0.04998842592592593</v>
      </c>
      <c r="D8" s="1592" t="s">
        <v>11338</v>
      </c>
      <c r="E8" s="1818" t="s">
        <v>11296</v>
      </c>
      <c r="F8" s="1592" t="s">
        <v>11339</v>
      </c>
      <c r="G8" s="1592" t="s">
        <v>11340</v>
      </c>
      <c r="H8" s="1592" t="s">
        <v>11341</v>
      </c>
      <c r="I8" s="1592" t="s">
        <v>11342</v>
      </c>
      <c r="J8" s="1819" t="s">
        <v>11301</v>
      </c>
      <c r="K8" s="1592" t="s">
        <v>11343</v>
      </c>
      <c r="L8" s="1592" t="s">
        <v>9301</v>
      </c>
      <c r="M8" s="1813">
        <v>0.0508912037037037</v>
      </c>
      <c r="N8" s="1816" t="str">
        <f t="shared" si="1"/>
        <v>1:18</v>
      </c>
      <c r="O8" s="1646" t="s">
        <v>11337</v>
      </c>
    </row>
    <row r="9" ht="15.75" customHeight="1">
      <c r="A9" s="1817" t="s">
        <v>6618</v>
      </c>
      <c r="B9" s="1618" t="s">
        <v>9164</v>
      </c>
      <c r="C9" s="1814">
        <v>0.05025462962962963</v>
      </c>
      <c r="D9" s="1090" t="s">
        <v>11344</v>
      </c>
      <c r="E9" s="1593" t="s">
        <v>11345</v>
      </c>
      <c r="F9" s="1592" t="s">
        <v>11346</v>
      </c>
      <c r="G9" s="1592" t="s">
        <v>11347</v>
      </c>
      <c r="H9" s="1592" t="s">
        <v>11348</v>
      </c>
      <c r="I9" s="1592" t="s">
        <v>11072</v>
      </c>
      <c r="J9" s="1592" t="s">
        <v>11349</v>
      </c>
      <c r="K9" s="1592" t="s">
        <v>11350</v>
      </c>
      <c r="L9" s="1592" t="s">
        <v>9410</v>
      </c>
      <c r="M9" s="1813">
        <v>0.0506712962962963</v>
      </c>
      <c r="N9" s="1816" t="str">
        <f t="shared" si="1"/>
        <v>0:36</v>
      </c>
      <c r="O9" s="1646"/>
    </row>
    <row r="10" ht="15.75" customHeight="1">
      <c r="A10" s="1753" t="s">
        <v>6780</v>
      </c>
      <c r="B10" s="1555" t="s">
        <v>9164</v>
      </c>
      <c r="C10" s="1814">
        <v>0.050416666666666665</v>
      </c>
      <c r="D10" s="1592" t="s">
        <v>11351</v>
      </c>
      <c r="E10" s="1593" t="s">
        <v>11352</v>
      </c>
      <c r="F10" s="1595" t="s">
        <v>11353</v>
      </c>
      <c r="G10" s="1595" t="s">
        <v>11354</v>
      </c>
      <c r="H10" s="1592" t="s">
        <v>11355</v>
      </c>
      <c r="I10" s="1592" t="s">
        <v>11356</v>
      </c>
      <c r="J10" s="1592" t="s">
        <v>11357</v>
      </c>
      <c r="K10" s="1592" t="s">
        <v>11358</v>
      </c>
      <c r="L10" s="1595" t="s">
        <v>11359</v>
      </c>
      <c r="M10" s="1813">
        <v>0.0512037037037037</v>
      </c>
      <c r="N10" s="1816" t="str">
        <f t="shared" si="1"/>
        <v>1:08</v>
      </c>
      <c r="O10" s="1646" t="s">
        <v>11337</v>
      </c>
    </row>
    <row r="11">
      <c r="A11" s="1820" t="s">
        <v>827</v>
      </c>
      <c r="B11" s="1821" t="s">
        <v>9164</v>
      </c>
      <c r="C11" s="1814">
        <v>0.05047453703703704</v>
      </c>
      <c r="D11" s="1116" t="s">
        <v>11360</v>
      </c>
      <c r="E11" s="1593" t="s">
        <v>11361</v>
      </c>
      <c r="F11" s="1803" t="s">
        <v>11362</v>
      </c>
      <c r="G11" s="1803" t="s">
        <v>11363</v>
      </c>
      <c r="H11" s="1803" t="s">
        <v>11364</v>
      </c>
      <c r="I11" s="1592" t="s">
        <v>11365</v>
      </c>
      <c r="J11" s="1592" t="s">
        <v>11366</v>
      </c>
      <c r="K11" s="1803" t="s">
        <v>11367</v>
      </c>
      <c r="L11" s="1592" t="s">
        <v>3676</v>
      </c>
      <c r="M11" s="1813">
        <v>0.051076388888888886</v>
      </c>
      <c r="N11" s="1816" t="str">
        <f t="shared" si="1"/>
        <v>0:52</v>
      </c>
      <c r="O11" s="1646" t="s">
        <v>11368</v>
      </c>
    </row>
    <row r="12">
      <c r="A12" s="1653" t="s">
        <v>1807</v>
      </c>
      <c r="B12" s="1821" t="s">
        <v>9164</v>
      </c>
      <c r="C12" s="1809">
        <v>0.05059429398148148</v>
      </c>
      <c r="D12" s="1090" t="s">
        <v>11369</v>
      </c>
      <c r="E12" s="1593" t="s">
        <v>11370</v>
      </c>
      <c r="F12" s="1592" t="s">
        <v>11371</v>
      </c>
      <c r="G12" s="1592" t="s">
        <v>11372</v>
      </c>
      <c r="H12" s="1592" t="s">
        <v>11373</v>
      </c>
      <c r="I12" s="1592" t="s">
        <v>11374</v>
      </c>
      <c r="J12" s="1592" t="s">
        <v>11375</v>
      </c>
      <c r="K12" s="1592" t="s">
        <v>11376</v>
      </c>
      <c r="L12" s="1592" t="s">
        <v>11377</v>
      </c>
      <c r="M12" s="1813">
        <v>0.051319444444444445</v>
      </c>
      <c r="N12" s="1816" t="str">
        <f t="shared" si="1"/>
        <v>1:03</v>
      </c>
      <c r="O12" s="1646"/>
    </row>
    <row r="13" ht="15.75" customHeight="1">
      <c r="A13" s="974" t="s">
        <v>1549</v>
      </c>
      <c r="B13" s="1822" t="s">
        <v>9164</v>
      </c>
      <c r="C13" s="1814">
        <v>0.05061342592592592</v>
      </c>
      <c r="D13" s="1823" t="s">
        <v>11378</v>
      </c>
      <c r="E13" s="1593" t="s">
        <v>11379</v>
      </c>
      <c r="F13" s="1824" t="s">
        <v>11380</v>
      </c>
      <c r="G13" s="1592" t="s">
        <v>11381</v>
      </c>
      <c r="H13" s="1824" t="s">
        <v>11382</v>
      </c>
      <c r="I13" s="1824" t="s">
        <v>11383</v>
      </c>
      <c r="J13" s="1592" t="s">
        <v>11384</v>
      </c>
      <c r="K13" s="1592" t="s">
        <v>11385</v>
      </c>
      <c r="L13" s="1592" t="s">
        <v>3513</v>
      </c>
      <c r="M13" s="1813">
        <v>0.05122685185185185</v>
      </c>
      <c r="N13" s="1816" t="str">
        <f t="shared" si="1"/>
        <v>0:53</v>
      </c>
      <c r="O13" s="1646" t="s">
        <v>11386</v>
      </c>
    </row>
    <row r="14" ht="15.75" customHeight="1">
      <c r="A14" s="1757" t="s">
        <v>2086</v>
      </c>
      <c r="B14" s="1555" t="s">
        <v>9164</v>
      </c>
      <c r="C14" s="1809">
        <v>0.05061342592592592</v>
      </c>
      <c r="D14" s="1116" t="s">
        <v>11387</v>
      </c>
      <c r="E14" s="1825" t="s">
        <v>11388</v>
      </c>
      <c r="F14" s="1592" t="s">
        <v>11389</v>
      </c>
      <c r="G14" s="1592" t="s">
        <v>11390</v>
      </c>
      <c r="H14" s="1592" t="s">
        <v>11391</v>
      </c>
      <c r="I14" s="1592" t="s">
        <v>11392</v>
      </c>
      <c r="J14" s="1592" t="s">
        <v>11393</v>
      </c>
      <c r="K14" s="1592" t="s">
        <v>11394</v>
      </c>
      <c r="L14" s="1592" t="s">
        <v>6598</v>
      </c>
      <c r="M14" s="1813">
        <v>0.05153935185185185</v>
      </c>
      <c r="N14" s="1816" t="str">
        <f t="shared" si="1"/>
        <v>1:20</v>
      </c>
      <c r="O14" s="1646" t="s">
        <v>11337</v>
      </c>
    </row>
    <row r="15" ht="15.75" customHeight="1">
      <c r="A15" s="1817" t="s">
        <v>330</v>
      </c>
      <c r="B15" s="1555" t="s">
        <v>9164</v>
      </c>
      <c r="C15" s="1809">
        <v>0.05068287037037037</v>
      </c>
      <c r="D15" s="1592" t="s">
        <v>11395</v>
      </c>
      <c r="E15" s="1825" t="s">
        <v>11396</v>
      </c>
      <c r="F15" s="1592" t="s">
        <v>11397</v>
      </c>
      <c r="G15" s="1592" t="s">
        <v>11398</v>
      </c>
      <c r="H15" s="1592" t="s">
        <v>11399</v>
      </c>
      <c r="I15" s="1592" t="s">
        <v>6542</v>
      </c>
      <c r="J15" s="1592" t="s">
        <v>11400</v>
      </c>
      <c r="K15" s="1592" t="s">
        <v>11401</v>
      </c>
      <c r="L15" s="1592" t="s">
        <v>9388</v>
      </c>
      <c r="M15" s="1813">
        <v>0.05164351851851852</v>
      </c>
      <c r="N15" s="1816" t="str">
        <f t="shared" si="1"/>
        <v>1:23</v>
      </c>
      <c r="O15" s="1646" t="s">
        <v>11337</v>
      </c>
    </row>
    <row r="16" ht="15.75" customHeight="1">
      <c r="A16" s="1653" t="s">
        <v>2649</v>
      </c>
      <c r="B16" s="1706" t="s">
        <v>9191</v>
      </c>
      <c r="C16" s="1826">
        <v>0.050729166666666665</v>
      </c>
      <c r="D16" s="1090" t="s">
        <v>11402</v>
      </c>
      <c r="E16" s="1804" t="s">
        <v>11403</v>
      </c>
      <c r="F16" s="1827" t="s">
        <v>11404</v>
      </c>
      <c r="G16" s="1827" t="s">
        <v>11405</v>
      </c>
      <c r="H16" s="1827" t="s">
        <v>11406</v>
      </c>
      <c r="I16" s="1827" t="s">
        <v>11407</v>
      </c>
      <c r="J16" s="1827" t="s">
        <v>11408</v>
      </c>
      <c r="K16" s="1827" t="s">
        <v>11409</v>
      </c>
      <c r="L16" s="1336" t="s">
        <v>9548</v>
      </c>
      <c r="M16" s="1813">
        <v>0.05143506944444444</v>
      </c>
      <c r="N16" s="1828" t="str">
        <f t="shared" si="1"/>
        <v>1:01</v>
      </c>
      <c r="O16" s="1646"/>
    </row>
    <row r="17" ht="15.75" customHeight="1">
      <c r="A17" s="1653" t="s">
        <v>2151</v>
      </c>
      <c r="B17" s="1706" t="s">
        <v>9191</v>
      </c>
      <c r="C17" s="1814">
        <v>0.05085648148148148</v>
      </c>
      <c r="D17" s="1090" t="s">
        <v>11410</v>
      </c>
      <c r="E17" s="1829" t="s">
        <v>11411</v>
      </c>
      <c r="F17" s="1830" t="s">
        <v>11305</v>
      </c>
      <c r="G17" s="1830" t="s">
        <v>11412</v>
      </c>
      <c r="H17" s="1830" t="s">
        <v>11413</v>
      </c>
      <c r="I17" s="1830" t="s">
        <v>11308</v>
      </c>
      <c r="J17" s="1830" t="s">
        <v>11414</v>
      </c>
      <c r="K17" s="1830" t="s">
        <v>11415</v>
      </c>
      <c r="L17" s="1831" t="s">
        <v>5046</v>
      </c>
      <c r="M17" s="1813">
        <v>0.05197916666666667</v>
      </c>
      <c r="N17" s="1816" t="str">
        <f t="shared" si="1"/>
        <v>1:37</v>
      </c>
      <c r="O17" s="1646" t="s">
        <v>11337</v>
      </c>
    </row>
    <row r="18" ht="15.75" customHeight="1">
      <c r="A18" s="1832" t="s">
        <v>2771</v>
      </c>
      <c r="B18" s="1555" t="s">
        <v>9164</v>
      </c>
      <c r="C18" s="1833">
        <v>0.05103009259259259</v>
      </c>
      <c r="D18" s="1592" t="s">
        <v>11416</v>
      </c>
      <c r="E18" s="1825" t="s">
        <v>10883</v>
      </c>
      <c r="F18" s="1592" t="s">
        <v>11417</v>
      </c>
      <c r="G18" s="1592" t="s">
        <v>11418</v>
      </c>
      <c r="H18" s="1803" t="s">
        <v>11419</v>
      </c>
      <c r="I18" s="1592" t="s">
        <v>8798</v>
      </c>
      <c r="J18" s="1592" t="s">
        <v>11420</v>
      </c>
      <c r="K18" s="1592" t="s">
        <v>11421</v>
      </c>
      <c r="L18" s="1592" t="s">
        <v>11422</v>
      </c>
      <c r="M18" s="1813">
        <v>0.051909722222222225</v>
      </c>
      <c r="N18" s="1816" t="str">
        <f t="shared" si="1"/>
        <v>1:16</v>
      </c>
      <c r="O18" s="1646" t="s">
        <v>11337</v>
      </c>
    </row>
    <row r="19" ht="15.75" customHeight="1">
      <c r="A19" s="1653" t="s">
        <v>2264</v>
      </c>
      <c r="B19" s="1618" t="s">
        <v>9164</v>
      </c>
      <c r="C19" s="1809">
        <v>0.051145833333333335</v>
      </c>
      <c r="D19" s="1116" t="s">
        <v>11423</v>
      </c>
      <c r="E19" s="1593" t="s">
        <v>11424</v>
      </c>
      <c r="F19" s="1592" t="s">
        <v>11425</v>
      </c>
      <c r="G19" s="1592" t="s">
        <v>11426</v>
      </c>
      <c r="H19" s="1592" t="s">
        <v>11427</v>
      </c>
      <c r="I19" s="1592" t="s">
        <v>11428</v>
      </c>
      <c r="J19" s="1592" t="s">
        <v>11429</v>
      </c>
      <c r="K19" s="1592" t="s">
        <v>11430</v>
      </c>
      <c r="L19" s="1592" t="s">
        <v>3121</v>
      </c>
      <c r="M19" s="1813">
        <v>0.05228009259259259</v>
      </c>
      <c r="N19" s="1816" t="str">
        <f t="shared" si="1"/>
        <v>1:38</v>
      </c>
      <c r="O19" s="1646" t="s">
        <v>11431</v>
      </c>
    </row>
    <row r="20" ht="15.75" customHeight="1">
      <c r="A20" s="1817" t="s">
        <v>1414</v>
      </c>
      <c r="B20" s="1555" t="s">
        <v>9164</v>
      </c>
      <c r="C20" s="1809">
        <v>0.05122685185185185</v>
      </c>
      <c r="D20" s="1592" t="s">
        <v>11432</v>
      </c>
      <c r="E20" s="1825" t="s">
        <v>9221</v>
      </c>
      <c r="F20" s="1592" t="s">
        <v>11433</v>
      </c>
      <c r="G20" s="1592" t="s">
        <v>11434</v>
      </c>
      <c r="H20" s="1592" t="s">
        <v>11435</v>
      </c>
      <c r="I20" s="1592" t="s">
        <v>11436</v>
      </c>
      <c r="J20" s="1592" t="s">
        <v>11437</v>
      </c>
      <c r="K20" s="1592" t="s">
        <v>11438</v>
      </c>
      <c r="L20" s="1592" t="s">
        <v>11439</v>
      </c>
      <c r="M20" s="1813">
        <v>0.052037037037037034</v>
      </c>
      <c r="N20" s="1816" t="str">
        <f t="shared" si="1"/>
        <v>1:10</v>
      </c>
      <c r="O20" s="1646" t="s">
        <v>11337</v>
      </c>
    </row>
    <row r="21" ht="15.75" customHeight="1">
      <c r="A21" s="1653" t="s">
        <v>1631</v>
      </c>
      <c r="B21" s="1618" t="s">
        <v>9164</v>
      </c>
      <c r="C21" s="1809">
        <v>0.05122685185185185</v>
      </c>
      <c r="D21" s="1090" t="s">
        <v>11440</v>
      </c>
      <c r="E21" s="1593" t="s">
        <v>11441</v>
      </c>
      <c r="F21" s="1592" t="s">
        <v>11442</v>
      </c>
      <c r="G21" s="1592" t="s">
        <v>11443</v>
      </c>
      <c r="H21" s="1592" t="s">
        <v>11444</v>
      </c>
      <c r="I21" s="1592" t="s">
        <v>11445</v>
      </c>
      <c r="J21" s="1592" t="s">
        <v>11446</v>
      </c>
      <c r="K21" s="1592" t="s">
        <v>11447</v>
      </c>
      <c r="L21" s="1592" t="s">
        <v>6121</v>
      </c>
      <c r="M21" s="1813">
        <v>0.05224537037037037</v>
      </c>
      <c r="N21" s="1816" t="str">
        <f t="shared" si="1"/>
        <v>1:28</v>
      </c>
      <c r="O21" s="1646" t="s">
        <v>11448</v>
      </c>
    </row>
    <row r="22" ht="15.75" customHeight="1">
      <c r="A22" s="1653" t="s">
        <v>7044</v>
      </c>
      <c r="B22" s="1618" t="s">
        <v>9164</v>
      </c>
      <c r="C22" s="1809">
        <v>0.05133101851851852</v>
      </c>
      <c r="D22" s="1592" t="s">
        <v>11449</v>
      </c>
      <c r="E22" s="1593" t="s">
        <v>11450</v>
      </c>
      <c r="F22" s="1592" t="s">
        <v>11451</v>
      </c>
      <c r="G22" s="1595" t="s">
        <v>11452</v>
      </c>
      <c r="H22" s="1595" t="s">
        <v>11453</v>
      </c>
      <c r="I22" s="1592" t="s">
        <v>11454</v>
      </c>
      <c r="J22" s="1592" t="s">
        <v>11455</v>
      </c>
      <c r="K22" s="1592" t="s">
        <v>11456</v>
      </c>
      <c r="L22" s="1592" t="s">
        <v>11457</v>
      </c>
      <c r="M22" s="1813">
        <v>0.05197916666666667</v>
      </c>
      <c r="N22" s="1816" t="str">
        <f t="shared" si="1"/>
        <v>0:56</v>
      </c>
      <c r="O22" s="1646" t="s">
        <v>11458</v>
      </c>
    </row>
    <row r="23" ht="15.75" customHeight="1">
      <c r="A23" s="1753" t="s">
        <v>9638</v>
      </c>
      <c r="B23" s="1555" t="s">
        <v>9164</v>
      </c>
      <c r="C23" s="1814">
        <v>0.05144675925925926</v>
      </c>
      <c r="D23" s="1592" t="s">
        <v>11459</v>
      </c>
      <c r="E23" s="1825" t="s">
        <v>11460</v>
      </c>
      <c r="F23" s="1592" t="s">
        <v>11461</v>
      </c>
      <c r="G23" s="1592" t="s">
        <v>11462</v>
      </c>
      <c r="H23" s="1592" t="s">
        <v>11463</v>
      </c>
      <c r="I23" s="1592" t="s">
        <v>11464</v>
      </c>
      <c r="J23" s="1592" t="s">
        <v>11465</v>
      </c>
      <c r="K23" s="1592" t="s">
        <v>11466</v>
      </c>
      <c r="L23" s="1313" t="s">
        <v>9514</v>
      </c>
      <c r="M23" s="1813">
        <v>0.05258101851851852</v>
      </c>
      <c r="N23" s="1816" t="str">
        <f t="shared" si="1"/>
        <v>1:38</v>
      </c>
      <c r="O23" s="1646" t="s">
        <v>11337</v>
      </c>
    </row>
    <row r="24" ht="15.75" customHeight="1">
      <c r="A24" s="1653" t="s">
        <v>9771</v>
      </c>
      <c r="B24" s="1618" t="s">
        <v>9191</v>
      </c>
      <c r="C24" s="1809">
        <v>0.05146990740740741</v>
      </c>
      <c r="D24" s="1829" t="s">
        <v>11303</v>
      </c>
      <c r="E24" s="1593" t="s">
        <v>10712</v>
      </c>
      <c r="F24" s="1593" t="s">
        <v>11467</v>
      </c>
      <c r="G24" s="1593" t="s">
        <v>11468</v>
      </c>
      <c r="H24" s="1593" t="s">
        <v>11469</v>
      </c>
      <c r="I24" s="1592" t="s">
        <v>11470</v>
      </c>
      <c r="J24" s="1116" t="s">
        <v>11471</v>
      </c>
      <c r="K24" s="1592" t="s">
        <v>11472</v>
      </c>
      <c r="L24" s="1116" t="s">
        <v>9787</v>
      </c>
      <c r="M24" s="1834">
        <v>0.05236111111111111</v>
      </c>
      <c r="N24" s="1816" t="str">
        <f t="shared" si="1"/>
        <v>1:17</v>
      </c>
      <c r="O24" s="1646" t="s">
        <v>11337</v>
      </c>
    </row>
    <row r="25" ht="15.75" customHeight="1">
      <c r="A25" s="1817" t="s">
        <v>899</v>
      </c>
      <c r="B25" s="1555" t="s">
        <v>9164</v>
      </c>
      <c r="C25" s="1814">
        <v>0.051550925925925924</v>
      </c>
      <c r="D25" s="1592" t="s">
        <v>11473</v>
      </c>
      <c r="E25" s="1825" t="s">
        <v>10696</v>
      </c>
      <c r="F25" s="1592" t="s">
        <v>11474</v>
      </c>
      <c r="G25" s="1592" t="s">
        <v>11475</v>
      </c>
      <c r="H25" s="1592" t="s">
        <v>11476</v>
      </c>
      <c r="I25" s="1592" t="s">
        <v>11477</v>
      </c>
      <c r="J25" s="1592" t="s">
        <v>11478</v>
      </c>
      <c r="K25" s="1592" t="s">
        <v>11479</v>
      </c>
      <c r="L25" s="1313" t="s">
        <v>11480</v>
      </c>
      <c r="M25" s="1813">
        <v>0.05229166666666667</v>
      </c>
      <c r="N25" s="1816" t="str">
        <f t="shared" si="1"/>
        <v>1:04</v>
      </c>
      <c r="O25" s="1646" t="s">
        <v>11337</v>
      </c>
    </row>
    <row r="26">
      <c r="A26" s="1807" t="s">
        <v>1876</v>
      </c>
      <c r="B26" s="1706" t="s">
        <v>9217</v>
      </c>
      <c r="C26" s="1835">
        <v>0.05158564814814815</v>
      </c>
      <c r="D26" s="1836" t="s">
        <v>11311</v>
      </c>
      <c r="E26" s="1837" t="s">
        <v>11312</v>
      </c>
      <c r="F26" s="1836" t="s">
        <v>11313</v>
      </c>
      <c r="G26" s="1836" t="s">
        <v>11314</v>
      </c>
      <c r="H26" s="1836" t="s">
        <v>11315</v>
      </c>
      <c r="I26" s="1836" t="s">
        <v>11316</v>
      </c>
      <c r="J26" s="1836" t="s">
        <v>11317</v>
      </c>
      <c r="K26" s="1836" t="s">
        <v>11318</v>
      </c>
      <c r="L26" s="1836" t="s">
        <v>9245</v>
      </c>
      <c r="M26" s="1838">
        <v>0.052141203703703703</v>
      </c>
      <c r="N26" s="1816" t="str">
        <f t="shared" si="1"/>
        <v>0:48</v>
      </c>
      <c r="O26" s="1646" t="s">
        <v>11481</v>
      </c>
    </row>
    <row r="27" ht="15.75" customHeight="1">
      <c r="A27" s="974" t="s">
        <v>2823</v>
      </c>
      <c r="B27" s="1618" t="s">
        <v>9164</v>
      </c>
      <c r="C27" s="1814">
        <v>0.051706365740740744</v>
      </c>
      <c r="D27" s="1116" t="s">
        <v>11482</v>
      </c>
      <c r="E27" s="1593" t="s">
        <v>11483</v>
      </c>
      <c r="F27" s="1592" t="s">
        <v>11484</v>
      </c>
      <c r="G27" s="1592" t="s">
        <v>11485</v>
      </c>
      <c r="H27" s="1592" t="s">
        <v>11486</v>
      </c>
      <c r="I27" s="1592" t="s">
        <v>11487</v>
      </c>
      <c r="J27" s="1592" t="s">
        <v>11488</v>
      </c>
      <c r="K27" s="1592" t="s">
        <v>11489</v>
      </c>
      <c r="L27" s="1592" t="s">
        <v>10077</v>
      </c>
      <c r="M27" s="1813">
        <v>0.0525</v>
      </c>
      <c r="N27" s="1813" t="str">
        <f t="shared" si="1"/>
        <v>1:09</v>
      </c>
      <c r="O27" s="1646"/>
    </row>
    <row r="28" ht="15.75" customHeight="1">
      <c r="A28" s="1839" t="s">
        <v>2104</v>
      </c>
      <c r="B28" s="1698" t="s">
        <v>9164</v>
      </c>
      <c r="C28" s="1814">
        <v>0.05171296296296296</v>
      </c>
      <c r="D28" s="1322" t="s">
        <v>11490</v>
      </c>
      <c r="E28" s="1322" t="s">
        <v>11491</v>
      </c>
      <c r="F28" s="1322" t="s">
        <v>11492</v>
      </c>
      <c r="G28" s="1322" t="s">
        <v>11493</v>
      </c>
      <c r="H28" s="1116" t="s">
        <v>11494</v>
      </c>
      <c r="I28" s="1322" t="s">
        <v>11495</v>
      </c>
      <c r="J28" s="1116" t="s">
        <v>11496</v>
      </c>
      <c r="K28" s="1322" t="s">
        <v>11497</v>
      </c>
      <c r="L28" s="1116" t="s">
        <v>9614</v>
      </c>
      <c r="M28" s="1813">
        <v>0.054375</v>
      </c>
      <c r="N28" s="1816" t="str">
        <f t="shared" si="1"/>
        <v>3:50</v>
      </c>
      <c r="O28" s="1646" t="s">
        <v>11498</v>
      </c>
    </row>
    <row r="29" ht="15.75" customHeight="1">
      <c r="A29" s="1653" t="s">
        <v>3096</v>
      </c>
      <c r="B29" s="1618" t="s">
        <v>9164</v>
      </c>
      <c r="C29" s="1809">
        <v>0.05180160879629629</v>
      </c>
      <c r="D29" s="1116" t="s">
        <v>11499</v>
      </c>
      <c r="E29" s="1593" t="s">
        <v>11500</v>
      </c>
      <c r="F29" s="1592" t="s">
        <v>11501</v>
      </c>
      <c r="G29" s="1592" t="s">
        <v>11502</v>
      </c>
      <c r="H29" s="1592" t="s">
        <v>11503</v>
      </c>
      <c r="I29" s="1592" t="s">
        <v>11504</v>
      </c>
      <c r="J29" s="1592" t="s">
        <v>11505</v>
      </c>
      <c r="K29" s="1592" t="s">
        <v>11506</v>
      </c>
      <c r="L29" s="1592" t="s">
        <v>11507</v>
      </c>
      <c r="M29" s="1813">
        <v>0.05303240740740741</v>
      </c>
      <c r="N29" s="1816" t="str">
        <f t="shared" si="1"/>
        <v>1:46</v>
      </c>
      <c r="O29" s="1646"/>
    </row>
    <row r="30" ht="15.75" customHeight="1">
      <c r="A30" s="974" t="s">
        <v>1347</v>
      </c>
      <c r="B30" s="1706" t="s">
        <v>9217</v>
      </c>
      <c r="C30" s="1814">
        <v>0.052088194444444444</v>
      </c>
      <c r="D30" s="1116" t="s">
        <v>11508</v>
      </c>
      <c r="E30" s="1593" t="s">
        <v>11509</v>
      </c>
      <c r="F30" s="1592" t="s">
        <v>11510</v>
      </c>
      <c r="G30" s="1592" t="s">
        <v>11511</v>
      </c>
      <c r="H30" s="1592" t="s">
        <v>11512</v>
      </c>
      <c r="I30" s="1592" t="s">
        <v>11513</v>
      </c>
      <c r="J30" s="1592" t="s">
        <v>11514</v>
      </c>
      <c r="K30" s="1592" t="s">
        <v>11515</v>
      </c>
      <c r="L30" s="1592" t="s">
        <v>10382</v>
      </c>
      <c r="M30" s="1813">
        <v>0.053043981481481484</v>
      </c>
      <c r="N30" s="1816" t="str">
        <f t="shared" si="1"/>
        <v>1:23</v>
      </c>
      <c r="O30" s="1646" t="s">
        <v>11337</v>
      </c>
    </row>
    <row r="31" ht="15.75" customHeight="1">
      <c r="A31" s="974" t="s">
        <v>2582</v>
      </c>
      <c r="B31" s="1618" t="s">
        <v>9191</v>
      </c>
      <c r="C31" s="1814">
        <v>0.05215277777777778</v>
      </c>
      <c r="D31" s="1592" t="s">
        <v>11516</v>
      </c>
      <c r="E31" s="1592" t="s">
        <v>6047</v>
      </c>
      <c r="F31" s="1592" t="s">
        <v>11517</v>
      </c>
      <c r="G31" s="1592" t="s">
        <v>11518</v>
      </c>
      <c r="H31" s="1592" t="s">
        <v>11519</v>
      </c>
      <c r="I31" s="1592" t="s">
        <v>11379</v>
      </c>
      <c r="J31" s="1592" t="s">
        <v>11520</v>
      </c>
      <c r="K31" s="1592" t="s">
        <v>11521</v>
      </c>
      <c r="L31" s="1592" t="s">
        <v>10124</v>
      </c>
      <c r="M31" s="1813">
        <v>0.05399305555555556</v>
      </c>
      <c r="N31" s="1816" t="str">
        <f t="shared" si="1"/>
        <v>2:39</v>
      </c>
      <c r="O31" s="1646" t="s">
        <v>11522</v>
      </c>
    </row>
    <row r="32" ht="15.75" customHeight="1">
      <c r="A32" s="1653" t="s">
        <v>2991</v>
      </c>
      <c r="B32" s="1618" t="s">
        <v>9164</v>
      </c>
      <c r="C32" s="1809">
        <v>0.05216435185185185</v>
      </c>
      <c r="D32" s="1592" t="s">
        <v>11523</v>
      </c>
      <c r="E32" s="1593" t="s">
        <v>11524</v>
      </c>
      <c r="F32" s="1592" t="s">
        <v>11525</v>
      </c>
      <c r="G32" s="1592" t="s">
        <v>11526</v>
      </c>
      <c r="H32" s="1592" t="s">
        <v>11527</v>
      </c>
      <c r="I32" s="1592" t="s">
        <v>11528</v>
      </c>
      <c r="J32" s="1592" t="s">
        <v>11529</v>
      </c>
      <c r="K32" s="1592" t="s">
        <v>11530</v>
      </c>
      <c r="L32" s="1592" t="s">
        <v>11531</v>
      </c>
      <c r="M32" s="1813">
        <v>0.05337962962962963</v>
      </c>
      <c r="N32" s="1816" t="str">
        <f t="shared" si="1"/>
        <v>1:45</v>
      </c>
      <c r="O32" s="1646" t="s">
        <v>11532</v>
      </c>
    </row>
    <row r="33" ht="15.75" customHeight="1">
      <c r="A33" s="974" t="s">
        <v>741</v>
      </c>
      <c r="B33" s="1618" t="s">
        <v>9191</v>
      </c>
      <c r="C33" s="1814">
        <v>0.05224537037037037</v>
      </c>
      <c r="D33" s="1592" t="s">
        <v>11533</v>
      </c>
      <c r="E33" s="1840" t="s">
        <v>11534</v>
      </c>
      <c r="F33" s="1592" t="s">
        <v>11535</v>
      </c>
      <c r="G33" s="1592" t="s">
        <v>11536</v>
      </c>
      <c r="H33" s="1592" t="s">
        <v>11537</v>
      </c>
      <c r="I33" s="1592" t="s">
        <v>11538</v>
      </c>
      <c r="J33" s="1592" t="s">
        <v>11539</v>
      </c>
      <c r="K33" s="1595" t="s">
        <v>11540</v>
      </c>
      <c r="L33" s="1592" t="s">
        <v>11541</v>
      </c>
      <c r="M33" s="1813">
        <v>0.053043981481481484</v>
      </c>
      <c r="N33" s="1816" t="str">
        <f t="shared" si="1"/>
        <v>1:09</v>
      </c>
      <c r="O33" s="1646" t="s">
        <v>11542</v>
      </c>
    </row>
    <row r="34" ht="15.75" customHeight="1">
      <c r="A34" s="1653" t="s">
        <v>3096</v>
      </c>
      <c r="B34" s="1706" t="s">
        <v>9191</v>
      </c>
      <c r="C34" s="1809">
        <v>0.052316898148148154</v>
      </c>
      <c r="D34" s="1116" t="s">
        <v>11543</v>
      </c>
      <c r="E34" s="1593" t="s">
        <v>11544</v>
      </c>
      <c r="F34" s="1592" t="s">
        <v>11545</v>
      </c>
      <c r="G34" s="1592" t="s">
        <v>11546</v>
      </c>
      <c r="H34" s="1592" t="s">
        <v>11547</v>
      </c>
      <c r="I34" s="1592" t="s">
        <v>11548</v>
      </c>
      <c r="J34" s="1592" t="s">
        <v>11549</v>
      </c>
      <c r="K34" s="1592" t="s">
        <v>11550</v>
      </c>
      <c r="L34" s="1592" t="s">
        <v>9861</v>
      </c>
      <c r="M34" s="1813">
        <v>0.05376157407407407</v>
      </c>
      <c r="N34" s="1816" t="str">
        <f t="shared" si="1"/>
        <v>2:05</v>
      </c>
      <c r="O34" s="1646" t="s">
        <v>11337</v>
      </c>
    </row>
    <row r="35" ht="15.75" customHeight="1">
      <c r="A35" s="974" t="s">
        <v>4053</v>
      </c>
      <c r="B35" s="1618" t="s">
        <v>9164</v>
      </c>
      <c r="C35" s="1814">
        <v>0.05238425925925926</v>
      </c>
      <c r="D35" s="1090" t="s">
        <v>11551</v>
      </c>
      <c r="E35" s="1593" t="s">
        <v>11524</v>
      </c>
      <c r="F35" s="1592" t="s">
        <v>11552</v>
      </c>
      <c r="G35" s="1815" t="s">
        <v>11553</v>
      </c>
      <c r="H35" s="1592" t="s">
        <v>11554</v>
      </c>
      <c r="I35" s="1592" t="s">
        <v>11555</v>
      </c>
      <c r="J35" s="1592" t="s">
        <v>11556</v>
      </c>
      <c r="K35" s="1592" t="s">
        <v>11557</v>
      </c>
      <c r="L35" s="1592" t="s">
        <v>10400</v>
      </c>
      <c r="M35" s="1813">
        <v>0.05340277777777778</v>
      </c>
      <c r="N35" s="1816" t="str">
        <f t="shared" si="1"/>
        <v>1:28</v>
      </c>
      <c r="O35" s="1646" t="s">
        <v>11558</v>
      </c>
    </row>
    <row r="36" ht="15.75" customHeight="1">
      <c r="A36" s="974" t="s">
        <v>2714</v>
      </c>
      <c r="B36" s="1618" t="s">
        <v>9164</v>
      </c>
      <c r="C36" s="1814">
        <v>0.0525</v>
      </c>
      <c r="D36" s="1116" t="s">
        <v>11559</v>
      </c>
      <c r="E36" s="1593" t="s">
        <v>11560</v>
      </c>
      <c r="F36" s="1592" t="s">
        <v>11561</v>
      </c>
      <c r="G36" s="1592" t="s">
        <v>11562</v>
      </c>
      <c r="H36" s="1592" t="s">
        <v>11563</v>
      </c>
      <c r="I36" s="1592" t="s">
        <v>11564</v>
      </c>
      <c r="J36" s="1592" t="s">
        <v>11565</v>
      </c>
      <c r="K36" s="1592" t="s">
        <v>11566</v>
      </c>
      <c r="L36" s="1592" t="s">
        <v>702</v>
      </c>
      <c r="M36" s="1813">
        <v>0.053773148148148146</v>
      </c>
      <c r="N36" s="1816" t="str">
        <f t="shared" si="1"/>
        <v>1:50</v>
      </c>
      <c r="O36" s="1646" t="s">
        <v>11567</v>
      </c>
    </row>
    <row r="37" ht="15.75" customHeight="1">
      <c r="A37" s="1653" t="s">
        <v>10427</v>
      </c>
      <c r="B37" s="1618" t="s">
        <v>9164</v>
      </c>
      <c r="C37" s="1809">
        <v>0.05268518518518518</v>
      </c>
      <c r="D37" s="1116" t="s">
        <v>11568</v>
      </c>
      <c r="E37" s="1593" t="s">
        <v>11569</v>
      </c>
      <c r="F37" s="1592" t="s">
        <v>11570</v>
      </c>
      <c r="G37" s="1592" t="s">
        <v>11571</v>
      </c>
      <c r="H37" s="1592" t="s">
        <v>11572</v>
      </c>
      <c r="I37" s="1592" t="s">
        <v>7483</v>
      </c>
      <c r="J37" s="1592" t="s">
        <v>11573</v>
      </c>
      <c r="K37" s="1592" t="s">
        <v>11574</v>
      </c>
      <c r="L37" s="1592" t="s">
        <v>10445</v>
      </c>
      <c r="M37" s="1813">
        <v>0.05331018518518518</v>
      </c>
      <c r="N37" s="1816" t="str">
        <f t="shared" si="1"/>
        <v>0:54</v>
      </c>
      <c r="O37" s="1646" t="s">
        <v>11575</v>
      </c>
    </row>
    <row r="38" ht="15.75" customHeight="1">
      <c r="A38" s="1653" t="s">
        <v>3750</v>
      </c>
      <c r="B38" s="1821" t="s">
        <v>9164</v>
      </c>
      <c r="C38" s="1809">
        <v>0.05270034722222223</v>
      </c>
      <c r="D38" s="1090" t="s">
        <v>11576</v>
      </c>
      <c r="E38" s="1593" t="s">
        <v>11577</v>
      </c>
      <c r="F38" s="1592" t="s">
        <v>11578</v>
      </c>
      <c r="G38" s="1592" t="s">
        <v>11579</v>
      </c>
      <c r="H38" s="1592" t="s">
        <v>11580</v>
      </c>
      <c r="I38" s="1592" t="s">
        <v>11581</v>
      </c>
      <c r="J38" s="1592" t="s">
        <v>11582</v>
      </c>
      <c r="K38" s="1592" t="s">
        <v>11583</v>
      </c>
      <c r="L38" s="1592" t="s">
        <v>11584</v>
      </c>
      <c r="M38" s="1813">
        <v>0.05425925925925926</v>
      </c>
      <c r="N38" s="1816" t="str">
        <f t="shared" si="1"/>
        <v>2:15</v>
      </c>
      <c r="O38" s="1646" t="s">
        <v>11337</v>
      </c>
    </row>
    <row r="39">
      <c r="A39" s="1841" t="s">
        <v>3440</v>
      </c>
      <c r="B39" s="1821" t="s">
        <v>9164</v>
      </c>
      <c r="C39" s="1809">
        <v>0.053009259259259256</v>
      </c>
      <c r="D39" s="1090" t="s">
        <v>11585</v>
      </c>
      <c r="E39" s="1593" t="s">
        <v>11586</v>
      </c>
      <c r="F39" s="1592" t="s">
        <v>11587</v>
      </c>
      <c r="G39" s="1592" t="s">
        <v>11588</v>
      </c>
      <c r="H39" s="1592" t="s">
        <v>11589</v>
      </c>
      <c r="I39" s="1592" t="s">
        <v>11590</v>
      </c>
      <c r="J39" s="1592" t="s">
        <v>11591</v>
      </c>
      <c r="K39" s="1592" t="s">
        <v>11592</v>
      </c>
      <c r="L39" s="1592" t="s">
        <v>11593</v>
      </c>
      <c r="M39" s="1813">
        <v>0.05372685185185185</v>
      </c>
      <c r="N39" s="1816" t="str">
        <f t="shared" si="1"/>
        <v>1:02</v>
      </c>
      <c r="O39" s="1646" t="s">
        <v>11337</v>
      </c>
    </row>
    <row r="40" ht="15.75" customHeight="1">
      <c r="A40" s="974" t="s">
        <v>1052</v>
      </c>
      <c r="B40" s="1785" t="s">
        <v>9191</v>
      </c>
      <c r="C40" s="1814">
        <v>0.05378472222222222</v>
      </c>
      <c r="D40" s="1116" t="s">
        <v>11594</v>
      </c>
      <c r="E40" s="1593" t="s">
        <v>11595</v>
      </c>
      <c r="F40" s="1592" t="s">
        <v>11596</v>
      </c>
      <c r="G40" s="1592" t="s">
        <v>11597</v>
      </c>
      <c r="H40" s="1592" t="s">
        <v>11598</v>
      </c>
      <c r="I40" s="1592" t="s">
        <v>9748</v>
      </c>
      <c r="J40" s="1592" t="s">
        <v>11599</v>
      </c>
      <c r="K40" s="1592" t="s">
        <v>11600</v>
      </c>
      <c r="L40" s="1592" t="s">
        <v>10172</v>
      </c>
      <c r="M40" s="1813">
        <v>0.054560185185185184</v>
      </c>
      <c r="N40" s="1816" t="str">
        <f t="shared" si="1"/>
        <v>1:07</v>
      </c>
      <c r="O40" s="1646"/>
    </row>
    <row r="41" ht="15.75" customHeight="1">
      <c r="A41" s="974" t="s">
        <v>4957</v>
      </c>
      <c r="B41" s="1706" t="s">
        <v>9191</v>
      </c>
      <c r="C41" s="1814">
        <v>0.05748842592592593</v>
      </c>
      <c r="D41" s="1593" t="s">
        <v>11601</v>
      </c>
      <c r="E41" s="1593" t="s">
        <v>11602</v>
      </c>
      <c r="F41" s="1592" t="s">
        <v>11603</v>
      </c>
      <c r="G41" s="1592" t="s">
        <v>11604</v>
      </c>
      <c r="H41" s="1592" t="s">
        <v>11605</v>
      </c>
      <c r="I41" s="1592" t="s">
        <v>11606</v>
      </c>
      <c r="J41" s="1592" t="s">
        <v>11607</v>
      </c>
      <c r="K41" s="1592" t="s">
        <v>11608</v>
      </c>
      <c r="L41" s="1592" t="s">
        <v>11182</v>
      </c>
      <c r="M41" s="1813">
        <v>0.06149305555555556</v>
      </c>
      <c r="N41" s="1816" t="str">
        <f t="shared" si="1"/>
        <v>5:46</v>
      </c>
      <c r="O41" s="1646" t="s">
        <v>11337</v>
      </c>
    </row>
    <row r="42" ht="15.75" customHeight="1">
      <c r="A42" s="974" t="s">
        <v>6549</v>
      </c>
      <c r="B42" s="1741" t="s">
        <v>11184</v>
      </c>
      <c r="C42" s="1842">
        <v>0.0609375</v>
      </c>
      <c r="D42" s="1749" t="s">
        <v>11609</v>
      </c>
      <c r="E42" s="1843" t="s">
        <v>9061</v>
      </c>
      <c r="F42" s="1843" t="s">
        <v>11610</v>
      </c>
      <c r="G42" s="1843" t="s">
        <v>11611</v>
      </c>
      <c r="H42" s="1843" t="s">
        <v>11612</v>
      </c>
      <c r="I42" s="1843" t="s">
        <v>8603</v>
      </c>
      <c r="J42" s="1843" t="s">
        <v>11613</v>
      </c>
      <c r="K42" s="1843" t="s">
        <v>11614</v>
      </c>
      <c r="L42" s="1843" t="s">
        <v>11615</v>
      </c>
      <c r="M42" s="1844">
        <v>0.06646990740740741</v>
      </c>
      <c r="N42" s="1843" t="s">
        <v>11616</v>
      </c>
      <c r="O42" s="1646" t="s">
        <v>11617</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70" t="s">
        <v>11293</v>
      </c>
      <c r="D1" s="1871" t="s">
        <v>7525</v>
      </c>
      <c r="E1" s="1872" t="s">
        <v>7527</v>
      </c>
      <c r="F1" s="1873" t="s">
        <v>38</v>
      </c>
      <c r="G1" s="1874" t="s">
        <v>36</v>
      </c>
      <c r="H1" s="1870" t="s">
        <v>11294</v>
      </c>
      <c r="I1" s="1875" t="s">
        <v>39</v>
      </c>
      <c r="J1" s="1767" t="s">
        <v>7526</v>
      </c>
      <c r="K1" s="1496" t="s">
        <v>9160</v>
      </c>
      <c r="L1" s="1769" t="s">
        <v>9162</v>
      </c>
    </row>
    <row r="2" ht="15.75" customHeight="1">
      <c r="A2" s="1770" t="s">
        <v>9163</v>
      </c>
      <c r="B2" s="1771" t="s">
        <v>9164</v>
      </c>
      <c r="C2" s="1773" t="s">
        <v>11618</v>
      </c>
      <c r="D2" s="1876" t="s">
        <v>11619</v>
      </c>
      <c r="E2" s="1877" t="s">
        <v>11620</v>
      </c>
      <c r="F2" s="1878" t="s">
        <v>11621</v>
      </c>
      <c r="G2" s="1777" t="s">
        <v>11622</v>
      </c>
      <c r="H2" s="1773" t="s">
        <v>11623</v>
      </c>
      <c r="I2" s="1879" t="s">
        <v>11624</v>
      </c>
      <c r="J2" s="1780" t="s">
        <v>11625</v>
      </c>
      <c r="K2" s="1880" t="s">
        <v>11626</v>
      </c>
      <c r="L2" s="1881"/>
    </row>
    <row r="3" ht="15.75" customHeight="1">
      <c r="A3" s="1784" t="s">
        <v>9190</v>
      </c>
      <c r="B3" s="1785" t="s">
        <v>9191</v>
      </c>
      <c r="C3" s="1525" t="s">
        <v>11516</v>
      </c>
      <c r="D3" s="1533" t="s">
        <v>11627</v>
      </c>
      <c r="E3" s="1527" t="s">
        <v>11628</v>
      </c>
      <c r="F3" s="1528" t="s">
        <v>11629</v>
      </c>
      <c r="G3" s="1530" t="s">
        <v>11630</v>
      </c>
      <c r="H3" s="1525" t="s">
        <v>11631</v>
      </c>
      <c r="I3" s="1532" t="s">
        <v>11632</v>
      </c>
      <c r="J3" s="1535" t="s">
        <v>11633</v>
      </c>
      <c r="K3" s="1786">
        <v>0.053043981481481484</v>
      </c>
      <c r="L3" s="1882"/>
    </row>
    <row r="4" ht="15.75" customHeight="1">
      <c r="A4" s="1789" t="s">
        <v>9216</v>
      </c>
      <c r="B4" s="1790" t="s">
        <v>9217</v>
      </c>
      <c r="C4" s="1792" t="s">
        <v>11508</v>
      </c>
      <c r="D4" s="1883" t="s">
        <v>11634</v>
      </c>
      <c r="E4" s="1794" t="s">
        <v>11635</v>
      </c>
      <c r="F4" s="1795" t="s">
        <v>11636</v>
      </c>
      <c r="G4" s="1796" t="s">
        <v>11637</v>
      </c>
      <c r="H4" s="1792" t="s">
        <v>11638</v>
      </c>
      <c r="I4" s="1797" t="s">
        <v>11639</v>
      </c>
      <c r="J4" s="1798" t="s">
        <v>11640</v>
      </c>
      <c r="K4" s="1791">
        <v>0.053043981481481484</v>
      </c>
      <c r="L4" s="1881"/>
    </row>
    <row r="5" ht="15.75" customHeight="1">
      <c r="A5" s="974" t="s">
        <v>981</v>
      </c>
      <c r="B5" s="1618" t="s">
        <v>9164</v>
      </c>
      <c r="C5" s="1802" t="s">
        <v>11618</v>
      </c>
      <c r="D5" s="1802" t="s">
        <v>11619</v>
      </c>
      <c r="E5" s="1802" t="s">
        <v>11620</v>
      </c>
      <c r="F5" s="1802" t="s">
        <v>11621</v>
      </c>
      <c r="G5" s="1884" t="s">
        <v>11622</v>
      </c>
      <c r="H5" s="1884" t="s">
        <v>11623</v>
      </c>
      <c r="I5" s="1884" t="s">
        <v>11624</v>
      </c>
      <c r="J5" s="1884" t="s">
        <v>11625</v>
      </c>
      <c r="K5" s="1885" t="s">
        <v>9254</v>
      </c>
      <c r="L5" s="1646" t="s">
        <v>11641</v>
      </c>
    </row>
    <row r="6" ht="15.75" customHeight="1">
      <c r="A6" s="1753" t="s">
        <v>1876</v>
      </c>
      <c r="B6" s="1886" t="s">
        <v>9164</v>
      </c>
      <c r="C6" s="1887" t="s">
        <v>11329</v>
      </c>
      <c r="D6" s="1888" t="s">
        <v>11642</v>
      </c>
      <c r="E6" s="1889" t="s">
        <v>11643</v>
      </c>
      <c r="F6" s="1890" t="s">
        <v>11644</v>
      </c>
      <c r="G6" s="1891" t="s">
        <v>11645</v>
      </c>
      <c r="H6" s="1892" t="s">
        <v>11646</v>
      </c>
      <c r="I6" s="1893" t="s">
        <v>11647</v>
      </c>
      <c r="J6" s="1894" t="s">
        <v>11648</v>
      </c>
      <c r="K6" s="1592" t="s">
        <v>9342</v>
      </c>
      <c r="L6" s="1895" t="s">
        <v>11649</v>
      </c>
    </row>
    <row r="7" ht="15.75" customHeight="1">
      <c r="A7" s="1896" t="s">
        <v>6618</v>
      </c>
      <c r="B7" s="1618" t="s">
        <v>9164</v>
      </c>
      <c r="C7" s="1730" t="s">
        <v>11344</v>
      </c>
      <c r="D7" s="1592" t="s">
        <v>11650</v>
      </c>
      <c r="E7" s="1592" t="s">
        <v>11651</v>
      </c>
      <c r="F7" s="1592" t="s">
        <v>11652</v>
      </c>
      <c r="G7" s="1897" t="s">
        <v>11653</v>
      </c>
      <c r="H7" s="1897" t="s">
        <v>11654</v>
      </c>
      <c r="I7" s="1897" t="s">
        <v>11655</v>
      </c>
      <c r="J7" s="1897" t="s">
        <v>11656</v>
      </c>
      <c r="K7" s="1592" t="s">
        <v>9411</v>
      </c>
      <c r="L7" s="1646"/>
    </row>
    <row r="8" ht="15.75" customHeight="1">
      <c r="A8" s="974" t="s">
        <v>2544</v>
      </c>
      <c r="B8" s="1618" t="s">
        <v>9164</v>
      </c>
      <c r="C8" s="1810" t="s">
        <v>11323</v>
      </c>
      <c r="D8" s="1803" t="s">
        <v>11657</v>
      </c>
      <c r="E8" s="1803" t="s">
        <v>11658</v>
      </c>
      <c r="F8" s="1803" t="s">
        <v>11659</v>
      </c>
      <c r="G8" s="1898" t="s">
        <v>11660</v>
      </c>
      <c r="H8" s="1899" t="s">
        <v>11661</v>
      </c>
      <c r="I8" s="1900" t="s">
        <v>11662</v>
      </c>
      <c r="J8" s="1901" t="s">
        <v>11663</v>
      </c>
      <c r="K8" s="1803" t="s">
        <v>9281</v>
      </c>
      <c r="L8" s="1646"/>
    </row>
    <row r="9" ht="15.75" customHeight="1">
      <c r="A9" s="1817" t="s">
        <v>436</v>
      </c>
      <c r="B9" s="1555" t="s">
        <v>9164</v>
      </c>
      <c r="C9" s="1730" t="s">
        <v>11338</v>
      </c>
      <c r="D9" s="1592" t="s">
        <v>11664</v>
      </c>
      <c r="E9" s="1592" t="s">
        <v>11665</v>
      </c>
      <c r="F9" s="1592" t="s">
        <v>11666</v>
      </c>
      <c r="G9" s="1897" t="s">
        <v>11667</v>
      </c>
      <c r="H9" s="1897" t="s">
        <v>11668</v>
      </c>
      <c r="I9" s="1897" t="s">
        <v>11669</v>
      </c>
      <c r="J9" s="1897" t="s">
        <v>11670</v>
      </c>
      <c r="K9" s="1592" t="s">
        <v>9302</v>
      </c>
      <c r="L9" s="1646"/>
    </row>
    <row r="10" ht="15.75" customHeight="1">
      <c r="A10" s="1753" t="s">
        <v>6780</v>
      </c>
      <c r="B10" s="1555" t="s">
        <v>9164</v>
      </c>
      <c r="C10" s="1592" t="s">
        <v>11671</v>
      </c>
      <c r="D10" s="1592" t="s">
        <v>11672</v>
      </c>
      <c r="E10" s="1592" t="s">
        <v>11673</v>
      </c>
      <c r="F10" s="1595" t="s">
        <v>11674</v>
      </c>
      <c r="G10" s="1902" t="s">
        <v>11675</v>
      </c>
      <c r="H10" s="1903" t="s">
        <v>11676</v>
      </c>
      <c r="I10" s="1904" t="s">
        <v>11677</v>
      </c>
      <c r="J10" s="837" t="s">
        <v>11678</v>
      </c>
      <c r="K10" s="1592" t="s">
        <v>9323</v>
      </c>
      <c r="L10" s="1646"/>
    </row>
    <row r="11" ht="15.75" customHeight="1">
      <c r="A11" s="974" t="s">
        <v>1549</v>
      </c>
      <c r="B11" s="1618" t="s">
        <v>9164</v>
      </c>
      <c r="C11" s="1905" t="s">
        <v>11378</v>
      </c>
      <c r="D11" s="1824" t="s">
        <v>11679</v>
      </c>
      <c r="E11" s="1824" t="s">
        <v>11680</v>
      </c>
      <c r="F11" s="1592" t="s">
        <v>11681</v>
      </c>
      <c r="G11" s="1906" t="s">
        <v>11682</v>
      </c>
      <c r="H11" s="1906" t="s">
        <v>11683</v>
      </c>
      <c r="I11" s="1906" t="s">
        <v>11684</v>
      </c>
      <c r="J11" s="1906" t="s">
        <v>11685</v>
      </c>
      <c r="K11" s="1815" t="s">
        <v>9594</v>
      </c>
      <c r="L11" s="1646" t="s">
        <v>11686</v>
      </c>
    </row>
    <row r="12" ht="15.75" customHeight="1">
      <c r="A12" s="1653" t="s">
        <v>827</v>
      </c>
      <c r="B12" s="1706" t="s">
        <v>9164</v>
      </c>
      <c r="C12" s="1907" t="s">
        <v>11360</v>
      </c>
      <c r="D12" s="1592" t="s">
        <v>11687</v>
      </c>
      <c r="E12" s="1592" t="s">
        <v>11688</v>
      </c>
      <c r="F12" s="1592" t="s">
        <v>11689</v>
      </c>
      <c r="G12" s="847" t="s">
        <v>11690</v>
      </c>
      <c r="H12" s="1887" t="s">
        <v>11691</v>
      </c>
      <c r="I12" s="1893" t="s">
        <v>11692</v>
      </c>
      <c r="J12" s="1894" t="s">
        <v>11693</v>
      </c>
      <c r="K12" s="1592" t="s">
        <v>11694</v>
      </c>
      <c r="L12" s="1646" t="s">
        <v>11695</v>
      </c>
    </row>
    <row r="13" ht="15.75" customHeight="1">
      <c r="A13" s="1757" t="s">
        <v>2086</v>
      </c>
      <c r="B13" s="1555" t="s">
        <v>9164</v>
      </c>
      <c r="C13" s="1905" t="s">
        <v>11387</v>
      </c>
      <c r="D13" s="1592" t="s">
        <v>11696</v>
      </c>
      <c r="E13" s="1592" t="s">
        <v>11697</v>
      </c>
      <c r="F13" s="1592" t="s">
        <v>11698</v>
      </c>
      <c r="G13" s="1897" t="s">
        <v>11699</v>
      </c>
      <c r="H13" s="1897" t="s">
        <v>11700</v>
      </c>
      <c r="I13" s="1897" t="s">
        <v>11701</v>
      </c>
      <c r="J13" s="1897" t="s">
        <v>11702</v>
      </c>
      <c r="K13" s="1592" t="s">
        <v>9573</v>
      </c>
      <c r="L13" s="1646"/>
    </row>
    <row r="14" ht="15.75" customHeight="1">
      <c r="A14" s="1817" t="s">
        <v>330</v>
      </c>
      <c r="B14" s="1555" t="s">
        <v>9164</v>
      </c>
      <c r="C14" s="1592" t="s">
        <v>11703</v>
      </c>
      <c r="D14" s="1592" t="s">
        <v>11704</v>
      </c>
      <c r="E14" s="1592" t="s">
        <v>11705</v>
      </c>
      <c r="F14" s="1592" t="s">
        <v>11706</v>
      </c>
      <c r="G14" s="847" t="s">
        <v>11707</v>
      </c>
      <c r="H14" s="1887" t="s">
        <v>11708</v>
      </c>
      <c r="I14" s="1893" t="s">
        <v>11709</v>
      </c>
      <c r="J14" s="1894" t="s">
        <v>11710</v>
      </c>
      <c r="K14" s="1592" t="s">
        <v>9389</v>
      </c>
      <c r="L14" s="1646"/>
    </row>
    <row r="15" ht="16.5" customHeight="1">
      <c r="A15" s="1832" t="s">
        <v>2771</v>
      </c>
      <c r="B15" s="1555" t="s">
        <v>9164</v>
      </c>
      <c r="C15" s="1592" t="s">
        <v>11416</v>
      </c>
      <c r="D15" s="1592" t="s">
        <v>11711</v>
      </c>
      <c r="E15" s="1592" t="s">
        <v>11712</v>
      </c>
      <c r="F15" s="1592" t="s">
        <v>11713</v>
      </c>
      <c r="G15" s="1897" t="s">
        <v>11714</v>
      </c>
      <c r="H15" s="1897" t="s">
        <v>11715</v>
      </c>
      <c r="I15" s="1897" t="s">
        <v>11716</v>
      </c>
      <c r="J15" s="1897" t="s">
        <v>11717</v>
      </c>
      <c r="K15" s="1592" t="s">
        <v>11718</v>
      </c>
      <c r="L15" s="1646" t="s">
        <v>11719</v>
      </c>
    </row>
    <row r="16" ht="15.0" customHeight="1">
      <c r="A16" s="1839" t="s">
        <v>1721</v>
      </c>
      <c r="B16" s="1698" t="s">
        <v>9164</v>
      </c>
      <c r="C16" s="1907" t="s">
        <v>11720</v>
      </c>
      <c r="D16" s="1592" t="s">
        <v>11721</v>
      </c>
      <c r="E16" s="1592" t="s">
        <v>11722</v>
      </c>
      <c r="F16" s="1592" t="s">
        <v>11723</v>
      </c>
      <c r="G16" s="847" t="s">
        <v>11724</v>
      </c>
      <c r="H16" s="1887" t="s">
        <v>11725</v>
      </c>
      <c r="I16" s="1893" t="s">
        <v>11726</v>
      </c>
      <c r="J16" s="1894" t="s">
        <v>11727</v>
      </c>
      <c r="K16" s="1592" t="s">
        <v>9841</v>
      </c>
      <c r="L16" s="1646"/>
    </row>
    <row r="17" ht="15.75" customHeight="1">
      <c r="A17" s="974" t="s">
        <v>7044</v>
      </c>
      <c r="B17" s="1555" t="s">
        <v>9164</v>
      </c>
      <c r="C17" s="1592" t="s">
        <v>11449</v>
      </c>
      <c r="D17" s="1592" t="s">
        <v>11728</v>
      </c>
      <c r="E17" s="1592" t="s">
        <v>11729</v>
      </c>
      <c r="F17" s="1592" t="s">
        <v>11730</v>
      </c>
      <c r="G17" s="1897" t="s">
        <v>11731</v>
      </c>
      <c r="H17" s="1897" t="s">
        <v>11732</v>
      </c>
      <c r="I17" s="1897" t="s">
        <v>11733</v>
      </c>
      <c r="J17" s="1897" t="s">
        <v>11734</v>
      </c>
      <c r="K17" s="1592" t="s">
        <v>9743</v>
      </c>
      <c r="L17" s="1646" t="s">
        <v>11735</v>
      </c>
    </row>
    <row r="18" ht="15.75" customHeight="1">
      <c r="A18" s="1817" t="s">
        <v>1414</v>
      </c>
      <c r="B18" s="1555" t="s">
        <v>9164</v>
      </c>
      <c r="C18" s="1592" t="s">
        <v>11736</v>
      </c>
      <c r="D18" s="1592" t="s">
        <v>11737</v>
      </c>
      <c r="E18" s="1592" t="s">
        <v>11738</v>
      </c>
      <c r="F18" s="1592" t="s">
        <v>11739</v>
      </c>
      <c r="G18" s="847" t="s">
        <v>11740</v>
      </c>
      <c r="H18" s="1887" t="s">
        <v>11741</v>
      </c>
      <c r="I18" s="1893" t="s">
        <v>11742</v>
      </c>
      <c r="J18" s="1894" t="s">
        <v>11743</v>
      </c>
      <c r="K18" s="1592" t="s">
        <v>9722</v>
      </c>
      <c r="L18" s="1646"/>
    </row>
    <row r="19" ht="15.75" customHeight="1">
      <c r="A19" s="974" t="s">
        <v>2264</v>
      </c>
      <c r="B19" s="1706" t="s">
        <v>9164</v>
      </c>
      <c r="C19" s="1907" t="s">
        <v>11423</v>
      </c>
      <c r="D19" s="1592" t="s">
        <v>11744</v>
      </c>
      <c r="E19" s="1592" t="s">
        <v>11745</v>
      </c>
      <c r="F19" s="1592" t="s">
        <v>11746</v>
      </c>
      <c r="G19" s="1897" t="s">
        <v>11747</v>
      </c>
      <c r="H19" s="1897" t="s">
        <v>11748</v>
      </c>
      <c r="I19" s="1897" t="s">
        <v>11749</v>
      </c>
      <c r="J19" s="1897" t="s">
        <v>11750</v>
      </c>
      <c r="K19" s="1592" t="s">
        <v>9636</v>
      </c>
      <c r="L19" s="1646" t="s">
        <v>11751</v>
      </c>
    </row>
    <row r="20" ht="15.75" customHeight="1">
      <c r="A20" s="1817" t="s">
        <v>899</v>
      </c>
      <c r="B20" s="1555" t="s">
        <v>9164</v>
      </c>
      <c r="C20" s="1592" t="s">
        <v>11752</v>
      </c>
      <c r="D20" s="1592" t="s">
        <v>11753</v>
      </c>
      <c r="E20" s="1592" t="s">
        <v>11754</v>
      </c>
      <c r="F20" s="1592" t="s">
        <v>11755</v>
      </c>
      <c r="G20" s="847" t="s">
        <v>11756</v>
      </c>
      <c r="H20" s="1887" t="s">
        <v>11757</v>
      </c>
      <c r="I20" s="1893" t="s">
        <v>11758</v>
      </c>
      <c r="J20" s="1894" t="s">
        <v>11759</v>
      </c>
      <c r="K20" s="1592" t="s">
        <v>9987</v>
      </c>
      <c r="L20" s="1646"/>
    </row>
    <row r="21" ht="15.75" customHeight="1">
      <c r="A21" s="974" t="s">
        <v>1631</v>
      </c>
      <c r="B21" s="1618" t="s">
        <v>9164</v>
      </c>
      <c r="C21" s="1592" t="s">
        <v>11760</v>
      </c>
      <c r="D21" s="1592" t="s">
        <v>11761</v>
      </c>
      <c r="E21" s="1815" t="s">
        <v>11762</v>
      </c>
      <c r="F21" s="1592" t="s">
        <v>11763</v>
      </c>
      <c r="G21" s="1897" t="s">
        <v>11764</v>
      </c>
      <c r="H21" s="1897" t="s">
        <v>11765</v>
      </c>
      <c r="I21" s="1897" t="s">
        <v>11766</v>
      </c>
      <c r="J21" s="1897" t="s">
        <v>11767</v>
      </c>
      <c r="K21" s="1592" t="s">
        <v>9769</v>
      </c>
      <c r="L21" s="1646"/>
    </row>
    <row r="22" ht="15.75" customHeight="1">
      <c r="A22" s="1753" t="s">
        <v>9638</v>
      </c>
      <c r="B22" s="1555" t="s">
        <v>9164</v>
      </c>
      <c r="C22" s="1592" t="s">
        <v>11459</v>
      </c>
      <c r="D22" s="1592" t="s">
        <v>11768</v>
      </c>
      <c r="E22" s="1592" t="s">
        <v>11769</v>
      </c>
      <c r="F22" s="1592" t="s">
        <v>11770</v>
      </c>
      <c r="G22" s="847" t="s">
        <v>11771</v>
      </c>
      <c r="H22" s="1887" t="s">
        <v>11772</v>
      </c>
      <c r="I22" s="1893" t="s">
        <v>11773</v>
      </c>
      <c r="J22" s="1894" t="s">
        <v>11774</v>
      </c>
      <c r="K22" s="1592" t="s">
        <v>9652</v>
      </c>
      <c r="L22" s="1646"/>
    </row>
    <row r="23">
      <c r="A23" s="1807" t="s">
        <v>2151</v>
      </c>
      <c r="B23" s="1706" t="s">
        <v>9191</v>
      </c>
      <c r="C23" s="1592" t="s">
        <v>11410</v>
      </c>
      <c r="D23" s="1592" t="s">
        <v>11775</v>
      </c>
      <c r="E23" s="1592" t="s">
        <v>11776</v>
      </c>
      <c r="F23" s="1592" t="s">
        <v>11777</v>
      </c>
      <c r="G23" s="1897" t="s">
        <v>11778</v>
      </c>
      <c r="H23" s="1897" t="s">
        <v>11779</v>
      </c>
      <c r="I23" s="1897" t="s">
        <v>11780</v>
      </c>
      <c r="J23" s="1897" t="s">
        <v>11781</v>
      </c>
      <c r="K23" s="1592" t="s">
        <v>11782</v>
      </c>
      <c r="L23" s="1646" t="s">
        <v>11783</v>
      </c>
    </row>
    <row r="24" ht="15.75" customHeight="1">
      <c r="A24" s="974" t="s">
        <v>741</v>
      </c>
      <c r="B24" s="1618" t="s">
        <v>9191</v>
      </c>
      <c r="C24" s="1592" t="s">
        <v>11784</v>
      </c>
      <c r="D24" s="1829" t="s">
        <v>11627</v>
      </c>
      <c r="E24" s="1829" t="s">
        <v>11628</v>
      </c>
      <c r="F24" s="1829" t="s">
        <v>11629</v>
      </c>
      <c r="G24" s="1908" t="s">
        <v>11630</v>
      </c>
      <c r="H24" s="1909" t="s">
        <v>11631</v>
      </c>
      <c r="I24" s="1910" t="s">
        <v>11632</v>
      </c>
      <c r="J24" s="1911" t="s">
        <v>11633</v>
      </c>
      <c r="K24" s="1829" t="s">
        <v>9615</v>
      </c>
      <c r="L24" s="1646" t="s">
        <v>11785</v>
      </c>
    </row>
    <row r="25" ht="15.75" customHeight="1">
      <c r="A25" s="1653" t="s">
        <v>1347</v>
      </c>
      <c r="B25" s="1618" t="s">
        <v>9217</v>
      </c>
      <c r="C25" s="1700" t="s">
        <v>11508</v>
      </c>
      <c r="D25" s="1700" t="s">
        <v>11634</v>
      </c>
      <c r="E25" s="1700" t="s">
        <v>11635</v>
      </c>
      <c r="F25" s="1700" t="s">
        <v>11636</v>
      </c>
      <c r="G25" s="1912" t="s">
        <v>11637</v>
      </c>
      <c r="H25" s="1912" t="s">
        <v>11638</v>
      </c>
      <c r="I25" s="1912" t="s">
        <v>11639</v>
      </c>
      <c r="J25" s="1912" t="s">
        <v>11640</v>
      </c>
      <c r="K25" s="1700" t="s">
        <v>9615</v>
      </c>
      <c r="L25" s="1646"/>
    </row>
    <row r="26" ht="16.5" customHeight="1">
      <c r="A26" s="1653" t="s">
        <v>11786</v>
      </c>
      <c r="B26" s="1618" t="s">
        <v>9164</v>
      </c>
      <c r="C26" s="1322" t="s">
        <v>11490</v>
      </c>
      <c r="D26" s="1592" t="s">
        <v>11787</v>
      </c>
      <c r="E26" s="1592" t="s">
        <v>11788</v>
      </c>
      <c r="F26" s="1592" t="s">
        <v>11789</v>
      </c>
      <c r="G26" s="847" t="s">
        <v>11771</v>
      </c>
      <c r="H26" s="1887" t="s">
        <v>11790</v>
      </c>
      <c r="I26" s="1893" t="s">
        <v>11791</v>
      </c>
      <c r="J26" s="1894" t="s">
        <v>11792</v>
      </c>
      <c r="K26" s="1592" t="s">
        <v>10147</v>
      </c>
      <c r="L26" s="1646"/>
    </row>
    <row r="27" ht="15.75" customHeight="1">
      <c r="A27" s="1653" t="s">
        <v>2991</v>
      </c>
      <c r="B27" s="1618" t="s">
        <v>9164</v>
      </c>
      <c r="C27" s="1592" t="s">
        <v>11793</v>
      </c>
      <c r="D27" s="1592" t="s">
        <v>11794</v>
      </c>
      <c r="E27" s="1592" t="s">
        <v>11795</v>
      </c>
      <c r="F27" s="1592" t="s">
        <v>11796</v>
      </c>
      <c r="G27" s="1897" t="s">
        <v>11797</v>
      </c>
      <c r="H27" s="1897" t="s">
        <v>11798</v>
      </c>
      <c r="I27" s="1897" t="s">
        <v>11799</v>
      </c>
      <c r="J27" s="1897" t="s">
        <v>11800</v>
      </c>
      <c r="K27" s="1592" t="s">
        <v>11801</v>
      </c>
      <c r="L27" s="1646" t="s">
        <v>11802</v>
      </c>
    </row>
    <row r="28">
      <c r="A28" s="1841" t="s">
        <v>3096</v>
      </c>
      <c r="B28" s="1821" t="s">
        <v>9191</v>
      </c>
      <c r="C28" s="1907" t="s">
        <v>11803</v>
      </c>
      <c r="D28" s="1592"/>
      <c r="E28" s="1592" t="s">
        <v>11804</v>
      </c>
      <c r="F28" s="1592" t="s">
        <v>11805</v>
      </c>
      <c r="G28" s="847"/>
      <c r="H28" s="1887"/>
      <c r="I28" s="1893"/>
      <c r="J28" s="1894"/>
      <c r="K28" s="1592" t="s">
        <v>10283</v>
      </c>
      <c r="L28" s="1646"/>
    </row>
    <row r="29" ht="15.75" customHeight="1">
      <c r="A29" s="1653" t="s">
        <v>2714</v>
      </c>
      <c r="B29" s="1618" t="s">
        <v>9164</v>
      </c>
      <c r="C29" s="1907" t="s">
        <v>11806</v>
      </c>
      <c r="D29" s="1592" t="s">
        <v>11807</v>
      </c>
      <c r="E29" s="1592" t="s">
        <v>11808</v>
      </c>
      <c r="F29" s="1592" t="s">
        <v>11809</v>
      </c>
      <c r="G29" s="1897" t="s">
        <v>11810</v>
      </c>
      <c r="H29" s="1897" t="s">
        <v>11811</v>
      </c>
      <c r="I29" s="1897" t="s">
        <v>11812</v>
      </c>
      <c r="J29" s="1897" t="s">
        <v>11813</v>
      </c>
      <c r="K29" s="1592" t="s">
        <v>10214</v>
      </c>
      <c r="L29" s="1646" t="s">
        <v>11814</v>
      </c>
    </row>
    <row r="30" ht="15.75" customHeight="1">
      <c r="A30" s="974" t="s">
        <v>2582</v>
      </c>
      <c r="B30" s="1698" t="s">
        <v>9191</v>
      </c>
      <c r="C30" s="1829" t="s">
        <v>11516</v>
      </c>
      <c r="D30" s="1592" t="s">
        <v>11815</v>
      </c>
      <c r="E30" s="1592" t="s">
        <v>11816</v>
      </c>
      <c r="F30" s="1592" t="s">
        <v>11817</v>
      </c>
      <c r="G30" s="847" t="s">
        <v>11818</v>
      </c>
      <c r="H30" s="1887" t="s">
        <v>11819</v>
      </c>
      <c r="I30" s="1893" t="s">
        <v>11820</v>
      </c>
      <c r="J30" s="1894" t="s">
        <v>11821</v>
      </c>
      <c r="K30" s="1592" t="s">
        <v>10125</v>
      </c>
      <c r="L30" s="1646"/>
    </row>
    <row r="31" ht="15.75" customHeight="1">
      <c r="A31" s="1653" t="s">
        <v>5345</v>
      </c>
      <c r="B31" s="1618" t="s">
        <v>9164</v>
      </c>
      <c r="C31" s="1907" t="s">
        <v>11822</v>
      </c>
      <c r="D31" s="1592" t="s">
        <v>11823</v>
      </c>
      <c r="E31" s="1592" t="s">
        <v>11824</v>
      </c>
      <c r="F31" s="1592" t="s">
        <v>11825</v>
      </c>
      <c r="G31" s="1897" t="s">
        <v>11826</v>
      </c>
      <c r="H31" s="1897" t="s">
        <v>11827</v>
      </c>
      <c r="I31" s="1897" t="s">
        <v>11828</v>
      </c>
      <c r="J31" s="1897" t="s">
        <v>11829</v>
      </c>
      <c r="K31" s="1592" t="s">
        <v>11830</v>
      </c>
      <c r="L31" s="1646" t="s">
        <v>11831</v>
      </c>
    </row>
    <row r="32" ht="15.75" customHeight="1">
      <c r="A32" s="1653" t="s">
        <v>4957</v>
      </c>
      <c r="B32" s="1618" t="s">
        <v>9191</v>
      </c>
      <c r="C32" s="1907" t="s">
        <v>11601</v>
      </c>
      <c r="D32" s="1592" t="s">
        <v>11832</v>
      </c>
      <c r="E32" s="1592" t="s">
        <v>11833</v>
      </c>
      <c r="F32" s="1592" t="s">
        <v>11834</v>
      </c>
      <c r="G32" s="847" t="s">
        <v>11835</v>
      </c>
      <c r="H32" s="1887" t="s">
        <v>11836</v>
      </c>
      <c r="I32" s="1893" t="s">
        <v>11837</v>
      </c>
      <c r="J32" s="1894" t="s">
        <v>11838</v>
      </c>
      <c r="K32" s="1592" t="s">
        <v>11183</v>
      </c>
      <c r="L32" s="1646" t="s">
        <v>11839</v>
      </c>
    </row>
    <row r="33" ht="15.75" customHeight="1">
      <c r="A33" s="974" t="s">
        <v>5786</v>
      </c>
      <c r="B33" s="1741" t="s">
        <v>11184</v>
      </c>
      <c r="C33" s="1913" t="s">
        <v>11840</v>
      </c>
      <c r="D33" s="1843" t="s">
        <v>11841</v>
      </c>
      <c r="E33" s="1843" t="s">
        <v>11842</v>
      </c>
      <c r="F33" s="1843" t="s">
        <v>11843</v>
      </c>
      <c r="G33" s="1914" t="s">
        <v>11844</v>
      </c>
      <c r="H33" s="1914" t="s">
        <v>11845</v>
      </c>
      <c r="I33" s="1914" t="s">
        <v>11846</v>
      </c>
      <c r="J33" s="1914" t="s">
        <v>11847</v>
      </c>
      <c r="K33" s="1843" t="s">
        <v>11848</v>
      </c>
      <c r="L33" s="1646" t="s">
        <v>11849</v>
      </c>
    </row>
    <row r="34" ht="15.75" customHeight="1">
      <c r="A34" s="1653" t="s">
        <v>6549</v>
      </c>
      <c r="B34" s="1741" t="s">
        <v>11184</v>
      </c>
      <c r="C34" s="1915" t="s">
        <v>11850</v>
      </c>
      <c r="D34" s="1830" t="s">
        <v>11851</v>
      </c>
      <c r="E34" s="1830" t="s">
        <v>11852</v>
      </c>
      <c r="F34" s="1830" t="s">
        <v>11853</v>
      </c>
      <c r="G34" s="1916" t="s">
        <v>11854</v>
      </c>
      <c r="K34" s="1830" t="s">
        <v>11261</v>
      </c>
      <c r="L34" s="1646" t="s">
        <v>11855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11856</v>
      </c>
      <c r="C1" s="1927" t="s">
        <v>43</v>
      </c>
      <c r="D1" s="1928" t="s">
        <v>11857</v>
      </c>
      <c r="E1" s="1927" t="s">
        <v>11858</v>
      </c>
      <c r="F1" s="1929" t="s">
        <v>11859</v>
      </c>
    </row>
    <row r="2">
      <c r="A2" s="1930"/>
      <c r="B2" s="1931"/>
      <c r="C2" s="1931"/>
      <c r="D2" s="1931"/>
      <c r="E2" s="1931"/>
      <c r="F2" s="1931"/>
    </row>
    <row r="3">
      <c r="A3" s="1930"/>
      <c r="B3" s="1931"/>
      <c r="C3" s="1931"/>
      <c r="D3" s="1931"/>
      <c r="E3" s="1931"/>
      <c r="F3" s="1931"/>
    </row>
    <row r="4">
      <c r="A4" s="1932" t="s">
        <v>11860</v>
      </c>
      <c r="B4" s="1933" t="s">
        <v>11861</v>
      </c>
      <c r="C4" s="1934"/>
      <c r="D4" s="1934"/>
      <c r="E4" s="1934"/>
      <c r="F4" s="1935"/>
    </row>
    <row r="5">
      <c r="A5" s="1931"/>
      <c r="B5" s="1936"/>
      <c r="C5" s="1937"/>
      <c r="D5" s="1937"/>
      <c r="E5" s="1937"/>
      <c r="F5" s="1938"/>
    </row>
    <row r="6">
      <c r="A6" s="1939" t="s">
        <v>11861</v>
      </c>
      <c r="B6" s="1940" t="s">
        <v>11862</v>
      </c>
      <c r="C6" s="1941" t="s">
        <v>4351</v>
      </c>
      <c r="D6" s="1942" t="s">
        <v>11863</v>
      </c>
      <c r="E6" s="1941" t="s">
        <v>11864</v>
      </c>
      <c r="F6" s="1943">
        <v>44233.0</v>
      </c>
    </row>
    <row r="7">
      <c r="A7" s="1939" t="s">
        <v>11865</v>
      </c>
      <c r="B7" s="1944" t="s">
        <v>11866</v>
      </c>
      <c r="C7" s="1941" t="s">
        <v>899</v>
      </c>
      <c r="D7" s="1942" t="s">
        <v>11867</v>
      </c>
      <c r="E7" s="1941" t="s">
        <v>11864</v>
      </c>
      <c r="F7" s="1943">
        <v>43878.0</v>
      </c>
    </row>
    <row r="8">
      <c r="A8" s="1939" t="s">
        <v>11868</v>
      </c>
      <c r="B8" s="1945" t="s">
        <v>11869</v>
      </c>
      <c r="C8" s="1941" t="s">
        <v>330</v>
      </c>
      <c r="D8" s="1942" t="s">
        <v>11870</v>
      </c>
      <c r="E8" s="1941" t="s">
        <v>11864</v>
      </c>
      <c r="F8" s="1943">
        <v>43879.0</v>
      </c>
    </row>
    <row r="9">
      <c r="A9" s="1939" t="s">
        <v>11871</v>
      </c>
      <c r="B9" s="1946" t="s">
        <v>11872</v>
      </c>
      <c r="C9" s="1941" t="s">
        <v>4053</v>
      </c>
      <c r="D9" s="1942" t="s">
        <v>11873</v>
      </c>
      <c r="E9" s="1941" t="s">
        <v>11874</v>
      </c>
      <c r="F9" s="1943">
        <v>44084.0</v>
      </c>
    </row>
    <row r="10">
      <c r="A10" s="1939" t="s">
        <v>11875</v>
      </c>
      <c r="B10" s="1946" t="s">
        <v>11876</v>
      </c>
      <c r="C10" s="1947"/>
      <c r="D10" s="1948"/>
      <c r="E10" s="1947"/>
      <c r="F10" s="1947"/>
    </row>
    <row r="11">
      <c r="A11" s="1939" t="s">
        <v>11877</v>
      </c>
      <c r="B11" s="1933" t="s">
        <v>11865</v>
      </c>
      <c r="C11" s="1934"/>
      <c r="D11" s="1934"/>
      <c r="E11" s="1934"/>
      <c r="F11" s="1935"/>
    </row>
    <row r="12">
      <c r="A12" s="1939" t="s">
        <v>11878</v>
      </c>
      <c r="B12" s="1936"/>
      <c r="C12" s="1937"/>
      <c r="D12" s="1937"/>
      <c r="E12" s="1937"/>
      <c r="F12" s="1938"/>
    </row>
    <row r="13">
      <c r="A13" s="1939" t="s">
        <v>11879</v>
      </c>
      <c r="B13" s="1940" t="s">
        <v>11862</v>
      </c>
      <c r="C13" s="1941" t="s">
        <v>4351</v>
      </c>
      <c r="D13" s="1942" t="s">
        <v>11880</v>
      </c>
      <c r="E13" s="1941" t="s">
        <v>11864</v>
      </c>
      <c r="F13" s="1943">
        <v>44250.0</v>
      </c>
    </row>
    <row r="14" ht="15.75" customHeight="1">
      <c r="A14" s="1939" t="s">
        <v>11881</v>
      </c>
      <c r="B14" s="1944" t="s">
        <v>11866</v>
      </c>
      <c r="C14" s="1941" t="s">
        <v>4265</v>
      </c>
      <c r="D14" s="1942" t="s">
        <v>11882</v>
      </c>
      <c r="E14" s="1941" t="s">
        <v>11864</v>
      </c>
      <c r="F14" s="1943">
        <v>43364.0</v>
      </c>
    </row>
    <row r="15">
      <c r="A15" s="1939" t="s">
        <v>11883</v>
      </c>
      <c r="B15" s="1945" t="s">
        <v>11869</v>
      </c>
      <c r="C15" s="1941" t="s">
        <v>11884</v>
      </c>
      <c r="D15" s="1942" t="s">
        <v>11885</v>
      </c>
      <c r="E15" s="1941" t="s">
        <v>11874</v>
      </c>
      <c r="F15" s="1943">
        <v>43757.0</v>
      </c>
    </row>
    <row r="16">
      <c r="A16" s="1939" t="s">
        <v>11886</v>
      </c>
      <c r="B16" s="1946" t="s">
        <v>11872</v>
      </c>
      <c r="C16" s="1941" t="s">
        <v>11887</v>
      </c>
      <c r="D16" s="1942" t="s">
        <v>11888</v>
      </c>
      <c r="E16" s="1941" t="s">
        <v>11874</v>
      </c>
      <c r="F16" s="1943">
        <v>43438.0</v>
      </c>
    </row>
    <row r="17">
      <c r="A17" s="1939" t="s">
        <v>11889</v>
      </c>
      <c r="B17" s="1946" t="s">
        <v>11876</v>
      </c>
      <c r="C17" s="1947"/>
      <c r="D17" s="1948"/>
      <c r="E17" s="1947"/>
      <c r="F17" s="1947"/>
    </row>
    <row r="18">
      <c r="A18" s="1939" t="s">
        <v>11890</v>
      </c>
      <c r="B18" s="1949" t="s">
        <v>11868</v>
      </c>
      <c r="C18" s="1934"/>
      <c r="D18" s="1934"/>
      <c r="E18" s="1934"/>
      <c r="F18" s="1935"/>
    </row>
    <row r="19">
      <c r="A19" s="1939" t="s">
        <v>11891</v>
      </c>
      <c r="B19" s="1937"/>
      <c r="C19" s="1937"/>
      <c r="D19" s="1937"/>
      <c r="E19" s="1937"/>
      <c r="F19" s="1938"/>
    </row>
    <row r="20">
      <c r="A20" s="1950"/>
      <c r="B20" s="1940" t="s">
        <v>11862</v>
      </c>
      <c r="C20" s="1941" t="s">
        <v>11892</v>
      </c>
      <c r="D20" s="1942" t="s">
        <v>11893</v>
      </c>
      <c r="E20" s="1941" t="s">
        <v>11864</v>
      </c>
      <c r="F20" s="1943">
        <v>44021.0</v>
      </c>
    </row>
    <row r="21">
      <c r="A21" s="1950"/>
      <c r="B21" s="1944" t="s">
        <v>11866</v>
      </c>
      <c r="C21" s="1941" t="s">
        <v>5376</v>
      </c>
      <c r="D21" s="1942" t="s">
        <v>11894</v>
      </c>
      <c r="E21" s="1941" t="s">
        <v>11874</v>
      </c>
      <c r="F21" s="1943">
        <v>44022.0</v>
      </c>
    </row>
    <row r="22">
      <c r="A22" s="1951"/>
      <c r="B22" s="1945" t="s">
        <v>11869</v>
      </c>
      <c r="C22" s="1941" t="s">
        <v>11895</v>
      </c>
      <c r="D22" s="1942" t="s">
        <v>11896</v>
      </c>
      <c r="E22" s="1941" t="s">
        <v>11897</v>
      </c>
      <c r="F22" s="1943">
        <v>43884.0</v>
      </c>
    </row>
    <row r="23">
      <c r="A23" s="1951"/>
      <c r="B23" s="1946" t="s">
        <v>11872</v>
      </c>
      <c r="C23" s="1941" t="s">
        <v>5345</v>
      </c>
      <c r="D23" s="1942" t="s">
        <v>11898</v>
      </c>
      <c r="E23" s="1941" t="s">
        <v>11864</v>
      </c>
      <c r="F23" s="1943">
        <v>43892.0</v>
      </c>
    </row>
    <row r="24">
      <c r="A24" s="1951"/>
      <c r="B24" s="1946" t="s">
        <v>11876</v>
      </c>
      <c r="C24" s="1947"/>
      <c r="D24" s="1948"/>
      <c r="E24" s="1947"/>
      <c r="F24" s="1947"/>
    </row>
    <row r="25">
      <c r="A25" s="1951"/>
      <c r="B25" s="1933" t="s">
        <v>11871</v>
      </c>
      <c r="C25" s="1934"/>
      <c r="D25" s="1934"/>
      <c r="E25" s="1934"/>
      <c r="F25" s="1935"/>
    </row>
    <row r="26">
      <c r="A26" s="1951"/>
      <c r="B26" s="1936"/>
      <c r="C26" s="1937"/>
      <c r="D26" s="1937"/>
      <c r="E26" s="1937"/>
      <c r="F26" s="1938"/>
    </row>
    <row r="27">
      <c r="A27" s="1951"/>
      <c r="B27" s="1952" t="s">
        <v>11899</v>
      </c>
      <c r="C27" s="1934"/>
      <c r="D27" s="1934"/>
      <c r="E27" s="1934"/>
      <c r="F27" s="1935"/>
    </row>
    <row r="28">
      <c r="A28" s="1951"/>
      <c r="B28" s="1936"/>
      <c r="C28" s="1937"/>
      <c r="D28" s="1937"/>
      <c r="E28" s="1937"/>
      <c r="F28" s="1938"/>
    </row>
    <row r="29">
      <c r="A29" s="1951"/>
      <c r="B29" s="1940" t="s">
        <v>11862</v>
      </c>
      <c r="C29" s="1953" t="s">
        <v>436</v>
      </c>
      <c r="D29" s="1942" t="s">
        <v>11900</v>
      </c>
      <c r="E29" s="1941" t="s">
        <v>11864</v>
      </c>
      <c r="F29" s="1943">
        <v>43659.0</v>
      </c>
    </row>
    <row r="30">
      <c r="A30" s="1951"/>
      <c r="B30" s="1944" t="s">
        <v>11866</v>
      </c>
      <c r="C30" s="1941" t="s">
        <v>1721</v>
      </c>
      <c r="D30" s="1942" t="s">
        <v>11901</v>
      </c>
      <c r="E30" s="1941" t="s">
        <v>11864</v>
      </c>
      <c r="F30" s="1943">
        <v>43228.0</v>
      </c>
    </row>
    <row r="31">
      <c r="A31" s="1951"/>
      <c r="B31" s="1945" t="s">
        <v>11869</v>
      </c>
      <c r="C31" s="1947"/>
      <c r="D31" s="1954"/>
      <c r="E31" s="1947"/>
      <c r="F31" s="1947"/>
    </row>
    <row r="32">
      <c r="A32" s="1951"/>
      <c r="B32" s="1946" t="s">
        <v>11872</v>
      </c>
      <c r="C32" s="1947"/>
      <c r="D32" s="1954"/>
      <c r="E32" s="1947"/>
      <c r="F32" s="1947"/>
    </row>
    <row r="33">
      <c r="A33" s="1951"/>
      <c r="B33" s="1946" t="s">
        <v>11876</v>
      </c>
      <c r="C33" s="1947"/>
      <c r="D33" s="1954"/>
      <c r="E33" s="1947"/>
      <c r="F33" s="1947"/>
    </row>
    <row r="34">
      <c r="A34" s="1951"/>
      <c r="B34" s="1952" t="s">
        <v>11902</v>
      </c>
      <c r="C34" s="1934"/>
      <c r="D34" s="1934"/>
      <c r="E34" s="1934"/>
      <c r="F34" s="1935"/>
    </row>
    <row r="35">
      <c r="A35" s="1951"/>
      <c r="B35" s="1936"/>
      <c r="C35" s="1937"/>
      <c r="D35" s="1937"/>
      <c r="E35" s="1937"/>
      <c r="F35" s="1938"/>
    </row>
    <row r="36">
      <c r="A36" s="1951"/>
      <c r="B36" s="1940" t="s">
        <v>11862</v>
      </c>
      <c r="C36" s="1941" t="s">
        <v>1721</v>
      </c>
      <c r="D36" s="1942" t="s">
        <v>11903</v>
      </c>
      <c r="E36" s="1941" t="s">
        <v>11864</v>
      </c>
      <c r="F36" s="1943">
        <v>43352.0</v>
      </c>
    </row>
    <row r="37">
      <c r="A37" s="1951"/>
      <c r="B37" s="1944" t="s">
        <v>11866</v>
      </c>
      <c r="C37" s="1941" t="s">
        <v>11904</v>
      </c>
      <c r="D37" s="1942" t="s">
        <v>11905</v>
      </c>
      <c r="E37" s="1941" t="s">
        <v>11864</v>
      </c>
      <c r="F37" s="1943">
        <v>43799.0</v>
      </c>
    </row>
    <row r="38">
      <c r="A38" s="1951"/>
      <c r="B38" s="1945" t="s">
        <v>11869</v>
      </c>
      <c r="C38" s="1947"/>
      <c r="D38" s="1948"/>
      <c r="E38" s="1947"/>
      <c r="F38" s="1947"/>
    </row>
    <row r="39">
      <c r="A39" s="1951"/>
      <c r="B39" s="1946" t="s">
        <v>11872</v>
      </c>
      <c r="C39" s="1947"/>
      <c r="D39" s="1948"/>
      <c r="E39" s="1947"/>
      <c r="F39" s="1947"/>
    </row>
    <row r="40">
      <c r="A40" s="1951"/>
      <c r="B40" s="1946" t="s">
        <v>11876</v>
      </c>
      <c r="C40" s="1947"/>
      <c r="D40" s="1948"/>
      <c r="E40" s="1947"/>
      <c r="F40" s="1947"/>
    </row>
    <row r="41">
      <c r="A41" s="1951"/>
      <c r="B41" s="1933" t="s">
        <v>11875</v>
      </c>
      <c r="C41" s="1934"/>
      <c r="D41" s="1934"/>
      <c r="E41" s="1934"/>
      <c r="F41" s="1935"/>
    </row>
    <row r="42">
      <c r="A42" s="1951"/>
      <c r="B42" s="1936"/>
      <c r="C42" s="1937"/>
      <c r="D42" s="1937"/>
      <c r="E42" s="1937"/>
      <c r="F42" s="1938"/>
    </row>
    <row r="43">
      <c r="A43" s="1951"/>
      <c r="B43" s="1940" t="s">
        <v>11862</v>
      </c>
      <c r="C43" s="1941" t="s">
        <v>6750</v>
      </c>
      <c r="D43" s="1955" t="s">
        <v>11906</v>
      </c>
      <c r="E43" s="1941" t="s">
        <v>11864</v>
      </c>
      <c r="F43" s="1956">
        <v>44511.0</v>
      </c>
    </row>
    <row r="44">
      <c r="A44" s="1951"/>
      <c r="B44" s="1944" t="s">
        <v>11866</v>
      </c>
      <c r="C44" s="1941" t="s">
        <v>11904</v>
      </c>
      <c r="D44" s="1955" t="s">
        <v>11907</v>
      </c>
      <c r="E44" s="1941" t="s">
        <v>11864</v>
      </c>
      <c r="F44" s="1956">
        <v>43740.0</v>
      </c>
    </row>
    <row r="45">
      <c r="A45" s="1951"/>
      <c r="B45" s="1945" t="s">
        <v>11869</v>
      </c>
      <c r="C45" s="1941" t="s">
        <v>10869</v>
      </c>
      <c r="D45" s="1955" t="s">
        <v>11908</v>
      </c>
      <c r="E45" s="1941" t="s">
        <v>11864</v>
      </c>
      <c r="F45" s="1956">
        <v>42098.0</v>
      </c>
    </row>
    <row r="46">
      <c r="A46" s="1951"/>
      <c r="B46" s="1946" t="s">
        <v>11872</v>
      </c>
      <c r="C46" s="1941"/>
      <c r="D46" s="1955"/>
      <c r="E46" s="1941"/>
      <c r="F46" s="1956"/>
    </row>
    <row r="47">
      <c r="A47" s="1951"/>
      <c r="B47" s="1946" t="s">
        <v>11876</v>
      </c>
      <c r="C47" s="1947"/>
      <c r="D47" s="1957"/>
      <c r="E47" s="1947"/>
      <c r="F47" s="1951"/>
    </row>
    <row r="48">
      <c r="A48" s="1951"/>
      <c r="B48" s="1933" t="s">
        <v>11877</v>
      </c>
      <c r="C48" s="1934"/>
      <c r="D48" s="1934"/>
      <c r="E48" s="1934"/>
      <c r="F48" s="1935"/>
    </row>
    <row r="49">
      <c r="A49" s="1951"/>
      <c r="B49" s="1936"/>
      <c r="C49" s="1937"/>
      <c r="D49" s="1937"/>
      <c r="E49" s="1937"/>
      <c r="F49" s="1938"/>
    </row>
    <row r="50">
      <c r="A50" s="1951"/>
      <c r="B50" s="1940" t="s">
        <v>11862</v>
      </c>
      <c r="C50" s="1941" t="s">
        <v>11909</v>
      </c>
      <c r="D50" s="1955" t="s">
        <v>11910</v>
      </c>
      <c r="E50" s="1941" t="s">
        <v>11911</v>
      </c>
      <c r="F50" s="1956">
        <v>43395.0</v>
      </c>
    </row>
    <row r="51">
      <c r="A51" s="1951"/>
      <c r="B51" s="1944" t="s">
        <v>11866</v>
      </c>
      <c r="C51" s="1941" t="s">
        <v>2264</v>
      </c>
      <c r="D51" s="1955" t="s">
        <v>11912</v>
      </c>
      <c r="E51" s="1941" t="s">
        <v>11874</v>
      </c>
      <c r="F51" s="1956">
        <v>43376.0</v>
      </c>
    </row>
    <row r="52">
      <c r="A52" s="1951"/>
      <c r="B52" s="1945" t="s">
        <v>11869</v>
      </c>
      <c r="C52" s="1947"/>
      <c r="D52" s="1957"/>
      <c r="E52" s="1947"/>
      <c r="F52" s="1951"/>
    </row>
    <row r="53">
      <c r="A53" s="1951"/>
      <c r="B53" s="1946" t="s">
        <v>11872</v>
      </c>
      <c r="C53" s="1947"/>
      <c r="D53" s="1957"/>
      <c r="E53" s="1947"/>
      <c r="F53" s="1951"/>
    </row>
    <row r="54">
      <c r="A54" s="1951"/>
      <c r="B54" s="1946" t="s">
        <v>11876</v>
      </c>
      <c r="C54" s="1947"/>
      <c r="D54" s="1957"/>
      <c r="E54" s="1947"/>
      <c r="F54" s="1951"/>
    </row>
    <row r="55">
      <c r="A55" s="1951"/>
      <c r="B55" s="1933" t="s">
        <v>11878</v>
      </c>
      <c r="C55" s="1934"/>
      <c r="D55" s="1934"/>
      <c r="E55" s="1934"/>
      <c r="F55" s="1935"/>
    </row>
    <row r="56">
      <c r="A56" s="1951"/>
      <c r="B56" s="1936"/>
      <c r="C56" s="1937"/>
      <c r="D56" s="1937"/>
      <c r="E56" s="1937"/>
      <c r="F56" s="1938"/>
    </row>
    <row r="57">
      <c r="A57" s="1951"/>
      <c r="B57" s="1958" t="s">
        <v>11913</v>
      </c>
      <c r="C57" s="1934"/>
      <c r="D57" s="1934"/>
      <c r="E57" s="1934"/>
      <c r="F57" s="1935"/>
    </row>
    <row r="58">
      <c r="A58" s="1951"/>
      <c r="B58" s="1936"/>
      <c r="C58" s="1937"/>
      <c r="D58" s="1937"/>
      <c r="E58" s="1937"/>
      <c r="F58" s="1938"/>
    </row>
    <row r="59">
      <c r="A59" s="1951"/>
      <c r="B59" s="1940" t="s">
        <v>11862</v>
      </c>
      <c r="C59" s="1959" t="s">
        <v>436</v>
      </c>
      <c r="D59" s="1955" t="s">
        <v>11914</v>
      </c>
      <c r="E59" s="1941" t="s">
        <v>11864</v>
      </c>
      <c r="F59" s="1956">
        <v>43758.0</v>
      </c>
    </row>
    <row r="60">
      <c r="A60" s="1951"/>
      <c r="B60" s="1944" t="s">
        <v>11866</v>
      </c>
      <c r="C60" s="1947"/>
      <c r="D60" s="1957"/>
      <c r="E60" s="1947"/>
      <c r="F60" s="1951"/>
    </row>
    <row r="61">
      <c r="A61" s="1951"/>
      <c r="B61" s="1945" t="s">
        <v>11869</v>
      </c>
      <c r="C61" s="1947"/>
      <c r="D61" s="1957"/>
      <c r="E61" s="1947"/>
      <c r="F61" s="1951"/>
    </row>
    <row r="62">
      <c r="A62" s="1951"/>
      <c r="B62" s="1946" t="s">
        <v>11872</v>
      </c>
      <c r="C62" s="1947"/>
      <c r="D62" s="1957"/>
      <c r="E62" s="1947"/>
      <c r="F62" s="1951"/>
    </row>
    <row r="63">
      <c r="A63" s="1951"/>
      <c r="B63" s="1946" t="s">
        <v>11876</v>
      </c>
      <c r="C63" s="1947"/>
      <c r="D63" s="1957"/>
      <c r="E63" s="1947"/>
      <c r="F63" s="1951"/>
    </row>
    <row r="64">
      <c r="A64" s="1951"/>
      <c r="B64" s="1958" t="s">
        <v>11902</v>
      </c>
      <c r="C64" s="1934"/>
      <c r="D64" s="1934"/>
      <c r="E64" s="1934"/>
      <c r="F64" s="1935"/>
    </row>
    <row r="65">
      <c r="A65" s="1951"/>
      <c r="B65" s="1936"/>
      <c r="C65" s="1937"/>
      <c r="D65" s="1937"/>
      <c r="E65" s="1937"/>
      <c r="F65" s="1938"/>
    </row>
    <row r="66">
      <c r="A66" s="1951"/>
      <c r="B66" s="1940" t="s">
        <v>11862</v>
      </c>
      <c r="C66" s="1941" t="s">
        <v>11915</v>
      </c>
      <c r="D66" s="1960" t="s">
        <v>11916</v>
      </c>
      <c r="E66" s="1941" t="s">
        <v>11864</v>
      </c>
      <c r="F66" s="1956">
        <v>44805.0</v>
      </c>
    </row>
    <row r="67">
      <c r="A67" s="1951"/>
      <c r="B67" s="1944" t="s">
        <v>11866</v>
      </c>
      <c r="C67" s="1941" t="s">
        <v>11917</v>
      </c>
      <c r="D67" s="1955" t="s">
        <v>11918</v>
      </c>
      <c r="E67" s="1941" t="s">
        <v>11864</v>
      </c>
      <c r="F67" s="1956">
        <v>43307.0</v>
      </c>
    </row>
    <row r="68">
      <c r="A68" s="1951"/>
      <c r="B68" s="1945" t="s">
        <v>11869</v>
      </c>
      <c r="C68" s="1947"/>
      <c r="D68" s="1957"/>
      <c r="E68" s="1947"/>
      <c r="F68" s="1951"/>
    </row>
    <row r="69">
      <c r="A69" s="1951"/>
      <c r="B69" s="1946" t="s">
        <v>11872</v>
      </c>
      <c r="C69" s="1947"/>
      <c r="D69" s="1957"/>
      <c r="E69" s="1947"/>
      <c r="F69" s="1951"/>
    </row>
    <row r="70">
      <c r="A70" s="1951"/>
      <c r="B70" s="1946" t="s">
        <v>11876</v>
      </c>
      <c r="C70" s="1947"/>
      <c r="D70" s="1957"/>
      <c r="E70" s="1947"/>
      <c r="F70" s="1951"/>
    </row>
    <row r="71">
      <c r="A71" s="1951"/>
      <c r="B71" s="1933" t="s">
        <v>11879</v>
      </c>
      <c r="C71" s="1934"/>
      <c r="D71" s="1934"/>
      <c r="E71" s="1934"/>
      <c r="F71" s="1935"/>
    </row>
    <row r="72">
      <c r="A72" s="1951"/>
      <c r="B72" s="1936"/>
      <c r="C72" s="1937"/>
      <c r="D72" s="1937"/>
      <c r="E72" s="1937"/>
      <c r="F72" s="1938"/>
    </row>
    <row r="73">
      <c r="A73" s="1951"/>
      <c r="B73" s="1958" t="s">
        <v>11919</v>
      </c>
      <c r="C73" s="1934"/>
      <c r="D73" s="1934"/>
      <c r="E73" s="1934"/>
      <c r="F73" s="1935"/>
    </row>
    <row r="74">
      <c r="A74" s="1951"/>
      <c r="B74" s="1936"/>
      <c r="C74" s="1937"/>
      <c r="D74" s="1937"/>
      <c r="E74" s="1937"/>
      <c r="F74" s="1938"/>
    </row>
    <row r="75">
      <c r="A75" s="1951"/>
      <c r="B75" s="1940" t="s">
        <v>11862</v>
      </c>
      <c r="C75" s="1941" t="s">
        <v>4351</v>
      </c>
      <c r="D75" s="1955" t="s">
        <v>11920</v>
      </c>
      <c r="E75" s="1941" t="s">
        <v>11864</v>
      </c>
      <c r="F75" s="1956">
        <v>44246.0</v>
      </c>
    </row>
    <row r="76">
      <c r="A76" s="1951"/>
      <c r="B76" s="1944" t="s">
        <v>11866</v>
      </c>
      <c r="C76" s="1941" t="s">
        <v>11909</v>
      </c>
      <c r="D76" s="1955" t="s">
        <v>11921</v>
      </c>
      <c r="E76" s="1941" t="s">
        <v>11911</v>
      </c>
      <c r="F76" s="1956">
        <v>43637.0</v>
      </c>
    </row>
    <row r="77">
      <c r="A77" s="1951"/>
      <c r="B77" s="1945" t="s">
        <v>11869</v>
      </c>
      <c r="C77" s="1947"/>
      <c r="D77" s="1957"/>
      <c r="E77" s="1947"/>
      <c r="F77" s="1951"/>
    </row>
    <row r="78">
      <c r="A78" s="1951"/>
      <c r="B78" s="1946" t="s">
        <v>11872</v>
      </c>
      <c r="C78" s="1947"/>
      <c r="D78" s="1957"/>
      <c r="E78" s="1947"/>
      <c r="F78" s="1951"/>
    </row>
    <row r="79">
      <c r="A79" s="1951"/>
      <c r="B79" s="1946" t="s">
        <v>11876</v>
      </c>
      <c r="C79" s="1947"/>
      <c r="D79" s="1957"/>
      <c r="E79" s="1947"/>
      <c r="F79" s="1951"/>
    </row>
    <row r="80">
      <c r="A80" s="1951"/>
      <c r="B80" s="1958" t="s">
        <v>11922</v>
      </c>
      <c r="C80" s="1934"/>
      <c r="D80" s="1934"/>
      <c r="E80" s="1934"/>
      <c r="F80" s="1935"/>
    </row>
    <row r="81">
      <c r="A81" s="1951"/>
      <c r="B81" s="1936"/>
      <c r="C81" s="1937"/>
      <c r="D81" s="1937"/>
      <c r="E81" s="1937"/>
      <c r="F81" s="1938"/>
    </row>
    <row r="82">
      <c r="A82" s="1951"/>
      <c r="B82" s="1940" t="s">
        <v>11862</v>
      </c>
      <c r="C82" s="1941" t="s">
        <v>6417</v>
      </c>
      <c r="D82" s="1955" t="s">
        <v>11923</v>
      </c>
      <c r="E82" s="1941" t="s">
        <v>11864</v>
      </c>
      <c r="F82" s="1956">
        <v>43592.0</v>
      </c>
    </row>
    <row r="83">
      <c r="A83" s="1951"/>
      <c r="B83" s="1944" t="s">
        <v>11866</v>
      </c>
      <c r="C83" s="1941" t="s">
        <v>11924</v>
      </c>
      <c r="D83" s="1955" t="s">
        <v>11925</v>
      </c>
      <c r="E83" s="1941" t="s">
        <v>11864</v>
      </c>
      <c r="F83" s="1956">
        <v>43396.0</v>
      </c>
    </row>
    <row r="84">
      <c r="A84" s="1951"/>
      <c r="B84" s="1945" t="s">
        <v>11869</v>
      </c>
      <c r="C84" s="1947"/>
      <c r="D84" s="1957"/>
      <c r="E84" s="1947"/>
      <c r="F84" s="1951"/>
    </row>
    <row r="85">
      <c r="A85" s="1951"/>
      <c r="B85" s="1946" t="s">
        <v>11872</v>
      </c>
      <c r="C85" s="1947"/>
      <c r="D85" s="1957"/>
      <c r="E85" s="1947"/>
      <c r="F85" s="1951"/>
    </row>
    <row r="86">
      <c r="A86" s="1951"/>
      <c r="B86" s="1946" t="s">
        <v>11876</v>
      </c>
      <c r="C86" s="1947"/>
      <c r="D86" s="1957"/>
      <c r="E86" s="1947"/>
      <c r="F86" s="1951"/>
    </row>
    <row r="87">
      <c r="A87" s="1951"/>
      <c r="B87" s="1933" t="s">
        <v>11881</v>
      </c>
      <c r="C87" s="1934"/>
      <c r="D87" s="1934"/>
      <c r="E87" s="1934"/>
      <c r="F87" s="1935"/>
    </row>
    <row r="88">
      <c r="A88" s="1951"/>
      <c r="B88" s="1936"/>
      <c r="C88" s="1937"/>
      <c r="D88" s="1937"/>
      <c r="E88" s="1937"/>
      <c r="F88" s="1938"/>
    </row>
    <row r="89">
      <c r="A89" s="1951"/>
      <c r="B89" s="1940" t="s">
        <v>11862</v>
      </c>
      <c r="C89" s="1959" t="s">
        <v>436</v>
      </c>
      <c r="D89" s="1955" t="s">
        <v>11926</v>
      </c>
      <c r="E89" s="1941" t="s">
        <v>11864</v>
      </c>
      <c r="F89" s="1956">
        <v>43457.0</v>
      </c>
    </row>
    <row r="90">
      <c r="A90" s="1951"/>
      <c r="B90" s="1944" t="s">
        <v>11866</v>
      </c>
      <c r="C90" s="1941" t="s">
        <v>2460</v>
      </c>
      <c r="D90" s="1960" t="s">
        <v>11927</v>
      </c>
      <c r="E90" s="1941" t="s">
        <v>11864</v>
      </c>
      <c r="F90" s="1956">
        <v>43925.0</v>
      </c>
    </row>
    <row r="91">
      <c r="A91" s="1951"/>
      <c r="B91" s="1945" t="s">
        <v>11869</v>
      </c>
      <c r="C91" s="1941" t="s">
        <v>4803</v>
      </c>
      <c r="D91" s="1955" t="s">
        <v>11928</v>
      </c>
      <c r="E91" s="1941" t="s">
        <v>11897</v>
      </c>
      <c r="F91" s="1956">
        <v>43433.0</v>
      </c>
    </row>
    <row r="92">
      <c r="A92" s="1951"/>
      <c r="B92" s="1946" t="s">
        <v>11872</v>
      </c>
      <c r="C92" s="1947"/>
      <c r="D92" s="1957"/>
      <c r="E92" s="1947"/>
      <c r="F92" s="1951"/>
    </row>
    <row r="93">
      <c r="A93" s="1951"/>
      <c r="B93" s="1946" t="s">
        <v>11876</v>
      </c>
      <c r="C93" s="1947"/>
      <c r="D93" s="1957"/>
      <c r="E93" s="1947"/>
      <c r="F93" s="1951"/>
    </row>
    <row r="94">
      <c r="A94" s="1951"/>
      <c r="B94" s="1933" t="s">
        <v>11883</v>
      </c>
      <c r="C94" s="1934"/>
      <c r="D94" s="1934"/>
      <c r="E94" s="1934"/>
      <c r="F94" s="1935"/>
    </row>
    <row r="95">
      <c r="A95" s="1951"/>
      <c r="B95" s="1936"/>
      <c r="C95" s="1937"/>
      <c r="D95" s="1937"/>
      <c r="E95" s="1937"/>
      <c r="F95" s="1938"/>
    </row>
    <row r="96">
      <c r="A96" s="1951"/>
      <c r="B96" s="1958" t="s">
        <v>11929</v>
      </c>
      <c r="C96" s="1934"/>
      <c r="D96" s="1934"/>
      <c r="E96" s="1934"/>
      <c r="F96" s="1935"/>
    </row>
    <row r="97">
      <c r="A97" s="1951"/>
      <c r="B97" s="1936"/>
      <c r="C97" s="1937"/>
      <c r="D97" s="1937"/>
      <c r="E97" s="1937"/>
      <c r="F97" s="1938"/>
    </row>
    <row r="98">
      <c r="A98" s="1951"/>
      <c r="B98" s="1940" t="s">
        <v>11862</v>
      </c>
      <c r="C98" s="1941" t="s">
        <v>11904</v>
      </c>
      <c r="D98" s="1955" t="s">
        <v>11930</v>
      </c>
      <c r="E98" s="1941" t="s">
        <v>11864</v>
      </c>
      <c r="F98" s="1956">
        <v>43862.0</v>
      </c>
    </row>
    <row r="99">
      <c r="A99" s="1951"/>
      <c r="B99" s="1944" t="s">
        <v>11866</v>
      </c>
      <c r="C99" s="1947"/>
      <c r="D99" s="1957"/>
      <c r="E99" s="1947"/>
      <c r="F99" s="1951"/>
    </row>
    <row r="100">
      <c r="A100" s="1951"/>
      <c r="B100" s="1945" t="s">
        <v>11869</v>
      </c>
      <c r="C100" s="1947"/>
      <c r="D100" s="1957"/>
      <c r="E100" s="1947"/>
      <c r="F100" s="1951"/>
    </row>
    <row r="101">
      <c r="A101" s="1951"/>
      <c r="B101" s="1946" t="s">
        <v>11872</v>
      </c>
      <c r="C101" s="1947"/>
      <c r="D101" s="1957"/>
      <c r="E101" s="1947"/>
      <c r="F101" s="1951"/>
    </row>
    <row r="102">
      <c r="A102" s="1951"/>
      <c r="B102" s="1946" t="s">
        <v>11876</v>
      </c>
      <c r="C102" s="1947"/>
      <c r="D102" s="1957"/>
      <c r="E102" s="1947"/>
      <c r="F102" s="1951"/>
    </row>
    <row r="103">
      <c r="A103" s="1951"/>
      <c r="B103" s="1958" t="s">
        <v>11931</v>
      </c>
      <c r="C103" s="1934"/>
      <c r="D103" s="1934"/>
      <c r="E103" s="1934"/>
      <c r="F103" s="1935"/>
    </row>
    <row r="104">
      <c r="A104" s="1951"/>
      <c r="B104" s="1936"/>
      <c r="C104" s="1937"/>
      <c r="D104" s="1937"/>
      <c r="E104" s="1937"/>
      <c r="F104" s="1938"/>
    </row>
    <row r="105">
      <c r="A105" s="1951"/>
      <c r="B105" s="1940" t="s">
        <v>11862</v>
      </c>
      <c r="C105" s="1941" t="s">
        <v>11904</v>
      </c>
      <c r="D105" s="1955" t="s">
        <v>11932</v>
      </c>
      <c r="E105" s="1941" t="s">
        <v>11864</v>
      </c>
      <c r="F105" s="1956">
        <v>43862.0</v>
      </c>
    </row>
    <row r="106">
      <c r="A106" s="1951"/>
      <c r="B106" s="1944" t="s">
        <v>11866</v>
      </c>
      <c r="C106" s="1961" t="s">
        <v>6334</v>
      </c>
      <c r="D106" s="1955" t="s">
        <v>11933</v>
      </c>
      <c r="E106" s="1941" t="s">
        <v>11911</v>
      </c>
      <c r="F106" s="1956">
        <v>43630.0</v>
      </c>
    </row>
    <row r="107">
      <c r="A107" s="1951"/>
      <c r="B107" s="1945" t="s">
        <v>11869</v>
      </c>
      <c r="C107" s="1947"/>
      <c r="D107" s="1957"/>
      <c r="E107" s="1947"/>
      <c r="F107" s="1951"/>
    </row>
    <row r="108">
      <c r="A108" s="1951"/>
      <c r="B108" s="1946" t="s">
        <v>11872</v>
      </c>
      <c r="C108" s="1947"/>
      <c r="D108" s="1957"/>
      <c r="E108" s="1947"/>
      <c r="F108" s="1951"/>
    </row>
    <row r="109">
      <c r="A109" s="1951"/>
      <c r="B109" s="1946" t="s">
        <v>11876</v>
      </c>
      <c r="C109" s="1947"/>
      <c r="D109" s="1957"/>
      <c r="E109" s="1947"/>
      <c r="F109" s="1951"/>
    </row>
    <row r="110">
      <c r="A110" s="1951"/>
      <c r="B110" s="1933" t="s">
        <v>11886</v>
      </c>
      <c r="C110" s="1934"/>
      <c r="D110" s="1934"/>
      <c r="E110" s="1934"/>
      <c r="F110" s="1935"/>
    </row>
    <row r="111">
      <c r="A111" s="1951"/>
      <c r="B111" s="1936"/>
      <c r="C111" s="1937"/>
      <c r="D111" s="1937"/>
      <c r="E111" s="1937"/>
      <c r="F111" s="1938"/>
    </row>
    <row r="112">
      <c r="A112" s="1951"/>
      <c r="B112" s="1940" t="s">
        <v>11862</v>
      </c>
      <c r="C112" s="1941" t="s">
        <v>5376</v>
      </c>
      <c r="D112" s="1955" t="s">
        <v>11934</v>
      </c>
      <c r="E112" s="1941" t="s">
        <v>11874</v>
      </c>
      <c r="F112" s="1956">
        <v>44132.0</v>
      </c>
    </row>
    <row r="113">
      <c r="A113" s="1951"/>
      <c r="B113" s="1944" t="s">
        <v>11866</v>
      </c>
      <c r="C113" s="1947"/>
      <c r="D113" s="1957"/>
      <c r="E113" s="1947"/>
      <c r="F113" s="1951"/>
    </row>
    <row r="114">
      <c r="A114" s="1951"/>
      <c r="B114" s="1945" t="s">
        <v>11869</v>
      </c>
      <c r="C114" s="1947"/>
      <c r="D114" s="1957"/>
      <c r="E114" s="1947"/>
      <c r="F114" s="1951"/>
    </row>
    <row r="115">
      <c r="A115" s="1951"/>
      <c r="B115" s="1946" t="s">
        <v>11872</v>
      </c>
      <c r="C115" s="1947"/>
      <c r="D115" s="1957"/>
      <c r="E115" s="1947"/>
      <c r="F115" s="1951"/>
    </row>
    <row r="116">
      <c r="A116" s="1951"/>
      <c r="B116" s="1946" t="s">
        <v>11876</v>
      </c>
      <c r="C116" s="1947"/>
      <c r="D116" s="1957"/>
      <c r="E116" s="1947"/>
      <c r="F116" s="1951"/>
    </row>
    <row r="117">
      <c r="A117" s="1951"/>
      <c r="B117" s="1933" t="s">
        <v>11889</v>
      </c>
      <c r="C117" s="1934"/>
      <c r="D117" s="1934"/>
      <c r="E117" s="1934"/>
      <c r="F117" s="1935"/>
    </row>
    <row r="118">
      <c r="A118" s="1951"/>
      <c r="B118" s="1936"/>
      <c r="C118" s="1937"/>
      <c r="D118" s="1937"/>
      <c r="E118" s="1937"/>
      <c r="F118" s="1938"/>
    </row>
    <row r="119">
      <c r="A119" s="1951"/>
      <c r="B119" s="1940" t="s">
        <v>11862</v>
      </c>
      <c r="C119" s="1941" t="s">
        <v>6396</v>
      </c>
      <c r="D119" s="1955" t="s">
        <v>11935</v>
      </c>
      <c r="E119" s="1941" t="s">
        <v>11864</v>
      </c>
      <c r="F119" s="1956">
        <v>43741.0</v>
      </c>
    </row>
    <row r="120">
      <c r="A120" s="1951"/>
      <c r="B120" s="1944" t="s">
        <v>11866</v>
      </c>
      <c r="C120" s="1941" t="s">
        <v>11936</v>
      </c>
      <c r="D120" s="1955" t="s">
        <v>11937</v>
      </c>
      <c r="E120" s="1941" t="s">
        <v>11897</v>
      </c>
      <c r="F120" s="1956">
        <v>43748.0</v>
      </c>
    </row>
    <row r="121">
      <c r="A121" s="1951"/>
      <c r="B121" s="1945" t="s">
        <v>11869</v>
      </c>
      <c r="C121" s="1941" t="s">
        <v>2189</v>
      </c>
      <c r="D121" s="1955" t="s">
        <v>11938</v>
      </c>
      <c r="E121" s="1941" t="s">
        <v>11911</v>
      </c>
      <c r="F121" s="1956">
        <v>43729.0</v>
      </c>
    </row>
    <row r="122">
      <c r="A122" s="1951"/>
      <c r="B122" s="1946" t="s">
        <v>11872</v>
      </c>
      <c r="C122" s="1959" t="s">
        <v>436</v>
      </c>
      <c r="D122" s="1955" t="s">
        <v>11939</v>
      </c>
      <c r="E122" s="1941" t="s">
        <v>11864</v>
      </c>
      <c r="F122" s="1956">
        <v>44470.0</v>
      </c>
    </row>
    <row r="123">
      <c r="A123" s="1951"/>
      <c r="B123" s="1946" t="s">
        <v>11876</v>
      </c>
      <c r="C123" s="1941" t="s">
        <v>5376</v>
      </c>
      <c r="D123" s="1955" t="s">
        <v>11940</v>
      </c>
      <c r="E123" s="1941" t="s">
        <v>11874</v>
      </c>
      <c r="F123" s="1956">
        <v>44020.0</v>
      </c>
    </row>
    <row r="124">
      <c r="A124" s="1962" t="s">
        <v>11941</v>
      </c>
      <c r="B124" s="1933" t="s">
        <v>11890</v>
      </c>
      <c r="C124" s="1934"/>
      <c r="D124" s="1934"/>
      <c r="E124" s="1934"/>
      <c r="F124" s="1935"/>
    </row>
    <row r="125">
      <c r="A125" s="1962" t="s">
        <v>11942</v>
      </c>
      <c r="B125" s="1936"/>
      <c r="C125" s="1937"/>
      <c r="D125" s="1937"/>
      <c r="E125" s="1937"/>
      <c r="F125" s="1938"/>
    </row>
    <row r="126">
      <c r="A126" s="1963"/>
      <c r="B126" s="1940" t="s">
        <v>11862</v>
      </c>
      <c r="C126" s="1941" t="s">
        <v>1052</v>
      </c>
      <c r="D126" s="1964">
        <v>0.06525462962962963</v>
      </c>
      <c r="E126" s="1941" t="s">
        <v>11874</v>
      </c>
      <c r="F126" s="1943">
        <v>44652.0</v>
      </c>
    </row>
    <row r="127">
      <c r="A127" s="1963"/>
      <c r="B127" s="1944" t="s">
        <v>11866</v>
      </c>
      <c r="C127" s="1941" t="s">
        <v>4133</v>
      </c>
      <c r="D127" s="1964">
        <v>0.06892361111111112</v>
      </c>
      <c r="E127" s="1941" t="s">
        <v>11874</v>
      </c>
      <c r="F127" s="1943">
        <v>44652.0</v>
      </c>
    </row>
    <row r="128">
      <c r="A128" s="1963"/>
      <c r="B128" s="1945" t="s">
        <v>11869</v>
      </c>
      <c r="C128" s="1950" t="s">
        <v>5479</v>
      </c>
      <c r="D128" s="1965">
        <v>0.07195601851851852</v>
      </c>
      <c r="E128" s="1950" t="s">
        <v>11874</v>
      </c>
      <c r="F128" s="1956">
        <v>44652.0</v>
      </c>
    </row>
    <row r="129">
      <c r="A129" s="1963"/>
      <c r="B129" s="1946" t="s">
        <v>11872</v>
      </c>
      <c r="C129" s="1947" t="s">
        <v>11943</v>
      </c>
      <c r="D129" s="1966">
        <v>0.07211805555555556</v>
      </c>
      <c r="E129" s="1967" t="s">
        <v>11944</v>
      </c>
      <c r="F129" s="1956">
        <v>44652.0</v>
      </c>
    </row>
    <row r="130">
      <c r="A130" s="1963"/>
      <c r="B130" s="1946" t="s">
        <v>11876</v>
      </c>
      <c r="C130" s="1947"/>
      <c r="D130" s="1947"/>
      <c r="E130" s="1947"/>
      <c r="F130" s="1947"/>
    </row>
    <row r="131">
      <c r="A131" s="1968"/>
      <c r="B131" s="1933" t="s">
        <v>11891</v>
      </c>
      <c r="C131" s="1934"/>
      <c r="D131" s="1934"/>
      <c r="E131" s="1934"/>
      <c r="F131" s="1935"/>
    </row>
    <row r="132">
      <c r="A132" s="1963"/>
      <c r="B132" s="1936"/>
      <c r="C132" s="1937"/>
      <c r="D132" s="1937"/>
      <c r="E132" s="1937"/>
      <c r="F132" s="1938"/>
    </row>
    <row r="133">
      <c r="A133" s="1963"/>
      <c r="B133" s="1940" t="s">
        <v>11862</v>
      </c>
      <c r="C133" s="1941" t="s">
        <v>2460</v>
      </c>
      <c r="D133" s="1969" t="s">
        <v>11945</v>
      </c>
      <c r="E133" s="1941" t="s">
        <v>11864</v>
      </c>
      <c r="F133" s="1943">
        <v>45152.0</v>
      </c>
    </row>
    <row r="134">
      <c r="A134" s="1963"/>
      <c r="B134" s="1944" t="s">
        <v>11866</v>
      </c>
      <c r="C134" s="1941" t="s">
        <v>4265</v>
      </c>
      <c r="D134" s="1969" t="s">
        <v>11946</v>
      </c>
      <c r="E134" s="1941" t="s">
        <v>11864</v>
      </c>
      <c r="F134" s="1943">
        <v>44866.0</v>
      </c>
    </row>
    <row r="135">
      <c r="A135" s="1963"/>
      <c r="B135" s="1945" t="s">
        <v>11869</v>
      </c>
      <c r="C135" s="1947"/>
      <c r="D135" s="1966"/>
      <c r="E135" s="1967"/>
      <c r="F135" s="1956"/>
    </row>
    <row r="136">
      <c r="A136" s="1963"/>
      <c r="B136" s="1946" t="s">
        <v>11872</v>
      </c>
      <c r="C136" s="1947"/>
      <c r="D136" s="1966"/>
      <c r="E136" s="1967"/>
      <c r="F136" s="1956"/>
    </row>
    <row r="137">
      <c r="A137" s="1963"/>
      <c r="B137" s="1946" t="s">
        <v>11876</v>
      </c>
      <c r="C137" s="1947"/>
      <c r="D137" s="1947"/>
      <c r="E137" s="1947"/>
      <c r="F137" s="1947"/>
    </row>
    <row r="138">
      <c r="A138" s="1963"/>
      <c r="B138" s="1933" t="s">
        <v>11947</v>
      </c>
      <c r="C138" s="1934"/>
      <c r="D138" s="1934"/>
      <c r="E138" s="1934"/>
      <c r="F138" s="1935"/>
    </row>
    <row r="139">
      <c r="A139" s="1963"/>
      <c r="B139" s="1936"/>
      <c r="C139" s="1937"/>
      <c r="D139" s="1937"/>
      <c r="E139" s="1937"/>
      <c r="F139" s="1938"/>
    </row>
    <row r="140">
      <c r="A140" s="1963"/>
      <c r="B140" s="1940" t="s">
        <v>11862</v>
      </c>
      <c r="C140" s="1941" t="s">
        <v>2460</v>
      </c>
      <c r="D140" s="1970">
        <v>0.1396990740740741</v>
      </c>
      <c r="E140" s="1941" t="s">
        <v>11864</v>
      </c>
      <c r="F140" s="1943">
        <v>45998.0</v>
      </c>
    </row>
    <row r="141">
      <c r="A141" s="1963"/>
      <c r="B141" s="1944" t="s">
        <v>11866</v>
      </c>
      <c r="C141" s="1941"/>
      <c r="D141" s="1971"/>
      <c r="E141" s="1941"/>
      <c r="F141" s="1943"/>
    </row>
    <row r="142">
      <c r="A142" s="1963"/>
      <c r="B142" s="1945" t="s">
        <v>11869</v>
      </c>
      <c r="C142" s="1947"/>
      <c r="D142" s="1966"/>
      <c r="E142" s="1967"/>
      <c r="F142" s="1956"/>
    </row>
    <row r="143">
      <c r="A143" s="1963"/>
      <c r="B143" s="1946" t="s">
        <v>11872</v>
      </c>
      <c r="C143" s="1947"/>
      <c r="D143" s="1966"/>
      <c r="E143" s="1967"/>
      <c r="F143" s="1956"/>
    </row>
    <row r="144">
      <c r="A144" s="1963"/>
      <c r="B144" s="1946" t="s">
        <v>11876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