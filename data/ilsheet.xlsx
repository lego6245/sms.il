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<sst xmlns="http://schemas.openxmlformats.org/spreadsheetml/2006/main" count="28449" uniqueCount="11988">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</sst>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_UxpkHRvMQM"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nlhLZdCIzV0"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qo9BM5Tzq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178</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957</v>
      </c>
      <c r="DB23" s="88" t="s">
        <v>1785</v>
      </c>
      <c r="DC23" s="88" t="s">
        <v>1786</v>
      </c>
      <c r="DD23" s="88" t="s">
        <v>1787</v>
      </c>
      <c r="DE23" s="88" t="s">
        <v>1788</v>
      </c>
      <c r="DF23" s="88" t="s">
        <v>1789</v>
      </c>
      <c r="DG23" s="88" t="s">
        <v>1790</v>
      </c>
      <c r="DH23" s="100"/>
      <c r="DI23" s="88" t="s">
        <v>579</v>
      </c>
      <c r="DJ23" s="98" t="str">
        <f>HYPERLINK("https://www.youtube.com/watch?v=tvfpeUyMNms","1:33.18")</f>
        <v>1:33.18</v>
      </c>
      <c r="DK23" s="88" t="s">
        <v>1791</v>
      </c>
      <c r="DL23" s="88" t="s">
        <v>1792</v>
      </c>
      <c r="DM23" s="90" t="s">
        <v>179</v>
      </c>
      <c r="DN23" s="88" t="s">
        <v>1793</v>
      </c>
      <c r="DO23" s="88" t="s">
        <v>1794</v>
      </c>
      <c r="DP23" s="88" t="s">
        <v>1795</v>
      </c>
      <c r="DQ23" s="87" t="s">
        <v>1714</v>
      </c>
      <c r="DR23" s="88" t="s">
        <v>1796</v>
      </c>
      <c r="DS23" s="88" t="s">
        <v>320</v>
      </c>
      <c r="DT23" s="88" t="s">
        <v>1797</v>
      </c>
      <c r="DU23" s="88" t="s">
        <v>1798</v>
      </c>
      <c r="DV23" s="88" t="s">
        <v>1799</v>
      </c>
      <c r="DW23" s="88" t="s">
        <v>1800</v>
      </c>
      <c r="DX23" s="88" t="s">
        <v>1801</v>
      </c>
      <c r="DY23" s="88" t="s">
        <v>1802</v>
      </c>
      <c r="DZ23" s="88" t="s">
        <v>1803</v>
      </c>
      <c r="EA23" s="88" t="s">
        <v>1804</v>
      </c>
      <c r="EB23" s="88" t="s">
        <v>697</v>
      </c>
      <c r="EC23" s="88" t="s">
        <v>1805</v>
      </c>
      <c r="ED23" s="98" t="s">
        <v>1347</v>
      </c>
    </row>
    <row r="24">
      <c r="A24" s="165" t="s">
        <v>1806</v>
      </c>
      <c r="B24" s="104" t="s">
        <v>1807</v>
      </c>
      <c r="C24" s="105" t="s">
        <v>1259</v>
      </c>
      <c r="D24" s="106" t="s">
        <v>1259</v>
      </c>
      <c r="E24" s="107" t="s">
        <v>544</v>
      </c>
      <c r="F24" s="108" t="s">
        <v>1808</v>
      </c>
      <c r="G24" s="104" t="s">
        <v>439</v>
      </c>
      <c r="H24" s="112" t="s">
        <v>1809</v>
      </c>
      <c r="I24" s="112" t="s">
        <v>1810</v>
      </c>
      <c r="J24" s="112" t="s">
        <v>1811</v>
      </c>
      <c r="K24" s="112" t="s">
        <v>1812</v>
      </c>
      <c r="L24" s="112" t="s">
        <v>1813</v>
      </c>
      <c r="M24" s="259" t="s">
        <v>988</v>
      </c>
      <c r="N24" s="112" t="s">
        <v>1814</v>
      </c>
      <c r="O24" s="166" t="s">
        <v>1815</v>
      </c>
      <c r="P24" s="293" t="s">
        <v>1562</v>
      </c>
      <c r="Q24" s="166" t="s">
        <v>1816</v>
      </c>
      <c r="R24" s="242"/>
      <c r="S24" s="112" t="s">
        <v>1817</v>
      </c>
      <c r="T24" s="242"/>
      <c r="U24" s="166" t="s">
        <v>1538</v>
      </c>
      <c r="V24" s="242"/>
      <c r="W24" s="92"/>
      <c r="X24" s="116" t="s">
        <v>1818</v>
      </c>
      <c r="Y24" s="198"/>
      <c r="Z24" s="116" t="s">
        <v>1819</v>
      </c>
      <c r="AA24" s="296" t="s">
        <v>1820</v>
      </c>
      <c r="AB24" s="116" t="s">
        <v>1821</v>
      </c>
      <c r="AC24" s="116" t="s">
        <v>1122</v>
      </c>
      <c r="AD24" s="116" t="s">
        <v>1822</v>
      </c>
      <c r="AE24" s="116" t="s">
        <v>1823</v>
      </c>
      <c r="AF24" s="198" t="s">
        <v>963</v>
      </c>
      <c r="AG24" s="198" t="s">
        <v>1824</v>
      </c>
      <c r="AH24" s="198" t="s">
        <v>1825</v>
      </c>
      <c r="AI24" s="198"/>
      <c r="AJ24" s="198" t="s">
        <v>1826</v>
      </c>
      <c r="AK24" s="244"/>
      <c r="AL24" s="97"/>
      <c r="AM24" s="121" t="s">
        <v>1827</v>
      </c>
      <c r="AN24" s="167" t="s">
        <v>1828</v>
      </c>
      <c r="AO24" s="167" t="s">
        <v>1829</v>
      </c>
      <c r="AP24" s="167" t="s">
        <v>1830</v>
      </c>
      <c r="AQ24" s="245"/>
      <c r="AR24" s="121" t="s">
        <v>1831</v>
      </c>
      <c r="AS24" s="245"/>
      <c r="AT24" s="245"/>
      <c r="AU24" s="121" t="s">
        <v>675</v>
      </c>
      <c r="AV24" s="279" t="s">
        <v>1832</v>
      </c>
      <c r="AW24" s="121" t="s">
        <v>1833</v>
      </c>
      <c r="AX24" s="245"/>
      <c r="AY24" s="121" t="s">
        <v>1834</v>
      </c>
      <c r="AZ24" s="245"/>
      <c r="BA24" s="245"/>
      <c r="BB24" s="173" t="s">
        <v>857</v>
      </c>
      <c r="BC24" s="303" t="s">
        <v>1449</v>
      </c>
      <c r="BD24" s="173" t="s">
        <v>1835</v>
      </c>
      <c r="BE24" s="173" t="s">
        <v>1836</v>
      </c>
      <c r="BF24" s="126" t="s">
        <v>1837</v>
      </c>
      <c r="BG24" s="173" t="s">
        <v>1838</v>
      </c>
      <c r="BH24" s="172"/>
      <c r="BI24" s="173" t="s">
        <v>1839</v>
      </c>
      <c r="BJ24" s="172"/>
      <c r="BK24" s="173" t="s">
        <v>1840</v>
      </c>
      <c r="BL24" s="126" t="s">
        <v>319</v>
      </c>
      <c r="BM24" s="172"/>
      <c r="BN24" s="173" t="s">
        <v>370</v>
      </c>
      <c r="BO24" s="126" t="s">
        <v>1301</v>
      </c>
      <c r="BP24" s="172"/>
      <c r="BQ24" s="247"/>
      <c r="BR24" s="304" t="s">
        <v>1841</v>
      </c>
      <c r="BS24" s="129" t="s">
        <v>1842</v>
      </c>
      <c r="BT24" s="174" t="s">
        <v>1843</v>
      </c>
      <c r="BU24" s="129" t="s">
        <v>1795</v>
      </c>
      <c r="BV24" s="129" t="s">
        <v>1844</v>
      </c>
      <c r="BW24" s="174" t="s">
        <v>162</v>
      </c>
      <c r="BX24" s="304" t="s">
        <v>1845</v>
      </c>
      <c r="BY24" s="249"/>
      <c r="BZ24" s="129" t="s">
        <v>1846</v>
      </c>
      <c r="CA24" s="129" t="s">
        <v>1847</v>
      </c>
      <c r="CB24" s="174" t="s">
        <v>1848</v>
      </c>
      <c r="CC24" s="174" t="s">
        <v>1849</v>
      </c>
      <c r="CD24" s="129" t="s">
        <v>1698</v>
      </c>
      <c r="CE24" s="129" t="s">
        <v>1850</v>
      </c>
      <c r="CF24" s="251"/>
      <c r="CG24" s="134" t="s">
        <v>1851</v>
      </c>
      <c r="CH24" s="134" t="s">
        <v>930</v>
      </c>
      <c r="CI24" s="177" t="s">
        <v>1852</v>
      </c>
      <c r="CJ24" s="134" t="s">
        <v>1853</v>
      </c>
      <c r="CK24" s="134" t="s">
        <v>1854</v>
      </c>
      <c r="CL24" s="134" t="s">
        <v>1472</v>
      </c>
      <c r="CM24" s="134" t="s">
        <v>936</v>
      </c>
      <c r="CN24" s="134" t="s">
        <v>353</v>
      </c>
      <c r="CO24" s="177" t="s">
        <v>509</v>
      </c>
      <c r="CP24" s="252"/>
      <c r="CQ24" s="177" t="s">
        <v>1547</v>
      </c>
      <c r="CR24" s="252"/>
      <c r="CS24" s="177" t="s">
        <v>1855</v>
      </c>
      <c r="CT24" s="252"/>
      <c r="CU24" s="92"/>
      <c r="CV24" s="139" t="s">
        <v>1856</v>
      </c>
      <c r="CW24" s="203" t="s">
        <v>1857</v>
      </c>
      <c r="CX24" s="139" t="s">
        <v>474</v>
      </c>
      <c r="CY24" s="139" t="s">
        <v>189</v>
      </c>
      <c r="CZ24" s="139" t="s">
        <v>1858</v>
      </c>
      <c r="DA24" s="301" t="s">
        <v>1859</v>
      </c>
      <c r="DB24" s="139" t="s">
        <v>1860</v>
      </c>
      <c r="DC24" s="203" t="s">
        <v>1701</v>
      </c>
      <c r="DD24" s="301" t="s">
        <v>1861</v>
      </c>
      <c r="DE24" s="301" t="s">
        <v>1862</v>
      </c>
      <c r="DF24" s="203" t="s">
        <v>1863</v>
      </c>
      <c r="DG24" s="253"/>
      <c r="DH24" s="263"/>
      <c r="DI24" s="204" t="s">
        <v>1864</v>
      </c>
      <c r="DJ24" s="204"/>
      <c r="DK24" s="204" t="s">
        <v>1865</v>
      </c>
      <c r="DL24" s="204" t="s">
        <v>1866</v>
      </c>
      <c r="DM24" s="204" t="s">
        <v>509</v>
      </c>
      <c r="DN24" s="144" t="s">
        <v>1097</v>
      </c>
      <c r="DO24" s="204" t="s">
        <v>1867</v>
      </c>
      <c r="DP24" s="204" t="s">
        <v>1868</v>
      </c>
      <c r="DQ24" s="255"/>
      <c r="DR24" s="144" t="s">
        <v>1869</v>
      </c>
      <c r="DS24" s="144" t="s">
        <v>1581</v>
      </c>
      <c r="DT24" s="144" t="s">
        <v>1870</v>
      </c>
      <c r="DU24" s="144" t="s">
        <v>208</v>
      </c>
      <c r="DV24" s="144" t="s">
        <v>1507</v>
      </c>
      <c r="DW24" s="144" t="s">
        <v>1800</v>
      </c>
      <c r="DX24" s="204" t="s">
        <v>1871</v>
      </c>
      <c r="DY24" s="144" t="s">
        <v>1872</v>
      </c>
      <c r="DZ24" s="144" t="s">
        <v>1873</v>
      </c>
      <c r="EA24" s="204" t="s">
        <v>1327</v>
      </c>
      <c r="EB24" s="144" t="s">
        <v>1874</v>
      </c>
      <c r="EC24" s="144" t="s">
        <v>216</v>
      </c>
      <c r="ED24" s="305" t="s">
        <v>1875</v>
      </c>
    </row>
    <row r="25">
      <c r="A25" s="81" t="s">
        <v>1876</v>
      </c>
      <c r="B25" s="82" t="s">
        <v>1877</v>
      </c>
      <c r="C25" s="83" t="s">
        <v>544</v>
      </c>
      <c r="D25" s="84" t="s">
        <v>647</v>
      </c>
      <c r="E25" s="85" t="s">
        <v>647</v>
      </c>
      <c r="F25" s="86" t="s">
        <v>1878</v>
      </c>
      <c r="G25" s="82" t="s">
        <v>1879</v>
      </c>
      <c r="H25" s="88" t="s">
        <v>1809</v>
      </c>
      <c r="I25" s="88" t="s">
        <v>1880</v>
      </c>
      <c r="J25" s="88" t="s">
        <v>1811</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1540</v>
      </c>
      <c r="AV25" s="93" t="s">
        <v>1900</v>
      </c>
      <c r="AW25" s="94" t="s">
        <v>1016</v>
      </c>
      <c r="AX25" s="99"/>
      <c r="AY25" s="99"/>
      <c r="AZ25" s="94" t="s">
        <v>1901</v>
      </c>
      <c r="BA25" s="94"/>
      <c r="BB25" s="94" t="s">
        <v>1902</v>
      </c>
      <c r="BC25" s="94" t="s">
        <v>1670</v>
      </c>
      <c r="BD25" s="258" t="s">
        <v>1450</v>
      </c>
      <c r="BE25" s="93" t="s">
        <v>773</v>
      </c>
      <c r="BF25" s="266" t="s">
        <v>1903</v>
      </c>
      <c r="BG25" s="94" t="s">
        <v>1904</v>
      </c>
      <c r="BH25" s="99"/>
      <c r="BI25" s="94" t="s">
        <v>1288</v>
      </c>
      <c r="BJ25" s="94" t="s">
        <v>1905</v>
      </c>
      <c r="BK25" s="94" t="s">
        <v>1906</v>
      </c>
      <c r="BL25" s="94" t="s">
        <v>1907</v>
      </c>
      <c r="BM25" s="99"/>
      <c r="BN25" s="88" t="s">
        <v>1220</v>
      </c>
      <c r="BO25" s="94" t="s">
        <v>1908</v>
      </c>
      <c r="BP25" s="266" t="s">
        <v>1909</v>
      </c>
      <c r="BQ25" s="237"/>
      <c r="BR25" s="101" t="s">
        <v>1910</v>
      </c>
      <c r="BS25" s="88" t="s">
        <v>1911</v>
      </c>
      <c r="BT25" s="88" t="s">
        <v>1912</v>
      </c>
      <c r="BU25" s="306" t="s">
        <v>1913</v>
      </c>
      <c r="BV25" s="88" t="s">
        <v>1914</v>
      </c>
      <c r="BW25" s="93" t="s">
        <v>1487</v>
      </c>
      <c r="BX25" s="99"/>
      <c r="BY25" s="99"/>
      <c r="BZ25" s="266" t="s">
        <v>1915</v>
      </c>
      <c r="CA25" s="94" t="s">
        <v>1795</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633</v>
      </c>
      <c r="CR25" s="94"/>
      <c r="CS25" s="94" t="s">
        <v>1924</v>
      </c>
      <c r="CT25" s="89" t="s">
        <v>1233</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1"/>
      <c r="DV25" s="99"/>
      <c r="DW25" s="94" t="s">
        <v>1939</v>
      </c>
      <c r="DX25" s="99"/>
      <c r="DY25" s="94" t="s">
        <v>1802</v>
      </c>
      <c r="DZ25" s="94" t="s">
        <v>1940</v>
      </c>
      <c r="EA25" s="94" t="s">
        <v>1941</v>
      </c>
      <c r="EB25" s="88" t="s">
        <v>1942</v>
      </c>
      <c r="EC25" s="94" t="s">
        <v>1943</v>
      </c>
      <c r="ED25" s="258" t="s">
        <v>1944</v>
      </c>
    </row>
    <row r="26">
      <c r="A26" s="165" t="s">
        <v>1945</v>
      </c>
      <c r="B26" s="104" t="s">
        <v>1946</v>
      </c>
      <c r="C26" s="105" t="s">
        <v>1259</v>
      </c>
      <c r="D26" s="106" t="s">
        <v>1259</v>
      </c>
      <c r="E26" s="107" t="s">
        <v>544</v>
      </c>
      <c r="F26" s="108" t="s">
        <v>1947</v>
      </c>
      <c r="G26" s="104" t="s">
        <v>1948</v>
      </c>
      <c r="H26" s="166" t="s">
        <v>1949</v>
      </c>
      <c r="I26" s="166" t="s">
        <v>1950</v>
      </c>
      <c r="J26" s="112" t="s">
        <v>723</v>
      </c>
      <c r="K26" s="166" t="s">
        <v>1951</v>
      </c>
      <c r="L26" s="112" t="s">
        <v>1727</v>
      </c>
      <c r="M26" s="166" t="s">
        <v>1952</v>
      </c>
      <c r="N26" s="166" t="s">
        <v>1395</v>
      </c>
      <c r="O26" s="166" t="s">
        <v>1953</v>
      </c>
      <c r="P26" s="166" t="s">
        <v>904</v>
      </c>
      <c r="Q26" s="112" t="s">
        <v>1954</v>
      </c>
      <c r="R26" s="166"/>
      <c r="S26" s="166" t="s">
        <v>450</v>
      </c>
      <c r="T26" s="166" t="s">
        <v>1955</v>
      </c>
      <c r="U26" s="166" t="s">
        <v>1341</v>
      </c>
      <c r="V26" s="166" t="s">
        <v>1956</v>
      </c>
      <c r="W26" s="92"/>
      <c r="X26" s="198" t="s">
        <v>907</v>
      </c>
      <c r="Y26" s="198"/>
      <c r="Z26" s="198" t="s">
        <v>1819</v>
      </c>
      <c r="AA26" s="198" t="s">
        <v>1957</v>
      </c>
      <c r="AB26" s="198" t="s">
        <v>1958</v>
      </c>
      <c r="AC26" s="116" t="s">
        <v>1959</v>
      </c>
      <c r="AD26" s="198" t="s">
        <v>1960</v>
      </c>
      <c r="AE26" s="198" t="s">
        <v>1961</v>
      </c>
      <c r="AF26" s="116" t="s">
        <v>757</v>
      </c>
      <c r="AG26" s="198" t="s">
        <v>125</v>
      </c>
      <c r="AH26" s="307" t="s">
        <v>1962</v>
      </c>
      <c r="AI26" s="308"/>
      <c r="AJ26" s="198" t="s">
        <v>1963</v>
      </c>
      <c r="AK26" s="198" t="s">
        <v>1964</v>
      </c>
      <c r="AL26" s="97"/>
      <c r="AM26" s="167" t="s">
        <v>1965</v>
      </c>
      <c r="AN26" s="121" t="s">
        <v>1966</v>
      </c>
      <c r="AO26" s="121" t="s">
        <v>1967</v>
      </c>
      <c r="AP26" s="167" t="s">
        <v>1968</v>
      </c>
      <c r="AQ26" s="121" t="s">
        <v>1969</v>
      </c>
      <c r="AR26" s="121" t="s">
        <v>1444</v>
      </c>
      <c r="AS26" s="167" t="s">
        <v>634</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1586</v>
      </c>
      <c r="BJ26" s="173" t="s">
        <v>1980</v>
      </c>
      <c r="BK26" s="173" t="s">
        <v>1981</v>
      </c>
      <c r="BL26" s="173" t="s">
        <v>798</v>
      </c>
      <c r="BM26" s="173" t="s">
        <v>1982</v>
      </c>
      <c r="BN26" s="303" t="s">
        <v>1064</v>
      </c>
      <c r="BO26" s="173" t="s">
        <v>1983</v>
      </c>
      <c r="BP26" s="173" t="s">
        <v>1984</v>
      </c>
      <c r="BQ26" s="297"/>
      <c r="BR26" s="174"/>
      <c r="BS26" s="174" t="s">
        <v>1985</v>
      </c>
      <c r="BT26" s="174" t="s">
        <v>1986</v>
      </c>
      <c r="BU26" s="174" t="s">
        <v>695</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1601</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3" t="s">
        <v>2004</v>
      </c>
      <c r="CW26" s="203" t="s">
        <v>1697</v>
      </c>
      <c r="CX26" s="139" t="s">
        <v>1179</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528</v>
      </c>
      <c r="DN26" s="204" t="s">
        <v>536</v>
      </c>
      <c r="DO26" s="204" t="s">
        <v>944</v>
      </c>
      <c r="DP26" s="204" t="s">
        <v>2014</v>
      </c>
      <c r="DQ26" s="204" t="s">
        <v>1543</v>
      </c>
      <c r="DR26" s="204" t="s">
        <v>2015</v>
      </c>
      <c r="DS26" s="204"/>
      <c r="DT26" s="204" t="s">
        <v>2016</v>
      </c>
      <c r="DU26" s="204" t="s">
        <v>2017</v>
      </c>
      <c r="DV26" s="204" t="s">
        <v>2018</v>
      </c>
      <c r="DW26" s="204" t="s">
        <v>2019</v>
      </c>
      <c r="DX26" s="204" t="s">
        <v>2020</v>
      </c>
      <c r="DY26" s="204" t="s">
        <v>585</v>
      </c>
      <c r="DZ26" s="204" t="s">
        <v>2021</v>
      </c>
      <c r="EA26" s="204" t="s">
        <v>2022</v>
      </c>
      <c r="EB26" s="204" t="s">
        <v>2023</v>
      </c>
      <c r="EC26" s="204" t="s">
        <v>1515</v>
      </c>
      <c r="ED26" s="141" t="s">
        <v>2024</v>
      </c>
    </row>
    <row r="27">
      <c r="A27" s="311" t="s">
        <v>2025</v>
      </c>
      <c r="B27" s="82" t="s">
        <v>2026</v>
      </c>
      <c r="C27" s="83" t="s">
        <v>1259</v>
      </c>
      <c r="D27" s="84" t="s">
        <v>1259</v>
      </c>
      <c r="E27" s="85" t="s">
        <v>544</v>
      </c>
      <c r="F27" s="86" t="s">
        <v>2027</v>
      </c>
      <c r="G27" s="82" t="s">
        <v>2028</v>
      </c>
      <c r="H27" s="312" t="s">
        <v>1606</v>
      </c>
      <c r="I27" s="313" t="s">
        <v>2029</v>
      </c>
      <c r="J27" s="313" t="s">
        <v>2030</v>
      </c>
      <c r="K27" s="313" t="s">
        <v>443</v>
      </c>
      <c r="L27" s="313" t="s">
        <v>383</v>
      </c>
      <c r="M27" s="314" t="s">
        <v>598</v>
      </c>
      <c r="N27" s="312" t="s">
        <v>2031</v>
      </c>
      <c r="O27" s="313" t="s">
        <v>2032</v>
      </c>
      <c r="P27" s="313" t="s">
        <v>109</v>
      </c>
      <c r="Q27" s="315" t="s">
        <v>2033</v>
      </c>
      <c r="R27" s="312" t="s">
        <v>2034</v>
      </c>
      <c r="S27" s="312" t="s">
        <v>769</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568</v>
      </c>
      <c r="AJ27" s="312" t="str">
        <f>HYPERLINK("https://youtu.be/ZXRdUyO-EWA","1:01.11")</f>
        <v>1:01.11</v>
      </c>
      <c r="AK27" s="316" t="s">
        <v>2043</v>
      </c>
      <c r="AL27" s="317"/>
      <c r="AM27" s="316" t="s">
        <v>2044</v>
      </c>
      <c r="AN27" s="313" t="s">
        <v>1828</v>
      </c>
      <c r="AO27" s="314" t="s">
        <v>2045</v>
      </c>
      <c r="AP27" s="313" t="s">
        <v>2046</v>
      </c>
      <c r="AQ27" s="314"/>
      <c r="AR27" s="314"/>
      <c r="AS27" s="313" t="s">
        <v>2047</v>
      </c>
      <c r="AT27" s="312" t="s">
        <v>2048</v>
      </c>
      <c r="AU27" s="313" t="s">
        <v>842</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790</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1825</v>
      </c>
      <c r="BW27" s="312" t="str">
        <f>HYPERLINK("https://youtu.be/n7zdK3H7Bag","22.27")</f>
        <v>22.27</v>
      </c>
      <c r="BX27" s="314"/>
      <c r="BY27" s="314" t="s">
        <v>2058</v>
      </c>
      <c r="BZ27" s="312" t="s">
        <v>1239</v>
      </c>
      <c r="CA27" s="313" t="s">
        <v>865</v>
      </c>
      <c r="CB27" s="313" t="s">
        <v>2059</v>
      </c>
      <c r="CC27" s="313" t="s">
        <v>2060</v>
      </c>
      <c r="CD27" s="312" t="s">
        <v>2061</v>
      </c>
      <c r="CE27" s="314" t="s">
        <v>2062</v>
      </c>
      <c r="CF27" s="319"/>
      <c r="CG27" s="313" t="s">
        <v>2063</v>
      </c>
      <c r="CH27" s="313" t="s">
        <v>1469</v>
      </c>
      <c r="CI27" s="313" t="s">
        <v>2064</v>
      </c>
      <c r="CJ27" s="312" t="s">
        <v>780</v>
      </c>
      <c r="CK27" s="320"/>
      <c r="CL27" s="312" t="s">
        <v>2065</v>
      </c>
      <c r="CM27" s="313" t="s">
        <v>2066</v>
      </c>
      <c r="CN27" s="312" t="s">
        <v>508</v>
      </c>
      <c r="CO27" s="313" t="s">
        <v>2067</v>
      </c>
      <c r="CP27" s="314"/>
      <c r="CQ27" s="314" t="s">
        <v>425</v>
      </c>
      <c r="CR27" s="314"/>
      <c r="CS27" s="314" t="s">
        <v>2068</v>
      </c>
      <c r="CT27" s="314"/>
      <c r="CU27" s="153"/>
      <c r="CV27" s="316" t="s">
        <v>2069</v>
      </c>
      <c r="CW27" s="312" t="str">
        <f>HYPERLINK("https://www.youtube.com/watch?v=wOcz6idXkPk","13.28")</f>
        <v>13.28</v>
      </c>
      <c r="CX27" s="313" t="s">
        <v>716</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528</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535</v>
      </c>
      <c r="DX27" s="314" t="s">
        <v>593</v>
      </c>
      <c r="DY27" s="314" t="s">
        <v>1107</v>
      </c>
      <c r="DZ27" s="312" t="s">
        <v>2082</v>
      </c>
      <c r="EA27" s="312" t="s">
        <v>2083</v>
      </c>
      <c r="EB27" s="314" t="s">
        <v>2084</v>
      </c>
      <c r="EC27" s="314" t="s">
        <v>2085</v>
      </c>
      <c r="ED27" s="312" t="str">
        <f>HYPERLINK("https://youtu.be/Oh1CRK6fpa4","6.59")</f>
        <v>6.59</v>
      </c>
    </row>
    <row r="28">
      <c r="A28" s="165" t="s">
        <v>2086</v>
      </c>
      <c r="B28" s="104" t="s">
        <v>2087</v>
      </c>
      <c r="C28" s="105" t="s">
        <v>544</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1822</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2100</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2101</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647</v>
      </c>
      <c r="E29" s="85" t="s">
        <v>1259</v>
      </c>
      <c r="F29" s="86" t="s">
        <v>2106</v>
      </c>
      <c r="G29" s="82" t="s">
        <v>2107</v>
      </c>
      <c r="H29" s="326" t="s">
        <v>1809</v>
      </c>
      <c r="I29" s="313" t="s">
        <v>2108</v>
      </c>
      <c r="J29" s="313" t="s">
        <v>2109</v>
      </c>
      <c r="K29" s="313" t="s">
        <v>2110</v>
      </c>
      <c r="L29" s="313" t="s">
        <v>1207</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1819</v>
      </c>
      <c r="AA29" s="326" t="s">
        <v>2116</v>
      </c>
      <c r="AB29" s="313" t="s">
        <v>2117</v>
      </c>
      <c r="AC29" s="313" t="s">
        <v>2118</v>
      </c>
      <c r="AD29" s="313" t="s">
        <v>2119</v>
      </c>
      <c r="AE29" s="316" t="s">
        <v>2120</v>
      </c>
      <c r="AF29" s="313" t="s">
        <v>963</v>
      </c>
      <c r="AG29" s="313" t="s">
        <v>1279</v>
      </c>
      <c r="AH29" s="222" t="s">
        <v>2118</v>
      </c>
      <c r="AI29" s="314"/>
      <c r="AJ29" s="314"/>
      <c r="AK29" s="314"/>
      <c r="AL29" s="158"/>
      <c r="AM29" s="313" t="s">
        <v>1225</v>
      </c>
      <c r="AN29" s="313" t="s">
        <v>916</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847</v>
      </c>
      <c r="CW29" s="313" t="s">
        <v>2143</v>
      </c>
      <c r="CX29" s="313" t="s">
        <v>188</v>
      </c>
      <c r="CY29" s="313" t="s">
        <v>2144</v>
      </c>
      <c r="CZ29" s="313" t="s">
        <v>2145</v>
      </c>
      <c r="DA29" s="326" t="s">
        <v>2146</v>
      </c>
      <c r="DB29" s="155" t="s">
        <v>192</v>
      </c>
      <c r="DC29" s="222" t="s">
        <v>305</v>
      </c>
      <c r="DD29" s="314"/>
      <c r="DE29" s="314"/>
      <c r="DF29" s="314"/>
      <c r="DG29" s="314"/>
      <c r="DH29" s="327"/>
      <c r="DI29" s="326" t="s">
        <v>625</v>
      </c>
      <c r="DJ29" s="314"/>
      <c r="DK29" s="314"/>
      <c r="DL29" s="314"/>
      <c r="DM29" s="313" t="s">
        <v>528</v>
      </c>
      <c r="DN29" s="313" t="s">
        <v>2147</v>
      </c>
      <c r="DO29" s="313" t="s">
        <v>630</v>
      </c>
      <c r="DP29" s="313" t="s">
        <v>2148</v>
      </c>
      <c r="DQ29" s="314"/>
      <c r="DR29" s="326" t="s">
        <v>2149</v>
      </c>
      <c r="DS29" s="313" t="s">
        <v>2150</v>
      </c>
      <c r="DT29" s="314"/>
      <c r="DU29" s="313" t="s">
        <v>1085</v>
      </c>
      <c r="DV29" s="314"/>
      <c r="DW29" s="313" t="s">
        <v>638</v>
      </c>
      <c r="DX29" s="314"/>
      <c r="DY29" s="314"/>
      <c r="DZ29" s="314"/>
      <c r="EA29" s="314"/>
      <c r="EB29" s="314"/>
      <c r="EC29" s="314"/>
      <c r="ED29" s="155" t="s">
        <v>2151</v>
      </c>
    </row>
    <row r="30">
      <c r="A30" s="329" t="s">
        <v>2152</v>
      </c>
      <c r="B30" s="104" t="s">
        <v>2153</v>
      </c>
      <c r="C30" s="105" t="s">
        <v>544</v>
      </c>
      <c r="D30" s="106" t="s">
        <v>544</v>
      </c>
      <c r="E30" s="107" t="s">
        <v>647</v>
      </c>
      <c r="F30" s="108" t="s">
        <v>2154</v>
      </c>
      <c r="G30" s="104" t="s">
        <v>2155</v>
      </c>
      <c r="H30" s="112" t="s">
        <v>2156</v>
      </c>
      <c r="I30" s="112" t="s">
        <v>2157</v>
      </c>
      <c r="J30" s="112" t="s">
        <v>2158</v>
      </c>
      <c r="K30" s="112" t="s">
        <v>900</v>
      </c>
      <c r="L30" s="112" t="s">
        <v>2159</v>
      </c>
      <c r="M30" s="112" t="s">
        <v>2160</v>
      </c>
      <c r="N30" s="112" t="s">
        <v>2161</v>
      </c>
      <c r="O30" s="112" t="s">
        <v>2162</v>
      </c>
      <c r="P30" s="112" t="s">
        <v>654</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680</v>
      </c>
      <c r="BD30" s="126" t="s">
        <v>1313</v>
      </c>
      <c r="BE30" s="127" t="s">
        <v>640</v>
      </c>
      <c r="BF30" s="126" t="s">
        <v>1376</v>
      </c>
      <c r="BG30" s="172"/>
      <c r="BH30" s="172"/>
      <c r="BI30" s="126" t="s">
        <v>2169</v>
      </c>
      <c r="BJ30" s="126" t="s">
        <v>2170</v>
      </c>
      <c r="BK30" s="173"/>
      <c r="BL30" s="126" t="s">
        <v>2171</v>
      </c>
      <c r="BM30" s="172"/>
      <c r="BN30" s="172"/>
      <c r="BO30" s="172"/>
      <c r="BP30" s="172"/>
      <c r="BQ30" s="247"/>
      <c r="BR30" s="176" t="s">
        <v>2172</v>
      </c>
      <c r="BS30" s="261" t="s">
        <v>2173</v>
      </c>
      <c r="BT30" s="176" t="s">
        <v>2174</v>
      </c>
      <c r="BU30" s="129" t="s">
        <v>938</v>
      </c>
      <c r="BV30" s="129" t="s">
        <v>2175</v>
      </c>
      <c r="BW30" s="129" t="s">
        <v>1097</v>
      </c>
      <c r="BX30" s="129" t="s">
        <v>2176</v>
      </c>
      <c r="BY30" s="176" t="s">
        <v>2177</v>
      </c>
      <c r="BZ30" s="249"/>
      <c r="CA30" s="129" t="s">
        <v>1594</v>
      </c>
      <c r="CB30" s="249"/>
      <c r="CC30" s="249"/>
      <c r="CD30" s="249"/>
      <c r="CE30" s="249"/>
      <c r="CF30" s="251"/>
      <c r="CG30" s="134" t="s">
        <v>502</v>
      </c>
      <c r="CH30" s="134" t="s">
        <v>2178</v>
      </c>
      <c r="CI30" s="134" t="s">
        <v>2179</v>
      </c>
      <c r="CJ30" s="134" t="s">
        <v>2180</v>
      </c>
      <c r="CK30" s="134" t="s">
        <v>175</v>
      </c>
      <c r="CL30" s="134" t="s">
        <v>2181</v>
      </c>
      <c r="CM30" s="134" t="s">
        <v>2182</v>
      </c>
      <c r="CN30" s="134" t="s">
        <v>874</v>
      </c>
      <c r="CO30" s="134" t="s">
        <v>2183</v>
      </c>
      <c r="CP30" s="252"/>
      <c r="CQ30" s="252"/>
      <c r="CR30" s="252"/>
      <c r="CS30" s="252"/>
      <c r="CT30" s="252"/>
      <c r="CU30" s="92"/>
      <c r="CV30" s="139" t="s">
        <v>408</v>
      </c>
      <c r="CW30" s="203" t="s">
        <v>2184</v>
      </c>
      <c r="CX30" s="139" t="s">
        <v>2185</v>
      </c>
      <c r="CY30" s="139" t="s">
        <v>1264</v>
      </c>
      <c r="CZ30" s="139" t="s">
        <v>1182</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929</v>
      </c>
      <c r="I31" s="161" t="s">
        <v>2195</v>
      </c>
      <c r="J31" s="88" t="s">
        <v>2196</v>
      </c>
      <c r="K31" s="88" t="s">
        <v>1557</v>
      </c>
      <c r="L31" s="98" t="s">
        <v>2197</v>
      </c>
      <c r="M31" s="88" t="s">
        <v>106</v>
      </c>
      <c r="N31" s="88" t="s">
        <v>2198</v>
      </c>
      <c r="O31" s="88" t="s">
        <v>2199</v>
      </c>
      <c r="P31" s="98" t="s">
        <v>109</v>
      </c>
      <c r="Q31" s="88" t="s">
        <v>2200</v>
      </c>
      <c r="R31" s="258" t="s">
        <v>2201</v>
      </c>
      <c r="S31" s="94" t="s">
        <v>2202</v>
      </c>
      <c r="T31" s="94" t="s">
        <v>2203</v>
      </c>
      <c r="U31" s="94" t="s">
        <v>1221</v>
      </c>
      <c r="V31" s="88" t="s">
        <v>2204</v>
      </c>
      <c r="W31" s="113"/>
      <c r="X31" s="88" t="s">
        <v>177</v>
      </c>
      <c r="Y31" s="102"/>
      <c r="Z31" s="88" t="s">
        <v>2205</v>
      </c>
      <c r="AA31" s="88" t="s">
        <v>2206</v>
      </c>
      <c r="AB31" s="266" t="s">
        <v>2207</v>
      </c>
      <c r="AC31" s="161" t="s">
        <v>1581</v>
      </c>
      <c r="AD31" s="88" t="s">
        <v>2208</v>
      </c>
      <c r="AE31" s="94" t="s">
        <v>2209</v>
      </c>
      <c r="AF31" s="88" t="s">
        <v>2210</v>
      </c>
      <c r="AG31" s="88" t="s">
        <v>566</v>
      </c>
      <c r="AH31" s="88" t="s">
        <v>2211</v>
      </c>
      <c r="AI31" s="94" t="s">
        <v>755</v>
      </c>
      <c r="AJ31" s="88" t="s">
        <v>2212</v>
      </c>
      <c r="AK31" s="88" t="s">
        <v>2213</v>
      </c>
      <c r="AL31" s="97"/>
      <c r="AM31" s="98" t="s">
        <v>2214</v>
      </c>
      <c r="AN31" s="94" t="s">
        <v>1749</v>
      </c>
      <c r="AO31" s="161" t="s">
        <v>2215</v>
      </c>
      <c r="AP31" s="88" t="s">
        <v>133</v>
      </c>
      <c r="AQ31" s="88" t="s">
        <v>2216</v>
      </c>
      <c r="AR31" s="88" t="s">
        <v>1624</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1468</v>
      </c>
      <c r="BG31" s="94" t="s">
        <v>2226</v>
      </c>
      <c r="BH31" s="88" t="s">
        <v>1679</v>
      </c>
      <c r="BI31" s="88" t="s">
        <v>1996</v>
      </c>
      <c r="BJ31" s="88" t="s">
        <v>2227</v>
      </c>
      <c r="BK31" s="94"/>
      <c r="BL31" s="88" t="s">
        <v>2054</v>
      </c>
      <c r="BM31" s="94" t="s">
        <v>2228</v>
      </c>
      <c r="BN31" s="88" t="s">
        <v>932</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814</v>
      </c>
      <c r="CO31" s="88" t="s">
        <v>2245</v>
      </c>
      <c r="CP31" s="94" t="s">
        <v>2246</v>
      </c>
      <c r="CQ31" s="88" t="s">
        <v>2247</v>
      </c>
      <c r="CR31" s="94" t="s">
        <v>2248</v>
      </c>
      <c r="CS31" s="94" t="s">
        <v>2249</v>
      </c>
      <c r="CT31" s="88" t="s">
        <v>2250</v>
      </c>
      <c r="CU31" s="333"/>
      <c r="CV31" s="88" t="s">
        <v>358</v>
      </c>
      <c r="CW31" s="94" t="s">
        <v>2251</v>
      </c>
      <c r="CX31" s="88" t="s">
        <v>508</v>
      </c>
      <c r="CY31" s="88" t="s">
        <v>851</v>
      </c>
      <c r="CZ31" s="161" t="s">
        <v>2252</v>
      </c>
      <c r="DA31" s="88" t="s">
        <v>765</v>
      </c>
      <c r="DB31" s="161" t="s">
        <v>2253</v>
      </c>
      <c r="DC31" s="161" t="s">
        <v>2254</v>
      </c>
      <c r="DD31" s="88" t="s">
        <v>2255</v>
      </c>
      <c r="DE31" s="94" t="s">
        <v>2256</v>
      </c>
      <c r="DF31" s="88" t="s">
        <v>2158</v>
      </c>
      <c r="DG31" s="88" t="s">
        <v>407</v>
      </c>
      <c r="DH31" s="88"/>
      <c r="DI31" s="88" t="s">
        <v>625</v>
      </c>
      <c r="DJ31" s="94" t="s">
        <v>2257</v>
      </c>
      <c r="DK31" s="94" t="s">
        <v>2258</v>
      </c>
      <c r="DL31" s="88" t="s">
        <v>2259</v>
      </c>
      <c r="DM31" s="88" t="s">
        <v>528</v>
      </c>
      <c r="DN31" s="88" t="s">
        <v>859</v>
      </c>
      <c r="DO31" s="94" t="s">
        <v>2260</v>
      </c>
      <c r="DP31" s="94" t="s">
        <v>1543</v>
      </c>
      <c r="DQ31" s="94" t="s">
        <v>728</v>
      </c>
      <c r="DR31" s="88" t="s">
        <v>2091</v>
      </c>
      <c r="DS31" s="88" t="s">
        <v>2261</v>
      </c>
      <c r="DT31" s="93" t="s">
        <v>187</v>
      </c>
      <c r="DU31" s="94" t="s">
        <v>2262</v>
      </c>
      <c r="DV31" s="88" t="s">
        <v>2263</v>
      </c>
      <c r="DW31" s="88" t="s">
        <v>1939</v>
      </c>
      <c r="DX31" s="94" t="s">
        <v>1313</v>
      </c>
      <c r="DY31" s="94" t="s">
        <v>2264</v>
      </c>
      <c r="DZ31" s="88" t="s">
        <v>1363</v>
      </c>
      <c r="EA31" s="88" t="s">
        <v>2265</v>
      </c>
      <c r="EB31" s="94" t="s">
        <v>1158</v>
      </c>
      <c r="EC31" s="94" t="s">
        <v>139</v>
      </c>
      <c r="ED31" s="258" t="s">
        <v>2266</v>
      </c>
    </row>
    <row r="32">
      <c r="A32" s="334" t="s">
        <v>2267</v>
      </c>
      <c r="B32" s="104" t="s">
        <v>2268</v>
      </c>
      <c r="C32" s="105" t="s">
        <v>1259</v>
      </c>
      <c r="D32" s="106" t="s">
        <v>437</v>
      </c>
      <c r="E32" s="107" t="s">
        <v>1259</v>
      </c>
      <c r="F32" s="108" t="s">
        <v>1053</v>
      </c>
      <c r="G32" s="104" t="s">
        <v>2269</v>
      </c>
      <c r="H32" s="166" t="s">
        <v>452</v>
      </c>
      <c r="I32" s="166" t="s">
        <v>2270</v>
      </c>
      <c r="J32" s="166" t="s">
        <v>2271</v>
      </c>
      <c r="K32" s="166" t="s">
        <v>549</v>
      </c>
      <c r="L32" s="166" t="s">
        <v>475</v>
      </c>
      <c r="M32" s="166" t="s">
        <v>2272</v>
      </c>
      <c r="N32" s="166" t="s">
        <v>2273</v>
      </c>
      <c r="O32" s="166" t="s">
        <v>2274</v>
      </c>
      <c r="P32" s="166" t="s">
        <v>554</v>
      </c>
      <c r="Q32" s="166" t="s">
        <v>2275</v>
      </c>
      <c r="R32" s="242"/>
      <c r="S32" s="166" t="s">
        <v>2276</v>
      </c>
      <c r="T32" s="166" t="s">
        <v>2277</v>
      </c>
      <c r="U32" s="166" t="s">
        <v>225</v>
      </c>
      <c r="V32" s="166" t="s">
        <v>2278</v>
      </c>
      <c r="W32" s="92"/>
      <c r="X32" s="198" t="s">
        <v>2279</v>
      </c>
      <c r="Y32" s="198"/>
      <c r="Z32" s="198" t="s">
        <v>2280</v>
      </c>
      <c r="AA32" s="335" t="s">
        <v>2281</v>
      </c>
      <c r="AB32" s="198" t="s">
        <v>286</v>
      </c>
      <c r="AC32" s="198" t="s">
        <v>1624</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1028</v>
      </c>
      <c r="BC32" s="173" t="s">
        <v>830</v>
      </c>
      <c r="BD32" s="173" t="s">
        <v>1450</v>
      </c>
      <c r="BE32" s="173" t="s">
        <v>2301</v>
      </c>
      <c r="BF32" s="173" t="s">
        <v>2302</v>
      </c>
      <c r="BG32" s="173" t="s">
        <v>2303</v>
      </c>
      <c r="BH32" s="173" t="s">
        <v>2304</v>
      </c>
      <c r="BI32" s="126" t="s">
        <v>1578</v>
      </c>
      <c r="BJ32" s="172"/>
      <c r="BK32" s="126" t="s">
        <v>2305</v>
      </c>
      <c r="BL32" s="173" t="s">
        <v>2054</v>
      </c>
      <c r="BM32" s="172"/>
      <c r="BN32" s="173" t="s">
        <v>2306</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2094</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1834</v>
      </c>
      <c r="P33" s="88" t="s">
        <v>109</v>
      </c>
      <c r="Q33" s="88" t="s">
        <v>2353</v>
      </c>
      <c r="R33" s="99"/>
      <c r="S33" s="88" t="s">
        <v>2114</v>
      </c>
      <c r="T33" s="99"/>
      <c r="U33" s="99"/>
      <c r="V33" s="99"/>
      <c r="W33" s="92"/>
      <c r="X33" s="88" t="s">
        <v>2354</v>
      </c>
      <c r="Y33" s="93"/>
      <c r="Z33" s="88" t="s">
        <v>561</v>
      </c>
      <c r="AA33" s="88" t="s">
        <v>2355</v>
      </c>
      <c r="AB33" s="88" t="s">
        <v>563</v>
      </c>
      <c r="AC33" s="88" t="s">
        <v>1971</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1837</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1958</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1899</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1834</v>
      </c>
      <c r="P34" s="112" t="s">
        <v>654</v>
      </c>
      <c r="Q34" s="242"/>
      <c r="R34" s="242"/>
      <c r="S34" s="112" t="s">
        <v>1206</v>
      </c>
      <c r="T34" s="112" t="s">
        <v>2011</v>
      </c>
      <c r="U34" s="166" t="s">
        <v>2388</v>
      </c>
      <c r="V34" s="242"/>
      <c r="W34" s="92"/>
      <c r="X34" s="116" t="s">
        <v>2389</v>
      </c>
      <c r="Y34" s="270"/>
      <c r="Z34" s="116" t="s">
        <v>2390</v>
      </c>
      <c r="AA34" s="116" t="s">
        <v>2391</v>
      </c>
      <c r="AB34" s="198" t="s">
        <v>2392</v>
      </c>
      <c r="AC34" s="116" t="s">
        <v>1971</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1986</v>
      </c>
      <c r="BF34" s="173" t="s">
        <v>244</v>
      </c>
      <c r="BG34" s="173" t="s">
        <v>1325</v>
      </c>
      <c r="BH34" s="172"/>
      <c r="BI34" s="173" t="s">
        <v>2404</v>
      </c>
      <c r="BJ34" s="173" t="s">
        <v>2405</v>
      </c>
      <c r="BK34" s="173"/>
      <c r="BL34" s="173" t="s">
        <v>2406</v>
      </c>
      <c r="BM34" s="173" t="s">
        <v>2407</v>
      </c>
      <c r="BN34" s="126" t="s">
        <v>2408</v>
      </c>
      <c r="BO34" s="173" t="s">
        <v>2409</v>
      </c>
      <c r="BP34" s="173" t="s">
        <v>2056</v>
      </c>
      <c r="BQ34" s="247"/>
      <c r="BR34" s="174" t="s">
        <v>2410</v>
      </c>
      <c r="BS34" s="174" t="s">
        <v>2411</v>
      </c>
      <c r="BT34" s="129" t="s">
        <v>2132</v>
      </c>
      <c r="BU34" s="129" t="s">
        <v>211</v>
      </c>
      <c r="BV34" s="129" t="s">
        <v>2412</v>
      </c>
      <c r="BW34" s="129" t="s">
        <v>166</v>
      </c>
      <c r="BX34" s="174" t="s">
        <v>2413</v>
      </c>
      <c r="BY34" s="174" t="s">
        <v>2414</v>
      </c>
      <c r="BZ34" s="174" t="s">
        <v>2415</v>
      </c>
      <c r="CA34" s="129" t="s">
        <v>1795</v>
      </c>
      <c r="CB34" s="174" t="s">
        <v>2416</v>
      </c>
      <c r="CC34" s="174" t="s">
        <v>2417</v>
      </c>
      <c r="CD34" s="129" t="s">
        <v>1446</v>
      </c>
      <c r="CE34" s="249"/>
      <c r="CF34" s="251"/>
      <c r="CG34" s="177" t="s">
        <v>1822</v>
      </c>
      <c r="CH34" s="177" t="s">
        <v>2322</v>
      </c>
      <c r="CI34" s="134" t="s">
        <v>1244</v>
      </c>
      <c r="CJ34" s="134" t="s">
        <v>2418</v>
      </c>
      <c r="CK34" s="262"/>
      <c r="CL34" s="262"/>
      <c r="CM34" s="134" t="s">
        <v>137</v>
      </c>
      <c r="CN34" s="134" t="s">
        <v>2419</v>
      </c>
      <c r="CO34" s="134" t="s">
        <v>2245</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2053</v>
      </c>
      <c r="EB34" s="144" t="s">
        <v>2432</v>
      </c>
      <c r="EC34" s="144" t="s">
        <v>2433</v>
      </c>
      <c r="ED34" s="141" t="s">
        <v>1720</v>
      </c>
    </row>
    <row r="35">
      <c r="A35" s="339" t="s">
        <v>2434</v>
      </c>
      <c r="B35" s="82" t="s">
        <v>2435</v>
      </c>
      <c r="C35" s="83" t="s">
        <v>1259</v>
      </c>
      <c r="D35" s="84" t="s">
        <v>1259</v>
      </c>
      <c r="E35" s="85" t="s">
        <v>1259</v>
      </c>
      <c r="F35" s="86" t="s">
        <v>1808</v>
      </c>
      <c r="G35" s="82" t="s">
        <v>2348</v>
      </c>
      <c r="H35" s="88" t="s">
        <v>2436</v>
      </c>
      <c r="I35" s="88" t="s">
        <v>2437</v>
      </c>
      <c r="J35" s="88" t="s">
        <v>1811</v>
      </c>
      <c r="K35" s="88" t="s">
        <v>443</v>
      </c>
      <c r="L35" s="88" t="s">
        <v>2438</v>
      </c>
      <c r="M35" s="94" t="s">
        <v>2439</v>
      </c>
      <c r="N35" s="88" t="s">
        <v>2440</v>
      </c>
      <c r="O35" s="88" t="s">
        <v>447</v>
      </c>
      <c r="P35" s="88" t="s">
        <v>554</v>
      </c>
      <c r="Q35" s="94"/>
      <c r="R35" s="99"/>
      <c r="S35" s="94" t="s">
        <v>833</v>
      </c>
      <c r="T35" s="99"/>
      <c r="U35" s="94" t="s">
        <v>2441</v>
      </c>
      <c r="V35" s="99"/>
      <c r="W35" s="92"/>
      <c r="X35" s="88" t="s">
        <v>2279</v>
      </c>
      <c r="Y35" s="95"/>
      <c r="Z35" s="98" t="s">
        <v>1140</v>
      </c>
      <c r="AA35" s="88" t="s">
        <v>562</v>
      </c>
      <c r="AB35" s="88" t="s">
        <v>120</v>
      </c>
      <c r="AC35" s="88" t="s">
        <v>1971</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1873</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2233</v>
      </c>
      <c r="BV35" s="88" t="s">
        <v>2451</v>
      </c>
      <c r="BW35" s="88" t="s">
        <v>2452</v>
      </c>
      <c r="BX35" s="94" t="s">
        <v>2453</v>
      </c>
      <c r="BY35" s="94" t="s">
        <v>2454</v>
      </c>
      <c r="BZ35" s="88" t="s">
        <v>2455</v>
      </c>
      <c r="CA35" s="88" t="s">
        <v>787</v>
      </c>
      <c r="CB35" s="99"/>
      <c r="CC35" s="99"/>
      <c r="CD35" s="99"/>
      <c r="CE35" s="99"/>
      <c r="CF35" s="237"/>
      <c r="CG35" s="88" t="s">
        <v>564</v>
      </c>
      <c r="CH35" s="88" t="s">
        <v>1919</v>
      </c>
      <c r="CI35" s="88" t="s">
        <v>2456</v>
      </c>
      <c r="CJ35" s="94" t="s">
        <v>2457</v>
      </c>
      <c r="CK35" s="94"/>
      <c r="CL35" s="94" t="s">
        <v>1323</v>
      </c>
      <c r="CM35" s="88" t="s">
        <v>919</v>
      </c>
      <c r="CN35" s="88" t="s">
        <v>2458</v>
      </c>
      <c r="CO35" s="88" t="s">
        <v>1532</v>
      </c>
      <c r="CP35" s="99"/>
      <c r="CQ35" s="99"/>
      <c r="CR35" s="99"/>
      <c r="CS35" s="99"/>
      <c r="CT35" s="99"/>
      <c r="CU35" s="92"/>
      <c r="CV35" s="88" t="s">
        <v>1649</v>
      </c>
      <c r="CW35" s="88" t="s">
        <v>2459</v>
      </c>
      <c r="CX35" s="88" t="s">
        <v>878</v>
      </c>
      <c r="CY35" s="88" t="s">
        <v>567</v>
      </c>
      <c r="CZ35" s="88" t="s">
        <v>1182</v>
      </c>
      <c r="DA35" s="88" t="s">
        <v>2460</v>
      </c>
      <c r="DB35" s="88" t="s">
        <v>2461</v>
      </c>
      <c r="DC35" s="88" t="s">
        <v>2462</v>
      </c>
      <c r="DD35" s="99"/>
      <c r="DE35" s="99"/>
      <c r="DF35" s="99"/>
      <c r="DG35" s="99"/>
      <c r="DH35" s="237"/>
      <c r="DI35" s="88" t="s">
        <v>1333</v>
      </c>
      <c r="DJ35" s="99"/>
      <c r="DK35" s="216"/>
      <c r="DL35" s="99"/>
      <c r="DM35" s="99"/>
      <c r="DN35" s="99"/>
      <c r="DO35" s="99"/>
      <c r="DP35" s="99"/>
      <c r="DQ35" s="99"/>
      <c r="DR35" s="88" t="s">
        <v>813</v>
      </c>
      <c r="DS35" s="88" t="s">
        <v>2463</v>
      </c>
      <c r="DT35" s="99"/>
      <c r="DU35" s="99"/>
      <c r="DV35" s="99"/>
      <c r="DW35" s="88" t="s">
        <v>322</v>
      </c>
      <c r="DX35" s="99"/>
      <c r="DY35" s="99"/>
      <c r="DZ35" s="99"/>
      <c r="EA35" s="99"/>
      <c r="EB35" s="99"/>
      <c r="EC35" s="99"/>
      <c r="ED35" s="258"/>
    </row>
    <row r="36">
      <c r="A36" s="340" t="s">
        <v>2464</v>
      </c>
      <c r="B36" s="104" t="s">
        <v>2465</v>
      </c>
      <c r="C36" s="105" t="s">
        <v>647</v>
      </c>
      <c r="D36" s="106" t="s">
        <v>1259</v>
      </c>
      <c r="E36" s="107" t="s">
        <v>332</v>
      </c>
      <c r="F36" s="108" t="s">
        <v>2466</v>
      </c>
      <c r="G36" s="104" t="s">
        <v>2466</v>
      </c>
      <c r="H36" s="341"/>
      <c r="I36" s="342" t="s">
        <v>2467</v>
      </c>
      <c r="J36" s="342" t="s">
        <v>2468</v>
      </c>
      <c r="K36" s="342" t="s">
        <v>2469</v>
      </c>
      <c r="L36" s="342" t="s">
        <v>2470</v>
      </c>
      <c r="M36" s="342" t="s">
        <v>2160</v>
      </c>
      <c r="N36" s="342" t="s">
        <v>2471</v>
      </c>
      <c r="O36" s="342" t="s">
        <v>2472</v>
      </c>
      <c r="P36" s="342" t="s">
        <v>342</v>
      </c>
      <c r="Q36" s="341"/>
      <c r="R36" s="341"/>
      <c r="S36" s="341"/>
      <c r="T36" s="341"/>
      <c r="U36" s="341"/>
      <c r="V36" s="341"/>
      <c r="W36" s="343"/>
      <c r="X36" s="344" t="s">
        <v>2473</v>
      </c>
      <c r="Y36" s="344" t="s">
        <v>2474</v>
      </c>
      <c r="Z36" s="345" t="s">
        <v>1140</v>
      </c>
      <c r="AA36" s="346" t="s">
        <v>1648</v>
      </c>
      <c r="AB36" s="345" t="s">
        <v>358</v>
      </c>
      <c r="AC36" s="345" t="s">
        <v>1122</v>
      </c>
      <c r="AD36" s="344" t="s">
        <v>2131</v>
      </c>
      <c r="AE36" s="347"/>
      <c r="AF36" s="345" t="s">
        <v>2475</v>
      </c>
      <c r="AG36" s="345" t="s">
        <v>125</v>
      </c>
      <c r="AH36" s="347"/>
      <c r="AI36" s="347"/>
      <c r="AJ36" s="347"/>
      <c r="AK36" s="347"/>
      <c r="AL36" s="348"/>
      <c r="AM36" s="349"/>
      <c r="AN36" s="349"/>
      <c r="AO36" s="349"/>
      <c r="AP36" s="349"/>
      <c r="AQ36" s="349"/>
      <c r="AR36" s="349"/>
      <c r="AS36" s="349"/>
      <c r="AT36" s="349"/>
      <c r="AU36" s="350" t="s">
        <v>2476</v>
      </c>
      <c r="AV36" s="350" t="s">
        <v>2477</v>
      </c>
      <c r="AW36" s="349"/>
      <c r="AX36" s="349"/>
      <c r="AY36" s="349"/>
      <c r="AZ36" s="349"/>
      <c r="BA36" s="349"/>
      <c r="BB36" s="351" t="s">
        <v>2478</v>
      </c>
      <c r="BC36" s="352" t="s">
        <v>2479</v>
      </c>
      <c r="BD36" s="352" t="s">
        <v>2480</v>
      </c>
      <c r="BE36" s="352" t="s">
        <v>2481</v>
      </c>
      <c r="BF36" s="353" t="s">
        <v>2482</v>
      </c>
      <c r="BG36" s="354"/>
      <c r="BH36" s="354"/>
      <c r="BI36" s="352" t="s">
        <v>1616</v>
      </c>
      <c r="BJ36" s="354"/>
      <c r="BK36" s="352" t="s">
        <v>2483</v>
      </c>
      <c r="BL36" s="352" t="s">
        <v>2484</v>
      </c>
      <c r="BM36" s="354"/>
      <c r="BN36" s="354"/>
      <c r="BO36" s="354"/>
      <c r="BP36" s="354"/>
      <c r="BQ36" s="355"/>
      <c r="BR36" s="356" t="s">
        <v>1301</v>
      </c>
      <c r="BS36" s="356" t="s">
        <v>1260</v>
      </c>
      <c r="BT36" s="356" t="s">
        <v>2485</v>
      </c>
      <c r="BU36" s="356" t="s">
        <v>2317</v>
      </c>
      <c r="BV36" s="356" t="s">
        <v>595</v>
      </c>
      <c r="BW36" s="356" t="s">
        <v>2486</v>
      </c>
      <c r="BX36" s="356" t="s">
        <v>2487</v>
      </c>
      <c r="BY36" s="357"/>
      <c r="BZ36" s="356" t="s">
        <v>2488</v>
      </c>
      <c r="CA36" s="356" t="s">
        <v>2489</v>
      </c>
      <c r="CB36" s="357"/>
      <c r="CC36" s="357"/>
      <c r="CD36" s="357"/>
      <c r="CE36" s="357"/>
      <c r="CF36" s="358"/>
      <c r="CG36" s="359" t="s">
        <v>2490</v>
      </c>
      <c r="CH36" s="359" t="s">
        <v>2491</v>
      </c>
      <c r="CI36" s="359" t="s">
        <v>2492</v>
      </c>
      <c r="CJ36" s="359" t="s">
        <v>2493</v>
      </c>
      <c r="CK36" s="360" t="s">
        <v>2494</v>
      </c>
      <c r="CL36" s="361"/>
      <c r="CM36" s="359" t="s">
        <v>1260</v>
      </c>
      <c r="CN36" s="359" t="s">
        <v>1661</v>
      </c>
      <c r="CO36" s="359" t="s">
        <v>1923</v>
      </c>
      <c r="CP36" s="361"/>
      <c r="CQ36" s="361"/>
      <c r="CR36" s="361"/>
      <c r="CS36" s="361"/>
      <c r="CT36" s="361"/>
      <c r="CU36" s="348"/>
      <c r="CV36" s="362" t="s">
        <v>2495</v>
      </c>
      <c r="CW36" s="363"/>
      <c r="CX36" s="362" t="s">
        <v>2496</v>
      </c>
      <c r="CY36" s="362" t="s">
        <v>563</v>
      </c>
      <c r="CZ36" s="364" t="s">
        <v>2497</v>
      </c>
      <c r="DA36" s="362" t="s">
        <v>2498</v>
      </c>
      <c r="DB36" s="362" t="s">
        <v>719</v>
      </c>
      <c r="DC36" s="362" t="s">
        <v>2499</v>
      </c>
      <c r="DD36" s="363"/>
      <c r="DE36" s="363"/>
      <c r="DF36" s="363"/>
      <c r="DG36" s="363"/>
      <c r="DH36" s="365"/>
      <c r="DI36" s="366" t="s">
        <v>2500</v>
      </c>
      <c r="DJ36" s="367"/>
      <c r="DK36" s="367"/>
      <c r="DL36" s="367"/>
      <c r="DM36" s="367"/>
      <c r="DN36" s="367"/>
      <c r="DO36" s="367"/>
      <c r="DP36" s="367"/>
      <c r="DQ36" s="367"/>
      <c r="DR36" s="368" t="s">
        <v>2501</v>
      </c>
      <c r="DS36" s="366" t="s">
        <v>2502</v>
      </c>
      <c r="DT36" s="367"/>
      <c r="DU36" s="367"/>
      <c r="DV36" s="367"/>
      <c r="DW36" s="367"/>
      <c r="DX36" s="367"/>
      <c r="DY36" s="367"/>
      <c r="DZ36" s="367"/>
      <c r="EA36" s="367"/>
      <c r="EB36" s="367"/>
      <c r="EC36" s="367"/>
      <c r="ED36" s="367"/>
    </row>
    <row r="37">
      <c r="A37" s="81" t="s">
        <v>2503</v>
      </c>
      <c r="B37" s="82" t="s">
        <v>2504</v>
      </c>
      <c r="C37" s="83" t="s">
        <v>1259</v>
      </c>
      <c r="D37" s="84" t="s">
        <v>1259</v>
      </c>
      <c r="E37" s="85" t="s">
        <v>1259</v>
      </c>
      <c r="F37" s="86" t="s">
        <v>2348</v>
      </c>
      <c r="G37" s="82" t="s">
        <v>1723</v>
      </c>
      <c r="H37" s="88" t="s">
        <v>2505</v>
      </c>
      <c r="I37" s="93" t="s">
        <v>2506</v>
      </c>
      <c r="J37" s="88" t="s">
        <v>2507</v>
      </c>
      <c r="K37" s="88" t="s">
        <v>1951</v>
      </c>
      <c r="L37" s="88" t="s">
        <v>2303</v>
      </c>
      <c r="M37" s="88" t="s">
        <v>2508</v>
      </c>
      <c r="N37" s="88" t="s">
        <v>2509</v>
      </c>
      <c r="O37" s="98" t="s">
        <v>2162</v>
      </c>
      <c r="P37" s="161" t="s">
        <v>554</v>
      </c>
      <c r="Q37" s="272" t="s">
        <v>2510</v>
      </c>
      <c r="R37" s="88" t="s">
        <v>2511</v>
      </c>
      <c r="S37" s="272" t="s">
        <v>1062</v>
      </c>
      <c r="T37" s="88" t="s">
        <v>2512</v>
      </c>
      <c r="U37" s="98" t="s">
        <v>2513</v>
      </c>
      <c r="V37" s="93" t="s">
        <v>2514</v>
      </c>
      <c r="W37" s="226"/>
      <c r="X37" s="93" t="s">
        <v>1999</v>
      </c>
      <c r="Y37" s="95"/>
      <c r="Z37" s="98" t="s">
        <v>1566</v>
      </c>
      <c r="AA37" s="161" t="s">
        <v>2515</v>
      </c>
      <c r="AB37" s="88" t="s">
        <v>1754</v>
      </c>
      <c r="AC37" s="88" t="s">
        <v>2516</v>
      </c>
      <c r="AD37" s="88" t="s">
        <v>2517</v>
      </c>
      <c r="AE37" s="88" t="s">
        <v>2518</v>
      </c>
      <c r="AF37" s="94" t="s">
        <v>2332</v>
      </c>
      <c r="AG37" s="88" t="s">
        <v>2519</v>
      </c>
      <c r="AH37" s="272" t="s">
        <v>2520</v>
      </c>
      <c r="AI37" s="98" t="s">
        <v>2521</v>
      </c>
      <c r="AJ37" s="272" t="s">
        <v>2522</v>
      </c>
      <c r="AK37" s="93" t="s">
        <v>2523</v>
      </c>
      <c r="AL37" s="97"/>
      <c r="AM37" s="94" t="s">
        <v>2524</v>
      </c>
      <c r="AN37" s="94" t="s">
        <v>2525</v>
      </c>
      <c r="AO37" s="98" t="s">
        <v>2526</v>
      </c>
      <c r="AP37" s="88" t="s">
        <v>1982</v>
      </c>
      <c r="AQ37" s="94" t="s">
        <v>2527</v>
      </c>
      <c r="AR37" s="94" t="s">
        <v>2485</v>
      </c>
      <c r="AS37" s="88" t="s">
        <v>2528</v>
      </c>
      <c r="AT37" s="94" t="s">
        <v>2529</v>
      </c>
      <c r="AU37" s="88" t="s">
        <v>131</v>
      </c>
      <c r="AV37" s="94" t="s">
        <v>2530</v>
      </c>
      <c r="AW37" s="272" t="s">
        <v>2531</v>
      </c>
      <c r="AX37" s="88" t="s">
        <v>2532</v>
      </c>
      <c r="AY37" s="88" t="s">
        <v>2532</v>
      </c>
      <c r="AZ37" s="94" t="s">
        <v>2533</v>
      </c>
      <c r="BA37" s="94"/>
      <c r="BB37" s="98" t="str">
        <f>HYPERLINK("https://youtu.be/ym6Xxd7Pwws","50.26")</f>
        <v>50.26</v>
      </c>
      <c r="BC37" s="88" t="s">
        <v>2534</v>
      </c>
      <c r="BD37" s="94" t="s">
        <v>1394</v>
      </c>
      <c r="BE37" s="94" t="s">
        <v>2535</v>
      </c>
      <c r="BF37" s="94" t="s">
        <v>2536</v>
      </c>
      <c r="BG37" s="88" t="s">
        <v>2537</v>
      </c>
      <c r="BH37" s="94" t="s">
        <v>2538</v>
      </c>
      <c r="BI37" s="98" t="s">
        <v>2539</v>
      </c>
      <c r="BJ37" s="99" t="s">
        <v>2540</v>
      </c>
      <c r="BK37" s="94" t="s">
        <v>2541</v>
      </c>
      <c r="BL37" s="94" t="s">
        <v>2542</v>
      </c>
      <c r="BM37" s="94" t="s">
        <v>2543</v>
      </c>
      <c r="BN37" s="88" t="s">
        <v>1817</v>
      </c>
      <c r="BO37" s="94" t="s">
        <v>2544</v>
      </c>
      <c r="BP37" s="94" t="s">
        <v>2545</v>
      </c>
      <c r="BQ37" s="100"/>
      <c r="BR37" s="98" t="s">
        <v>2546</v>
      </c>
      <c r="BS37" s="94" t="s">
        <v>147</v>
      </c>
      <c r="BT37" s="88" t="s">
        <v>2547</v>
      </c>
      <c r="BU37" s="94" t="s">
        <v>2548</v>
      </c>
      <c r="BV37" s="93" t="s">
        <v>502</v>
      </c>
      <c r="BW37" s="88" t="s">
        <v>162</v>
      </c>
      <c r="BX37" s="98" t="s">
        <v>2549</v>
      </c>
      <c r="BY37" s="94" t="s">
        <v>2550</v>
      </c>
      <c r="BZ37" s="369" t="str">
        <f>HYPERLINK("https://clips.twitch.tv/RamshackleBlindingCaribouPupper", "2:21.41")</f>
        <v>2:21.41</v>
      </c>
      <c r="CA37" s="93" t="s">
        <v>2551</v>
      </c>
      <c r="CB37" s="94" t="s">
        <v>945</v>
      </c>
      <c r="CC37" s="258" t="s">
        <v>2552</v>
      </c>
      <c r="CD37" s="161" t="s">
        <v>2553</v>
      </c>
      <c r="CE37" s="94" t="s">
        <v>2554</v>
      </c>
      <c r="CF37" s="100"/>
      <c r="CG37" s="88" t="s">
        <v>2555</v>
      </c>
      <c r="CH37" s="93" t="s">
        <v>2556</v>
      </c>
      <c r="CI37" s="272" t="s">
        <v>2557</v>
      </c>
      <c r="CJ37" s="272" t="s">
        <v>2558</v>
      </c>
      <c r="CK37" s="272"/>
      <c r="CL37" s="272" t="s">
        <v>2065</v>
      </c>
      <c r="CM37" s="88" t="s">
        <v>2559</v>
      </c>
      <c r="CN37" s="88" t="s">
        <v>2560</v>
      </c>
      <c r="CO37" s="88" t="s">
        <v>2067</v>
      </c>
      <c r="CP37" s="272" t="s">
        <v>2561</v>
      </c>
      <c r="CQ37" s="98" t="s">
        <v>1122</v>
      </c>
      <c r="CR37" s="88" t="s">
        <v>2562</v>
      </c>
      <c r="CS37" s="88" t="s">
        <v>2563</v>
      </c>
      <c r="CT37" s="94" t="s">
        <v>2564</v>
      </c>
      <c r="CU37" s="92"/>
      <c r="CV37" s="93" t="s">
        <v>2565</v>
      </c>
      <c r="CW37" s="94" t="s">
        <v>2065</v>
      </c>
      <c r="CX37" s="98" t="s">
        <v>2566</v>
      </c>
      <c r="CY37" s="93" t="s">
        <v>2567</v>
      </c>
      <c r="CZ37" s="93" t="s">
        <v>2568</v>
      </c>
      <c r="DA37" s="88" t="s">
        <v>2496</v>
      </c>
      <c r="DB37" s="93" t="s">
        <v>784</v>
      </c>
      <c r="DC37" s="98" t="s">
        <v>1701</v>
      </c>
      <c r="DD37" s="258" t="s">
        <v>2569</v>
      </c>
      <c r="DE37" s="266" t="s">
        <v>2570</v>
      </c>
      <c r="DF37" s="98" t="s">
        <v>2456</v>
      </c>
      <c r="DG37" s="98" t="str">
        <f>HYPERLINK("https://www.twitch.tv/videos/445329616","1:59.77")</f>
        <v>1:59.77</v>
      </c>
      <c r="DH37" s="98"/>
      <c r="DI37" s="94" t="s">
        <v>2571</v>
      </c>
      <c r="DJ37" s="88" t="s">
        <v>2572</v>
      </c>
      <c r="DK37" s="94" t="s">
        <v>1676</v>
      </c>
      <c r="DL37" s="88" t="s">
        <v>2573</v>
      </c>
      <c r="DM37" s="88" t="s">
        <v>1777</v>
      </c>
      <c r="DN37" s="161" t="s">
        <v>2574</v>
      </c>
      <c r="DO37" s="161" t="s">
        <v>493</v>
      </c>
      <c r="DP37" s="88" t="s">
        <v>2575</v>
      </c>
      <c r="DQ37" s="88" t="s">
        <v>1254</v>
      </c>
      <c r="DR37" s="94" t="s">
        <v>152</v>
      </c>
      <c r="DS37" s="88" t="s">
        <v>2576</v>
      </c>
      <c r="DT37" s="88" t="s">
        <v>2577</v>
      </c>
      <c r="DU37" s="88" t="s">
        <v>2578</v>
      </c>
      <c r="DV37" s="88" t="s">
        <v>2579</v>
      </c>
      <c r="DW37" s="88" t="s">
        <v>1714</v>
      </c>
      <c r="DX37" s="88" t="s">
        <v>2580</v>
      </c>
      <c r="DY37" s="88" t="s">
        <v>2581</v>
      </c>
      <c r="DZ37" s="88" t="s">
        <v>582</v>
      </c>
      <c r="EA37" s="88" t="s">
        <v>2582</v>
      </c>
      <c r="EB37" s="88" t="s">
        <v>972</v>
      </c>
      <c r="EC37" s="88" t="s">
        <v>2583</v>
      </c>
      <c r="ED37" s="98" t="s">
        <v>2584</v>
      </c>
    </row>
    <row r="38">
      <c r="A38" s="370" t="s">
        <v>2585</v>
      </c>
      <c r="B38" s="104" t="s">
        <v>2586</v>
      </c>
      <c r="C38" s="105" t="s">
        <v>647</v>
      </c>
      <c r="D38" s="106" t="s">
        <v>437</v>
      </c>
      <c r="E38" s="107" t="s">
        <v>1259</v>
      </c>
      <c r="F38" s="108" t="s">
        <v>2587</v>
      </c>
      <c r="G38" s="104" t="s">
        <v>1130</v>
      </c>
      <c r="H38" s="112" t="s">
        <v>1799</v>
      </c>
      <c r="I38" s="110" t="s">
        <v>2588</v>
      </c>
      <c r="J38" s="112" t="s">
        <v>2589</v>
      </c>
      <c r="K38" s="110" t="s">
        <v>2469</v>
      </c>
      <c r="L38" s="112" t="s">
        <v>2590</v>
      </c>
      <c r="M38" s="110" t="s">
        <v>2591</v>
      </c>
      <c r="N38" s="112" t="s">
        <v>107</v>
      </c>
      <c r="O38" s="112" t="s">
        <v>2592</v>
      </c>
      <c r="P38" s="112" t="s">
        <v>1066</v>
      </c>
      <c r="Q38" s="110" t="str">
        <f>HYPERLINK("https://twitter.com/Qbe_Root/status/1254604046691860480","1:09.56")</f>
        <v>1:09.56</v>
      </c>
      <c r="R38" s="166"/>
      <c r="S38" s="112" t="s">
        <v>2593</v>
      </c>
      <c r="T38" s="242"/>
      <c r="U38" s="112" t="s">
        <v>401</v>
      </c>
      <c r="V38" s="166" t="s">
        <v>2594</v>
      </c>
      <c r="W38" s="113"/>
      <c r="X38" s="114" t="s">
        <v>2595</v>
      </c>
      <c r="Y38" s="115"/>
      <c r="Z38" s="114" t="s">
        <v>1429</v>
      </c>
      <c r="AA38" s="116" t="s">
        <v>2245</v>
      </c>
      <c r="AB38" s="116" t="s">
        <v>2596</v>
      </c>
      <c r="AC38" s="116" t="s">
        <v>206</v>
      </c>
      <c r="AD38" s="116" t="s">
        <v>2597</v>
      </c>
      <c r="AE38" s="371" t="s">
        <v>2598</v>
      </c>
      <c r="AF38" s="114" t="str">
        <f>HYPERLINK("https://twitter.com/Qbe_Root/status/1156762003857240064","1:33.81")</f>
        <v>1:33.81</v>
      </c>
      <c r="AG38" s="116" t="s">
        <v>2599</v>
      </c>
      <c r="AH38" s="114" t="str">
        <f>HYPERLINK("https://twitter.com/Qbe_Root/status/1161090273696473094","53.98")</f>
        <v>53.98</v>
      </c>
      <c r="AI38" s="117"/>
      <c r="AJ38" s="296" t="s">
        <v>1280</v>
      </c>
      <c r="AK38" s="244"/>
      <c r="AL38" s="97"/>
      <c r="AM38" s="169" t="s">
        <v>2600</v>
      </c>
      <c r="AN38" s="120" t="str">
        <f>HYPERLINK("https://twitter.com/Qbe_Root/status/1121081195205410816","19.98")</f>
        <v>19.98</v>
      </c>
      <c r="AO38" s="167" t="s">
        <v>2601</v>
      </c>
      <c r="AP38" s="167" t="s">
        <v>2602</v>
      </c>
      <c r="AQ38" s="167" t="s">
        <v>2603</v>
      </c>
      <c r="AR38" s="167"/>
      <c r="AS38" s="120" t="str">
        <f>HYPERLINK("https://twitter.com/Qbe_Root/status/1252284526044368897","8.94")</f>
        <v>8.94</v>
      </c>
      <c r="AT38" s="167" t="s">
        <v>2604</v>
      </c>
      <c r="AU38" s="167" t="s">
        <v>2605</v>
      </c>
      <c r="AV38" s="120" t="s">
        <v>2606</v>
      </c>
      <c r="AW38" s="121" t="s">
        <v>425</v>
      </c>
      <c r="AX38" s="245"/>
      <c r="AY38" s="121" t="s">
        <v>2607</v>
      </c>
      <c r="AZ38" s="245"/>
      <c r="BA38" s="245"/>
      <c r="BB38" s="126" t="s">
        <v>2608</v>
      </c>
      <c r="BC38" s="126" t="s">
        <v>2609</v>
      </c>
      <c r="BD38" s="126" t="s">
        <v>1002</v>
      </c>
      <c r="BE38" s="126" t="s">
        <v>2610</v>
      </c>
      <c r="BF38" s="126" t="s">
        <v>564</v>
      </c>
      <c r="BG38" s="126" t="s">
        <v>2611</v>
      </c>
      <c r="BH38" s="173" t="s">
        <v>2612</v>
      </c>
      <c r="BI38" s="126" t="s">
        <v>326</v>
      </c>
      <c r="BJ38" s="246" t="s">
        <v>2613</v>
      </c>
      <c r="BK38" s="372"/>
      <c r="BL38" s="126" t="s">
        <v>2614</v>
      </c>
      <c r="BM38" s="126" t="s">
        <v>2615</v>
      </c>
      <c r="BN38" s="173" t="s">
        <v>2616</v>
      </c>
      <c r="BO38" s="126" t="s">
        <v>1590</v>
      </c>
      <c r="BP38" s="173" t="s">
        <v>2617</v>
      </c>
      <c r="BQ38" s="173"/>
      <c r="BR38" s="128" t="s">
        <v>2618</v>
      </c>
      <c r="BS38" s="128" t="s">
        <v>2619</v>
      </c>
      <c r="BT38" s="129" t="s">
        <v>2620</v>
      </c>
      <c r="BU38" s="128" t="s">
        <v>2621</v>
      </c>
      <c r="BV38" s="128" t="s">
        <v>2622</v>
      </c>
      <c r="BW38" s="128" t="str">
        <f>HYPERLINK("https://twitter.com/Qbe_Root/status/1173970755526242304","21.44")</f>
        <v>21.44</v>
      </c>
      <c r="BX38" s="248" t="s">
        <v>2623</v>
      </c>
      <c r="BY38" s="128" t="s">
        <v>2624</v>
      </c>
      <c r="BZ38" s="249"/>
      <c r="CA38" s="128" t="str">
        <f>HYPERLINK("https://twitter.com/Qbe_Root/status/1242199278610788353","23.10")</f>
        <v>23.10</v>
      </c>
      <c r="CB38" s="280" t="s">
        <v>2625</v>
      </c>
      <c r="CC38" s="129" t="s">
        <v>1022</v>
      </c>
      <c r="CD38" s="129" t="s">
        <v>2626</v>
      </c>
      <c r="CE38" s="249"/>
      <c r="CF38" s="251"/>
      <c r="CG38" s="134" t="s">
        <v>2627</v>
      </c>
      <c r="CH38" s="134" t="s">
        <v>1833</v>
      </c>
      <c r="CI38" s="177" t="s">
        <v>2628</v>
      </c>
      <c r="CJ38" s="134" t="s">
        <v>2629</v>
      </c>
      <c r="CK38" s="135"/>
      <c r="CL38" s="134" t="s">
        <v>2630</v>
      </c>
      <c r="CM38" s="134" t="s">
        <v>2119</v>
      </c>
      <c r="CN38" s="134" t="s">
        <v>2631</v>
      </c>
      <c r="CO38" s="134" t="s">
        <v>1942</v>
      </c>
      <c r="CP38" s="231" t="s">
        <v>2632</v>
      </c>
      <c r="CQ38" s="177" t="s">
        <v>2633</v>
      </c>
      <c r="CR38" s="177"/>
      <c r="CS38" s="134" t="s">
        <v>2634</v>
      </c>
      <c r="CT38" s="252"/>
      <c r="CU38" s="92"/>
      <c r="CV38" s="139" t="s">
        <v>2635</v>
      </c>
      <c r="CW38" s="136" t="s">
        <v>2469</v>
      </c>
      <c r="CX38" s="136" t="s">
        <v>121</v>
      </c>
      <c r="CY38" s="139" t="s">
        <v>428</v>
      </c>
      <c r="CZ38" s="139" t="s">
        <v>2636</v>
      </c>
      <c r="DA38" s="139" t="s">
        <v>2359</v>
      </c>
      <c r="DB38" s="136" t="s">
        <v>2637</v>
      </c>
      <c r="DC38" s="203" t="s">
        <v>2638</v>
      </c>
      <c r="DD38" s="373" t="str">
        <f>HYPERLINK("https://twitter.com/Qbe_Root/status/1400138849058275330", "1:53.21")</f>
        <v>1:53.21</v>
      </c>
      <c r="DE38" s="139" t="s">
        <v>2639</v>
      </c>
      <c r="DF38" s="139" t="s">
        <v>2640</v>
      </c>
      <c r="DG38" s="203" t="s">
        <v>2641</v>
      </c>
      <c r="DH38" s="203"/>
      <c r="DI38" s="141" t="s">
        <v>1333</v>
      </c>
      <c r="DJ38" s="179" t="s">
        <v>2642</v>
      </c>
      <c r="DK38" s="255"/>
      <c r="DL38" s="144" t="s">
        <v>2643</v>
      </c>
      <c r="DM38" s="141" t="s">
        <v>2644</v>
      </c>
      <c r="DN38" s="204" t="s">
        <v>2645</v>
      </c>
      <c r="DO38" s="255"/>
      <c r="DP38" s="255"/>
      <c r="DQ38" s="255"/>
      <c r="DR38" s="144" t="s">
        <v>2646</v>
      </c>
      <c r="DS38" s="287" t="s">
        <v>1713</v>
      </c>
      <c r="DT38" s="374" t="str">
        <f>HYPERLINK("https://twitter.com/Qbe_Root/status/1241798344797798402","11.27")</f>
        <v>11.27</v>
      </c>
      <c r="DU38" s="204" t="s">
        <v>2647</v>
      </c>
      <c r="DV38" s="144" t="s">
        <v>2648</v>
      </c>
      <c r="DW38" s="255"/>
      <c r="DX38" s="144" t="s">
        <v>1681</v>
      </c>
      <c r="DY38" s="204" t="s">
        <v>1919</v>
      </c>
      <c r="DZ38" s="144" t="s">
        <v>2649</v>
      </c>
      <c r="EA38" s="144" t="s">
        <v>2650</v>
      </c>
      <c r="EB38" s="204" t="s">
        <v>378</v>
      </c>
      <c r="EC38" s="204" t="s">
        <v>1114</v>
      </c>
      <c r="ED38" s="287" t="s">
        <v>2651</v>
      </c>
    </row>
    <row r="39">
      <c r="A39" s="375" t="s">
        <v>2652</v>
      </c>
      <c r="B39" s="376" t="s">
        <v>2653</v>
      </c>
      <c r="C39" s="83" t="s">
        <v>1259</v>
      </c>
      <c r="D39" s="84" t="s">
        <v>1259</v>
      </c>
      <c r="E39" s="85" t="s">
        <v>1259</v>
      </c>
      <c r="F39" s="86" t="s">
        <v>2654</v>
      </c>
      <c r="G39" s="82" t="s">
        <v>2654</v>
      </c>
      <c r="H39" s="377" t="s">
        <v>101</v>
      </c>
      <c r="I39" s="377" t="s">
        <v>2655</v>
      </c>
      <c r="J39" s="377" t="s">
        <v>653</v>
      </c>
      <c r="K39" s="377" t="s">
        <v>2656</v>
      </c>
      <c r="L39" s="377" t="s">
        <v>352</v>
      </c>
      <c r="M39" s="377" t="s">
        <v>2657</v>
      </c>
      <c r="N39" s="377" t="s">
        <v>2658</v>
      </c>
      <c r="O39" s="377" t="s">
        <v>1561</v>
      </c>
      <c r="P39" s="377" t="s">
        <v>2659</v>
      </c>
      <c r="Q39" s="377" t="s">
        <v>340</v>
      </c>
      <c r="R39" s="378"/>
      <c r="S39" s="377" t="s">
        <v>2660</v>
      </c>
      <c r="T39" s="378"/>
      <c r="U39" s="378"/>
      <c r="V39" s="377" t="s">
        <v>2661</v>
      </c>
      <c r="W39" s="187"/>
      <c r="X39" s="377" t="s">
        <v>2662</v>
      </c>
      <c r="Y39" s="377" t="s">
        <v>117</v>
      </c>
      <c r="Z39" s="377" t="s">
        <v>2663</v>
      </c>
      <c r="AA39" s="377" t="s">
        <v>357</v>
      </c>
      <c r="AB39" s="377" t="s">
        <v>2664</v>
      </c>
      <c r="AC39" s="377" t="s">
        <v>2419</v>
      </c>
      <c r="AD39" s="377" t="s">
        <v>2665</v>
      </c>
      <c r="AE39" s="88" t="s">
        <v>1612</v>
      </c>
      <c r="AF39" s="377" t="s">
        <v>2666</v>
      </c>
      <c r="AG39" s="379" t="s">
        <v>2667</v>
      </c>
      <c r="AH39" s="378"/>
      <c r="AI39" s="378"/>
      <c r="AJ39" s="88" t="s">
        <v>1731</v>
      </c>
      <c r="AK39" s="88" t="s">
        <v>2668</v>
      </c>
      <c r="AL39" s="190"/>
      <c r="AM39" s="88" t="s">
        <v>2669</v>
      </c>
      <c r="AN39" s="88" t="s">
        <v>1895</v>
      </c>
      <c r="AO39" s="88" t="s">
        <v>2670</v>
      </c>
      <c r="AP39" s="88" t="s">
        <v>2671</v>
      </c>
      <c r="AQ39" s="88" t="s">
        <v>2672</v>
      </c>
      <c r="AR39" s="88" t="s">
        <v>2673</v>
      </c>
      <c r="AS39" s="88" t="s">
        <v>1218</v>
      </c>
      <c r="AT39" s="88" t="s">
        <v>2674</v>
      </c>
      <c r="AU39" s="377" t="s">
        <v>2675</v>
      </c>
      <c r="AV39" s="377" t="s">
        <v>1394</v>
      </c>
      <c r="AW39" s="379" t="s">
        <v>2676</v>
      </c>
      <c r="AX39" s="378"/>
      <c r="AY39" s="378"/>
      <c r="AZ39" s="88" t="s">
        <v>2677</v>
      </c>
      <c r="BA39" s="192"/>
      <c r="BB39" s="377" t="s">
        <v>2678</v>
      </c>
      <c r="BC39" s="377" t="s">
        <v>198</v>
      </c>
      <c r="BD39" s="377" t="s">
        <v>2679</v>
      </c>
      <c r="BE39" s="377" t="s">
        <v>290</v>
      </c>
      <c r="BF39" s="377" t="s">
        <v>2167</v>
      </c>
      <c r="BG39" s="378"/>
      <c r="BH39" s="378"/>
      <c r="BI39" s="377" t="s">
        <v>2680</v>
      </c>
      <c r="BJ39" s="378"/>
      <c r="BK39" s="377" t="s">
        <v>2681</v>
      </c>
      <c r="BL39" s="379" t="s">
        <v>2682</v>
      </c>
      <c r="BM39" s="88" t="s">
        <v>2683</v>
      </c>
      <c r="BN39" s="377" t="s">
        <v>2532</v>
      </c>
      <c r="BO39" s="88" t="s">
        <v>2684</v>
      </c>
      <c r="BP39" s="88" t="s">
        <v>2685</v>
      </c>
      <c r="BQ39" s="193"/>
      <c r="BR39" s="377" t="s">
        <v>2686</v>
      </c>
      <c r="BS39" s="377" t="s">
        <v>137</v>
      </c>
      <c r="BT39" s="377" t="s">
        <v>2687</v>
      </c>
      <c r="BU39" s="377" t="s">
        <v>2688</v>
      </c>
      <c r="BV39" s="377" t="s">
        <v>2689</v>
      </c>
      <c r="BW39" s="377" t="s">
        <v>1847</v>
      </c>
      <c r="BX39" s="377" t="s">
        <v>2690</v>
      </c>
      <c r="BY39" s="192"/>
      <c r="BZ39" s="377" t="s">
        <v>2691</v>
      </c>
      <c r="CA39" s="377" t="s">
        <v>1254</v>
      </c>
      <c r="CB39" s="88" t="s">
        <v>2692</v>
      </c>
      <c r="CC39" s="88" t="s">
        <v>2693</v>
      </c>
      <c r="CD39" s="88" t="s">
        <v>144</v>
      </c>
      <c r="CE39" s="88" t="s">
        <v>2694</v>
      </c>
      <c r="CF39" s="193"/>
      <c r="CG39" s="377" t="s">
        <v>2695</v>
      </c>
      <c r="CH39" s="377" t="s">
        <v>2696</v>
      </c>
      <c r="CI39" s="377" t="s">
        <v>1294</v>
      </c>
      <c r="CJ39" s="377" t="s">
        <v>2697</v>
      </c>
      <c r="CK39" s="377" t="s">
        <v>2698</v>
      </c>
      <c r="CL39" s="377" t="s">
        <v>2699</v>
      </c>
      <c r="CM39" s="377" t="s">
        <v>2700</v>
      </c>
      <c r="CN39" s="377" t="s">
        <v>1607</v>
      </c>
      <c r="CO39" s="377" t="s">
        <v>2701</v>
      </c>
      <c r="CP39" s="378"/>
      <c r="CQ39" s="378"/>
      <c r="CR39" s="378"/>
      <c r="CS39" s="88" t="s">
        <v>2702</v>
      </c>
      <c r="CT39" s="88" t="s">
        <v>2703</v>
      </c>
      <c r="CU39" s="187"/>
      <c r="CV39" s="377" t="s">
        <v>651</v>
      </c>
      <c r="CW39" s="377" t="s">
        <v>2184</v>
      </c>
      <c r="CX39" s="377" t="s">
        <v>2000</v>
      </c>
      <c r="CY39" s="377" t="s">
        <v>1036</v>
      </c>
      <c r="CZ39" s="377" t="s">
        <v>1070</v>
      </c>
      <c r="DA39" s="377" t="s">
        <v>2185</v>
      </c>
      <c r="DB39" s="377" t="s">
        <v>2704</v>
      </c>
      <c r="DC39" s="377" t="s">
        <v>2705</v>
      </c>
      <c r="DD39" s="88" t="s">
        <v>590</v>
      </c>
      <c r="DE39" s="88" t="s">
        <v>1851</v>
      </c>
      <c r="DF39" s="380"/>
      <c r="DG39" s="88" t="s">
        <v>2706</v>
      </c>
      <c r="DH39" s="193"/>
      <c r="DI39" s="377" t="s">
        <v>2707</v>
      </c>
      <c r="DJ39" s="378"/>
      <c r="DK39" s="378"/>
      <c r="DL39" s="378"/>
      <c r="DM39" s="379" t="s">
        <v>528</v>
      </c>
      <c r="DN39" s="88" t="s">
        <v>2708</v>
      </c>
      <c r="DO39" s="88" t="s">
        <v>2709</v>
      </c>
      <c r="DP39" s="378"/>
      <c r="DQ39" s="378"/>
      <c r="DR39" s="377" t="s">
        <v>2710</v>
      </c>
      <c r="DS39" s="88" t="s">
        <v>2711</v>
      </c>
      <c r="DT39" s="88" t="s">
        <v>2712</v>
      </c>
      <c r="DU39" s="88" t="s">
        <v>2057</v>
      </c>
      <c r="DV39" s="88" t="s">
        <v>659</v>
      </c>
      <c r="DW39" s="88" t="s">
        <v>1626</v>
      </c>
      <c r="DX39" s="378"/>
      <c r="DY39" s="378"/>
      <c r="DZ39" s="378"/>
      <c r="EA39" s="377" t="s">
        <v>2713</v>
      </c>
      <c r="EB39" s="88" t="s">
        <v>2432</v>
      </c>
      <c r="EC39" s="88" t="s">
        <v>1047</v>
      </c>
      <c r="ED39" s="88" t="s">
        <v>217</v>
      </c>
    </row>
    <row r="40">
      <c r="A40" s="165" t="s">
        <v>2714</v>
      </c>
      <c r="B40" s="104" t="s">
        <v>2715</v>
      </c>
      <c r="C40" s="105" t="s">
        <v>1259</v>
      </c>
      <c r="D40" s="106" t="s">
        <v>1259</v>
      </c>
      <c r="E40" s="107" t="s">
        <v>1259</v>
      </c>
      <c r="F40" s="108" t="s">
        <v>2716</v>
      </c>
      <c r="G40" s="104" t="s">
        <v>1808</v>
      </c>
      <c r="H40" s="242"/>
      <c r="I40" s="166" t="s">
        <v>1202</v>
      </c>
      <c r="J40" s="112" t="s">
        <v>2717</v>
      </c>
      <c r="K40" s="293" t="s">
        <v>1639</v>
      </c>
      <c r="L40" s="112" t="s">
        <v>625</v>
      </c>
      <c r="M40" s="112" t="s">
        <v>2718</v>
      </c>
      <c r="N40" s="112" t="s">
        <v>2719</v>
      </c>
      <c r="O40" s="112" t="s">
        <v>2720</v>
      </c>
      <c r="P40" s="293" t="s">
        <v>2659</v>
      </c>
      <c r="Q40" s="242"/>
      <c r="R40" s="242"/>
      <c r="S40" s="242"/>
      <c r="T40" s="242"/>
      <c r="U40" s="242"/>
      <c r="V40" s="242"/>
      <c r="W40" s="92"/>
      <c r="X40" s="116" t="s">
        <v>2721</v>
      </c>
      <c r="Y40" s="197"/>
      <c r="Z40" s="197" t="s">
        <v>2722</v>
      </c>
      <c r="AA40" s="116" t="s">
        <v>2723</v>
      </c>
      <c r="AB40" s="116" t="s">
        <v>2328</v>
      </c>
      <c r="AC40" s="116" t="s">
        <v>2724</v>
      </c>
      <c r="AD40" s="116" t="s">
        <v>2695</v>
      </c>
      <c r="AE40" s="244"/>
      <c r="AF40" s="116" t="s">
        <v>757</v>
      </c>
      <c r="AG40" s="116" t="s">
        <v>357</v>
      </c>
      <c r="AH40" s="244"/>
      <c r="AI40" s="244"/>
      <c r="AJ40" s="244"/>
      <c r="AK40" s="244"/>
      <c r="AL40" s="97"/>
      <c r="AM40" s="245"/>
      <c r="AN40" s="245"/>
      <c r="AO40" s="245"/>
      <c r="AP40" s="245"/>
      <c r="AQ40" s="245"/>
      <c r="AR40" s="245"/>
      <c r="AS40" s="245"/>
      <c r="AT40" s="245"/>
      <c r="AU40" s="121" t="s">
        <v>2725</v>
      </c>
      <c r="AV40" s="121" t="s">
        <v>293</v>
      </c>
      <c r="AW40" s="245"/>
      <c r="AX40" s="245"/>
      <c r="AY40" s="245"/>
      <c r="AZ40" s="245"/>
      <c r="BA40" s="245"/>
      <c r="BB40" s="126" t="s">
        <v>2726</v>
      </c>
      <c r="BC40" s="126" t="s">
        <v>2727</v>
      </c>
      <c r="BD40" s="126" t="s">
        <v>145</v>
      </c>
      <c r="BE40" s="126" t="s">
        <v>2728</v>
      </c>
      <c r="BF40" s="126" t="s">
        <v>2482</v>
      </c>
      <c r="BG40" s="172"/>
      <c r="BH40" s="172"/>
      <c r="BI40" s="126" t="s">
        <v>1719</v>
      </c>
      <c r="BJ40" s="126" t="s">
        <v>1088</v>
      </c>
      <c r="BK40" s="172"/>
      <c r="BL40" s="126" t="s">
        <v>2729</v>
      </c>
      <c r="BM40" s="172"/>
      <c r="BN40" s="172"/>
      <c r="BO40" s="172"/>
      <c r="BP40" s="172"/>
      <c r="BQ40" s="247"/>
      <c r="BR40" s="129" t="s">
        <v>2730</v>
      </c>
      <c r="BS40" s="129" t="s">
        <v>2731</v>
      </c>
      <c r="BT40" s="304" t="s">
        <v>2732</v>
      </c>
      <c r="BU40" s="129" t="s">
        <v>1681</v>
      </c>
      <c r="BV40" s="174" t="s">
        <v>696</v>
      </c>
      <c r="BW40" s="174" t="s">
        <v>1988</v>
      </c>
      <c r="BX40" s="129" t="s">
        <v>2733</v>
      </c>
      <c r="BY40" s="129" t="s">
        <v>2734</v>
      </c>
      <c r="BZ40" s="249"/>
      <c r="CA40" s="174" t="s">
        <v>2735</v>
      </c>
      <c r="CB40" s="249"/>
      <c r="CC40" s="249"/>
      <c r="CD40" s="249"/>
      <c r="CE40" s="249"/>
      <c r="CF40" s="251"/>
      <c r="CG40" s="134" t="s">
        <v>2736</v>
      </c>
      <c r="CH40" s="381" t="s">
        <v>848</v>
      </c>
      <c r="CI40" s="134" t="s">
        <v>2737</v>
      </c>
      <c r="CJ40" s="134" t="s">
        <v>2738</v>
      </c>
      <c r="CK40" s="262"/>
      <c r="CL40" s="262"/>
      <c r="CM40" s="134" t="s">
        <v>2131</v>
      </c>
      <c r="CN40" s="134" t="s">
        <v>538</v>
      </c>
      <c r="CO40" s="177" t="s">
        <v>2739</v>
      </c>
      <c r="CP40" s="252"/>
      <c r="CQ40" s="252"/>
      <c r="CR40" s="252"/>
      <c r="CS40" s="252"/>
      <c r="CT40" s="177"/>
      <c r="CU40" s="92"/>
      <c r="CV40" s="139" t="s">
        <v>2740</v>
      </c>
      <c r="CW40" s="253"/>
      <c r="CX40" s="139" t="s">
        <v>768</v>
      </c>
      <c r="CY40" s="139" t="s">
        <v>2328</v>
      </c>
      <c r="CZ40" s="139" t="s">
        <v>660</v>
      </c>
      <c r="DA40" s="203" t="s">
        <v>1378</v>
      </c>
      <c r="DB40" s="139" t="s">
        <v>2741</v>
      </c>
      <c r="DC40" s="203" t="s">
        <v>2009</v>
      </c>
      <c r="DD40" s="253"/>
      <c r="DE40" s="253"/>
      <c r="DF40" s="253"/>
      <c r="DG40" s="253"/>
      <c r="DH40" s="263"/>
      <c r="DI40" s="204" t="s">
        <v>2126</v>
      </c>
      <c r="DJ40" s="255"/>
      <c r="DK40" s="255"/>
      <c r="DL40" s="255"/>
      <c r="DM40" s="255"/>
      <c r="DN40" s="255"/>
      <c r="DO40" s="255"/>
      <c r="DP40" s="255"/>
      <c r="DQ40" s="255"/>
      <c r="DR40" s="144" t="s">
        <v>2742</v>
      </c>
      <c r="DS40" s="204" t="s">
        <v>2743</v>
      </c>
      <c r="DT40" s="255"/>
      <c r="DU40" s="255"/>
      <c r="DV40" s="255"/>
      <c r="DW40" s="255"/>
      <c r="DX40" s="255"/>
      <c r="DY40" s="255"/>
      <c r="DZ40" s="255"/>
      <c r="EA40" s="255"/>
      <c r="EB40" s="255"/>
      <c r="EC40" s="255"/>
      <c r="ED40" s="382"/>
    </row>
    <row r="41">
      <c r="A41" s="81" t="s">
        <v>2744</v>
      </c>
      <c r="B41" s="82" t="s">
        <v>2745</v>
      </c>
      <c r="C41" s="83" t="s">
        <v>1259</v>
      </c>
      <c r="D41" s="84" t="s">
        <v>1259</v>
      </c>
      <c r="E41" s="85" t="s">
        <v>1259</v>
      </c>
      <c r="F41" s="86" t="s">
        <v>2746</v>
      </c>
      <c r="G41" s="82" t="s">
        <v>2747</v>
      </c>
      <c r="H41" s="94" t="s">
        <v>347</v>
      </c>
      <c r="I41" s="88" t="s">
        <v>2748</v>
      </c>
      <c r="J41" s="94" t="s">
        <v>2749</v>
      </c>
      <c r="K41" s="94" t="s">
        <v>1557</v>
      </c>
      <c r="L41" s="94" t="s">
        <v>2750</v>
      </c>
      <c r="M41" s="88" t="s">
        <v>2751</v>
      </c>
      <c r="N41" s="94" t="s">
        <v>2752</v>
      </c>
      <c r="O41" s="94" t="s">
        <v>2753</v>
      </c>
      <c r="P41" s="88" t="s">
        <v>109</v>
      </c>
      <c r="Q41" s="99"/>
      <c r="R41" s="99"/>
      <c r="S41" s="99"/>
      <c r="T41" s="99"/>
      <c r="U41" s="99"/>
      <c r="V41" s="99"/>
      <c r="W41" s="92"/>
      <c r="X41" s="94" t="s">
        <v>2754</v>
      </c>
      <c r="Y41" s="94"/>
      <c r="Z41" s="94" t="s">
        <v>2390</v>
      </c>
      <c r="AA41" s="88" t="s">
        <v>752</v>
      </c>
      <c r="AB41" s="94" t="s">
        <v>254</v>
      </c>
      <c r="AC41" s="94" t="s">
        <v>2340</v>
      </c>
      <c r="AD41" s="88" t="s">
        <v>2755</v>
      </c>
      <c r="AE41" s="94" t="s">
        <v>2756</v>
      </c>
      <c r="AF41" s="94" t="s">
        <v>963</v>
      </c>
      <c r="AG41" s="94" t="s">
        <v>566</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263</v>
      </c>
      <c r="BC41" s="94" t="s">
        <v>2727</v>
      </c>
      <c r="BD41" s="94" t="s">
        <v>2241</v>
      </c>
      <c r="BE41" s="94" t="s">
        <v>2761</v>
      </c>
      <c r="BF41" s="88" t="s">
        <v>2482</v>
      </c>
      <c r="BG41" s="99"/>
      <c r="BH41" s="99"/>
      <c r="BI41" s="94" t="s">
        <v>1586</v>
      </c>
      <c r="BJ41" s="88" t="s">
        <v>151</v>
      </c>
      <c r="BK41" s="94" t="s">
        <v>2762</v>
      </c>
      <c r="BL41" s="94" t="s">
        <v>2763</v>
      </c>
      <c r="BM41" s="99"/>
      <c r="BN41" s="99"/>
      <c r="BO41" s="99"/>
      <c r="BP41" s="99"/>
      <c r="BQ41" s="237"/>
      <c r="BR41" s="88" t="s">
        <v>2764</v>
      </c>
      <c r="BS41" s="94" t="s">
        <v>2216</v>
      </c>
      <c r="BT41" s="94" t="s">
        <v>2765</v>
      </c>
      <c r="BU41" s="94" t="s">
        <v>2766</v>
      </c>
      <c r="BV41" s="94" t="s">
        <v>454</v>
      </c>
      <c r="BW41" s="88" t="s">
        <v>1165</v>
      </c>
      <c r="BX41" s="88" t="s">
        <v>2767</v>
      </c>
      <c r="BY41" s="94" t="s">
        <v>2768</v>
      </c>
      <c r="BZ41" s="99"/>
      <c r="CA41" s="94" t="s">
        <v>2769</v>
      </c>
      <c r="CB41" s="99"/>
      <c r="CC41" s="99"/>
      <c r="CD41" s="99"/>
      <c r="CE41" s="99"/>
      <c r="CF41" s="237"/>
      <c r="CG41" s="94" t="s">
        <v>2536</v>
      </c>
      <c r="CH41" s="94" t="s">
        <v>2770</v>
      </c>
      <c r="CI41" s="94" t="s">
        <v>2771</v>
      </c>
      <c r="CJ41" s="88" t="s">
        <v>2772</v>
      </c>
      <c r="CK41" s="102"/>
      <c r="CL41" s="102" t="s">
        <v>1926</v>
      </c>
      <c r="CM41" s="94" t="s">
        <v>927</v>
      </c>
      <c r="CN41" s="94" t="s">
        <v>2329</v>
      </c>
      <c r="CO41" s="94" t="s">
        <v>2067</v>
      </c>
      <c r="CP41" s="99"/>
      <c r="CQ41" s="99"/>
      <c r="CR41" s="99"/>
      <c r="CS41" s="99"/>
      <c r="CT41" s="99"/>
      <c r="CU41" s="92"/>
      <c r="CV41" s="88" t="s">
        <v>2773</v>
      </c>
      <c r="CW41" s="94" t="s">
        <v>2774</v>
      </c>
      <c r="CX41" s="94" t="s">
        <v>243</v>
      </c>
      <c r="CY41" s="94" t="s">
        <v>2775</v>
      </c>
      <c r="CZ41" s="94" t="s">
        <v>1478</v>
      </c>
      <c r="DA41" s="94" t="s">
        <v>2049</v>
      </c>
      <c r="DB41" s="88" t="s">
        <v>2776</v>
      </c>
      <c r="DC41" s="94" t="s">
        <v>251</v>
      </c>
      <c r="DD41" s="99"/>
      <c r="DE41" s="99"/>
      <c r="DF41" s="99"/>
      <c r="DG41" s="99"/>
      <c r="DH41" s="237"/>
      <c r="DI41" s="94" t="s">
        <v>854</v>
      </c>
      <c r="DJ41" s="99"/>
      <c r="DK41" s="99"/>
      <c r="DL41" s="99"/>
      <c r="DM41" s="99"/>
      <c r="DN41" s="99"/>
      <c r="DO41" s="99"/>
      <c r="DP41" s="99"/>
      <c r="DQ41" s="99"/>
      <c r="DR41" s="88" t="s">
        <v>2777</v>
      </c>
      <c r="DS41" s="94" t="s">
        <v>633</v>
      </c>
      <c r="DT41" s="99"/>
      <c r="DU41" s="99"/>
      <c r="DV41" s="99"/>
      <c r="DW41" s="99"/>
      <c r="DX41" s="99"/>
      <c r="DY41" s="99"/>
      <c r="DZ41" s="99"/>
      <c r="EA41" s="94" t="s">
        <v>869</v>
      </c>
      <c r="EB41" s="99"/>
      <c r="EC41" s="99"/>
      <c r="ED41" s="258"/>
    </row>
    <row r="42">
      <c r="A42" s="383" t="s">
        <v>2778</v>
      </c>
      <c r="B42" s="104" t="s">
        <v>2779</v>
      </c>
      <c r="C42" s="105" t="s">
        <v>1259</v>
      </c>
      <c r="D42" s="106" t="s">
        <v>1259</v>
      </c>
      <c r="E42" s="107" t="s">
        <v>1259</v>
      </c>
      <c r="F42" s="108" t="s">
        <v>2780</v>
      </c>
      <c r="G42" s="104" t="s">
        <v>2107</v>
      </c>
      <c r="H42" s="166" t="s">
        <v>2781</v>
      </c>
      <c r="I42" s="112" t="s">
        <v>2782</v>
      </c>
      <c r="J42" s="166" t="s">
        <v>2783</v>
      </c>
      <c r="K42" s="166" t="s">
        <v>1812</v>
      </c>
      <c r="L42" s="112" t="s">
        <v>2707</v>
      </c>
      <c r="M42" s="166" t="s">
        <v>2784</v>
      </c>
      <c r="N42" s="166" t="s">
        <v>2785</v>
      </c>
      <c r="O42" s="112" t="s">
        <v>360</v>
      </c>
      <c r="P42" s="166" t="s">
        <v>2786</v>
      </c>
      <c r="Q42" s="242"/>
      <c r="R42" s="242"/>
      <c r="S42" s="166" t="s">
        <v>2787</v>
      </c>
      <c r="T42" s="166" t="s">
        <v>1280</v>
      </c>
      <c r="U42" s="242"/>
      <c r="V42" s="242"/>
      <c r="W42" s="92"/>
      <c r="X42" s="197" t="s">
        <v>1201</v>
      </c>
      <c r="Y42" s="198"/>
      <c r="Z42" s="198" t="s">
        <v>2788</v>
      </c>
      <c r="AA42" s="198" t="s">
        <v>2206</v>
      </c>
      <c r="AB42" s="198" t="s">
        <v>717</v>
      </c>
      <c r="AC42" s="198" t="s">
        <v>458</v>
      </c>
      <c r="AD42" s="116" t="s">
        <v>2789</v>
      </c>
      <c r="AE42" s="244"/>
      <c r="AF42" s="116" t="s">
        <v>124</v>
      </c>
      <c r="AG42" s="198" t="s">
        <v>2285</v>
      </c>
      <c r="AH42" s="198" t="s">
        <v>2790</v>
      </c>
      <c r="AI42" s="198"/>
      <c r="AJ42" s="198"/>
      <c r="AK42" s="198" t="s">
        <v>2791</v>
      </c>
      <c r="AL42" s="97"/>
      <c r="AM42" s="245"/>
      <c r="AN42" s="167" t="s">
        <v>2792</v>
      </c>
      <c r="AO42" s="245"/>
      <c r="AP42" s="167" t="s">
        <v>2793</v>
      </c>
      <c r="AQ42" s="120" t="str">
        <f>HYPERLINK("https://twitter.com/SSBReed/status/1212701917551497216?s=20","47.36")</f>
        <v>47.36</v>
      </c>
      <c r="AR42" s="120" t="s">
        <v>2794</v>
      </c>
      <c r="AS42" s="245"/>
      <c r="AT42" s="245"/>
      <c r="AU42" s="167" t="s">
        <v>2795</v>
      </c>
      <c r="AV42" s="120" t="s">
        <v>2796</v>
      </c>
      <c r="AW42" s="245"/>
      <c r="AX42" s="245"/>
      <c r="AY42" s="167" t="s">
        <v>2535</v>
      </c>
      <c r="AZ42" s="167" t="s">
        <v>2797</v>
      </c>
      <c r="BA42" s="167"/>
      <c r="BB42" s="172"/>
      <c r="BC42" s="173"/>
      <c r="BD42" s="173" t="s">
        <v>2798</v>
      </c>
      <c r="BE42" s="173" t="s">
        <v>2799</v>
      </c>
      <c r="BF42" s="173" t="s">
        <v>2800</v>
      </c>
      <c r="BG42" s="173" t="s">
        <v>2801</v>
      </c>
      <c r="BH42" s="173"/>
      <c r="BI42" s="173" t="s">
        <v>1839</v>
      </c>
      <c r="BJ42" s="172"/>
      <c r="BK42" s="126" t="s">
        <v>2802</v>
      </c>
      <c r="BL42" s="173" t="s">
        <v>798</v>
      </c>
      <c r="BM42" s="173" t="s">
        <v>2258</v>
      </c>
      <c r="BN42" s="173" t="s">
        <v>2803</v>
      </c>
      <c r="BO42" s="173" t="s">
        <v>2804</v>
      </c>
      <c r="BP42" s="173" t="s">
        <v>2805</v>
      </c>
      <c r="BQ42" s="297"/>
      <c r="BR42" s="174" t="s">
        <v>2806</v>
      </c>
      <c r="BS42" s="174" t="s">
        <v>2216</v>
      </c>
      <c r="BT42" s="174" t="s">
        <v>2807</v>
      </c>
      <c r="BU42" s="129" t="s">
        <v>160</v>
      </c>
      <c r="BV42" s="249"/>
      <c r="BW42" s="174" t="s">
        <v>2808</v>
      </c>
      <c r="BX42" s="249"/>
      <c r="BY42" s="174" t="s">
        <v>2809</v>
      </c>
      <c r="BZ42" s="174" t="s">
        <v>165</v>
      </c>
      <c r="CA42" s="174" t="s">
        <v>2645</v>
      </c>
      <c r="CB42" s="249"/>
      <c r="CC42" s="174" t="s">
        <v>2810</v>
      </c>
      <c r="CD42" s="174" t="s">
        <v>383</v>
      </c>
      <c r="CE42" s="175" t="s">
        <v>2811</v>
      </c>
      <c r="CF42" s="384"/>
      <c r="CG42" s="134" t="s">
        <v>790</v>
      </c>
      <c r="CH42" s="177" t="s">
        <v>259</v>
      </c>
      <c r="CI42" s="177" t="s">
        <v>2812</v>
      </c>
      <c r="CJ42" s="177" t="s">
        <v>2813</v>
      </c>
      <c r="CK42" s="177"/>
      <c r="CL42" s="177"/>
      <c r="CM42" s="177" t="s">
        <v>2814</v>
      </c>
      <c r="CN42" s="300" t="s">
        <v>1959</v>
      </c>
      <c r="CO42" s="131" t="str">
        <f>HYPERLINK("https://www.youtube.com/watch?v=X66lFoaVyLY","15.60")</f>
        <v>15.60</v>
      </c>
      <c r="CP42" s="252"/>
      <c r="CQ42" s="252"/>
      <c r="CR42" s="252"/>
      <c r="CS42" s="252"/>
      <c r="CT42" s="177" t="s">
        <v>2815</v>
      </c>
      <c r="CU42" s="92"/>
      <c r="CV42" s="139" t="s">
        <v>2816</v>
      </c>
      <c r="CW42" s="203" t="s">
        <v>1697</v>
      </c>
      <c r="CX42" s="203" t="s">
        <v>2817</v>
      </c>
      <c r="CY42" s="203"/>
      <c r="CZ42" s="253"/>
      <c r="DA42" s="203" t="s">
        <v>2818</v>
      </c>
      <c r="DB42" s="139" t="s">
        <v>2819</v>
      </c>
      <c r="DC42" s="203" t="s">
        <v>2820</v>
      </c>
      <c r="DD42" s="203" t="s">
        <v>2821</v>
      </c>
      <c r="DE42" s="253"/>
      <c r="DF42" s="253"/>
      <c r="DG42" s="203" t="s">
        <v>2822</v>
      </c>
      <c r="DH42" s="310"/>
      <c r="DI42" s="204" t="s">
        <v>625</v>
      </c>
      <c r="DJ42" s="255"/>
      <c r="DK42" s="255"/>
      <c r="DL42" s="255"/>
      <c r="DM42" s="204" t="s">
        <v>1562</v>
      </c>
      <c r="DN42" s="255"/>
      <c r="DO42" s="204" t="s">
        <v>2823</v>
      </c>
      <c r="DP42" s="204" t="s">
        <v>2824</v>
      </c>
      <c r="DQ42" s="255"/>
      <c r="DR42" s="204" t="s">
        <v>2825</v>
      </c>
      <c r="DS42" s="204" t="s">
        <v>640</v>
      </c>
      <c r="DT42" s="255"/>
      <c r="DU42" s="255"/>
      <c r="DV42" s="255"/>
      <c r="DW42" s="255"/>
      <c r="DX42" s="204" t="s">
        <v>2826</v>
      </c>
      <c r="DY42" s="255"/>
      <c r="DZ42" s="204" t="s">
        <v>2827</v>
      </c>
      <c r="EA42" s="255"/>
      <c r="EB42" s="255"/>
      <c r="EC42" s="204" t="s">
        <v>2828</v>
      </c>
      <c r="ED42" s="287"/>
    </row>
    <row r="43">
      <c r="A43" s="385" t="s">
        <v>2829</v>
      </c>
      <c r="B43" s="82" t="s">
        <v>2830</v>
      </c>
      <c r="C43" s="83" t="s">
        <v>1259</v>
      </c>
      <c r="D43" s="84" t="s">
        <v>1259</v>
      </c>
      <c r="E43" s="85" t="s">
        <v>1259</v>
      </c>
      <c r="F43" s="86" t="s">
        <v>2194</v>
      </c>
      <c r="G43" s="82" t="s">
        <v>2831</v>
      </c>
      <c r="H43" s="99"/>
      <c r="I43" s="88" t="s">
        <v>2832</v>
      </c>
      <c r="J43" s="88" t="s">
        <v>2833</v>
      </c>
      <c r="K43" s="88" t="s">
        <v>1557</v>
      </c>
      <c r="L43" s="88" t="s">
        <v>2834</v>
      </c>
      <c r="M43" s="88" t="s">
        <v>2835</v>
      </c>
      <c r="N43" s="88" t="s">
        <v>2836</v>
      </c>
      <c r="O43" s="88" t="s">
        <v>2837</v>
      </c>
      <c r="P43" s="88" t="s">
        <v>2659</v>
      </c>
      <c r="Q43" s="99"/>
      <c r="R43" s="88" t="s">
        <v>2838</v>
      </c>
      <c r="S43" s="88" t="s">
        <v>1366</v>
      </c>
      <c r="T43" s="99"/>
      <c r="U43" s="99"/>
      <c r="V43" s="88" t="s">
        <v>2839</v>
      </c>
      <c r="W43" s="92"/>
      <c r="X43" s="88" t="s">
        <v>2840</v>
      </c>
      <c r="Y43" s="93"/>
      <c r="Z43" s="88" t="s">
        <v>2841</v>
      </c>
      <c r="AA43" s="88" t="s">
        <v>2842</v>
      </c>
      <c r="AB43" s="88" t="s">
        <v>2843</v>
      </c>
      <c r="AC43" s="88" t="s">
        <v>2580</v>
      </c>
      <c r="AD43" s="88" t="s">
        <v>1822</v>
      </c>
      <c r="AE43" s="99"/>
      <c r="AF43" s="161" t="s">
        <v>1188</v>
      </c>
      <c r="AG43" s="88" t="s">
        <v>2667</v>
      </c>
      <c r="AH43" s="99"/>
      <c r="AI43" s="99"/>
      <c r="AJ43" s="94" t="s">
        <v>1788</v>
      </c>
      <c r="AK43" s="88" t="s">
        <v>2844</v>
      </c>
      <c r="AL43" s="97"/>
      <c r="AM43" s="99"/>
      <c r="AN43" s="88" t="s">
        <v>2845</v>
      </c>
      <c r="AO43" s="99"/>
      <c r="AP43" s="99"/>
      <c r="AQ43" s="99"/>
      <c r="AR43" s="99"/>
      <c r="AS43" s="99"/>
      <c r="AT43" s="99"/>
      <c r="AU43" s="88" t="s">
        <v>361</v>
      </c>
      <c r="AV43" s="88" t="s">
        <v>2846</v>
      </c>
      <c r="AW43" s="88" t="s">
        <v>2122</v>
      </c>
      <c r="AX43" s="99"/>
      <c r="AY43" s="88" t="s">
        <v>1425</v>
      </c>
      <c r="AZ43" s="99"/>
      <c r="BA43" s="99"/>
      <c r="BB43" s="88" t="s">
        <v>2847</v>
      </c>
      <c r="BC43" s="88" t="s">
        <v>2403</v>
      </c>
      <c r="BD43" s="88" t="s">
        <v>2679</v>
      </c>
      <c r="BE43" s="88" t="s">
        <v>1163</v>
      </c>
      <c r="BF43" s="88" t="s">
        <v>2848</v>
      </c>
      <c r="BG43" s="88" t="s">
        <v>260</v>
      </c>
      <c r="BH43" s="99"/>
      <c r="BI43" s="94" t="s">
        <v>1839</v>
      </c>
      <c r="BJ43" s="94" t="s">
        <v>2849</v>
      </c>
      <c r="BK43" s="94"/>
      <c r="BL43" s="88" t="s">
        <v>2850</v>
      </c>
      <c r="BM43" s="99"/>
      <c r="BN43" s="99"/>
      <c r="BO43" s="99"/>
      <c r="BP43" s="88" t="s">
        <v>2851</v>
      </c>
      <c r="BQ43" s="237"/>
      <c r="BR43" s="88" t="s">
        <v>2852</v>
      </c>
      <c r="BS43" s="88" t="s">
        <v>774</v>
      </c>
      <c r="BT43" s="88" t="s">
        <v>2853</v>
      </c>
      <c r="BU43" s="88" t="s">
        <v>2854</v>
      </c>
      <c r="BV43" s="88" t="s">
        <v>2855</v>
      </c>
      <c r="BW43" s="88" t="s">
        <v>2856</v>
      </c>
      <c r="BX43" s="99"/>
      <c r="BY43" s="94" t="s">
        <v>2857</v>
      </c>
      <c r="BZ43" s="88" t="s">
        <v>2858</v>
      </c>
      <c r="CA43" s="88" t="s">
        <v>787</v>
      </c>
      <c r="CB43" s="88" t="s">
        <v>2859</v>
      </c>
      <c r="CC43" s="88" t="s">
        <v>2860</v>
      </c>
      <c r="CD43" s="88" t="s">
        <v>479</v>
      </c>
      <c r="CE43" s="99"/>
      <c r="CF43" s="237"/>
      <c r="CG43" s="88" t="s">
        <v>2861</v>
      </c>
      <c r="CH43" s="88" t="s">
        <v>2341</v>
      </c>
      <c r="CI43" s="88" t="s">
        <v>2761</v>
      </c>
      <c r="CJ43" s="88" t="s">
        <v>2862</v>
      </c>
      <c r="CK43" s="102"/>
      <c r="CL43" s="88" t="s">
        <v>2863</v>
      </c>
      <c r="CM43" s="88" t="s">
        <v>1772</v>
      </c>
      <c r="CN43" s="88" t="s">
        <v>2864</v>
      </c>
      <c r="CO43" s="88" t="s">
        <v>2865</v>
      </c>
      <c r="CP43" s="99"/>
      <c r="CQ43" s="88" t="s">
        <v>2463</v>
      </c>
      <c r="CR43" s="99"/>
      <c r="CS43" s="88" t="s">
        <v>2866</v>
      </c>
      <c r="CT43" s="88" t="s">
        <v>2867</v>
      </c>
      <c r="CU43" s="92"/>
      <c r="CV43" s="88" t="s">
        <v>2868</v>
      </c>
      <c r="CW43" s="88" t="s">
        <v>187</v>
      </c>
      <c r="CX43" s="272" t="s">
        <v>609</v>
      </c>
      <c r="CY43" s="88" t="s">
        <v>1322</v>
      </c>
      <c r="CZ43" s="88" t="s">
        <v>2100</v>
      </c>
      <c r="DA43" s="88" t="s">
        <v>2341</v>
      </c>
      <c r="DB43" s="88" t="s">
        <v>2869</v>
      </c>
      <c r="DC43" s="88" t="s">
        <v>1216</v>
      </c>
      <c r="DD43" s="99"/>
      <c r="DE43" s="99"/>
      <c r="DF43" s="88" t="s">
        <v>2870</v>
      </c>
      <c r="DG43" s="88" t="s">
        <v>2871</v>
      </c>
      <c r="DH43" s="237"/>
      <c r="DI43" s="88" t="s">
        <v>921</v>
      </c>
      <c r="DJ43" s="99"/>
      <c r="DK43" s="99"/>
      <c r="DL43" s="99"/>
      <c r="DM43" s="99"/>
      <c r="DN43" s="99"/>
      <c r="DO43" s="88" t="s">
        <v>2872</v>
      </c>
      <c r="DP43" s="88" t="s">
        <v>2873</v>
      </c>
      <c r="DQ43" s="99"/>
      <c r="DR43" s="88" t="s">
        <v>2874</v>
      </c>
      <c r="DS43" s="88" t="s">
        <v>320</v>
      </c>
      <c r="DT43" s="99"/>
      <c r="DU43" s="99"/>
      <c r="DV43" s="99"/>
      <c r="DW43" s="99"/>
      <c r="DX43" s="88" t="s">
        <v>2875</v>
      </c>
      <c r="DY43" s="99"/>
      <c r="DZ43" s="88" t="s">
        <v>1006</v>
      </c>
      <c r="EA43" s="99"/>
      <c r="EB43" s="99"/>
      <c r="EC43" s="88" t="s">
        <v>2344</v>
      </c>
      <c r="ED43" s="258"/>
    </row>
    <row r="44">
      <c r="A44" s="386" t="s">
        <v>2876</v>
      </c>
      <c r="B44" s="104" t="s">
        <v>2877</v>
      </c>
      <c r="C44" s="105" t="s">
        <v>1259</v>
      </c>
      <c r="D44" s="106" t="s">
        <v>1259</v>
      </c>
      <c r="E44" s="107" t="s">
        <v>1259</v>
      </c>
      <c r="F44" s="108" t="s">
        <v>2878</v>
      </c>
      <c r="G44" s="104" t="s">
        <v>2879</v>
      </c>
      <c r="H44" s="166" t="s">
        <v>2880</v>
      </c>
      <c r="I44" s="387" t="s">
        <v>2881</v>
      </c>
      <c r="J44" s="388" t="s">
        <v>2882</v>
      </c>
      <c r="K44" s="387" t="s">
        <v>2883</v>
      </c>
      <c r="L44" s="387" t="s">
        <v>2884</v>
      </c>
      <c r="M44" s="166" t="s">
        <v>2885</v>
      </c>
      <c r="N44" s="387" t="s">
        <v>2886</v>
      </c>
      <c r="O44" s="388" t="s">
        <v>2887</v>
      </c>
      <c r="P44" s="389" t="str">
        <f>HYPERLINK("https://clips.twitch.tv/BetterEnticingWatercressDancingBaby","16.08")</f>
        <v>16.08</v>
      </c>
      <c r="Q44" s="390" t="s">
        <v>2888</v>
      </c>
      <c r="R44" s="391"/>
      <c r="S44" s="390" t="s">
        <v>805</v>
      </c>
      <c r="T44" s="166" t="s">
        <v>2889</v>
      </c>
      <c r="U44" s="389" t="str">
        <f>HYPERLINK("https://youtu.be/HHFrEbWlPX4","50.03")</f>
        <v>50.03</v>
      </c>
      <c r="V44" s="392" t="s">
        <v>2890</v>
      </c>
      <c r="W44" s="153"/>
      <c r="X44" s="393" t="s">
        <v>2891</v>
      </c>
      <c r="Y44" s="393"/>
      <c r="Z44" s="393" t="s">
        <v>2892</v>
      </c>
      <c r="AA44" s="393" t="s">
        <v>2893</v>
      </c>
      <c r="AB44" s="393" t="s">
        <v>2894</v>
      </c>
      <c r="AC44" s="393" t="s">
        <v>2631</v>
      </c>
      <c r="AD44" s="393" t="s">
        <v>2895</v>
      </c>
      <c r="AE44" s="394"/>
      <c r="AF44" s="395" t="s">
        <v>2896</v>
      </c>
      <c r="AG44" s="395" t="s">
        <v>2667</v>
      </c>
      <c r="AH44" s="396" t="str">
        <f>HYPERLINK("https://youtu.be/N6tkTf4Wb68","53.04")</f>
        <v>53.04</v>
      </c>
      <c r="AI44" s="395"/>
      <c r="AJ44" s="395" t="s">
        <v>1230</v>
      </c>
      <c r="AK44" s="397" t="s">
        <v>2897</v>
      </c>
      <c r="AL44" s="158"/>
      <c r="AM44" s="167" t="s">
        <v>2898</v>
      </c>
      <c r="AN44" s="398" t="s">
        <v>2899</v>
      </c>
      <c r="AO44" s="167" t="s">
        <v>2900</v>
      </c>
      <c r="AP44" s="399" t="s">
        <v>2901</v>
      </c>
      <c r="AQ44" s="400"/>
      <c r="AR44" s="400"/>
      <c r="AS44" s="399" t="s">
        <v>1078</v>
      </c>
      <c r="AT44" s="398" t="s">
        <v>748</v>
      </c>
      <c r="AU44" s="167" t="s">
        <v>1216</v>
      </c>
      <c r="AV44" s="401" t="str">
        <f>HYPERLINK("https://www.youtube.com/watch?v=I53jRzHVHbs","25.78")</f>
        <v>25.78</v>
      </c>
      <c r="AW44" s="399" t="s">
        <v>889</v>
      </c>
      <c r="AX44" s="400"/>
      <c r="AY44" s="399" t="s">
        <v>2902</v>
      </c>
      <c r="AZ44" s="402" t="s">
        <v>142</v>
      </c>
      <c r="BA44" s="403"/>
      <c r="BB44" s="173" t="s">
        <v>2903</v>
      </c>
      <c r="BC44" s="404" t="s">
        <v>2904</v>
      </c>
      <c r="BD44" s="404" t="s">
        <v>1289</v>
      </c>
      <c r="BE44" s="405" t="s">
        <v>2578</v>
      </c>
      <c r="BF44" s="406" t="s">
        <v>2905</v>
      </c>
      <c r="BG44" s="404" t="s">
        <v>1698</v>
      </c>
      <c r="BH44" s="173" t="s">
        <v>2906</v>
      </c>
      <c r="BI44" s="404" t="s">
        <v>409</v>
      </c>
      <c r="BJ44" s="172"/>
      <c r="BK44" s="405" t="s">
        <v>2907</v>
      </c>
      <c r="BL44" s="404" t="s">
        <v>2682</v>
      </c>
      <c r="BM44" s="126" t="s">
        <v>2908</v>
      </c>
      <c r="BN44" s="407" t="str">
        <f>HYPERLINK("https://youtu.be/PNHoaVHANBk","42.06")</f>
        <v>42.06</v>
      </c>
      <c r="BO44" s="404" t="s">
        <v>884</v>
      </c>
      <c r="BP44" s="408" t="s">
        <v>2909</v>
      </c>
      <c r="BQ44" s="408"/>
      <c r="BR44" s="409"/>
      <c r="BS44" s="410" t="s">
        <v>2910</v>
      </c>
      <c r="BT44" s="410" t="s">
        <v>2911</v>
      </c>
      <c r="BU44" s="411" t="s">
        <v>2912</v>
      </c>
      <c r="BV44" s="174" t="s">
        <v>401</v>
      </c>
      <c r="BW44" s="411" t="s">
        <v>2913</v>
      </c>
      <c r="BX44" s="174"/>
      <c r="BY44" s="174"/>
      <c r="BZ44" s="411" t="s">
        <v>2914</v>
      </c>
      <c r="CA44" s="410" t="s">
        <v>2915</v>
      </c>
      <c r="CB44" s="411" t="s">
        <v>2916</v>
      </c>
      <c r="CC44" s="412" t="s">
        <v>713</v>
      </c>
      <c r="CD44" s="413" t="s">
        <v>1013</v>
      </c>
      <c r="CE44" s="414" t="s">
        <v>2917</v>
      </c>
      <c r="CF44" s="415"/>
      <c r="CG44" s="416" t="s">
        <v>1737</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2925</v>
      </c>
      <c r="CZ44" s="203" t="s">
        <v>2926</v>
      </c>
      <c r="DA44" s="203" t="s">
        <v>2480</v>
      </c>
      <c r="DB44" s="422" t="s">
        <v>2927</v>
      </c>
      <c r="DC44" s="423" t="s">
        <v>2675</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2437</v>
      </c>
      <c r="DS44" s="428"/>
      <c r="DT44" s="428" t="s">
        <v>2016</v>
      </c>
      <c r="DU44" s="427" t="s">
        <v>2934</v>
      </c>
      <c r="DV44" s="428" t="s">
        <v>2935</v>
      </c>
      <c r="DW44" s="428" t="s">
        <v>2936</v>
      </c>
      <c r="DX44" s="426"/>
      <c r="DY44" s="427" t="s">
        <v>2937</v>
      </c>
      <c r="DZ44" s="427" t="s">
        <v>2938</v>
      </c>
      <c r="EA44" s="427" t="s">
        <v>2939</v>
      </c>
      <c r="EB44" s="427" t="s">
        <v>1935</v>
      </c>
      <c r="EC44" s="427" t="s">
        <v>1493</v>
      </c>
      <c r="ED44" s="287" t="s">
        <v>2940</v>
      </c>
    </row>
    <row r="45">
      <c r="A45" s="288" t="s">
        <v>2941</v>
      </c>
      <c r="B45" s="82" t="s">
        <v>2942</v>
      </c>
      <c r="C45" s="83" t="s">
        <v>1259</v>
      </c>
      <c r="D45" s="84" t="s">
        <v>647</v>
      </c>
      <c r="E45" s="85" t="s">
        <v>1199</v>
      </c>
      <c r="F45" s="86" t="s">
        <v>2943</v>
      </c>
      <c r="G45" s="82" t="s">
        <v>1350</v>
      </c>
      <c r="H45" s="94" t="s">
        <v>2090</v>
      </c>
      <c r="I45" s="94" t="s">
        <v>2944</v>
      </c>
      <c r="J45" s="94" t="s">
        <v>2945</v>
      </c>
      <c r="K45" s="94" t="s">
        <v>2164</v>
      </c>
      <c r="L45" s="93" t="s">
        <v>1917</v>
      </c>
      <c r="M45" s="99"/>
      <c r="N45" s="99"/>
      <c r="O45" s="93" t="s">
        <v>2946</v>
      </c>
      <c r="P45" s="94" t="s">
        <v>2947</v>
      </c>
      <c r="Q45" s="89" t="s">
        <v>2755</v>
      </c>
      <c r="R45" s="94"/>
      <c r="S45" s="94" t="s">
        <v>1062</v>
      </c>
      <c r="T45" s="93"/>
      <c r="U45" s="93" t="s">
        <v>2948</v>
      </c>
      <c r="V45" s="90" t="s">
        <v>2949</v>
      </c>
      <c r="W45" s="226"/>
      <c r="X45" s="94" t="s">
        <v>2950</v>
      </c>
      <c r="Y45" s="94"/>
      <c r="Z45" s="94" t="s">
        <v>2951</v>
      </c>
      <c r="AA45" s="94" t="s">
        <v>2040</v>
      </c>
      <c r="AB45" s="94" t="s">
        <v>2952</v>
      </c>
      <c r="AC45" s="94" t="s">
        <v>2953</v>
      </c>
      <c r="AD45" s="94" t="s">
        <v>2954</v>
      </c>
      <c r="AE45" s="94"/>
      <c r="AF45" s="94" t="s">
        <v>807</v>
      </c>
      <c r="AG45" s="94" t="s">
        <v>2955</v>
      </c>
      <c r="AH45" s="94" t="s">
        <v>2956</v>
      </c>
      <c r="AI45" s="94"/>
      <c r="AJ45" s="94" t="s">
        <v>2212</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1942</v>
      </c>
      <c r="AV45" s="94" t="s">
        <v>874</v>
      </c>
      <c r="AW45" s="94" t="s">
        <v>2963</v>
      </c>
      <c r="AX45" s="88" t="s">
        <v>198</v>
      </c>
      <c r="AY45" s="88" t="s">
        <v>2964</v>
      </c>
      <c r="AZ45" s="98" t="s">
        <v>2965</v>
      </c>
      <c r="BA45" s="95"/>
      <c r="BB45" s="94" t="s">
        <v>2966</v>
      </c>
      <c r="BC45" s="99"/>
      <c r="BD45" s="94" t="s">
        <v>1394</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2912</v>
      </c>
      <c r="BX45" s="94" t="s">
        <v>2885</v>
      </c>
      <c r="BY45" s="94" t="s">
        <v>2976</v>
      </c>
      <c r="BZ45" s="94" t="s">
        <v>2977</v>
      </c>
      <c r="CA45" s="88" t="s">
        <v>2978</v>
      </c>
      <c r="CB45" s="94" t="s">
        <v>2979</v>
      </c>
      <c r="CC45" s="94" t="s">
        <v>1770</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1396</v>
      </c>
      <c r="CR45" s="102"/>
      <c r="CS45" s="89" t="s">
        <v>2986</v>
      </c>
      <c r="CT45" s="98" t="s">
        <v>2987</v>
      </c>
      <c r="CU45" s="92"/>
      <c r="CV45" s="99"/>
      <c r="CW45" s="94" t="s">
        <v>2920</v>
      </c>
      <c r="CX45" s="93" t="s">
        <v>1143</v>
      </c>
      <c r="CY45" s="94" t="s">
        <v>2988</v>
      </c>
      <c r="CZ45" s="94" t="s">
        <v>2989</v>
      </c>
      <c r="DA45" s="94" t="s">
        <v>735</v>
      </c>
      <c r="DB45" s="94" t="s">
        <v>2990</v>
      </c>
      <c r="DC45" s="94" t="s">
        <v>2401</v>
      </c>
      <c r="DD45" s="98" t="str">
        <f>HYPERLINK("https://youtu.be/BJNJgSLnXTM","1:18.10")</f>
        <v>1:18.10</v>
      </c>
      <c r="DE45" s="94" t="s">
        <v>2991</v>
      </c>
      <c r="DF45" s="93" t="s">
        <v>2934</v>
      </c>
      <c r="DG45" s="98" t="s">
        <v>1983</v>
      </c>
      <c r="DH45" s="91"/>
      <c r="DI45" s="99"/>
      <c r="DJ45" s="94" t="s">
        <v>2992</v>
      </c>
      <c r="DK45" s="99"/>
      <c r="DL45" s="89" t="s">
        <v>2993</v>
      </c>
      <c r="DM45" s="94" t="s">
        <v>2644</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1259</v>
      </c>
      <c r="D46" s="106" t="s">
        <v>1259</v>
      </c>
      <c r="E46" s="107" t="s">
        <v>1259</v>
      </c>
      <c r="F46" s="108" t="s">
        <v>3000</v>
      </c>
      <c r="G46" s="104" t="s">
        <v>3001</v>
      </c>
      <c r="H46" s="166" t="s">
        <v>3002</v>
      </c>
      <c r="I46" s="166" t="s">
        <v>2698</v>
      </c>
      <c r="J46" s="166" t="s">
        <v>3003</v>
      </c>
      <c r="K46" s="112" t="s">
        <v>1951</v>
      </c>
      <c r="L46" s="293" t="s">
        <v>344</v>
      </c>
      <c r="M46" s="112" t="s">
        <v>943</v>
      </c>
      <c r="N46" s="112" t="s">
        <v>3004</v>
      </c>
      <c r="O46" s="112" t="s">
        <v>2753</v>
      </c>
      <c r="P46" s="112" t="s">
        <v>1562</v>
      </c>
      <c r="Q46" s="430" t="s">
        <v>3005</v>
      </c>
      <c r="R46" s="431" t="s">
        <v>1305</v>
      </c>
      <c r="S46" s="112" t="s">
        <v>112</v>
      </c>
      <c r="T46" s="293" t="s">
        <v>1741</v>
      </c>
      <c r="U46" s="166" t="s">
        <v>1235</v>
      </c>
      <c r="V46" s="166" t="s">
        <v>3006</v>
      </c>
      <c r="W46" s="92"/>
      <c r="X46" s="116" t="s">
        <v>1418</v>
      </c>
      <c r="Y46" s="198"/>
      <c r="Z46" s="198" t="s">
        <v>720</v>
      </c>
      <c r="AA46" s="296" t="s">
        <v>3007</v>
      </c>
      <c r="AB46" s="296" t="s">
        <v>3008</v>
      </c>
      <c r="AC46" s="198" t="s">
        <v>1581</v>
      </c>
      <c r="AD46" s="116" t="s">
        <v>3009</v>
      </c>
      <c r="AE46" s="198" t="s">
        <v>3010</v>
      </c>
      <c r="AF46" s="198" t="s">
        <v>3011</v>
      </c>
      <c r="AG46" s="116" t="s">
        <v>2519</v>
      </c>
      <c r="AH46" s="198" t="s">
        <v>1560</v>
      </c>
      <c r="AI46" s="198" t="s">
        <v>3012</v>
      </c>
      <c r="AJ46" s="198" t="s">
        <v>2888</v>
      </c>
      <c r="AK46" s="198" t="s">
        <v>2523</v>
      </c>
      <c r="AL46" s="97"/>
      <c r="AM46" s="167" t="s">
        <v>847</v>
      </c>
      <c r="AN46" s="121" t="s">
        <v>2923</v>
      </c>
      <c r="AO46" s="167" t="s">
        <v>3013</v>
      </c>
      <c r="AP46" s="167" t="s">
        <v>3014</v>
      </c>
      <c r="AQ46" s="167" t="s">
        <v>3015</v>
      </c>
      <c r="AR46" s="432" t="s">
        <v>3016</v>
      </c>
      <c r="AS46" s="167" t="s">
        <v>3017</v>
      </c>
      <c r="AT46" s="121" t="s">
        <v>1312</v>
      </c>
      <c r="AU46" s="167" t="s">
        <v>1575</v>
      </c>
      <c r="AV46" s="167" t="s">
        <v>1122</v>
      </c>
      <c r="AW46" s="167" t="s">
        <v>3018</v>
      </c>
      <c r="AX46" s="167" t="s">
        <v>1522</v>
      </c>
      <c r="AY46" s="167" t="s">
        <v>1062</v>
      </c>
      <c r="AZ46" s="432" t="s">
        <v>3019</v>
      </c>
      <c r="BA46" s="432"/>
      <c r="BB46" s="126" t="s">
        <v>2840</v>
      </c>
      <c r="BC46" s="173" t="s">
        <v>1476</v>
      </c>
      <c r="BD46" s="126" t="s">
        <v>3020</v>
      </c>
      <c r="BE46" s="126" t="s">
        <v>3021</v>
      </c>
      <c r="BF46" s="173" t="s">
        <v>1213</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1615</v>
      </c>
      <c r="BT46" s="129" t="s">
        <v>2547</v>
      </c>
      <c r="BU46" s="129" t="s">
        <v>892</v>
      </c>
      <c r="BV46" s="129" t="s">
        <v>3030</v>
      </c>
      <c r="BW46" s="129" t="s">
        <v>2260</v>
      </c>
      <c r="BX46" s="249"/>
      <c r="BY46" s="174" t="s">
        <v>1991</v>
      </c>
      <c r="BZ46" s="304" t="s">
        <v>3031</v>
      </c>
      <c r="CA46" s="174" t="s">
        <v>3032</v>
      </c>
      <c r="CB46" s="129" t="s">
        <v>3033</v>
      </c>
      <c r="CC46" s="174" t="s">
        <v>3034</v>
      </c>
      <c r="CD46" s="129" t="s">
        <v>1207</v>
      </c>
      <c r="CE46" s="129" t="s">
        <v>3035</v>
      </c>
      <c r="CF46" s="174"/>
      <c r="CG46" s="381" t="s">
        <v>3036</v>
      </c>
      <c r="CH46" s="177" t="s">
        <v>3037</v>
      </c>
      <c r="CI46" s="177" t="s">
        <v>3038</v>
      </c>
      <c r="CJ46" s="177" t="s">
        <v>3039</v>
      </c>
      <c r="CK46" s="177"/>
      <c r="CL46" s="177" t="s">
        <v>3040</v>
      </c>
      <c r="CM46" s="177" t="s">
        <v>3041</v>
      </c>
      <c r="CN46" s="134" t="s">
        <v>1779</v>
      </c>
      <c r="CO46" s="177" t="s">
        <v>3042</v>
      </c>
      <c r="CP46" s="177" t="s">
        <v>3043</v>
      </c>
      <c r="CQ46" s="134" t="s">
        <v>3044</v>
      </c>
      <c r="CR46" s="252"/>
      <c r="CS46" s="177" t="s">
        <v>3045</v>
      </c>
      <c r="CT46" s="177" t="s">
        <v>3046</v>
      </c>
      <c r="CU46" s="92"/>
      <c r="CV46" s="203" t="s">
        <v>3047</v>
      </c>
      <c r="CW46" s="203" t="s">
        <v>2251</v>
      </c>
      <c r="CX46" s="203" t="s">
        <v>968</v>
      </c>
      <c r="CY46" s="139" t="s">
        <v>602</v>
      </c>
      <c r="CZ46" s="203" t="s">
        <v>3048</v>
      </c>
      <c r="DA46" s="203" t="s">
        <v>1111</v>
      </c>
      <c r="DB46" s="139" t="s">
        <v>3049</v>
      </c>
      <c r="DC46" s="203" t="s">
        <v>3050</v>
      </c>
      <c r="DD46" s="203" t="s">
        <v>1774</v>
      </c>
      <c r="DE46" s="203" t="s">
        <v>1748</v>
      </c>
      <c r="DF46" s="203" t="s">
        <v>3051</v>
      </c>
      <c r="DG46" s="203" t="s">
        <v>3052</v>
      </c>
      <c r="DH46" s="203"/>
      <c r="DI46" s="204" t="s">
        <v>1068</v>
      </c>
      <c r="DJ46" s="255"/>
      <c r="DK46" s="255"/>
      <c r="DL46" s="204"/>
      <c r="DM46" s="144" t="s">
        <v>3053</v>
      </c>
      <c r="DN46" s="204" t="s">
        <v>3054</v>
      </c>
      <c r="DO46" s="204" t="s">
        <v>3055</v>
      </c>
      <c r="DP46" s="204" t="s">
        <v>3056</v>
      </c>
      <c r="DQ46" s="204" t="s">
        <v>3057</v>
      </c>
      <c r="DR46" s="204" t="s">
        <v>1353</v>
      </c>
      <c r="DS46" s="144" t="s">
        <v>3058</v>
      </c>
      <c r="DT46" s="204" t="s">
        <v>3059</v>
      </c>
      <c r="DU46" s="204" t="s">
        <v>2647</v>
      </c>
      <c r="DV46" s="204" t="s">
        <v>3060</v>
      </c>
      <c r="DW46" s="204" t="s">
        <v>3061</v>
      </c>
      <c r="DX46" s="204" t="s">
        <v>3062</v>
      </c>
      <c r="DY46" s="204" t="s">
        <v>1002</v>
      </c>
      <c r="DZ46" s="144" t="s">
        <v>3063</v>
      </c>
      <c r="EA46" s="204" t="s">
        <v>2330</v>
      </c>
      <c r="EB46" s="204" t="s">
        <v>1515</v>
      </c>
      <c r="EC46" s="204" t="s">
        <v>930</v>
      </c>
      <c r="ED46" s="287" t="s">
        <v>3064</v>
      </c>
    </row>
    <row r="47">
      <c r="A47" s="433" t="s">
        <v>3065</v>
      </c>
      <c r="B47" s="82" t="s">
        <v>3066</v>
      </c>
      <c r="C47" s="83" t="s">
        <v>1259</v>
      </c>
      <c r="D47" s="84" t="s">
        <v>544</v>
      </c>
      <c r="E47" s="85" t="s">
        <v>544</v>
      </c>
      <c r="F47" s="86" t="s">
        <v>3067</v>
      </c>
      <c r="G47" s="82" t="s">
        <v>1417</v>
      </c>
      <c r="H47" s="314" t="s">
        <v>101</v>
      </c>
      <c r="I47" s="314" t="s">
        <v>3068</v>
      </c>
      <c r="J47" s="314" t="s">
        <v>1556</v>
      </c>
      <c r="K47" s="314" t="s">
        <v>1557</v>
      </c>
      <c r="L47" s="314" t="s">
        <v>345</v>
      </c>
      <c r="M47" s="314" t="s">
        <v>3069</v>
      </c>
      <c r="N47" s="314" t="s">
        <v>3070</v>
      </c>
      <c r="O47" s="314" t="s">
        <v>3071</v>
      </c>
      <c r="P47" s="313" t="s">
        <v>342</v>
      </c>
      <c r="Q47" s="314"/>
      <c r="R47" s="314"/>
      <c r="S47" s="314"/>
      <c r="T47" s="314"/>
      <c r="U47" s="314"/>
      <c r="V47" s="314"/>
      <c r="W47" s="153"/>
      <c r="X47" s="314" t="s">
        <v>3072</v>
      </c>
      <c r="Y47" s="434"/>
      <c r="Z47" s="313" t="s">
        <v>1819</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1786</v>
      </c>
      <c r="AV47" s="313" t="s">
        <v>259</v>
      </c>
      <c r="AW47" s="314"/>
      <c r="AX47" s="314"/>
      <c r="AY47" s="314" t="s">
        <v>3079</v>
      </c>
      <c r="AZ47" s="314"/>
      <c r="BA47" s="314"/>
      <c r="BB47" s="314" t="s">
        <v>1193</v>
      </c>
      <c r="BC47" s="314" t="s">
        <v>3080</v>
      </c>
      <c r="BD47" s="313" t="s">
        <v>145</v>
      </c>
      <c r="BE47" s="313" t="s">
        <v>3081</v>
      </c>
      <c r="BF47" s="314" t="s">
        <v>1213</v>
      </c>
      <c r="BG47" s="314" t="s">
        <v>1817</v>
      </c>
      <c r="BH47" s="314"/>
      <c r="BI47" s="314" t="s">
        <v>1586</v>
      </c>
      <c r="BJ47" s="314"/>
      <c r="BK47" s="314" t="s">
        <v>3082</v>
      </c>
      <c r="BL47" s="314" t="s">
        <v>3083</v>
      </c>
      <c r="BM47" s="314"/>
      <c r="BN47" s="266" t="s">
        <v>3084</v>
      </c>
      <c r="BO47" s="314"/>
      <c r="BP47" s="314"/>
      <c r="BQ47" s="319"/>
      <c r="BR47" s="314"/>
      <c r="BS47" s="314" t="s">
        <v>2906</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2234</v>
      </c>
      <c r="CN47" s="314" t="s">
        <v>2480</v>
      </c>
      <c r="CO47" s="313" t="s">
        <v>2739</v>
      </c>
      <c r="CP47" s="314"/>
      <c r="CQ47" s="314" t="s">
        <v>1852</v>
      </c>
      <c r="CR47" s="314"/>
      <c r="CS47" s="314" t="s">
        <v>3094</v>
      </c>
      <c r="CT47" s="314"/>
      <c r="CU47" s="153"/>
      <c r="CV47" s="314" t="s">
        <v>3095</v>
      </c>
      <c r="CW47" s="314" t="s">
        <v>877</v>
      </c>
      <c r="CX47" s="222" t="s">
        <v>3096</v>
      </c>
      <c r="CY47" s="314" t="s">
        <v>2925</v>
      </c>
      <c r="CZ47" s="314"/>
      <c r="DA47" s="314"/>
      <c r="DB47" s="313" t="s">
        <v>3097</v>
      </c>
      <c r="DC47" s="314" t="s">
        <v>1786</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1259</v>
      </c>
      <c r="D48" s="106" t="s">
        <v>544</v>
      </c>
      <c r="E48" s="107" t="s">
        <v>544</v>
      </c>
      <c r="F48" s="108" t="s">
        <v>3105</v>
      </c>
      <c r="G48" s="104" t="s">
        <v>1808</v>
      </c>
      <c r="H48" s="242"/>
      <c r="I48" s="112" t="s">
        <v>3106</v>
      </c>
      <c r="J48" s="112" t="s">
        <v>3107</v>
      </c>
      <c r="K48" s="112" t="s">
        <v>443</v>
      </c>
      <c r="L48" s="112" t="s">
        <v>3108</v>
      </c>
      <c r="M48" s="112" t="s">
        <v>3109</v>
      </c>
      <c r="N48" s="112" t="s">
        <v>3110</v>
      </c>
      <c r="O48" s="112" t="s">
        <v>2753</v>
      </c>
      <c r="P48" s="166" t="s">
        <v>3111</v>
      </c>
      <c r="Q48" s="242"/>
      <c r="R48" s="242"/>
      <c r="S48" s="242"/>
      <c r="T48" s="242"/>
      <c r="U48" s="242"/>
      <c r="V48" s="242"/>
      <c r="W48" s="92"/>
      <c r="X48" s="116" t="s">
        <v>3112</v>
      </c>
      <c r="Y48" s="198"/>
      <c r="Z48" s="198" t="s">
        <v>3113</v>
      </c>
      <c r="AA48" s="116" t="s">
        <v>3114</v>
      </c>
      <c r="AB48" s="116" t="s">
        <v>2041</v>
      </c>
      <c r="AC48" s="295" t="s">
        <v>3115</v>
      </c>
      <c r="AD48" s="270" t="s">
        <v>3116</v>
      </c>
      <c r="AE48" s="244"/>
      <c r="AF48" s="270" t="s">
        <v>3117</v>
      </c>
      <c r="AG48" s="116" t="s">
        <v>1433</v>
      </c>
      <c r="AH48" s="244"/>
      <c r="AI48" s="244"/>
      <c r="AJ48" s="244"/>
      <c r="AK48" s="244"/>
      <c r="AL48" s="97"/>
      <c r="AM48" s="245"/>
      <c r="AN48" s="121" t="s">
        <v>3118</v>
      </c>
      <c r="AO48" s="245"/>
      <c r="AP48" s="245"/>
      <c r="AQ48" s="245"/>
      <c r="AR48" s="245"/>
      <c r="AS48" s="245"/>
      <c r="AT48" s="245"/>
      <c r="AU48" s="167" t="s">
        <v>1942</v>
      </c>
      <c r="AV48" s="121" t="s">
        <v>3119</v>
      </c>
      <c r="AW48" s="245"/>
      <c r="AX48" s="245"/>
      <c r="AY48" s="245"/>
      <c r="AZ48" s="245"/>
      <c r="BA48" s="245"/>
      <c r="BB48" s="126" t="s">
        <v>3120</v>
      </c>
      <c r="BC48" s="126" t="s">
        <v>2306</v>
      </c>
      <c r="BD48" s="173" t="s">
        <v>2798</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1849</v>
      </c>
      <c r="CH48" s="134" t="s">
        <v>1919</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2218</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1951</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2620</v>
      </c>
      <c r="BF49" s="94" t="s">
        <v>3167</v>
      </c>
      <c r="BG49" s="94" t="s">
        <v>263</v>
      </c>
      <c r="BH49" s="94" t="s">
        <v>3168</v>
      </c>
      <c r="BI49" s="94" t="s">
        <v>1107</v>
      </c>
      <c r="BJ49" s="94" t="s">
        <v>3169</v>
      </c>
      <c r="BK49" s="94"/>
      <c r="BL49" s="94" t="s">
        <v>3170</v>
      </c>
      <c r="BM49" s="99"/>
      <c r="BN49" s="94" t="s">
        <v>261</v>
      </c>
      <c r="BO49" s="94" t="s">
        <v>2544</v>
      </c>
      <c r="BP49" s="99"/>
      <c r="BQ49" s="237"/>
      <c r="BR49" s="94"/>
      <c r="BS49" s="94" t="s">
        <v>1776</v>
      </c>
      <c r="BT49" s="94" t="s">
        <v>2771</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2219</v>
      </c>
      <c r="CI49" s="94" t="s">
        <v>3179</v>
      </c>
      <c r="CJ49" s="94" t="s">
        <v>3180</v>
      </c>
      <c r="CK49" s="94"/>
      <c r="CL49" s="94" t="s">
        <v>3181</v>
      </c>
      <c r="CM49" s="316" t="s">
        <v>3182</v>
      </c>
      <c r="CN49" s="93" t="s">
        <v>2516</v>
      </c>
      <c r="CO49" s="94" t="s">
        <v>2148</v>
      </c>
      <c r="CP49" s="99"/>
      <c r="CQ49" s="94" t="s">
        <v>1779</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3037</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2088</v>
      </c>
      <c r="G50" s="104" t="s">
        <v>545</v>
      </c>
      <c r="H50" s="112" t="s">
        <v>3202</v>
      </c>
      <c r="I50" s="321" t="s">
        <v>2307</v>
      </c>
      <c r="J50" s="112" t="s">
        <v>1062</v>
      </c>
      <c r="K50" s="293" t="s">
        <v>2883</v>
      </c>
      <c r="L50" s="293" t="s">
        <v>2571</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2905</v>
      </c>
      <c r="AE50" s="244"/>
      <c r="AF50" s="116" t="s">
        <v>1214</v>
      </c>
      <c r="AG50" s="116" t="s">
        <v>2519</v>
      </c>
      <c r="AH50" s="244"/>
      <c r="AI50" s="244"/>
      <c r="AJ50" s="116" t="s">
        <v>3213</v>
      </c>
      <c r="AK50" s="116" t="s">
        <v>3214</v>
      </c>
      <c r="AL50" s="97"/>
      <c r="AM50" s="279" t="s">
        <v>1447</v>
      </c>
      <c r="AN50" s="121" t="s">
        <v>3215</v>
      </c>
      <c r="AO50" s="279" t="s">
        <v>3216</v>
      </c>
      <c r="AP50" s="121" t="s">
        <v>3217</v>
      </c>
      <c r="AQ50" s="167" t="s">
        <v>3218</v>
      </c>
      <c r="AR50" s="167" t="s">
        <v>1843</v>
      </c>
      <c r="AS50" s="167" t="s">
        <v>3219</v>
      </c>
      <c r="AT50" s="245"/>
      <c r="AU50" s="121" t="s">
        <v>2499</v>
      </c>
      <c r="AV50" s="279" t="s">
        <v>2458</v>
      </c>
      <c r="AW50" s="279" t="s">
        <v>3044</v>
      </c>
      <c r="AX50" s="245"/>
      <c r="AY50" s="121" t="s">
        <v>1331</v>
      </c>
      <c r="AZ50" s="121" t="s">
        <v>3220</v>
      </c>
      <c r="BA50" s="245"/>
      <c r="BB50" s="372" t="s">
        <v>2389</v>
      </c>
      <c r="BC50" s="126" t="s">
        <v>2707</v>
      </c>
      <c r="BD50" s="372" t="s">
        <v>2696</v>
      </c>
      <c r="BE50" s="372" t="s">
        <v>3221</v>
      </c>
      <c r="BF50" s="126" t="s">
        <v>147</v>
      </c>
      <c r="BG50" s="372" t="s">
        <v>3222</v>
      </c>
      <c r="BH50" s="172"/>
      <c r="BI50" s="372" t="s">
        <v>3096</v>
      </c>
      <c r="BJ50" s="126" t="s">
        <v>276</v>
      </c>
      <c r="BK50" s="372"/>
      <c r="BL50" s="126" t="s">
        <v>3024</v>
      </c>
      <c r="BM50" s="173" t="s">
        <v>3223</v>
      </c>
      <c r="BN50" s="173" t="s">
        <v>2232</v>
      </c>
      <c r="BO50" s="372" t="s">
        <v>1983</v>
      </c>
      <c r="BP50" s="126" t="s">
        <v>3224</v>
      </c>
      <c r="BQ50" s="247"/>
      <c r="BR50" s="130" t="s">
        <v>2475</v>
      </c>
      <c r="BS50" s="130" t="s">
        <v>3225</v>
      </c>
      <c r="BT50" s="130" t="s">
        <v>3226</v>
      </c>
      <c r="BU50" s="129" t="s">
        <v>378</v>
      </c>
      <c r="BV50" s="130" t="s">
        <v>3227</v>
      </c>
      <c r="BW50" s="129" t="s">
        <v>3228</v>
      </c>
      <c r="BX50" s="129" t="s">
        <v>3229</v>
      </c>
      <c r="BY50" s="129" t="s">
        <v>3230</v>
      </c>
      <c r="BZ50" s="130"/>
      <c r="CA50" s="129" t="s">
        <v>1793</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2820</v>
      </c>
      <c r="DD50" s="203" t="s">
        <v>3250</v>
      </c>
      <c r="DE50" s="139" t="s">
        <v>3251</v>
      </c>
      <c r="DF50" s="203" t="s">
        <v>1041</v>
      </c>
      <c r="DG50" s="139" t="s">
        <v>3252</v>
      </c>
      <c r="DH50" s="263"/>
      <c r="DI50" s="205" t="s">
        <v>3253</v>
      </c>
      <c r="DJ50" s="255"/>
      <c r="DK50" s="255"/>
      <c r="DL50" s="205"/>
      <c r="DM50" s="205" t="s">
        <v>2067</v>
      </c>
      <c r="DN50" s="205" t="s">
        <v>3254</v>
      </c>
      <c r="DO50" s="204" t="s">
        <v>3255</v>
      </c>
      <c r="DP50" s="204" t="s">
        <v>3256</v>
      </c>
      <c r="DQ50" s="255"/>
      <c r="DR50" s="144" t="s">
        <v>3257</v>
      </c>
      <c r="DS50" s="205" t="s">
        <v>3258</v>
      </c>
      <c r="DT50" s="144" t="s">
        <v>3259</v>
      </c>
      <c r="DU50" s="440" t="s">
        <v>1363</v>
      </c>
      <c r="DV50" s="144" t="s">
        <v>2354</v>
      </c>
      <c r="DW50" s="204" t="s">
        <v>2936</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2089</v>
      </c>
      <c r="H51" s="94" t="s">
        <v>1679</v>
      </c>
      <c r="I51" s="161" t="s">
        <v>3266</v>
      </c>
      <c r="J51" s="161" t="s">
        <v>3267</v>
      </c>
      <c r="K51" s="88" t="s">
        <v>2656</v>
      </c>
      <c r="L51" s="161" t="s">
        <v>1917</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2516</v>
      </c>
      <c r="AD51" s="88" t="s">
        <v>3275</v>
      </c>
      <c r="AE51" s="94" t="s">
        <v>3276</v>
      </c>
      <c r="AF51" s="266" t="s">
        <v>2284</v>
      </c>
      <c r="AG51" s="161" t="s">
        <v>1892</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2542</v>
      </c>
      <c r="BM51" s="99"/>
      <c r="BN51" s="99"/>
      <c r="BO51" s="99"/>
      <c r="BP51" s="99"/>
      <c r="BQ51" s="237"/>
      <c r="BR51" s="94" t="s">
        <v>3282</v>
      </c>
      <c r="BS51" s="94" t="s">
        <v>774</v>
      </c>
      <c r="BT51" s="88" t="s">
        <v>3283</v>
      </c>
      <c r="BU51" s="88" t="s">
        <v>1794</v>
      </c>
      <c r="BV51" s="94" t="s">
        <v>3284</v>
      </c>
      <c r="BW51" s="272" t="s">
        <v>3285</v>
      </c>
      <c r="BX51" s="94" t="s">
        <v>453</v>
      </c>
      <c r="BY51" s="266" t="s">
        <v>3286</v>
      </c>
      <c r="BZ51" s="161" t="s">
        <v>3287</v>
      </c>
      <c r="CA51" s="161" t="s">
        <v>787</v>
      </c>
      <c r="CB51" s="99"/>
      <c r="CC51" s="99"/>
      <c r="CD51" s="94" t="s">
        <v>2964</v>
      </c>
      <c r="CE51" s="99"/>
      <c r="CF51" s="237"/>
      <c r="CG51" s="94" t="s">
        <v>3288</v>
      </c>
      <c r="CH51" s="88" t="s">
        <v>2794</v>
      </c>
      <c r="CI51" s="161" t="s">
        <v>3289</v>
      </c>
      <c r="CJ51" s="94" t="s">
        <v>3290</v>
      </c>
      <c r="CK51" s="94"/>
      <c r="CL51" s="369" t="s">
        <v>3291</v>
      </c>
      <c r="CM51" s="88" t="s">
        <v>1452</v>
      </c>
      <c r="CN51" s="88" t="s">
        <v>2322</v>
      </c>
      <c r="CO51" s="94" t="s">
        <v>3007</v>
      </c>
      <c r="CP51" s="99"/>
      <c r="CQ51" s="99"/>
      <c r="CR51" s="99"/>
      <c r="CS51" s="99"/>
      <c r="CT51" s="99"/>
      <c r="CU51" s="92"/>
      <c r="CV51" s="94" t="s">
        <v>3292</v>
      </c>
      <c r="CW51" s="161" t="s">
        <v>1535</v>
      </c>
      <c r="CX51" s="94" t="s">
        <v>609</v>
      </c>
      <c r="CY51" s="161" t="s">
        <v>3293</v>
      </c>
      <c r="CZ51" s="94" t="s">
        <v>2538</v>
      </c>
      <c r="DA51" s="94" t="s">
        <v>997</v>
      </c>
      <c r="DB51" s="161" t="s">
        <v>2272</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1951</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3120</v>
      </c>
      <c r="V52" s="166" t="s">
        <v>3308</v>
      </c>
      <c r="W52" s="92"/>
      <c r="X52" s="198" t="s">
        <v>3309</v>
      </c>
      <c r="Y52" s="198"/>
      <c r="Z52" s="198" t="s">
        <v>3310</v>
      </c>
      <c r="AA52" s="198" t="s">
        <v>2285</v>
      </c>
      <c r="AB52" s="198" t="s">
        <v>2925</v>
      </c>
      <c r="AC52" s="198" t="s">
        <v>1962</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2122</v>
      </c>
      <c r="AW52" s="167" t="s">
        <v>1179</v>
      </c>
      <c r="AX52" s="167" t="s">
        <v>925</v>
      </c>
      <c r="AY52" s="167" t="s">
        <v>2946</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2253</v>
      </c>
      <c r="DC52" s="203" t="s">
        <v>3349</v>
      </c>
      <c r="DD52" s="253"/>
      <c r="DE52" s="253"/>
      <c r="DF52" s="253"/>
      <c r="DG52" s="253"/>
      <c r="DH52" s="263"/>
      <c r="DI52" s="204" t="s">
        <v>2750</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2144</v>
      </c>
      <c r="M53" s="94" t="s">
        <v>3357</v>
      </c>
      <c r="N53" s="88" t="s">
        <v>3358</v>
      </c>
      <c r="O53" s="88" t="s">
        <v>3359</v>
      </c>
      <c r="P53" s="88" t="s">
        <v>1562</v>
      </c>
      <c r="Q53" s="99"/>
      <c r="R53" s="99"/>
      <c r="S53" s="94" t="s">
        <v>3360</v>
      </c>
      <c r="T53" s="99"/>
      <c r="U53" s="94" t="s">
        <v>3361</v>
      </c>
      <c r="V53" s="99"/>
      <c r="W53" s="92"/>
      <c r="X53" s="313" t="s">
        <v>2790</v>
      </c>
      <c r="Y53" s="93"/>
      <c r="Z53" s="88" t="s">
        <v>2663</v>
      </c>
      <c r="AA53" s="94" t="s">
        <v>247</v>
      </c>
      <c r="AB53" s="88" t="s">
        <v>3362</v>
      </c>
      <c r="AC53" s="88" t="s">
        <v>3363</v>
      </c>
      <c r="AD53" s="88" t="s">
        <v>3364</v>
      </c>
      <c r="AE53" s="99"/>
      <c r="AF53" s="94" t="s">
        <v>418</v>
      </c>
      <c r="AG53" s="94" t="s">
        <v>2667</v>
      </c>
      <c r="AH53" s="99"/>
      <c r="AI53" s="99"/>
      <c r="AJ53" s="99"/>
      <c r="AK53" s="99"/>
      <c r="AL53" s="97"/>
      <c r="AM53" s="94" t="s">
        <v>3365</v>
      </c>
      <c r="AN53" s="88" t="s">
        <v>3366</v>
      </c>
      <c r="AO53" s="99"/>
      <c r="AP53" s="99"/>
      <c r="AQ53" s="99"/>
      <c r="AR53" s="99"/>
      <c r="AS53" s="99"/>
      <c r="AT53" s="99"/>
      <c r="AU53" s="94" t="s">
        <v>1749</v>
      </c>
      <c r="AV53" s="88" t="s">
        <v>2480</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1988</v>
      </c>
      <c r="BX53" s="99"/>
      <c r="BY53" s="94" t="s">
        <v>3374</v>
      </c>
      <c r="BZ53" s="94" t="s">
        <v>3375</v>
      </c>
      <c r="CA53" s="88" t="s">
        <v>3376</v>
      </c>
      <c r="CB53" s="99"/>
      <c r="CC53" s="99"/>
      <c r="CD53" s="99"/>
      <c r="CE53" s="99"/>
      <c r="CF53" s="237"/>
      <c r="CG53" s="88" t="s">
        <v>1070</v>
      </c>
      <c r="CH53" s="94" t="s">
        <v>1450</v>
      </c>
      <c r="CI53" s="88" t="s">
        <v>605</v>
      </c>
      <c r="CJ53" s="94" t="s">
        <v>3377</v>
      </c>
      <c r="CK53" s="94"/>
      <c r="CL53" s="94" t="s">
        <v>2251</v>
      </c>
      <c r="CM53" s="94" t="s">
        <v>3378</v>
      </c>
      <c r="CN53" s="88" t="s">
        <v>2191</v>
      </c>
      <c r="CO53" s="94" t="s">
        <v>1575</v>
      </c>
      <c r="CP53" s="99"/>
      <c r="CQ53" s="99"/>
      <c r="CR53" s="99"/>
      <c r="CS53" s="99"/>
      <c r="CT53" s="99"/>
      <c r="CU53" s="92"/>
      <c r="CV53" s="89" t="s">
        <v>1827</v>
      </c>
      <c r="CW53" s="94" t="s">
        <v>3040</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1808</v>
      </c>
      <c r="H54" s="112" t="s">
        <v>491</v>
      </c>
      <c r="I54" s="112" t="s">
        <v>3389</v>
      </c>
      <c r="J54" s="112" t="s">
        <v>3390</v>
      </c>
      <c r="K54" s="110" t="s">
        <v>2110</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1873</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2232</v>
      </c>
      <c r="BU54" s="174" t="s">
        <v>3401</v>
      </c>
      <c r="BV54" s="174" t="s">
        <v>3402</v>
      </c>
      <c r="BW54" s="174" t="s">
        <v>2872</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1951</v>
      </c>
      <c r="L55" s="88" t="s">
        <v>663</v>
      </c>
      <c r="M55" s="102" t="s">
        <v>3415</v>
      </c>
      <c r="N55" s="102" t="s">
        <v>3416</v>
      </c>
      <c r="O55" s="102" t="s">
        <v>3417</v>
      </c>
      <c r="P55" s="102" t="s">
        <v>2659</v>
      </c>
      <c r="Q55" s="94" t="s">
        <v>3418</v>
      </c>
      <c r="R55" s="99"/>
      <c r="S55" s="94" t="s">
        <v>833</v>
      </c>
      <c r="T55" s="99"/>
      <c r="U55" s="94" t="s">
        <v>1898</v>
      </c>
      <c r="V55" s="94" t="s">
        <v>3419</v>
      </c>
      <c r="W55" s="92"/>
      <c r="X55" s="102" t="s">
        <v>1224</v>
      </c>
      <c r="Y55" s="102"/>
      <c r="Z55" s="102" t="s">
        <v>3420</v>
      </c>
      <c r="AA55" s="102" t="s">
        <v>2667</v>
      </c>
      <c r="AB55" s="88" t="s">
        <v>3421</v>
      </c>
      <c r="AC55" s="102" t="s">
        <v>2419</v>
      </c>
      <c r="AD55" s="102" t="s">
        <v>3422</v>
      </c>
      <c r="AE55" s="99"/>
      <c r="AF55" s="102" t="s">
        <v>3423</v>
      </c>
      <c r="AG55" s="102" t="s">
        <v>2067</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2306</v>
      </c>
      <c r="CE55" s="447" t="s">
        <v>3447</v>
      </c>
      <c r="CF55" s="237"/>
      <c r="CG55" s="102" t="s">
        <v>3448</v>
      </c>
      <c r="CH55" s="102" t="s">
        <v>511</v>
      </c>
      <c r="CI55" s="102" t="s">
        <v>2647</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1843</v>
      </c>
      <c r="DB55" s="88" t="s">
        <v>3456</v>
      </c>
      <c r="DC55" s="102" t="s">
        <v>572</v>
      </c>
      <c r="DD55" s="88" t="s">
        <v>2056</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1947</v>
      </c>
      <c r="G56" s="104" t="s">
        <v>3465</v>
      </c>
      <c r="H56" s="112" t="s">
        <v>2619</v>
      </c>
      <c r="I56" s="112" t="s">
        <v>3466</v>
      </c>
      <c r="J56" s="166" t="s">
        <v>3467</v>
      </c>
      <c r="K56" s="166" t="s">
        <v>3468</v>
      </c>
      <c r="L56" s="449" t="str">
        <f>hyperlink("https://www.twitch.tv/videos/642998947","44.64")</f>
        <v>44.64</v>
      </c>
      <c r="M56" s="112" t="s">
        <v>3469</v>
      </c>
      <c r="N56" s="449" t="str">
        <f>hyperlink("https://www.twitch.tv/videos/642995088","1:11.81")</f>
        <v>1:11.81</v>
      </c>
      <c r="O56" s="112" t="s">
        <v>2535</v>
      </c>
      <c r="P56" s="166" t="s">
        <v>1562</v>
      </c>
      <c r="Q56" s="166" t="s">
        <v>3470</v>
      </c>
      <c r="R56" s="242"/>
      <c r="S56" s="166" t="s">
        <v>2202</v>
      </c>
      <c r="T56" s="166" t="s">
        <v>2521</v>
      </c>
      <c r="U56" s="166" t="s">
        <v>2354</v>
      </c>
      <c r="V56" s="166" t="s">
        <v>3471</v>
      </c>
      <c r="W56" s="92"/>
      <c r="X56" s="198" t="s">
        <v>2450</v>
      </c>
      <c r="Y56" s="198"/>
      <c r="Z56" s="198" t="s">
        <v>3211</v>
      </c>
      <c r="AA56" s="198" t="s">
        <v>247</v>
      </c>
      <c r="AB56" s="114" t="s">
        <v>3472</v>
      </c>
      <c r="AC56" s="198" t="s">
        <v>2502</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2605</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2260</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2739</v>
      </c>
      <c r="CP56" s="252"/>
      <c r="CQ56" s="252"/>
      <c r="CR56" s="252"/>
      <c r="CS56" s="177" t="s">
        <v>3183</v>
      </c>
      <c r="CT56" s="252"/>
      <c r="CU56" s="92"/>
      <c r="CV56" s="139" t="s">
        <v>3134</v>
      </c>
      <c r="CW56" s="203" t="s">
        <v>2184</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2216</v>
      </c>
      <c r="I57" s="94" t="s">
        <v>1379</v>
      </c>
      <c r="J57" s="94" t="s">
        <v>3502</v>
      </c>
      <c r="K57" s="88" t="s">
        <v>1059</v>
      </c>
      <c r="L57" s="94" t="s">
        <v>462</v>
      </c>
      <c r="M57" s="99"/>
      <c r="N57" s="94" t="s">
        <v>3503</v>
      </c>
      <c r="O57" s="88" t="s">
        <v>3504</v>
      </c>
      <c r="P57" s="94" t="s">
        <v>109</v>
      </c>
      <c r="Q57" s="99"/>
      <c r="R57" s="99"/>
      <c r="S57" s="99"/>
      <c r="T57" s="99"/>
      <c r="U57" s="99"/>
      <c r="V57" s="99"/>
      <c r="W57" s="92"/>
      <c r="X57" s="88" t="s">
        <v>2124</v>
      </c>
      <c r="Y57" s="94"/>
      <c r="Z57" s="94" t="s">
        <v>1272</v>
      </c>
      <c r="AA57" s="94" t="s">
        <v>1892</v>
      </c>
      <c r="AB57" s="94" t="s">
        <v>3073</v>
      </c>
      <c r="AC57" s="161" t="s">
        <v>3505</v>
      </c>
      <c r="AD57" s="94" t="s">
        <v>3506</v>
      </c>
      <c r="AE57" s="99"/>
      <c r="AF57" s="94" t="s">
        <v>3507</v>
      </c>
      <c r="AG57" s="94" t="s">
        <v>357</v>
      </c>
      <c r="AH57" s="99"/>
      <c r="AI57" s="99"/>
      <c r="AJ57" s="94" t="s">
        <v>3508</v>
      </c>
      <c r="AK57" s="99"/>
      <c r="AL57" s="97"/>
      <c r="AM57" s="94" t="s">
        <v>1856</v>
      </c>
      <c r="AN57" s="94" t="s">
        <v>3509</v>
      </c>
      <c r="AO57" s="99"/>
      <c r="AP57" s="99"/>
      <c r="AQ57" s="99"/>
      <c r="AR57" s="99"/>
      <c r="AS57" s="99"/>
      <c r="AT57" s="99"/>
      <c r="AU57" s="94" t="s">
        <v>2605</v>
      </c>
      <c r="AV57" s="94" t="s">
        <v>3166</v>
      </c>
      <c r="AW57" s="99"/>
      <c r="AX57" s="99"/>
      <c r="AY57" s="94" t="s">
        <v>749</v>
      </c>
      <c r="AZ57" s="99"/>
      <c r="BA57" s="99"/>
      <c r="BB57" s="94" t="s">
        <v>3510</v>
      </c>
      <c r="BC57" s="94" t="s">
        <v>2159</v>
      </c>
      <c r="BD57" s="94" t="s">
        <v>3166</v>
      </c>
      <c r="BE57" s="94" t="s">
        <v>3511</v>
      </c>
      <c r="BF57" s="94" t="s">
        <v>3512</v>
      </c>
      <c r="BG57" s="87" t="s">
        <v>2397</v>
      </c>
      <c r="BH57" s="99"/>
      <c r="BI57" s="94" t="s">
        <v>1699</v>
      </c>
      <c r="BJ57" s="94"/>
      <c r="BK57" s="94" t="s">
        <v>3513</v>
      </c>
      <c r="BL57" s="94" t="s">
        <v>1907</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1997</v>
      </c>
      <c r="CJ57" s="94" t="s">
        <v>3521</v>
      </c>
      <c r="CK57" s="94"/>
      <c r="CL57" s="94"/>
      <c r="CM57" s="94" t="s">
        <v>2800</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2780</v>
      </c>
      <c r="G58" s="104" t="s">
        <v>740</v>
      </c>
      <c r="H58" s="166" t="s">
        <v>2950</v>
      </c>
      <c r="I58" s="166" t="s">
        <v>3413</v>
      </c>
      <c r="J58" s="166" t="s">
        <v>447</v>
      </c>
      <c r="K58" s="112" t="s">
        <v>3535</v>
      </c>
      <c r="L58" s="166" t="s">
        <v>3536</v>
      </c>
      <c r="M58" s="166" t="s">
        <v>3537</v>
      </c>
      <c r="N58" s="166" t="s">
        <v>3144</v>
      </c>
      <c r="O58" s="112" t="s">
        <v>2887</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3010</v>
      </c>
      <c r="AF58" s="198" t="s">
        <v>3312</v>
      </c>
      <c r="AG58" s="335" t="s">
        <v>566</v>
      </c>
      <c r="AH58" s="335" t="s">
        <v>3370</v>
      </c>
      <c r="AI58" s="244"/>
      <c r="AJ58" s="198" t="s">
        <v>1654</v>
      </c>
      <c r="AK58" s="244"/>
      <c r="AL58" s="97"/>
      <c r="AM58" s="167" t="s">
        <v>3253</v>
      </c>
      <c r="AN58" s="167" t="s">
        <v>1236</v>
      </c>
      <c r="AO58" s="245"/>
      <c r="AP58" s="245"/>
      <c r="AQ58" s="245"/>
      <c r="AR58" s="167" t="s">
        <v>3544</v>
      </c>
      <c r="AS58" s="167" t="s">
        <v>1782</v>
      </c>
      <c r="AT58" s="245"/>
      <c r="AU58" s="455" t="s">
        <v>3545</v>
      </c>
      <c r="AV58" s="167" t="s">
        <v>3546</v>
      </c>
      <c r="AW58" s="167" t="s">
        <v>1940</v>
      </c>
      <c r="AX58" s="245"/>
      <c r="AY58" s="455" t="s">
        <v>1750</v>
      </c>
      <c r="AZ58" s="245"/>
      <c r="BA58" s="245"/>
      <c r="BB58" s="173" t="s">
        <v>3547</v>
      </c>
      <c r="BC58" s="173" t="s">
        <v>3080</v>
      </c>
      <c r="BD58" s="173" t="s">
        <v>3339</v>
      </c>
      <c r="BE58" s="173" t="s">
        <v>3548</v>
      </c>
      <c r="BF58" s="126" t="s">
        <v>3549</v>
      </c>
      <c r="BG58" s="126" t="s">
        <v>3550</v>
      </c>
      <c r="BH58" s="172"/>
      <c r="BI58" s="173" t="s">
        <v>3551</v>
      </c>
      <c r="BJ58" s="172"/>
      <c r="BK58" s="173" t="s">
        <v>3552</v>
      </c>
      <c r="BL58" s="173" t="s">
        <v>2614</v>
      </c>
      <c r="BM58" s="172"/>
      <c r="BN58" s="173" t="s">
        <v>3553</v>
      </c>
      <c r="BO58" s="173" t="s">
        <v>884</v>
      </c>
      <c r="BP58" s="173" t="s">
        <v>3554</v>
      </c>
      <c r="BQ58" s="247"/>
      <c r="BR58" s="174" t="s">
        <v>3555</v>
      </c>
      <c r="BS58" s="174" t="s">
        <v>1977</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1811</v>
      </c>
      <c r="CJ58" s="177" t="s">
        <v>3562</v>
      </c>
      <c r="CK58" s="177"/>
      <c r="CL58" s="177" t="s">
        <v>1323</v>
      </c>
      <c r="CM58" s="177" t="s">
        <v>3041</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2481</v>
      </c>
      <c r="DV58" s="255"/>
      <c r="DW58" s="204" t="s">
        <v>3576</v>
      </c>
      <c r="DX58" s="255"/>
      <c r="DY58" s="204" t="s">
        <v>2645</v>
      </c>
      <c r="DZ58" s="144" t="s">
        <v>949</v>
      </c>
      <c r="EA58" s="255"/>
      <c r="EB58" s="204" t="s">
        <v>2709</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2174</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1942</v>
      </c>
      <c r="AV59" s="266" t="s">
        <v>2516</v>
      </c>
      <c r="AW59" s="94" t="s">
        <v>531</v>
      </c>
      <c r="AX59" s="99"/>
      <c r="AY59" s="266" t="s">
        <v>833</v>
      </c>
      <c r="AZ59" s="88" t="s">
        <v>3594</v>
      </c>
      <c r="BA59" s="99"/>
      <c r="BB59" s="88" t="s">
        <v>3595</v>
      </c>
      <c r="BC59" s="88" t="s">
        <v>3596</v>
      </c>
      <c r="BD59" s="88" t="s">
        <v>3597</v>
      </c>
      <c r="BE59" s="266" t="s">
        <v>3504</v>
      </c>
      <c r="BF59" s="88" t="s">
        <v>2517</v>
      </c>
      <c r="BG59" s="94" t="s">
        <v>441</v>
      </c>
      <c r="BH59" s="94" t="s">
        <v>3598</v>
      </c>
      <c r="BI59" s="266" t="s">
        <v>1319</v>
      </c>
      <c r="BJ59" s="94"/>
      <c r="BK59" s="266" t="s">
        <v>721</v>
      </c>
      <c r="BL59" s="88" t="s">
        <v>3599</v>
      </c>
      <c r="BM59" s="88" t="s">
        <v>3600</v>
      </c>
      <c r="BN59" s="94" t="s">
        <v>2132</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2636</v>
      </c>
      <c r="CH59" s="88" t="s">
        <v>2922</v>
      </c>
      <c r="CI59" s="94" t="s">
        <v>1267</v>
      </c>
      <c r="CJ59" s="94" t="s">
        <v>3614</v>
      </c>
      <c r="CK59" s="94" t="s">
        <v>3615</v>
      </c>
      <c r="CL59" s="94" t="s">
        <v>3524</v>
      </c>
      <c r="CM59" s="94" t="s">
        <v>3616</v>
      </c>
      <c r="CN59" s="266" t="s">
        <v>3617</v>
      </c>
      <c r="CO59" s="94" t="s">
        <v>3618</v>
      </c>
      <c r="CP59" s="94" t="s">
        <v>2055</v>
      </c>
      <c r="CQ59" s="88" t="s">
        <v>3619</v>
      </c>
      <c r="CR59" s="99"/>
      <c r="CS59" s="88" t="s">
        <v>3620</v>
      </c>
      <c r="CT59" s="99"/>
      <c r="CU59" s="92"/>
      <c r="CV59" s="94" t="s">
        <v>890</v>
      </c>
      <c r="CW59" s="88" t="s">
        <v>1775</v>
      </c>
      <c r="CX59" s="266" t="s">
        <v>2963</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2083</v>
      </c>
      <c r="DO59" s="266" t="s">
        <v>3625</v>
      </c>
      <c r="DP59" s="94" t="s">
        <v>959</v>
      </c>
      <c r="DQ59" s="99"/>
      <c r="DR59" s="94" t="s">
        <v>3626</v>
      </c>
      <c r="DS59" s="94" t="s">
        <v>3627</v>
      </c>
      <c r="DT59" s="94" t="s">
        <v>422</v>
      </c>
      <c r="DU59" s="88" t="s">
        <v>3628</v>
      </c>
      <c r="DV59" s="94" t="s">
        <v>774</v>
      </c>
      <c r="DW59" s="161" t="s">
        <v>3576</v>
      </c>
      <c r="DX59" s="99"/>
      <c r="DY59" s="161" t="s">
        <v>301</v>
      </c>
      <c r="DZ59" s="94" t="s">
        <v>2911</v>
      </c>
      <c r="EA59" s="94" t="s">
        <v>3629</v>
      </c>
      <c r="EB59" s="266" t="s">
        <v>495</v>
      </c>
      <c r="EC59" s="266" t="s">
        <v>3630</v>
      </c>
      <c r="ED59" s="258" t="s">
        <v>3631</v>
      </c>
    </row>
    <row r="60">
      <c r="A60" s="458" t="s">
        <v>3632</v>
      </c>
      <c r="B60" s="104" t="s">
        <v>3633</v>
      </c>
      <c r="C60" s="105" t="s">
        <v>1259</v>
      </c>
      <c r="D60" s="106" t="s">
        <v>1259</v>
      </c>
      <c r="E60" s="107" t="s">
        <v>1259</v>
      </c>
      <c r="F60" s="108" t="s">
        <v>2089</v>
      </c>
      <c r="G60" s="104" t="s">
        <v>3634</v>
      </c>
      <c r="H60" s="112" t="s">
        <v>3635</v>
      </c>
      <c r="I60" s="112" t="s">
        <v>3636</v>
      </c>
      <c r="J60" s="112" t="s">
        <v>3637</v>
      </c>
      <c r="K60" s="112" t="s">
        <v>1951</v>
      </c>
      <c r="L60" s="112" t="s">
        <v>2834</v>
      </c>
      <c r="M60" s="112" t="s">
        <v>3638</v>
      </c>
      <c r="N60" s="112" t="s">
        <v>3639</v>
      </c>
      <c r="O60" s="112" t="s">
        <v>3640</v>
      </c>
      <c r="P60" s="112" t="s">
        <v>3641</v>
      </c>
      <c r="Q60" s="166" t="s">
        <v>3642</v>
      </c>
      <c r="R60" s="242"/>
      <c r="S60" s="112" t="s">
        <v>2276</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2534</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2232</v>
      </c>
      <c r="BU60" s="129" t="s">
        <v>3666</v>
      </c>
      <c r="BV60" s="129" t="s">
        <v>3667</v>
      </c>
      <c r="BW60" s="129" t="s">
        <v>1594</v>
      </c>
      <c r="BX60" s="249"/>
      <c r="BY60" s="129" t="s">
        <v>3668</v>
      </c>
      <c r="BZ60" s="129" t="s">
        <v>3669</v>
      </c>
      <c r="CA60" s="129" t="s">
        <v>1847</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2884</v>
      </c>
      <c r="DJ60" s="255"/>
      <c r="DK60" s="255"/>
      <c r="DL60" s="255"/>
      <c r="DM60" s="144" t="s">
        <v>509</v>
      </c>
      <c r="DN60" s="255"/>
      <c r="DO60" s="255"/>
      <c r="DP60" s="144" t="s">
        <v>3684</v>
      </c>
      <c r="DQ60" s="255"/>
      <c r="DR60" s="144" t="s">
        <v>3685</v>
      </c>
      <c r="DS60" s="206" t="s">
        <v>2323</v>
      </c>
      <c r="DT60" s="204" t="s">
        <v>3686</v>
      </c>
      <c r="DU60" s="255"/>
      <c r="DV60" s="255"/>
      <c r="DW60" s="144" t="s">
        <v>1800</v>
      </c>
      <c r="DX60" s="255"/>
      <c r="DY60" s="255"/>
      <c r="DZ60" s="255"/>
      <c r="EA60" s="144" t="s">
        <v>3687</v>
      </c>
      <c r="EB60" s="255"/>
      <c r="EC60" s="144" t="s">
        <v>3688</v>
      </c>
      <c r="ED60" s="141" t="s">
        <v>3689</v>
      </c>
    </row>
    <row r="61">
      <c r="A61" s="459" t="s">
        <v>3690</v>
      </c>
      <c r="B61" s="82" t="s">
        <v>3691</v>
      </c>
      <c r="C61" s="83" t="s">
        <v>1259</v>
      </c>
      <c r="D61" s="84" t="s">
        <v>1259</v>
      </c>
      <c r="E61" s="85" t="s">
        <v>1259</v>
      </c>
      <c r="F61" s="86" t="s">
        <v>2780</v>
      </c>
      <c r="G61" s="82" t="s">
        <v>223</v>
      </c>
      <c r="H61" s="94" t="s">
        <v>3692</v>
      </c>
      <c r="I61" s="94" t="s">
        <v>2010</v>
      </c>
      <c r="J61" s="94" t="s">
        <v>3693</v>
      </c>
      <c r="K61" s="88" t="s">
        <v>2883</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2306</v>
      </c>
      <c r="AJ61" s="94" t="s">
        <v>3048</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2773</v>
      </c>
      <c r="BD61" s="88" t="s">
        <v>2225</v>
      </c>
      <c r="BE61" s="94" t="s">
        <v>3718</v>
      </c>
      <c r="BF61" s="94" t="s">
        <v>3719</v>
      </c>
      <c r="BG61" s="94" t="s">
        <v>1221</v>
      </c>
      <c r="BH61" s="94" t="s">
        <v>3720</v>
      </c>
      <c r="BI61" s="88" t="s">
        <v>1665</v>
      </c>
      <c r="BJ61" s="94" t="s">
        <v>2764</v>
      </c>
      <c r="BK61" s="94" t="s">
        <v>3721</v>
      </c>
      <c r="BL61" s="94" t="s">
        <v>3722</v>
      </c>
      <c r="BM61" s="94"/>
      <c r="BN61" s="88" t="s">
        <v>1582</v>
      </c>
      <c r="BO61" s="94" t="s">
        <v>2684</v>
      </c>
      <c r="BP61" s="94" t="s">
        <v>3312</v>
      </c>
      <c r="BQ61" s="94"/>
      <c r="BR61" s="88" t="s">
        <v>3723</v>
      </c>
      <c r="BS61" s="94" t="s">
        <v>3724</v>
      </c>
      <c r="BT61" s="94" t="s">
        <v>3725</v>
      </c>
      <c r="BU61" s="94" t="s">
        <v>3333</v>
      </c>
      <c r="BV61" s="94" t="s">
        <v>1851</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1843</v>
      </c>
      <c r="CJ61" s="94" t="s">
        <v>3029</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2638</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1843</v>
      </c>
      <c r="DV61" s="94" t="s">
        <v>3116</v>
      </c>
      <c r="DW61" s="94" t="s">
        <v>1805</v>
      </c>
      <c r="DX61" s="94" t="s">
        <v>3753</v>
      </c>
      <c r="DY61" s="94" t="s">
        <v>2817</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2269</v>
      </c>
      <c r="H62" s="239" t="s">
        <v>2018</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2727</v>
      </c>
      <c r="AN62" s="199" t="s">
        <v>3042</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2517</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2202</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2185</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2469</v>
      </c>
      <c r="CX62" s="451" t="s">
        <v>531</v>
      </c>
      <c r="CY62" s="451" t="s">
        <v>3805</v>
      </c>
      <c r="CZ62" s="451" t="s">
        <v>3806</v>
      </c>
      <c r="DA62" s="451" t="s">
        <v>2480</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2469</v>
      </c>
      <c r="DU62" s="206" t="s">
        <v>3816</v>
      </c>
      <c r="DV62" s="206" t="s">
        <v>3817</v>
      </c>
      <c r="DW62" s="206" t="s">
        <v>3818</v>
      </c>
      <c r="DX62" s="206" t="s">
        <v>1912</v>
      </c>
      <c r="DY62" s="206" t="s">
        <v>2817</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2155</v>
      </c>
      <c r="H63" s="88" t="s">
        <v>3824</v>
      </c>
      <c r="I63" s="88" t="s">
        <v>3825</v>
      </c>
      <c r="J63" s="88" t="s">
        <v>2882</v>
      </c>
      <c r="K63" s="98" t="s">
        <v>443</v>
      </c>
      <c r="L63" s="88" t="s">
        <v>1727</v>
      </c>
      <c r="M63" s="94" t="s">
        <v>3826</v>
      </c>
      <c r="N63" s="94" t="s">
        <v>3827</v>
      </c>
      <c r="O63" s="94" t="s">
        <v>3718</v>
      </c>
      <c r="P63" s="94" t="s">
        <v>2659</v>
      </c>
      <c r="Q63" s="94" t="s">
        <v>3828</v>
      </c>
      <c r="R63" s="99"/>
      <c r="S63" s="99"/>
      <c r="T63" s="99"/>
      <c r="U63" s="99"/>
      <c r="V63" s="94" t="s">
        <v>3829</v>
      </c>
      <c r="W63" s="92"/>
      <c r="X63" s="88" t="s">
        <v>2579</v>
      </c>
      <c r="Y63" s="102"/>
      <c r="Z63" s="88" t="s">
        <v>3830</v>
      </c>
      <c r="AA63" s="88" t="s">
        <v>1892</v>
      </c>
      <c r="AB63" s="94" t="s">
        <v>3073</v>
      </c>
      <c r="AC63" s="94" t="s">
        <v>3074</v>
      </c>
      <c r="AD63" s="93" t="s">
        <v>3831</v>
      </c>
      <c r="AE63" s="99"/>
      <c r="AF63" s="94" t="s">
        <v>2475</v>
      </c>
      <c r="AG63" s="94" t="s">
        <v>1824</v>
      </c>
      <c r="AH63" s="99"/>
      <c r="AI63" s="99"/>
      <c r="AJ63" s="99"/>
      <c r="AK63" s="99"/>
      <c r="AL63" s="97"/>
      <c r="AM63" s="94" t="s">
        <v>3832</v>
      </c>
      <c r="AN63" s="94" t="s">
        <v>3833</v>
      </c>
      <c r="AO63" s="94" t="s">
        <v>3834</v>
      </c>
      <c r="AP63" s="99"/>
      <c r="AQ63" s="94" t="s">
        <v>277</v>
      </c>
      <c r="AR63" s="94"/>
      <c r="AS63" s="99"/>
      <c r="AT63" s="99"/>
      <c r="AU63" s="88" t="s">
        <v>3835</v>
      </c>
      <c r="AV63" s="88" t="s">
        <v>1962</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2771</v>
      </c>
      <c r="BU63" s="94" t="s">
        <v>2233</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2000</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2196</v>
      </c>
      <c r="K64" s="442" t="s">
        <v>2883</v>
      </c>
      <c r="L64" s="166" t="s">
        <v>602</v>
      </c>
      <c r="M64" s="321" t="s">
        <v>3855</v>
      </c>
      <c r="N64" s="166" t="s">
        <v>673</v>
      </c>
      <c r="O64" s="166" t="s">
        <v>3856</v>
      </c>
      <c r="P64" s="166" t="s">
        <v>1777</v>
      </c>
      <c r="Q64" s="242"/>
      <c r="R64" s="242"/>
      <c r="S64" s="242"/>
      <c r="T64" s="242"/>
      <c r="U64" s="242"/>
      <c r="V64" s="242"/>
      <c r="W64" s="92"/>
      <c r="X64" s="198" t="s">
        <v>2891</v>
      </c>
      <c r="Y64" s="198"/>
      <c r="Z64" s="198" t="s">
        <v>3857</v>
      </c>
      <c r="AA64" s="198" t="s">
        <v>2040</v>
      </c>
      <c r="AB64" s="198" t="s">
        <v>3858</v>
      </c>
      <c r="AC64" s="198" t="s">
        <v>2516</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2225</v>
      </c>
      <c r="BE64" s="173" t="s">
        <v>3863</v>
      </c>
      <c r="BF64" s="465" t="s">
        <v>3864</v>
      </c>
      <c r="BG64" s="172"/>
      <c r="BH64" s="172"/>
      <c r="BI64" s="173" t="s">
        <v>2049</v>
      </c>
      <c r="BJ64" s="443" t="s">
        <v>3865</v>
      </c>
      <c r="BK64" s="443"/>
      <c r="BL64" s="173" t="s">
        <v>2577</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2042</v>
      </c>
      <c r="CH64" s="177" t="s">
        <v>3869</v>
      </c>
      <c r="CI64" s="177" t="s">
        <v>1163</v>
      </c>
      <c r="CJ64" s="177" t="s">
        <v>3870</v>
      </c>
      <c r="CK64" s="177"/>
      <c r="CL64" s="177" t="s">
        <v>1907</v>
      </c>
      <c r="CM64" s="177" t="s">
        <v>2921</v>
      </c>
      <c r="CN64" s="177" t="s">
        <v>1624</v>
      </c>
      <c r="CO64" s="131" t="str">
        <f>HYPERLINK("https://www.youtube.com/watch?v=LpklkoraHfQ","15.53")</f>
        <v>15.53</v>
      </c>
      <c r="CP64" s="252"/>
      <c r="CQ64" s="177"/>
      <c r="CR64" s="252"/>
      <c r="CS64" s="252"/>
      <c r="CT64" s="252"/>
      <c r="CU64" s="92"/>
      <c r="CV64" s="203" t="s">
        <v>2473</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2561</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2720</v>
      </c>
      <c r="T65" s="99"/>
      <c r="U65" s="94" t="s">
        <v>3120</v>
      </c>
      <c r="V65" s="99"/>
      <c r="W65" s="92"/>
      <c r="X65" s="94" t="s">
        <v>1762</v>
      </c>
      <c r="Y65" s="94"/>
      <c r="Z65" s="94" t="s">
        <v>3885</v>
      </c>
      <c r="AA65" s="94" t="s">
        <v>3641</v>
      </c>
      <c r="AB65" s="94" t="s">
        <v>1172</v>
      </c>
      <c r="AC65" s="94" t="s">
        <v>1407</v>
      </c>
      <c r="AD65" s="94" t="s">
        <v>3886</v>
      </c>
      <c r="AE65" s="99"/>
      <c r="AF65" s="94" t="s">
        <v>3011</v>
      </c>
      <c r="AG65" s="94" t="s">
        <v>3887</v>
      </c>
      <c r="AH65" s="99"/>
      <c r="AI65" s="94"/>
      <c r="AJ65" s="94" t="s">
        <v>2905</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2790</v>
      </c>
      <c r="BC65" s="94" t="s">
        <v>3891</v>
      </c>
      <c r="BD65" s="94" t="s">
        <v>3657</v>
      </c>
      <c r="BE65" s="88" t="s">
        <v>3892</v>
      </c>
      <c r="BF65" s="88" t="s">
        <v>1849</v>
      </c>
      <c r="BG65" s="94" t="s">
        <v>1524</v>
      </c>
      <c r="BH65" s="99"/>
      <c r="BI65" s="94" t="s">
        <v>2680</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1979</v>
      </c>
      <c r="CN65" s="94" t="s">
        <v>814</v>
      </c>
      <c r="CO65" s="94" t="s">
        <v>2739</v>
      </c>
      <c r="CP65" s="99"/>
      <c r="CQ65" s="99"/>
      <c r="CR65" s="94"/>
      <c r="CS65" s="94" t="s">
        <v>2319</v>
      </c>
      <c r="CT65" s="99"/>
      <c r="CU65" s="92"/>
      <c r="CV65" s="94" t="s">
        <v>3902</v>
      </c>
      <c r="CW65" s="94" t="s">
        <v>2469</v>
      </c>
      <c r="CX65" s="94" t="s">
        <v>3903</v>
      </c>
      <c r="CY65" s="94" t="s">
        <v>3904</v>
      </c>
      <c r="CZ65" s="94" t="s">
        <v>3905</v>
      </c>
      <c r="DA65" s="94" t="s">
        <v>3906</v>
      </c>
      <c r="DB65" s="88" t="s">
        <v>3497</v>
      </c>
      <c r="DC65" s="94" t="s">
        <v>1786</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3067</v>
      </c>
      <c r="G66" s="104" t="s">
        <v>3001</v>
      </c>
      <c r="H66" s="112" t="s">
        <v>3412</v>
      </c>
      <c r="I66" s="166" t="s">
        <v>2307</v>
      </c>
      <c r="J66" s="166" t="s">
        <v>3913</v>
      </c>
      <c r="K66" s="166" t="s">
        <v>3914</v>
      </c>
      <c r="L66" s="166" t="s">
        <v>3915</v>
      </c>
      <c r="M66" s="166" t="s">
        <v>2187</v>
      </c>
      <c r="N66" s="166" t="s">
        <v>3916</v>
      </c>
      <c r="O66" s="166" t="s">
        <v>3917</v>
      </c>
      <c r="P66" s="166" t="s">
        <v>3111</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2989</v>
      </c>
      <c r="BG66" s="173" t="s">
        <v>3938</v>
      </c>
      <c r="BH66" s="173" t="s">
        <v>3939</v>
      </c>
      <c r="BI66" s="173" t="s">
        <v>2556</v>
      </c>
      <c r="BJ66" s="173" t="s">
        <v>3025</v>
      </c>
      <c r="BK66" s="173"/>
      <c r="BL66" s="173" t="s">
        <v>3940</v>
      </c>
      <c r="BM66" s="173" t="s">
        <v>1529</v>
      </c>
      <c r="BN66" s="173" t="s">
        <v>3698</v>
      </c>
      <c r="BO66" s="173" t="s">
        <v>2483</v>
      </c>
      <c r="BP66" s="173" t="s">
        <v>3941</v>
      </c>
      <c r="BQ66" s="297"/>
      <c r="BR66" s="174" t="s">
        <v>3942</v>
      </c>
      <c r="BS66" s="129" t="s">
        <v>2490</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1472</v>
      </c>
      <c r="CM66" s="177" t="s">
        <v>3951</v>
      </c>
      <c r="CN66" s="177" t="s">
        <v>2576</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2015</v>
      </c>
      <c r="DL66" s="204" t="s">
        <v>3967</v>
      </c>
      <c r="DM66" s="204" t="s">
        <v>3968</v>
      </c>
      <c r="DN66" s="204" t="s">
        <v>695</v>
      </c>
      <c r="DO66" s="204" t="s">
        <v>3969</v>
      </c>
      <c r="DP66" s="204" t="s">
        <v>3970</v>
      </c>
      <c r="DQ66" s="204" t="s">
        <v>3971</v>
      </c>
      <c r="DR66" s="204" t="s">
        <v>2029</v>
      </c>
      <c r="DS66" s="144" t="s">
        <v>3081</v>
      </c>
      <c r="DT66" s="204" t="s">
        <v>443</v>
      </c>
      <c r="DU66" s="204" t="s">
        <v>3360</v>
      </c>
      <c r="DV66" s="204" t="s">
        <v>3972</v>
      </c>
      <c r="DW66" s="204" t="s">
        <v>3973</v>
      </c>
      <c r="DX66" s="204" t="s">
        <v>375</v>
      </c>
      <c r="DY66" s="469" t="s">
        <v>3186</v>
      </c>
      <c r="DZ66" s="204" t="s">
        <v>3974</v>
      </c>
      <c r="EA66" s="204" t="s">
        <v>3975</v>
      </c>
      <c r="EB66" s="204" t="s">
        <v>1913</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2567</v>
      </c>
      <c r="M67" s="316" t="s">
        <v>3984</v>
      </c>
      <c r="N67" s="313" t="s">
        <v>3217</v>
      </c>
      <c r="O67" s="326" t="s">
        <v>3985</v>
      </c>
      <c r="P67" s="316" t="s">
        <v>2932</v>
      </c>
      <c r="Q67" s="316" t="s">
        <v>3986</v>
      </c>
      <c r="R67" s="316" t="s">
        <v>3987</v>
      </c>
      <c r="S67" s="316" t="s">
        <v>3988</v>
      </c>
      <c r="T67" s="316" t="s">
        <v>2750</v>
      </c>
      <c r="U67" s="316" t="s">
        <v>3989</v>
      </c>
      <c r="V67" s="316" t="s">
        <v>3990</v>
      </c>
      <c r="W67" s="153"/>
      <c r="X67" s="313" t="s">
        <v>3991</v>
      </c>
      <c r="Y67" s="476"/>
      <c r="Z67" s="313" t="s">
        <v>3992</v>
      </c>
      <c r="AA67" s="316" t="s">
        <v>1317</v>
      </c>
      <c r="AB67" s="313" t="s">
        <v>2392</v>
      </c>
      <c r="AC67" s="313" t="s">
        <v>1971</v>
      </c>
      <c r="AD67" s="313" t="s">
        <v>3993</v>
      </c>
      <c r="AE67" s="316" t="s">
        <v>2364</v>
      </c>
      <c r="AF67" s="316" t="s">
        <v>1471</v>
      </c>
      <c r="AG67" s="313" t="s">
        <v>3772</v>
      </c>
      <c r="AH67" s="316" t="s">
        <v>2627</v>
      </c>
      <c r="AI67" s="313" t="s">
        <v>3994</v>
      </c>
      <c r="AJ67" s="316" t="s">
        <v>2517</v>
      </c>
      <c r="AK67" s="316" t="s">
        <v>3995</v>
      </c>
      <c r="AL67" s="158"/>
      <c r="AM67" s="313" t="s">
        <v>396</v>
      </c>
      <c r="AN67" s="326" t="s">
        <v>1487</v>
      </c>
      <c r="AO67" s="328" t="s">
        <v>3996</v>
      </c>
      <c r="AP67" s="316" t="s">
        <v>3997</v>
      </c>
      <c r="AQ67" s="316" t="s">
        <v>3998</v>
      </c>
      <c r="AR67" s="316" t="s">
        <v>2626</v>
      </c>
      <c r="AS67" s="316" t="s">
        <v>3999</v>
      </c>
      <c r="AT67" s="316" t="s">
        <v>4000</v>
      </c>
      <c r="AU67" s="328" t="s">
        <v>2638</v>
      </c>
      <c r="AV67" s="313" t="s">
        <v>365</v>
      </c>
      <c r="AW67" s="316" t="s">
        <v>3527</v>
      </c>
      <c r="AX67" s="316" t="s">
        <v>1713</v>
      </c>
      <c r="AY67" s="316" t="s">
        <v>4001</v>
      </c>
      <c r="AZ67" s="316" t="s">
        <v>4002</v>
      </c>
      <c r="BA67" s="316"/>
      <c r="BB67" s="316" t="s">
        <v>4003</v>
      </c>
      <c r="BC67" s="313" t="s">
        <v>2707</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2700</v>
      </c>
      <c r="BW67" s="316" t="s">
        <v>393</v>
      </c>
      <c r="BX67" s="316" t="s">
        <v>4014</v>
      </c>
      <c r="BY67" s="313" t="s">
        <v>2237</v>
      </c>
      <c r="BZ67" s="326" t="s">
        <v>4015</v>
      </c>
      <c r="CA67" s="316" t="s">
        <v>2551</v>
      </c>
      <c r="CB67" s="316" t="s">
        <v>4016</v>
      </c>
      <c r="CC67" s="316" t="s">
        <v>346</v>
      </c>
      <c r="CD67" s="316" t="s">
        <v>4017</v>
      </c>
      <c r="CE67" s="313" t="s">
        <v>4018</v>
      </c>
      <c r="CF67" s="434"/>
      <c r="CG67" s="316" t="s">
        <v>2256</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2302</v>
      </c>
      <c r="DF67" s="316" t="s">
        <v>2565</v>
      </c>
      <c r="DG67" s="316" t="s">
        <v>3427</v>
      </c>
      <c r="DH67" s="316"/>
      <c r="DI67" s="316" t="s">
        <v>1904</v>
      </c>
      <c r="DJ67" s="316"/>
      <c r="DK67" s="316" t="s">
        <v>4033</v>
      </c>
      <c r="DL67" s="316" t="s">
        <v>4034</v>
      </c>
      <c r="DM67" s="316" t="s">
        <v>2644</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2196</v>
      </c>
      <c r="EB67" s="316" t="s">
        <v>3866</v>
      </c>
      <c r="EC67" s="316" t="s">
        <v>1971</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1812</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1795</v>
      </c>
      <c r="CB68" s="249"/>
      <c r="CC68" s="249"/>
      <c r="CD68" s="249"/>
      <c r="CE68" s="249"/>
      <c r="CF68" s="251"/>
      <c r="CG68" s="300" t="s">
        <v>3991</v>
      </c>
      <c r="CH68" s="300" t="s">
        <v>1666</v>
      </c>
      <c r="CI68" s="252"/>
      <c r="CJ68" s="252"/>
      <c r="CK68" s="252"/>
      <c r="CL68" s="252"/>
      <c r="CM68" s="252"/>
      <c r="CN68" s="134" t="s">
        <v>2247</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2147</v>
      </c>
      <c r="DO68" s="255"/>
      <c r="DP68" s="255"/>
      <c r="DQ68" s="255"/>
      <c r="DR68" s="144" t="s">
        <v>1950</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2285</v>
      </c>
      <c r="AH69" s="94" t="s">
        <v>4077</v>
      </c>
      <c r="AI69" s="94"/>
      <c r="AJ69" s="94" t="s">
        <v>3239</v>
      </c>
      <c r="AK69" s="88" t="s">
        <v>700</v>
      </c>
      <c r="AL69" s="97"/>
      <c r="AM69" s="94" t="s">
        <v>3550</v>
      </c>
      <c r="AN69" s="88" t="s">
        <v>3889</v>
      </c>
      <c r="AO69" s="94" t="s">
        <v>4078</v>
      </c>
      <c r="AP69" s="94" t="s">
        <v>4079</v>
      </c>
      <c r="AQ69" s="94" t="s">
        <v>4080</v>
      </c>
      <c r="AR69" s="94" t="s">
        <v>2765</v>
      </c>
      <c r="AS69" s="99"/>
      <c r="AT69" s="99"/>
      <c r="AU69" s="94" t="s">
        <v>1942</v>
      </c>
      <c r="AV69" s="94" t="s">
        <v>1122</v>
      </c>
      <c r="AW69" s="94" t="s">
        <v>2150</v>
      </c>
      <c r="AX69" s="99"/>
      <c r="AY69" s="88" t="s">
        <v>4081</v>
      </c>
      <c r="AZ69" s="94" t="s">
        <v>4082</v>
      </c>
      <c r="BA69" s="94"/>
      <c r="BB69" s="88" t="s">
        <v>2093</v>
      </c>
      <c r="BC69" s="94" t="s">
        <v>1476</v>
      </c>
      <c r="BD69" s="88" t="s">
        <v>1394</v>
      </c>
      <c r="BE69" s="88" t="s">
        <v>3504</v>
      </c>
      <c r="BF69" s="161" t="s">
        <v>4083</v>
      </c>
      <c r="BG69" s="94" t="s">
        <v>2279</v>
      </c>
      <c r="BH69" s="94" t="s">
        <v>1979</v>
      </c>
      <c r="BI69" s="94" t="s">
        <v>3096</v>
      </c>
      <c r="BJ69" s="94" t="s">
        <v>4084</v>
      </c>
      <c r="BK69" s="161" t="s">
        <v>4085</v>
      </c>
      <c r="BL69" s="94" t="s">
        <v>4055</v>
      </c>
      <c r="BM69" s="88" t="s">
        <v>4086</v>
      </c>
      <c r="BN69" s="88" t="s">
        <v>4087</v>
      </c>
      <c r="BO69" s="94" t="s">
        <v>4088</v>
      </c>
      <c r="BP69" s="94" t="s">
        <v>4089</v>
      </c>
      <c r="BQ69" s="94"/>
      <c r="BR69" s="88" t="s">
        <v>4090</v>
      </c>
      <c r="BS69" s="94" t="s">
        <v>2490</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2911</v>
      </c>
      <c r="CR69" s="94" t="s">
        <v>3147</v>
      </c>
      <c r="CS69" s="94" t="s">
        <v>4103</v>
      </c>
      <c r="CT69" s="94" t="s">
        <v>4104</v>
      </c>
      <c r="CU69" s="92"/>
      <c r="CV69" s="94" t="s">
        <v>4105</v>
      </c>
      <c r="CW69" s="94" t="s">
        <v>4106</v>
      </c>
      <c r="CX69" s="94" t="s">
        <v>2481</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2589</v>
      </c>
      <c r="DY69" s="94" t="s">
        <v>1122</v>
      </c>
      <c r="DZ69" s="94" t="s">
        <v>2610</v>
      </c>
      <c r="EA69" s="94" t="s">
        <v>1494</v>
      </c>
      <c r="EB69" s="94" t="s">
        <v>2498</v>
      </c>
      <c r="EC69" s="88" t="s">
        <v>3260</v>
      </c>
      <c r="ED69" s="258" t="s">
        <v>4119</v>
      </c>
    </row>
    <row r="70">
      <c r="A70" s="103" t="s">
        <v>4120</v>
      </c>
      <c r="B70" s="477" t="s">
        <v>4121</v>
      </c>
      <c r="C70" s="478" t="s">
        <v>1259</v>
      </c>
      <c r="D70" s="479" t="s">
        <v>544</v>
      </c>
      <c r="E70" s="480" t="s">
        <v>544</v>
      </c>
      <c r="F70" s="481" t="s">
        <v>4122</v>
      </c>
      <c r="G70" s="477" t="s">
        <v>1499</v>
      </c>
      <c r="H70" s="482" t="s">
        <v>4123</v>
      </c>
      <c r="I70" s="482" t="s">
        <v>3068</v>
      </c>
      <c r="J70" s="482" t="s">
        <v>4124</v>
      </c>
      <c r="K70" s="482" t="s">
        <v>1639</v>
      </c>
      <c r="L70" s="482" t="s">
        <v>1090</v>
      </c>
      <c r="M70" s="482" t="s">
        <v>4125</v>
      </c>
      <c r="N70" s="483" t="s">
        <v>4126</v>
      </c>
      <c r="O70" s="483" t="s">
        <v>4127</v>
      </c>
      <c r="P70" s="482" t="s">
        <v>654</v>
      </c>
      <c r="Q70" s="483"/>
      <c r="R70" s="483"/>
      <c r="S70" s="483"/>
      <c r="T70" s="483"/>
      <c r="U70" s="483"/>
      <c r="V70" s="483"/>
      <c r="W70" s="484"/>
      <c r="X70" s="485" t="s">
        <v>1428</v>
      </c>
      <c r="Y70" s="486"/>
      <c r="Z70" s="485" t="s">
        <v>4128</v>
      </c>
      <c r="AA70" s="118" t="s">
        <v>1067</v>
      </c>
      <c r="AB70" s="485" t="s">
        <v>4129</v>
      </c>
      <c r="AC70" s="485" t="s">
        <v>754</v>
      </c>
      <c r="AD70" s="487" t="s">
        <v>4075</v>
      </c>
      <c r="AE70" s="485" t="s">
        <v>995</v>
      </c>
      <c r="AF70" s="487" t="s">
        <v>4130</v>
      </c>
      <c r="AG70" s="485" t="s">
        <v>1433</v>
      </c>
      <c r="AH70" s="487"/>
      <c r="AI70" s="487"/>
      <c r="AJ70" s="487"/>
      <c r="AK70" s="487"/>
      <c r="AL70" s="484"/>
      <c r="AM70" s="488" t="s">
        <v>4131</v>
      </c>
      <c r="AN70" s="489" t="s">
        <v>1942</v>
      </c>
      <c r="AO70" s="490"/>
      <c r="AP70" s="490"/>
      <c r="AQ70" s="490"/>
      <c r="AR70" s="490"/>
      <c r="AS70" s="490" t="s">
        <v>4132</v>
      </c>
      <c r="AT70" s="490"/>
      <c r="AU70" s="489" t="s">
        <v>3215</v>
      </c>
      <c r="AV70" s="489" t="s">
        <v>4133</v>
      </c>
      <c r="AW70" s="490"/>
      <c r="AX70" s="490"/>
      <c r="AY70" s="490"/>
      <c r="AZ70" s="490"/>
      <c r="BA70" s="490"/>
      <c r="BB70" s="491" t="s">
        <v>4134</v>
      </c>
      <c r="BC70" s="491" t="s">
        <v>1293</v>
      </c>
      <c r="BD70" s="492" t="s">
        <v>2330</v>
      </c>
      <c r="BE70" s="492" t="s">
        <v>583</v>
      </c>
      <c r="BF70" s="491" t="s">
        <v>3773</v>
      </c>
      <c r="BG70" s="492"/>
      <c r="BH70" s="492"/>
      <c r="BI70" s="492" t="s">
        <v>2341</v>
      </c>
      <c r="BJ70" s="492"/>
      <c r="BK70" s="492" t="s">
        <v>4135</v>
      </c>
      <c r="BL70" s="492" t="s">
        <v>1430</v>
      </c>
      <c r="BM70" s="492"/>
      <c r="BN70" s="492"/>
      <c r="BO70" s="492"/>
      <c r="BP70" s="492"/>
      <c r="BQ70" s="492"/>
      <c r="BR70" s="493"/>
      <c r="BS70" s="493" t="s">
        <v>4136</v>
      </c>
      <c r="BT70" s="494" t="s">
        <v>2765</v>
      </c>
      <c r="BU70" s="493"/>
      <c r="BV70" s="493"/>
      <c r="BW70" s="493" t="s">
        <v>2083</v>
      </c>
      <c r="BX70" s="493"/>
      <c r="BY70" s="493"/>
      <c r="BZ70" s="493"/>
      <c r="CA70" s="493"/>
      <c r="CB70" s="493"/>
      <c r="CC70" s="493"/>
      <c r="CD70" s="493"/>
      <c r="CE70" s="493"/>
      <c r="CF70" s="249"/>
      <c r="CG70" s="495" t="s">
        <v>4137</v>
      </c>
      <c r="CH70" s="131" t="s">
        <v>1518</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1259</v>
      </c>
      <c r="D71" s="84" t="s">
        <v>1259</v>
      </c>
      <c r="E71" s="85" t="s">
        <v>1259</v>
      </c>
      <c r="F71" s="86" t="s">
        <v>3465</v>
      </c>
      <c r="G71" s="82" t="s">
        <v>3299</v>
      </c>
      <c r="H71" s="88" t="s">
        <v>2482</v>
      </c>
      <c r="I71" s="88" t="s">
        <v>4141</v>
      </c>
      <c r="J71" s="88" t="s">
        <v>4019</v>
      </c>
      <c r="K71" s="88" t="s">
        <v>1951</v>
      </c>
      <c r="L71" s="88" t="s">
        <v>4142</v>
      </c>
      <c r="M71" s="88" t="s">
        <v>4143</v>
      </c>
      <c r="N71" s="88" t="s">
        <v>4144</v>
      </c>
      <c r="O71" s="88" t="s">
        <v>2123</v>
      </c>
      <c r="P71" s="88" t="s">
        <v>109</v>
      </c>
      <c r="Q71" s="99"/>
      <c r="R71" s="99"/>
      <c r="S71" s="99"/>
      <c r="T71" s="99"/>
      <c r="U71" s="99"/>
      <c r="V71" s="99"/>
      <c r="W71" s="92"/>
      <c r="X71" s="88" t="s">
        <v>3724</v>
      </c>
      <c r="Y71" s="93"/>
      <c r="Z71" s="88" t="s">
        <v>2892</v>
      </c>
      <c r="AA71" s="88" t="s">
        <v>4145</v>
      </c>
      <c r="AB71" s="88" t="s">
        <v>4146</v>
      </c>
      <c r="AC71" s="88" t="s">
        <v>4147</v>
      </c>
      <c r="AD71" s="88" t="s">
        <v>4148</v>
      </c>
      <c r="AE71" s="99"/>
      <c r="AF71" s="88" t="s">
        <v>4149</v>
      </c>
      <c r="AG71" s="88" t="s">
        <v>4150</v>
      </c>
      <c r="AH71" s="88" t="s">
        <v>4151</v>
      </c>
      <c r="AI71" s="99"/>
      <c r="AJ71" s="99"/>
      <c r="AK71" s="99"/>
      <c r="AL71" s="97"/>
      <c r="AM71" s="88" t="s">
        <v>1975</v>
      </c>
      <c r="AN71" s="88" t="s">
        <v>4152</v>
      </c>
      <c r="AO71" s="99"/>
      <c r="AP71" s="99"/>
      <c r="AQ71" s="99"/>
      <c r="AR71" s="99"/>
      <c r="AS71" s="99"/>
      <c r="AT71" s="99"/>
      <c r="AU71" s="88" t="s">
        <v>3193</v>
      </c>
      <c r="AV71" s="88" t="s">
        <v>409</v>
      </c>
      <c r="AW71" s="99"/>
      <c r="AX71" s="99"/>
      <c r="AY71" s="99"/>
      <c r="AZ71" s="99"/>
      <c r="BA71" s="99"/>
      <c r="BB71" s="88" t="s">
        <v>2948</v>
      </c>
      <c r="BC71" s="88" t="s">
        <v>310</v>
      </c>
      <c r="BD71" s="88" t="s">
        <v>1082</v>
      </c>
      <c r="BE71" s="88" t="s">
        <v>4153</v>
      </c>
      <c r="BF71" s="88" t="s">
        <v>4154</v>
      </c>
      <c r="BG71" s="88" t="s">
        <v>3184</v>
      </c>
      <c r="BH71" s="88" t="s">
        <v>4155</v>
      </c>
      <c r="BI71" s="88" t="s">
        <v>2322</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1468</v>
      </c>
      <c r="BW71" s="88" t="s">
        <v>1049</v>
      </c>
      <c r="BX71" s="88" t="s">
        <v>4162</v>
      </c>
      <c r="BY71" s="88" t="s">
        <v>4163</v>
      </c>
      <c r="BZ71" s="99"/>
      <c r="CA71" s="88" t="s">
        <v>2650</v>
      </c>
      <c r="CB71" s="99"/>
      <c r="CC71" s="99"/>
      <c r="CD71" s="88" t="s">
        <v>2472</v>
      </c>
      <c r="CE71" s="99"/>
      <c r="CF71" s="237"/>
      <c r="CG71" s="88" t="s">
        <v>4164</v>
      </c>
      <c r="CH71" s="88" t="s">
        <v>4165</v>
      </c>
      <c r="CI71" s="88" t="s">
        <v>2158</v>
      </c>
      <c r="CJ71" s="88" t="s">
        <v>4166</v>
      </c>
      <c r="CK71" s="93"/>
      <c r="CL71" s="88" t="s">
        <v>3170</v>
      </c>
      <c r="CM71" s="88" t="s">
        <v>367</v>
      </c>
      <c r="CN71" s="88" t="s">
        <v>1607</v>
      </c>
      <c r="CO71" s="88" t="s">
        <v>4167</v>
      </c>
      <c r="CP71" s="99"/>
      <c r="CQ71" s="99"/>
      <c r="CR71" s="99"/>
      <c r="CS71" s="99"/>
      <c r="CT71" s="99"/>
      <c r="CU71" s="92"/>
      <c r="CV71" s="88" t="s">
        <v>2005</v>
      </c>
      <c r="CW71" s="88" t="s">
        <v>549</v>
      </c>
      <c r="CX71" s="88" t="s">
        <v>4168</v>
      </c>
      <c r="CY71" s="88" t="s">
        <v>4169</v>
      </c>
      <c r="CZ71" s="88" t="s">
        <v>2672</v>
      </c>
      <c r="DA71" s="88" t="s">
        <v>1971</v>
      </c>
      <c r="DB71" s="88" t="s">
        <v>4170</v>
      </c>
      <c r="DC71" s="88" t="s">
        <v>4171</v>
      </c>
      <c r="DD71" s="99"/>
      <c r="DE71" s="99"/>
      <c r="DF71" s="88" t="s">
        <v>2388</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2021</v>
      </c>
      <c r="DV71" s="94" t="s">
        <v>4175</v>
      </c>
      <c r="DW71" s="88" t="s">
        <v>1714</v>
      </c>
      <c r="DX71" s="94" t="s">
        <v>3655</v>
      </c>
      <c r="DY71" s="94" t="s">
        <v>1547</v>
      </c>
      <c r="DZ71" s="88" t="s">
        <v>4176</v>
      </c>
      <c r="EA71" s="88" t="s">
        <v>2220</v>
      </c>
      <c r="EB71" s="94" t="s">
        <v>4177</v>
      </c>
      <c r="EC71" s="94" t="s">
        <v>1602</v>
      </c>
      <c r="ED71" s="503" t="s">
        <v>4178</v>
      </c>
    </row>
    <row r="72">
      <c r="A72" s="165" t="s">
        <v>4179</v>
      </c>
      <c r="B72" s="104" t="s">
        <v>4180</v>
      </c>
      <c r="C72" s="105" t="s">
        <v>1259</v>
      </c>
      <c r="D72" s="106" t="s">
        <v>1259</v>
      </c>
      <c r="E72" s="107" t="s">
        <v>1259</v>
      </c>
      <c r="F72" s="108" t="s">
        <v>1259</v>
      </c>
      <c r="G72" s="104" t="s">
        <v>4181</v>
      </c>
      <c r="H72" s="166" t="s">
        <v>1370</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1370</v>
      </c>
      <c r="Y72" s="198"/>
      <c r="Z72" s="198" t="s">
        <v>720</v>
      </c>
      <c r="AA72" s="198" t="s">
        <v>1692</v>
      </c>
      <c r="AB72" s="198" t="s">
        <v>4190</v>
      </c>
      <c r="AC72" s="198" t="s">
        <v>4191</v>
      </c>
      <c r="AD72" s="198" t="s">
        <v>1654</v>
      </c>
      <c r="AE72" s="198"/>
      <c r="AF72" s="198" t="s">
        <v>791</v>
      </c>
      <c r="AG72" s="198" t="s">
        <v>4192</v>
      </c>
      <c r="AH72" s="198" t="s">
        <v>2356</v>
      </c>
      <c r="AI72" s="198"/>
      <c r="AJ72" s="198" t="s">
        <v>4193</v>
      </c>
      <c r="AK72" s="198" t="s">
        <v>2624</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2770</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1515</v>
      </c>
      <c r="BX72" s="174" t="s">
        <v>1328</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1263</v>
      </c>
      <c r="CM72" s="177" t="s">
        <v>1442</v>
      </c>
      <c r="CN72" s="177" t="s">
        <v>888</v>
      </c>
      <c r="CO72" s="177" t="s">
        <v>3733</v>
      </c>
      <c r="CP72" s="177" t="s">
        <v>4218</v>
      </c>
      <c r="CQ72" s="177" t="s">
        <v>4219</v>
      </c>
      <c r="CR72" s="252"/>
      <c r="CS72" s="252"/>
      <c r="CT72" s="252"/>
      <c r="CU72" s="92"/>
      <c r="CV72" s="203" t="s">
        <v>4220</v>
      </c>
      <c r="CW72" s="203" t="s">
        <v>4221</v>
      </c>
      <c r="CX72" s="203" t="s">
        <v>4222</v>
      </c>
      <c r="CY72" s="203" t="s">
        <v>2513</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1594</v>
      </c>
      <c r="DP72" s="204" t="s">
        <v>1080</v>
      </c>
      <c r="DQ72" s="204" t="s">
        <v>4230</v>
      </c>
      <c r="DR72" s="204" t="s">
        <v>2257</v>
      </c>
      <c r="DS72" s="204" t="s">
        <v>3277</v>
      </c>
      <c r="DT72" s="204" t="s">
        <v>4106</v>
      </c>
      <c r="DU72" s="204" t="s">
        <v>4231</v>
      </c>
      <c r="DV72" s="204" t="s">
        <v>4232</v>
      </c>
      <c r="DW72" s="204" t="s">
        <v>966</v>
      </c>
      <c r="DX72" s="204" t="s">
        <v>4233</v>
      </c>
      <c r="DY72" s="204" t="s">
        <v>1313</v>
      </c>
      <c r="DZ72" s="204" t="s">
        <v>4127</v>
      </c>
      <c r="EA72" s="204" t="s">
        <v>4234</v>
      </c>
      <c r="EB72" s="204" t="s">
        <v>3688</v>
      </c>
      <c r="EC72" s="204" t="s">
        <v>4235</v>
      </c>
      <c r="ED72" s="287" t="s">
        <v>4236</v>
      </c>
    </row>
    <row r="73">
      <c r="A73" s="504" t="s">
        <v>4237</v>
      </c>
      <c r="B73" s="82" t="s">
        <v>4238</v>
      </c>
      <c r="C73" s="83" t="s">
        <v>437</v>
      </c>
      <c r="D73" s="84" t="s">
        <v>332</v>
      </c>
      <c r="E73" s="85" t="s">
        <v>437</v>
      </c>
      <c r="F73" s="86" t="s">
        <v>2716</v>
      </c>
      <c r="G73" s="82" t="s">
        <v>2716</v>
      </c>
      <c r="H73" s="99"/>
      <c r="I73" s="88" t="s">
        <v>1131</v>
      </c>
      <c r="J73" s="99"/>
      <c r="K73" s="88" t="s">
        <v>1263</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1295</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2906</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1259</v>
      </c>
      <c r="D74" s="106" t="s">
        <v>1259</v>
      </c>
      <c r="E74" s="107" t="s">
        <v>1259</v>
      </c>
      <c r="F74" s="108" t="s">
        <v>333</v>
      </c>
      <c r="G74" s="104" t="s">
        <v>2380</v>
      </c>
      <c r="H74" s="110" t="str">
        <f>HYPERLINK("https://clips.twitch.tv/LachrymoseCourteousDelicataSeemsGood","51.28")</f>
        <v>51.28</v>
      </c>
      <c r="I74" s="225" t="s">
        <v>4252</v>
      </c>
      <c r="J74" s="225" t="s">
        <v>723</v>
      </c>
      <c r="K74" s="166" t="s">
        <v>1421</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1187</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2538</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1828</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1259</v>
      </c>
      <c r="E75" s="85" t="s">
        <v>1259</v>
      </c>
      <c r="F75" s="86" t="s">
        <v>2943</v>
      </c>
      <c r="G75" s="82" t="s">
        <v>2348</v>
      </c>
      <c r="H75" s="88" t="s">
        <v>4123</v>
      </c>
      <c r="I75" s="99"/>
      <c r="J75" s="99"/>
      <c r="K75" s="99"/>
      <c r="L75" s="94" t="s">
        <v>344</v>
      </c>
      <c r="M75" s="99"/>
      <c r="N75" s="99"/>
      <c r="O75" s="94" t="s">
        <v>4273</v>
      </c>
      <c r="P75" s="94" t="s">
        <v>2659</v>
      </c>
      <c r="Q75" s="98" t="s">
        <v>234</v>
      </c>
      <c r="R75" s="99"/>
      <c r="S75" s="99"/>
      <c r="T75" s="94" t="s">
        <v>2277</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2372</v>
      </c>
      <c r="AS75" s="99"/>
      <c r="AT75" s="94" t="s">
        <v>3769</v>
      </c>
      <c r="AU75" s="94" t="s">
        <v>4279</v>
      </c>
      <c r="AV75" s="88" t="s">
        <v>869</v>
      </c>
      <c r="AW75" s="88" t="s">
        <v>1694</v>
      </c>
      <c r="AX75" s="99"/>
      <c r="AY75" s="99"/>
      <c r="AZ75" s="87" t="s">
        <v>4280</v>
      </c>
      <c r="BA75" s="99"/>
      <c r="BB75" s="99"/>
      <c r="BC75" s="99"/>
      <c r="BD75" s="94"/>
      <c r="BE75" s="88" t="s">
        <v>3751</v>
      </c>
      <c r="BF75" s="99"/>
      <c r="BG75" s="88" t="s">
        <v>2069</v>
      </c>
      <c r="BH75" s="99"/>
      <c r="BI75" s="88" t="s">
        <v>2581</v>
      </c>
      <c r="BJ75" s="99"/>
      <c r="BK75" s="99"/>
      <c r="BL75" s="94" t="s">
        <v>2682</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1599</v>
      </c>
      <c r="CD75" s="94" t="s">
        <v>370</v>
      </c>
      <c r="CE75" s="87" t="s">
        <v>4286</v>
      </c>
      <c r="CF75" s="100"/>
      <c r="CG75" s="94" t="s">
        <v>3116</v>
      </c>
      <c r="CH75" s="88" t="s">
        <v>3339</v>
      </c>
      <c r="CI75" s="272" t="s">
        <v>3492</v>
      </c>
      <c r="CJ75" s="94" t="s">
        <v>185</v>
      </c>
      <c r="CK75" s="94"/>
      <c r="CL75" s="94" t="s">
        <v>3342</v>
      </c>
      <c r="CM75" s="94" t="s">
        <v>1156</v>
      </c>
      <c r="CN75" s="94" t="s">
        <v>4244</v>
      </c>
      <c r="CO75" s="99"/>
      <c r="CP75" s="99"/>
      <c r="CQ75" s="161" t="s">
        <v>1959</v>
      </c>
      <c r="CR75" s="99"/>
      <c r="CS75" s="99"/>
      <c r="CT75" s="87" t="s">
        <v>4270</v>
      </c>
      <c r="CU75" s="92"/>
      <c r="CV75" s="99"/>
      <c r="CW75" s="99"/>
      <c r="CX75" s="99"/>
      <c r="CY75" s="99"/>
      <c r="CZ75" s="99"/>
      <c r="DA75" s="94" t="s">
        <v>2247</v>
      </c>
      <c r="DB75" s="94" t="s">
        <v>2111</v>
      </c>
      <c r="DC75" s="99"/>
      <c r="DD75" s="87" t="s">
        <v>4287</v>
      </c>
      <c r="DE75" s="94"/>
      <c r="DF75" s="88" t="s">
        <v>4288</v>
      </c>
      <c r="DG75" s="87" t="s">
        <v>1905</v>
      </c>
      <c r="DH75" s="100"/>
      <c r="DI75" s="99"/>
      <c r="DJ75" s="99"/>
      <c r="DK75" s="99"/>
      <c r="DL75" s="87" t="s">
        <v>3586</v>
      </c>
      <c r="DM75" s="94" t="s">
        <v>528</v>
      </c>
      <c r="DN75" s="99"/>
      <c r="DO75" s="94" t="s">
        <v>1095</v>
      </c>
      <c r="DP75" s="94" t="s">
        <v>4289</v>
      </c>
      <c r="DQ75" s="99"/>
      <c r="DR75" s="99"/>
      <c r="DS75" s="88" t="s">
        <v>2247</v>
      </c>
      <c r="DT75" s="99"/>
      <c r="DU75" s="99"/>
      <c r="DV75" s="94" t="s">
        <v>2903</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1259</v>
      </c>
      <c r="D76" s="106" t="s">
        <v>1259</v>
      </c>
      <c r="E76" s="107" t="s">
        <v>1259</v>
      </c>
      <c r="F76" s="108" t="s">
        <v>1259</v>
      </c>
      <c r="G76" s="104" t="s">
        <v>4063</v>
      </c>
      <c r="H76" s="166" t="s">
        <v>1287</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1264</v>
      </c>
      <c r="AN76" s="167" t="s">
        <v>4313</v>
      </c>
      <c r="AO76" s="167" t="s">
        <v>4314</v>
      </c>
      <c r="AP76" s="167" t="s">
        <v>4315</v>
      </c>
      <c r="AQ76" s="167" t="s">
        <v>4316</v>
      </c>
      <c r="AR76" s="167" t="s">
        <v>754</v>
      </c>
      <c r="AS76" s="167" t="s">
        <v>1078</v>
      </c>
      <c r="AT76" s="167" t="s">
        <v>4317</v>
      </c>
      <c r="AU76" s="167" t="s">
        <v>327</v>
      </c>
      <c r="AV76" s="167" t="s">
        <v>4318</v>
      </c>
      <c r="AW76" s="167" t="s">
        <v>4319</v>
      </c>
      <c r="AX76" s="167" t="s">
        <v>1750</v>
      </c>
      <c r="AY76" s="167" t="s">
        <v>1726</v>
      </c>
      <c r="AZ76" s="167" t="s">
        <v>4320</v>
      </c>
      <c r="BA76" s="167"/>
      <c r="BB76" s="173" t="s">
        <v>592</v>
      </c>
      <c r="BC76" s="173" t="s">
        <v>4321</v>
      </c>
      <c r="BD76" s="173" t="s">
        <v>3020</v>
      </c>
      <c r="BE76" s="173" t="s">
        <v>264</v>
      </c>
      <c r="BF76" s="173" t="s">
        <v>3908</v>
      </c>
      <c r="BG76" s="173" t="s">
        <v>1221</v>
      </c>
      <c r="BH76" s="173" t="s">
        <v>2954</v>
      </c>
      <c r="BI76" s="173" t="s">
        <v>516</v>
      </c>
      <c r="BJ76" s="172"/>
      <c r="BK76" s="173" t="s">
        <v>4322</v>
      </c>
      <c r="BL76" s="173" t="s">
        <v>2723</v>
      </c>
      <c r="BM76" s="172"/>
      <c r="BN76" s="173" t="s">
        <v>4010</v>
      </c>
      <c r="BO76" s="173" t="s">
        <v>4323</v>
      </c>
      <c r="BP76" s="173" t="s">
        <v>4324</v>
      </c>
      <c r="BQ76" s="173"/>
      <c r="BR76" s="174"/>
      <c r="BS76" s="174" t="s">
        <v>4325</v>
      </c>
      <c r="BT76" s="174" t="s">
        <v>4326</v>
      </c>
      <c r="BU76" s="174" t="s">
        <v>4327</v>
      </c>
      <c r="BV76" s="174" t="s">
        <v>4328</v>
      </c>
      <c r="BW76" s="174" t="s">
        <v>4329</v>
      </c>
      <c r="BX76" s="174" t="s">
        <v>1400</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1385</v>
      </c>
      <c r="CR76" s="177"/>
      <c r="CS76" s="177" t="s">
        <v>4340</v>
      </c>
      <c r="CT76" s="177" t="s">
        <v>4341</v>
      </c>
      <c r="CU76" s="92"/>
      <c r="CV76" s="203" t="s">
        <v>3047</v>
      </c>
      <c r="CW76" s="203" t="s">
        <v>4342</v>
      </c>
      <c r="CX76" s="203" t="s">
        <v>4343</v>
      </c>
      <c r="CY76" s="203" t="s">
        <v>1546</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1361</v>
      </c>
      <c r="DW76" s="204" t="s">
        <v>966</v>
      </c>
      <c r="DX76" s="255"/>
      <c r="DY76" s="204" t="s">
        <v>2264</v>
      </c>
      <c r="DZ76" s="204" t="s">
        <v>3371</v>
      </c>
      <c r="EA76" s="204" t="s">
        <v>1016</v>
      </c>
      <c r="EB76" s="204" t="s">
        <v>4356</v>
      </c>
      <c r="EC76" s="204" t="s">
        <v>2421</v>
      </c>
      <c r="ED76" s="287" t="s">
        <v>3263</v>
      </c>
    </row>
    <row r="77">
      <c r="A77" s="81" t="s">
        <v>4357</v>
      </c>
      <c r="B77" s="82" t="s">
        <v>4358</v>
      </c>
      <c r="C77" s="83" t="s">
        <v>544</v>
      </c>
      <c r="D77" s="84" t="s">
        <v>1259</v>
      </c>
      <c r="E77" s="85" t="s">
        <v>1259</v>
      </c>
      <c r="F77" s="86" t="s">
        <v>647</v>
      </c>
      <c r="G77" s="82" t="s">
        <v>3501</v>
      </c>
      <c r="H77" s="94" t="s">
        <v>682</v>
      </c>
      <c r="I77" s="93" t="s">
        <v>4359</v>
      </c>
      <c r="J77" s="93" t="s">
        <v>3948</v>
      </c>
      <c r="K77" s="94" t="s">
        <v>2883</v>
      </c>
      <c r="L77" s="93" t="s">
        <v>4360</v>
      </c>
      <c r="M77" s="99"/>
      <c r="N77" s="93" t="s">
        <v>4361</v>
      </c>
      <c r="O77" s="93" t="s">
        <v>3205</v>
      </c>
      <c r="P77" s="94" t="s">
        <v>109</v>
      </c>
      <c r="Q77" s="99"/>
      <c r="R77" s="99"/>
      <c r="S77" s="94" t="s">
        <v>3209</v>
      </c>
      <c r="T77" s="94" t="s">
        <v>1788</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2758</v>
      </c>
      <c r="AK77" s="99"/>
      <c r="AL77" s="97"/>
      <c r="AM77" s="94" t="s">
        <v>922</v>
      </c>
      <c r="AN77" s="94" t="s">
        <v>4366</v>
      </c>
      <c r="AO77" s="99"/>
      <c r="AP77" s="94" t="s">
        <v>1854</v>
      </c>
      <c r="AQ77" s="99"/>
      <c r="AR77" s="99"/>
      <c r="AS77" s="99"/>
      <c r="AT77" s="99"/>
      <c r="AU77" s="94" t="s">
        <v>1868</v>
      </c>
      <c r="AV77" s="94" t="s">
        <v>1371</v>
      </c>
      <c r="AW77" s="94"/>
      <c r="AX77" s="99"/>
      <c r="AY77" s="94" t="s">
        <v>130</v>
      </c>
      <c r="AZ77" s="99"/>
      <c r="BA77" s="99"/>
      <c r="BB77" s="94" t="s">
        <v>4367</v>
      </c>
      <c r="BC77" s="94" t="s">
        <v>449</v>
      </c>
      <c r="BD77" s="94" t="s">
        <v>3166</v>
      </c>
      <c r="BE77" s="93" t="s">
        <v>4368</v>
      </c>
      <c r="BF77" s="94" t="s">
        <v>1601</v>
      </c>
      <c r="BG77" s="99"/>
      <c r="BH77" s="99"/>
      <c r="BI77" s="94" t="s">
        <v>1327</v>
      </c>
      <c r="BJ77" s="94"/>
      <c r="BK77" s="94"/>
      <c r="BL77" s="94" t="s">
        <v>2054</v>
      </c>
      <c r="BM77" s="99"/>
      <c r="BN77" s="94" t="s">
        <v>2306</v>
      </c>
      <c r="BO77" s="94" t="s">
        <v>4323</v>
      </c>
      <c r="BP77" s="99"/>
      <c r="BQ77" s="237"/>
      <c r="BR77" s="94"/>
      <c r="BS77" s="93" t="s">
        <v>4369</v>
      </c>
      <c r="BT77" s="94" t="s">
        <v>4057</v>
      </c>
      <c r="BU77" s="94" t="s">
        <v>4370</v>
      </c>
      <c r="BV77" s="94" t="s">
        <v>4371</v>
      </c>
      <c r="BW77" s="94" t="s">
        <v>737</v>
      </c>
      <c r="BX77" s="87" t="s">
        <v>4372</v>
      </c>
      <c r="BY77" s="99"/>
      <c r="BZ77" s="94" t="s">
        <v>4373</v>
      </c>
      <c r="CA77" s="94" t="s">
        <v>2421</v>
      </c>
      <c r="CB77" s="93" t="s">
        <v>4374</v>
      </c>
      <c r="CC77" s="94" t="s">
        <v>4375</v>
      </c>
      <c r="CD77" s="94" t="s">
        <v>689</v>
      </c>
      <c r="CE77" s="99"/>
      <c r="CF77" s="237"/>
      <c r="CG77" s="93" t="s">
        <v>4376</v>
      </c>
      <c r="CH77" s="94" t="s">
        <v>4377</v>
      </c>
      <c r="CI77" s="93"/>
      <c r="CJ77" s="88" t="s">
        <v>4378</v>
      </c>
      <c r="CK77" s="102"/>
      <c r="CL77" s="102"/>
      <c r="CM77" s="94" t="s">
        <v>2910</v>
      </c>
      <c r="CN77" s="94" t="s">
        <v>1547</v>
      </c>
      <c r="CO77" s="94" t="s">
        <v>2659</v>
      </c>
      <c r="CP77" s="99"/>
      <c r="CQ77" s="99"/>
      <c r="CR77" s="99"/>
      <c r="CS77" s="99"/>
      <c r="CT77" s="99"/>
      <c r="CU77" s="92"/>
      <c r="CV77" s="94" t="s">
        <v>4379</v>
      </c>
      <c r="CW77" s="99"/>
      <c r="CX77" s="94" t="s">
        <v>1779</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4380</v>
      </c>
      <c r="DS77" s="94"/>
      <c r="DT77" s="99"/>
      <c r="DU77" s="99"/>
      <c r="DV77" s="94" t="s">
        <v>2038</v>
      </c>
      <c r="DW77" s="99"/>
      <c r="DX77" s="99"/>
      <c r="DY77" s="99"/>
      <c r="DZ77" s="99"/>
      <c r="EA77" s="94" t="s">
        <v>957</v>
      </c>
      <c r="EB77" s="99"/>
      <c r="EC77" s="99"/>
      <c r="ED77" s="258"/>
    </row>
    <row r="78">
      <c r="A78" s="165" t="s">
        <v>4381</v>
      </c>
      <c r="B78" s="104" t="s">
        <v>4382</v>
      </c>
      <c r="C78" s="105" t="s">
        <v>1259</v>
      </c>
      <c r="D78" s="106" t="s">
        <v>1259</v>
      </c>
      <c r="E78" s="107" t="s">
        <v>1259</v>
      </c>
      <c r="F78" s="108" t="s">
        <v>1259</v>
      </c>
      <c r="G78" s="104" t="s">
        <v>2155</v>
      </c>
      <c r="H78" s="166"/>
      <c r="I78" s="166" t="s">
        <v>4383</v>
      </c>
      <c r="J78" s="166" t="s">
        <v>4384</v>
      </c>
      <c r="K78" s="166" t="s">
        <v>1951</v>
      </c>
      <c r="L78" s="166" t="s">
        <v>3737</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1835</v>
      </c>
      <c r="AW78" s="245"/>
      <c r="AX78" s="245"/>
      <c r="AY78" s="245"/>
      <c r="AZ78" s="245"/>
      <c r="BA78" s="245"/>
      <c r="BB78" s="200" t="s">
        <v>2354</v>
      </c>
      <c r="BC78" s="173" t="s">
        <v>4390</v>
      </c>
      <c r="BD78" s="173" t="s">
        <v>2679</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2208</v>
      </c>
      <c r="CH78" s="177" t="s">
        <v>2846</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1259</v>
      </c>
      <c r="D79" s="84" t="s">
        <v>1259</v>
      </c>
      <c r="E79" s="85" t="s">
        <v>1259</v>
      </c>
      <c r="F79" s="86" t="s">
        <v>544</v>
      </c>
      <c r="G79" s="82" t="s">
        <v>4414</v>
      </c>
      <c r="H79" s="94" t="s">
        <v>2125</v>
      </c>
      <c r="I79" s="94" t="s">
        <v>4415</v>
      </c>
      <c r="J79" s="94" t="s">
        <v>3640</v>
      </c>
      <c r="K79" s="94" t="s">
        <v>2281</v>
      </c>
      <c r="L79" s="94" t="s">
        <v>1035</v>
      </c>
      <c r="M79" s="94" t="s">
        <v>4416</v>
      </c>
      <c r="N79" s="94" t="s">
        <v>4417</v>
      </c>
      <c r="O79" s="94" t="s">
        <v>4418</v>
      </c>
      <c r="P79" s="94" t="s">
        <v>2659</v>
      </c>
      <c r="Q79" s="99"/>
      <c r="R79" s="99"/>
      <c r="S79" s="94" t="s">
        <v>1340</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1942</v>
      </c>
      <c r="AV79" s="94" t="s">
        <v>4006</v>
      </c>
      <c r="AW79" s="99"/>
      <c r="AX79" s="99"/>
      <c r="AY79" s="99"/>
      <c r="AZ79" s="99"/>
      <c r="BA79" s="99"/>
      <c r="BB79" s="94" t="s">
        <v>3202</v>
      </c>
      <c r="BC79" s="94" t="s">
        <v>2159</v>
      </c>
      <c r="BD79" s="94" t="s">
        <v>296</v>
      </c>
      <c r="BE79" s="94" t="s">
        <v>4426</v>
      </c>
      <c r="BF79" s="94" t="s">
        <v>4427</v>
      </c>
      <c r="BG79" s="94" t="s">
        <v>1295</v>
      </c>
      <c r="BH79" s="99"/>
      <c r="BI79" s="94" t="s">
        <v>2219</v>
      </c>
      <c r="BJ79" s="94" t="s">
        <v>4428</v>
      </c>
      <c r="BK79" s="99"/>
      <c r="BL79" s="94" t="s">
        <v>2542</v>
      </c>
      <c r="BM79" s="99"/>
      <c r="BN79" s="99"/>
      <c r="BO79" s="94" t="s">
        <v>4429</v>
      </c>
      <c r="BP79" s="99"/>
      <c r="BQ79" s="237"/>
      <c r="BR79" s="94" t="s">
        <v>4430</v>
      </c>
      <c r="BS79" s="314" t="s">
        <v>3556</v>
      </c>
      <c r="BT79" s="314" t="s">
        <v>4431</v>
      </c>
      <c r="BU79" s="314" t="s">
        <v>4432</v>
      </c>
      <c r="BV79" s="316" t="s">
        <v>1903</v>
      </c>
      <c r="BW79" s="314" t="s">
        <v>1805</v>
      </c>
      <c r="BX79" s="88" t="s">
        <v>4433</v>
      </c>
      <c r="BY79" s="94" t="s">
        <v>4434</v>
      </c>
      <c r="BZ79" s="99"/>
      <c r="CA79" s="94" t="s">
        <v>4435</v>
      </c>
      <c r="CB79" s="99"/>
      <c r="CC79" s="99"/>
      <c r="CD79" s="99"/>
      <c r="CE79" s="99"/>
      <c r="CF79" s="237"/>
      <c r="CG79" s="314" t="s">
        <v>4436</v>
      </c>
      <c r="CH79" s="316" t="s">
        <v>1319</v>
      </c>
      <c r="CI79" s="316" t="s">
        <v>4437</v>
      </c>
      <c r="CJ79" s="316" t="s">
        <v>4438</v>
      </c>
      <c r="CK79" s="316"/>
      <c r="CL79" s="316" t="s">
        <v>549</v>
      </c>
      <c r="CM79" s="314" t="s">
        <v>4439</v>
      </c>
      <c r="CN79" s="316" t="s">
        <v>1779</v>
      </c>
      <c r="CO79" s="314" t="s">
        <v>2525</v>
      </c>
      <c r="CP79" s="99"/>
      <c r="CQ79" s="99"/>
      <c r="CR79" s="99"/>
      <c r="CS79" s="99"/>
      <c r="CT79" s="99"/>
      <c r="CU79" s="92"/>
      <c r="CV79" s="314" t="s">
        <v>4440</v>
      </c>
      <c r="CW79" s="316" t="s">
        <v>2469</v>
      </c>
      <c r="CX79" s="314" t="s">
        <v>1736</v>
      </c>
      <c r="CY79" s="314" t="s">
        <v>3155</v>
      </c>
      <c r="CZ79" s="314" t="s">
        <v>4441</v>
      </c>
      <c r="DA79" s="314" t="s">
        <v>1736</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1259</v>
      </c>
      <c r="D80" s="106" t="s">
        <v>1259</v>
      </c>
      <c r="E80" s="107" t="s">
        <v>1259</v>
      </c>
      <c r="F80" s="108" t="s">
        <v>2780</v>
      </c>
      <c r="G80" s="104" t="s">
        <v>1948</v>
      </c>
      <c r="H80" s="112" t="s">
        <v>2855</v>
      </c>
      <c r="I80" s="293" t="s">
        <v>4450</v>
      </c>
      <c r="J80" s="166" t="s">
        <v>108</v>
      </c>
      <c r="K80" s="166" t="s">
        <v>4451</v>
      </c>
      <c r="L80" s="166" t="s">
        <v>4452</v>
      </c>
      <c r="M80" s="166" t="s">
        <v>4453</v>
      </c>
      <c r="N80" s="166" t="s">
        <v>4454</v>
      </c>
      <c r="O80" s="166" t="s">
        <v>370</v>
      </c>
      <c r="P80" s="166" t="s">
        <v>2985</v>
      </c>
      <c r="Q80" s="112" t="s">
        <v>4455</v>
      </c>
      <c r="R80" s="166" t="s">
        <v>2556</v>
      </c>
      <c r="S80" s="239" t="s">
        <v>3021</v>
      </c>
      <c r="T80" s="166" t="s">
        <v>3012</v>
      </c>
      <c r="U80" s="166" t="s">
        <v>1838</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1977</v>
      </c>
      <c r="AI80" s="244"/>
      <c r="AJ80" s="198" t="s">
        <v>4022</v>
      </c>
      <c r="AK80" s="198" t="s">
        <v>4461</v>
      </c>
      <c r="AL80" s="97"/>
      <c r="AM80" s="167" t="s">
        <v>141</v>
      </c>
      <c r="AN80" s="167" t="s">
        <v>4462</v>
      </c>
      <c r="AO80" s="167" t="s">
        <v>4463</v>
      </c>
      <c r="AP80" s="167" t="s">
        <v>4464</v>
      </c>
      <c r="AQ80" s="167" t="s">
        <v>1424</v>
      </c>
      <c r="AR80" s="167" t="s">
        <v>3763</v>
      </c>
      <c r="AS80" s="167" t="s">
        <v>3676</v>
      </c>
      <c r="AT80" s="167" t="s">
        <v>4465</v>
      </c>
      <c r="AU80" s="167" t="s">
        <v>2824</v>
      </c>
      <c r="AV80" s="167" t="s">
        <v>1624</v>
      </c>
      <c r="AW80" s="167" t="s">
        <v>4466</v>
      </c>
      <c r="AX80" s="245"/>
      <c r="AY80" s="167" t="s">
        <v>990</v>
      </c>
      <c r="AZ80" s="279" t="s">
        <v>4467</v>
      </c>
      <c r="BA80" s="167"/>
      <c r="BB80" s="173" t="s">
        <v>4468</v>
      </c>
      <c r="BC80" s="173" t="s">
        <v>4469</v>
      </c>
      <c r="BD80" s="126" t="s">
        <v>1394</v>
      </c>
      <c r="BE80" s="173" t="s">
        <v>4470</v>
      </c>
      <c r="BF80" s="173" t="s">
        <v>3741</v>
      </c>
      <c r="BG80" s="173" t="s">
        <v>4471</v>
      </c>
      <c r="BH80" s="173" t="s">
        <v>4472</v>
      </c>
      <c r="BI80" s="173" t="s">
        <v>2556</v>
      </c>
      <c r="BJ80" s="173" t="s">
        <v>4473</v>
      </c>
      <c r="BK80" s="173" t="s">
        <v>4474</v>
      </c>
      <c r="BL80" s="173" t="s">
        <v>2682</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1768</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1435</v>
      </c>
      <c r="CT80" s="134" t="s">
        <v>4492</v>
      </c>
      <c r="CU80" s="92"/>
      <c r="CV80" s="203" t="s">
        <v>4493</v>
      </c>
      <c r="CW80" s="203" t="s">
        <v>1141</v>
      </c>
      <c r="CX80" s="203" t="s">
        <v>4494</v>
      </c>
      <c r="CY80" s="203" t="s">
        <v>3300</v>
      </c>
      <c r="CZ80" s="203" t="s">
        <v>1481</v>
      </c>
      <c r="DA80" s="203" t="s">
        <v>4495</v>
      </c>
      <c r="DB80" s="233" t="s">
        <v>4496</v>
      </c>
      <c r="DC80" s="203" t="s">
        <v>4497</v>
      </c>
      <c r="DD80" s="203" t="s">
        <v>4498</v>
      </c>
      <c r="DE80" s="203" t="s">
        <v>3009</v>
      </c>
      <c r="DF80" s="203" t="s">
        <v>1207</v>
      </c>
      <c r="DG80" s="139" t="s">
        <v>4499</v>
      </c>
      <c r="DH80" s="203"/>
      <c r="DI80" s="255"/>
      <c r="DJ80" s="255"/>
      <c r="DK80" s="204" t="s">
        <v>4500</v>
      </c>
      <c r="DL80" s="255"/>
      <c r="DM80" s="144" t="s">
        <v>3294</v>
      </c>
      <c r="DN80" s="204" t="s">
        <v>1996</v>
      </c>
      <c r="DO80" s="204" t="s">
        <v>4035</v>
      </c>
      <c r="DP80" s="204" t="s">
        <v>4501</v>
      </c>
      <c r="DQ80" s="204" t="s">
        <v>4502</v>
      </c>
      <c r="DR80" s="204" t="s">
        <v>4278</v>
      </c>
      <c r="DS80" s="204" t="s">
        <v>2660</v>
      </c>
      <c r="DT80" s="204" t="s">
        <v>3857</v>
      </c>
      <c r="DU80" s="204" t="s">
        <v>1716</v>
      </c>
      <c r="DV80" s="204" t="s">
        <v>2789</v>
      </c>
      <c r="DW80" s="204" t="s">
        <v>4503</v>
      </c>
      <c r="DX80" s="204" t="s">
        <v>4504</v>
      </c>
      <c r="DY80" s="204" t="s">
        <v>4505</v>
      </c>
      <c r="DZ80" s="204" t="s">
        <v>4506</v>
      </c>
      <c r="EA80" s="204" t="s">
        <v>4507</v>
      </c>
      <c r="EB80" s="144" t="s">
        <v>4508</v>
      </c>
      <c r="EC80" s="144" t="s">
        <v>2498</v>
      </c>
      <c r="ED80" s="141" t="s">
        <v>3064</v>
      </c>
    </row>
    <row r="81">
      <c r="A81" s="81" t="s">
        <v>4509</v>
      </c>
      <c r="B81" s="82" t="s">
        <v>4510</v>
      </c>
      <c r="C81" s="83" t="s">
        <v>1259</v>
      </c>
      <c r="D81" s="84" t="s">
        <v>1259</v>
      </c>
      <c r="E81" s="85" t="s">
        <v>1259</v>
      </c>
      <c r="F81" s="86" t="s">
        <v>221</v>
      </c>
      <c r="G81" s="82" t="s">
        <v>3105</v>
      </c>
      <c r="H81" s="94"/>
      <c r="I81" s="88" t="s">
        <v>4511</v>
      </c>
      <c r="J81" s="99" t="s">
        <v>1726</v>
      </c>
      <c r="K81" s="161" t="s">
        <v>4512</v>
      </c>
      <c r="L81" s="88" t="s">
        <v>2590</v>
      </c>
      <c r="M81" s="258" t="s">
        <v>1640</v>
      </c>
      <c r="N81" s="99"/>
      <c r="O81" s="93" t="s">
        <v>4513</v>
      </c>
      <c r="P81" s="88" t="s">
        <v>2659</v>
      </c>
      <c r="Q81" s="99"/>
      <c r="R81" s="94"/>
      <c r="S81" s="94"/>
      <c r="T81" s="99"/>
      <c r="U81" s="99"/>
      <c r="V81" s="99"/>
      <c r="W81" s="92"/>
      <c r="X81" s="88" t="s">
        <v>1746</v>
      </c>
      <c r="Y81" s="94"/>
      <c r="Z81" s="94" t="s">
        <v>4421</v>
      </c>
      <c r="AA81" s="88" t="s">
        <v>1430</v>
      </c>
      <c r="AB81" s="94" t="s">
        <v>4514</v>
      </c>
      <c r="AC81" s="88" t="s">
        <v>3344</v>
      </c>
      <c r="AD81" s="94" t="s">
        <v>2861</v>
      </c>
      <c r="AE81" s="99"/>
      <c r="AF81" s="94"/>
      <c r="AG81" s="99"/>
      <c r="AH81" s="99"/>
      <c r="AI81" s="99"/>
      <c r="AJ81" s="99"/>
      <c r="AK81" s="99"/>
      <c r="AL81" s="97"/>
      <c r="AM81" s="99"/>
      <c r="AN81" s="99"/>
      <c r="AO81" s="94" t="s">
        <v>4515</v>
      </c>
      <c r="AP81" s="99"/>
      <c r="AQ81" s="99"/>
      <c r="AR81" s="99"/>
      <c r="AS81" s="99"/>
      <c r="AT81" s="94" t="s">
        <v>1641</v>
      </c>
      <c r="AU81" s="93" t="s">
        <v>4516</v>
      </c>
      <c r="AV81" s="99"/>
      <c r="AW81" s="99"/>
      <c r="AX81" s="99"/>
      <c r="AY81" s="99"/>
      <c r="AZ81" s="99"/>
      <c r="BA81" s="99"/>
      <c r="BB81" s="99"/>
      <c r="BC81" s="99"/>
      <c r="BD81" s="94" t="s">
        <v>1289</v>
      </c>
      <c r="BE81" s="88" t="s">
        <v>4491</v>
      </c>
      <c r="BF81" s="94" t="s">
        <v>4517</v>
      </c>
      <c r="BG81" s="99"/>
      <c r="BH81" s="99"/>
      <c r="BI81" s="94" t="s">
        <v>1288</v>
      </c>
      <c r="BJ81" s="94" t="s">
        <v>4518</v>
      </c>
      <c r="BK81" s="94"/>
      <c r="BL81" s="99"/>
      <c r="BM81" s="99"/>
      <c r="BN81" s="99"/>
      <c r="BO81" s="99"/>
      <c r="BP81" s="99"/>
      <c r="BQ81" s="237"/>
      <c r="BR81" s="94" t="s">
        <v>4519</v>
      </c>
      <c r="BS81" s="93" t="s">
        <v>4397</v>
      </c>
      <c r="BT81" s="94" t="s">
        <v>2911</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1999</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1259</v>
      </c>
      <c r="D82" s="515" t="s">
        <v>1259</v>
      </c>
      <c r="E82" s="516" t="s">
        <v>1259</v>
      </c>
      <c r="F82" s="517" t="s">
        <v>437</v>
      </c>
      <c r="G82" s="513" t="s">
        <v>2466</v>
      </c>
      <c r="H82" s="293"/>
      <c r="I82" s="321" t="s">
        <v>2172</v>
      </c>
      <c r="J82" s="293" t="s">
        <v>760</v>
      </c>
      <c r="K82" s="293" t="s">
        <v>4525</v>
      </c>
      <c r="L82" s="293" t="s">
        <v>2952</v>
      </c>
      <c r="M82" s="112" t="s">
        <v>4526</v>
      </c>
      <c r="N82" s="293" t="s">
        <v>4527</v>
      </c>
      <c r="O82" s="293" t="s">
        <v>3884</v>
      </c>
      <c r="P82" s="293" t="s">
        <v>3111</v>
      </c>
      <c r="Q82" s="518"/>
      <c r="R82" s="518"/>
      <c r="S82" s="518"/>
      <c r="T82" s="518"/>
      <c r="U82" s="518"/>
      <c r="V82" s="518"/>
      <c r="W82" s="519"/>
      <c r="X82" s="296" t="s">
        <v>1842</v>
      </c>
      <c r="Y82" s="296"/>
      <c r="Z82" s="296" t="s">
        <v>3078</v>
      </c>
      <c r="AA82" s="296" t="s">
        <v>2206</v>
      </c>
      <c r="AB82" s="296" t="s">
        <v>3904</v>
      </c>
      <c r="AC82" s="296" t="s">
        <v>1694</v>
      </c>
      <c r="AD82" s="296" t="s">
        <v>3075</v>
      </c>
      <c r="AE82" s="520"/>
      <c r="AF82" s="296" t="s">
        <v>2364</v>
      </c>
      <c r="AG82" s="296" t="s">
        <v>2701</v>
      </c>
      <c r="AH82" s="520"/>
      <c r="AI82" s="520"/>
      <c r="AJ82" s="296"/>
      <c r="AK82" s="520"/>
      <c r="AL82" s="521"/>
      <c r="AM82" s="279"/>
      <c r="AN82" s="279"/>
      <c r="AO82" s="522"/>
      <c r="AP82" s="522"/>
      <c r="AQ82" s="523"/>
      <c r="AR82" s="523"/>
      <c r="AS82" s="522"/>
      <c r="AT82" s="522"/>
      <c r="AU82" s="279" t="s">
        <v>4528</v>
      </c>
      <c r="AV82" s="279" t="s">
        <v>1450</v>
      </c>
      <c r="AW82" s="279"/>
      <c r="AX82" s="522"/>
      <c r="AY82" s="522"/>
      <c r="AZ82" s="522"/>
      <c r="BA82" s="522"/>
      <c r="BB82" s="303" t="s">
        <v>2678</v>
      </c>
      <c r="BC82" s="303" t="s">
        <v>4529</v>
      </c>
      <c r="BD82" s="303" t="s">
        <v>296</v>
      </c>
      <c r="BE82" s="303" t="s">
        <v>4530</v>
      </c>
      <c r="BF82" s="303" t="s">
        <v>4531</v>
      </c>
      <c r="BG82" s="303"/>
      <c r="BH82" s="524"/>
      <c r="BI82" s="303" t="s">
        <v>1371</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3767</v>
      </c>
      <c r="CZ82" s="301" t="s">
        <v>2200</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1259</v>
      </c>
      <c r="D83" s="84" t="s">
        <v>1259</v>
      </c>
      <c r="E83" s="85" t="s">
        <v>1259</v>
      </c>
      <c r="F83" s="86" t="s">
        <v>2380</v>
      </c>
      <c r="G83" s="82" t="s">
        <v>741</v>
      </c>
      <c r="H83" s="88" t="s">
        <v>4554</v>
      </c>
      <c r="I83" s="88" t="s">
        <v>4555</v>
      </c>
      <c r="J83" s="266" t="s">
        <v>747</v>
      </c>
      <c r="K83" s="88" t="s">
        <v>4556</v>
      </c>
      <c r="L83" s="88" t="s">
        <v>209</v>
      </c>
      <c r="M83" s="88" t="s">
        <v>4557</v>
      </c>
      <c r="N83" s="88" t="s">
        <v>4558</v>
      </c>
      <c r="O83" s="88" t="s">
        <v>4559</v>
      </c>
      <c r="P83" s="88" t="s">
        <v>240</v>
      </c>
      <c r="Q83" s="88" t="s">
        <v>4560</v>
      </c>
      <c r="R83" s="94" t="s">
        <v>2053</v>
      </c>
      <c r="S83" s="94" t="s">
        <v>4261</v>
      </c>
      <c r="T83" s="94" t="s">
        <v>2146</v>
      </c>
      <c r="U83" s="94" t="s">
        <v>4561</v>
      </c>
      <c r="V83" s="94" t="s">
        <v>4562</v>
      </c>
      <c r="W83" s="92"/>
      <c r="X83" s="88" t="s">
        <v>1468</v>
      </c>
      <c r="Y83" s="102"/>
      <c r="Z83" s="88" t="s">
        <v>467</v>
      </c>
      <c r="AA83" s="88" t="s">
        <v>294</v>
      </c>
      <c r="AB83" s="94" t="s">
        <v>4563</v>
      </c>
      <c r="AC83" s="94" t="s">
        <v>3163</v>
      </c>
      <c r="AD83" s="88" t="s">
        <v>2929</v>
      </c>
      <c r="AE83" s="88" t="s">
        <v>4564</v>
      </c>
      <c r="AF83" s="88" t="s">
        <v>4565</v>
      </c>
      <c r="AG83" s="88" t="s">
        <v>1562</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2675</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1114</v>
      </c>
      <c r="BV83" s="88" t="s">
        <v>4585</v>
      </c>
      <c r="BW83" s="88" t="s">
        <v>2133</v>
      </c>
      <c r="BX83" s="94" t="s">
        <v>700</v>
      </c>
      <c r="BY83" s="94" t="s">
        <v>4586</v>
      </c>
      <c r="BZ83" s="99"/>
      <c r="CA83" s="88" t="s">
        <v>4587</v>
      </c>
      <c r="CB83" s="88" t="s">
        <v>4588</v>
      </c>
      <c r="CC83" s="88" t="s">
        <v>1137</v>
      </c>
      <c r="CD83" s="94" t="s">
        <v>112</v>
      </c>
      <c r="CE83" s="94" t="s">
        <v>4589</v>
      </c>
      <c r="CF83" s="94"/>
      <c r="CG83" s="266" t="s">
        <v>4590</v>
      </c>
      <c r="CH83" s="88" t="s">
        <v>1650</v>
      </c>
      <c r="CI83" s="88" t="s">
        <v>4591</v>
      </c>
      <c r="CJ83" s="94" t="s">
        <v>3335</v>
      </c>
      <c r="CK83" s="94"/>
      <c r="CL83" s="369" t="s">
        <v>4221</v>
      </c>
      <c r="CM83" s="88" t="s">
        <v>4592</v>
      </c>
      <c r="CN83" s="88" t="s">
        <v>4488</v>
      </c>
      <c r="CO83" s="88" t="s">
        <v>1692</v>
      </c>
      <c r="CP83" s="94" t="s">
        <v>4593</v>
      </c>
      <c r="CQ83" s="94" t="s">
        <v>773</v>
      </c>
      <c r="CR83" s="94" t="s">
        <v>2303</v>
      </c>
      <c r="CS83" s="94" t="s">
        <v>4594</v>
      </c>
      <c r="CT83" s="94" t="s">
        <v>941</v>
      </c>
      <c r="CU83" s="92"/>
      <c r="CV83" s="266" t="s">
        <v>4595</v>
      </c>
      <c r="CW83" s="88" t="s">
        <v>2065</v>
      </c>
      <c r="CX83" s="94" t="s">
        <v>2547</v>
      </c>
      <c r="CY83" s="94" t="s">
        <v>3441</v>
      </c>
      <c r="CZ83" s="94" t="s">
        <v>547</v>
      </c>
      <c r="DA83" s="94" t="s">
        <v>4037</v>
      </c>
      <c r="DB83" s="88" t="s">
        <v>4596</v>
      </c>
      <c r="DC83" s="94" t="s">
        <v>361</v>
      </c>
      <c r="DD83" s="94" t="s">
        <v>4597</v>
      </c>
      <c r="DE83" s="94" t="s">
        <v>1849</v>
      </c>
      <c r="DF83" s="94" t="s">
        <v>4598</v>
      </c>
      <c r="DG83" s="94" t="s">
        <v>4599</v>
      </c>
      <c r="DH83" s="94"/>
      <c r="DI83" s="94" t="s">
        <v>4600</v>
      </c>
      <c r="DJ83" s="94" t="s">
        <v>4601</v>
      </c>
      <c r="DK83" s="94" t="s">
        <v>2730</v>
      </c>
      <c r="DL83" s="88" t="s">
        <v>1467</v>
      </c>
      <c r="DM83" s="88" t="s">
        <v>4023</v>
      </c>
      <c r="DN83" s="94" t="s">
        <v>4602</v>
      </c>
      <c r="DO83" s="94" t="s">
        <v>4603</v>
      </c>
      <c r="DP83" s="94" t="s">
        <v>3099</v>
      </c>
      <c r="DQ83" s="94" t="s">
        <v>4230</v>
      </c>
      <c r="DR83" s="88" t="s">
        <v>4604</v>
      </c>
      <c r="DS83" s="88" t="s">
        <v>3553</v>
      </c>
      <c r="DT83" s="88" t="s">
        <v>3802</v>
      </c>
      <c r="DU83" s="94" t="s">
        <v>2114</v>
      </c>
      <c r="DV83" s="94" t="s">
        <v>4605</v>
      </c>
      <c r="DW83" s="88" t="s">
        <v>2936</v>
      </c>
      <c r="DX83" s="94" t="s">
        <v>2232</v>
      </c>
      <c r="DY83" s="94" t="s">
        <v>1971</v>
      </c>
      <c r="DZ83" s="94" t="s">
        <v>2532</v>
      </c>
      <c r="EA83" s="94" t="s">
        <v>1456</v>
      </c>
      <c r="EB83" s="94" t="s">
        <v>1832</v>
      </c>
      <c r="EC83" s="94" t="s">
        <v>2711</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2303</v>
      </c>
      <c r="M84" s="166" t="s">
        <v>4613</v>
      </c>
      <c r="N84" s="166" t="s">
        <v>4614</v>
      </c>
      <c r="O84" s="166" t="s">
        <v>845</v>
      </c>
      <c r="P84" s="166" t="s">
        <v>4073</v>
      </c>
      <c r="Q84" s="242"/>
      <c r="R84" s="166" t="s">
        <v>3763</v>
      </c>
      <c r="S84" s="166" t="s">
        <v>1504</v>
      </c>
      <c r="T84" s="242"/>
      <c r="U84" s="242"/>
      <c r="V84" s="242"/>
      <c r="W84" s="92"/>
      <c r="X84" s="198" t="s">
        <v>3595</v>
      </c>
      <c r="Y84" s="198"/>
      <c r="Z84" s="198" t="s">
        <v>361</v>
      </c>
      <c r="AA84" s="198" t="s">
        <v>2659</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4621</v>
      </c>
      <c r="BF84" s="173" t="s">
        <v>1601</v>
      </c>
      <c r="BG84" s="172"/>
      <c r="BH84" s="172"/>
      <c r="BI84" s="173" t="s">
        <v>2330</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1660</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1259</v>
      </c>
      <c r="D85" s="84" t="s">
        <v>1259</v>
      </c>
      <c r="E85" s="85" t="s">
        <v>1259</v>
      </c>
      <c r="F85" s="86" t="s">
        <v>437</v>
      </c>
      <c r="G85" s="82" t="s">
        <v>4642</v>
      </c>
      <c r="H85" s="94"/>
      <c r="I85" s="94" t="s">
        <v>4643</v>
      </c>
      <c r="J85" s="94" t="s">
        <v>2882</v>
      </c>
      <c r="K85" s="94" t="s">
        <v>3914</v>
      </c>
      <c r="L85" s="94" t="s">
        <v>4644</v>
      </c>
      <c r="M85" s="99"/>
      <c r="N85" s="94" t="s">
        <v>1227</v>
      </c>
      <c r="O85" s="94" t="s">
        <v>2511</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1849</v>
      </c>
      <c r="CH85" s="94" t="s">
        <v>538</v>
      </c>
      <c r="CI85" s="88" t="s">
        <v>4649</v>
      </c>
      <c r="CJ85" s="94" t="s">
        <v>4650</v>
      </c>
      <c r="CK85" s="94"/>
      <c r="CL85" s="94"/>
      <c r="CM85" s="94" t="s">
        <v>3616</v>
      </c>
      <c r="CN85" s="94" t="s">
        <v>2174</v>
      </c>
      <c r="CO85" s="94" t="s">
        <v>4546</v>
      </c>
      <c r="CP85" s="99"/>
      <c r="CQ85" s="99"/>
      <c r="CR85" s="99"/>
      <c r="CS85" s="99"/>
      <c r="CT85" s="99"/>
      <c r="CU85" s="92"/>
      <c r="CV85" s="94" t="s">
        <v>4651</v>
      </c>
      <c r="CW85" s="99"/>
      <c r="CX85" s="94" t="s">
        <v>1971</v>
      </c>
      <c r="CY85" s="88" t="s">
        <v>4652</v>
      </c>
      <c r="CZ85" s="94" t="s">
        <v>4653</v>
      </c>
      <c r="DA85" s="94" t="s">
        <v>3394</v>
      </c>
      <c r="DB85" s="94" t="s">
        <v>4654</v>
      </c>
      <c r="DC85" s="94" t="s">
        <v>2675</v>
      </c>
      <c r="DD85" s="99"/>
      <c r="DE85" s="99"/>
      <c r="DF85" s="99"/>
      <c r="DG85" s="99"/>
      <c r="DH85" s="237"/>
      <c r="DI85" s="99"/>
      <c r="DJ85" s="99"/>
      <c r="DK85" s="99"/>
      <c r="DL85" s="99"/>
      <c r="DM85" s="99"/>
      <c r="DN85" s="99"/>
      <c r="DO85" s="99"/>
      <c r="DP85" s="99"/>
      <c r="DQ85" s="99"/>
      <c r="DR85" s="94" t="s">
        <v>1810</v>
      </c>
      <c r="DS85" s="94"/>
      <c r="DT85" s="99"/>
      <c r="DU85" s="99"/>
      <c r="DV85" s="99"/>
      <c r="DW85" s="99"/>
      <c r="DX85" s="99"/>
      <c r="DY85" s="99"/>
      <c r="DZ85" s="99"/>
      <c r="EA85" s="99"/>
      <c r="EB85" s="99"/>
      <c r="EC85" s="99"/>
      <c r="ED85" s="258"/>
    </row>
    <row r="86">
      <c r="A86" s="165" t="s">
        <v>4655</v>
      </c>
      <c r="B86" s="104" t="s">
        <v>4656</v>
      </c>
      <c r="C86" s="105" t="s">
        <v>1259</v>
      </c>
      <c r="D86" s="106" t="s">
        <v>1259</v>
      </c>
      <c r="E86" s="107" t="s">
        <v>1259</v>
      </c>
      <c r="F86" s="108" t="s">
        <v>3105</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1259</v>
      </c>
      <c r="D87" s="84" t="s">
        <v>1259</v>
      </c>
      <c r="E87" s="85" t="s">
        <v>1259</v>
      </c>
      <c r="F87" s="86" t="s">
        <v>1259</v>
      </c>
      <c r="G87" s="82" t="s">
        <v>4609</v>
      </c>
      <c r="H87" s="94"/>
      <c r="I87" s="94" t="s">
        <v>3685</v>
      </c>
      <c r="J87" s="94" t="s">
        <v>4664</v>
      </c>
      <c r="K87" s="94" t="s">
        <v>4665</v>
      </c>
      <c r="L87" s="94" t="s">
        <v>4666</v>
      </c>
      <c r="M87" s="99"/>
      <c r="N87" s="94" t="s">
        <v>4667</v>
      </c>
      <c r="O87" s="94" t="s">
        <v>4273</v>
      </c>
      <c r="P87" s="94" t="s">
        <v>4668</v>
      </c>
      <c r="Q87" s="99"/>
      <c r="R87" s="99"/>
      <c r="S87" s="94" t="s">
        <v>1206</v>
      </c>
      <c r="T87" s="99"/>
      <c r="U87" s="94" t="s">
        <v>1928</v>
      </c>
      <c r="V87" s="99"/>
      <c r="W87" s="92"/>
      <c r="X87" s="94" t="s">
        <v>1316</v>
      </c>
      <c r="Y87" s="94"/>
      <c r="Z87" s="94" t="s">
        <v>720</v>
      </c>
      <c r="AA87" s="94" t="s">
        <v>4669</v>
      </c>
      <c r="AB87" s="94" t="s">
        <v>3621</v>
      </c>
      <c r="AC87" s="94" t="s">
        <v>1779</v>
      </c>
      <c r="AD87" s="94" t="s">
        <v>1731</v>
      </c>
      <c r="AE87" s="99"/>
      <c r="AF87" s="94" t="s">
        <v>3153</v>
      </c>
      <c r="AG87" s="99"/>
      <c r="AH87" s="99"/>
      <c r="AI87" s="94"/>
      <c r="AJ87" s="94" t="s">
        <v>3147</v>
      </c>
      <c r="AK87" s="99"/>
      <c r="AL87" s="97"/>
      <c r="AM87" s="99"/>
      <c r="AN87" s="94" t="s">
        <v>4258</v>
      </c>
      <c r="AO87" s="99"/>
      <c r="AP87" s="94" t="s">
        <v>4670</v>
      </c>
      <c r="AQ87" s="99"/>
      <c r="AR87" s="99"/>
      <c r="AS87" s="99"/>
      <c r="AT87" s="99"/>
      <c r="AU87" s="94" t="s">
        <v>1942</v>
      </c>
      <c r="AV87" s="94" t="s">
        <v>1940</v>
      </c>
      <c r="AW87" s="99"/>
      <c r="AX87" s="94"/>
      <c r="AY87" s="94" t="s">
        <v>4671</v>
      </c>
      <c r="AZ87" s="99"/>
      <c r="BA87" s="99"/>
      <c r="BB87" s="94" t="s">
        <v>4672</v>
      </c>
      <c r="BC87" s="94" t="s">
        <v>4360</v>
      </c>
      <c r="BD87" s="99"/>
      <c r="BE87" s="94" t="s">
        <v>1425</v>
      </c>
      <c r="BF87" s="94" t="s">
        <v>1509</v>
      </c>
      <c r="BG87" s="99"/>
      <c r="BH87" s="99"/>
      <c r="BI87" s="94" t="s">
        <v>1175</v>
      </c>
      <c r="BJ87" s="94" t="s">
        <v>4673</v>
      </c>
      <c r="BK87" s="94"/>
      <c r="BL87" s="99"/>
      <c r="BM87" s="99"/>
      <c r="BN87" s="94" t="s">
        <v>3698</v>
      </c>
      <c r="BO87" s="99"/>
      <c r="BP87" s="99"/>
      <c r="BQ87" s="237"/>
      <c r="BR87" s="94" t="s">
        <v>4674</v>
      </c>
      <c r="BS87" s="94" t="s">
        <v>3692</v>
      </c>
      <c r="BT87" s="94" t="s">
        <v>2311</v>
      </c>
      <c r="BU87" s="94" t="s">
        <v>4675</v>
      </c>
      <c r="BV87" s="94" t="s">
        <v>244</v>
      </c>
      <c r="BW87" s="94" t="s">
        <v>3866</v>
      </c>
      <c r="BX87" s="99"/>
      <c r="BY87" s="94" t="s">
        <v>2455</v>
      </c>
      <c r="BZ87" s="94" t="s">
        <v>4676</v>
      </c>
      <c r="CA87" s="94"/>
      <c r="CB87" s="99"/>
      <c r="CC87" s="94" t="s">
        <v>1481</v>
      </c>
      <c r="CD87" s="94" t="s">
        <v>144</v>
      </c>
      <c r="CE87" s="99"/>
      <c r="CF87" s="237"/>
      <c r="CG87" s="94" t="s">
        <v>3239</v>
      </c>
      <c r="CH87" s="94" t="s">
        <v>508</v>
      </c>
      <c r="CI87" s="539"/>
      <c r="CJ87" s="94" t="s">
        <v>4677</v>
      </c>
      <c r="CK87" s="94"/>
      <c r="CL87" s="94"/>
      <c r="CM87" s="94" t="s">
        <v>4678</v>
      </c>
      <c r="CN87" s="94" t="s">
        <v>2191</v>
      </c>
      <c r="CO87" s="99"/>
      <c r="CP87" s="99"/>
      <c r="CQ87" s="99"/>
      <c r="CR87" s="94"/>
      <c r="CS87" s="94" t="s">
        <v>4679</v>
      </c>
      <c r="CT87" s="99"/>
      <c r="CU87" s="92"/>
      <c r="CV87" s="94" t="s">
        <v>2473</v>
      </c>
      <c r="CW87" s="99"/>
      <c r="CX87" s="94" t="s">
        <v>4629</v>
      </c>
      <c r="CY87" s="94" t="s">
        <v>4680</v>
      </c>
      <c r="CZ87" s="94" t="s">
        <v>4365</v>
      </c>
      <c r="DA87" s="99"/>
      <c r="DB87" s="94" t="s">
        <v>4681</v>
      </c>
      <c r="DC87" s="94" t="s">
        <v>4682</v>
      </c>
      <c r="DD87" s="99"/>
      <c r="DE87" s="94" t="s">
        <v>2282</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1671</v>
      </c>
      <c r="EA87" s="94" t="s">
        <v>4685</v>
      </c>
      <c r="EB87" s="99"/>
      <c r="EC87" s="99"/>
      <c r="ED87" s="258"/>
    </row>
    <row r="88">
      <c r="A88" s="540" t="s">
        <v>4686</v>
      </c>
      <c r="B88" s="104" t="s">
        <v>4687</v>
      </c>
      <c r="C88" s="105" t="s">
        <v>1259</v>
      </c>
      <c r="D88" s="106" t="s">
        <v>437</v>
      </c>
      <c r="E88" s="107" t="s">
        <v>1259</v>
      </c>
      <c r="F88" s="108" t="s">
        <v>4688</v>
      </c>
      <c r="G88" s="104" t="s">
        <v>2088</v>
      </c>
      <c r="H88" s="112" t="s">
        <v>3692</v>
      </c>
      <c r="I88" s="541"/>
      <c r="J88" s="439" t="s">
        <v>4689</v>
      </c>
      <c r="K88" s="112" t="s">
        <v>1059</v>
      </c>
      <c r="L88" s="112" t="s">
        <v>2203</v>
      </c>
      <c r="M88" s="112" t="s">
        <v>4690</v>
      </c>
      <c r="N88" s="439"/>
      <c r="O88" s="439" t="s">
        <v>108</v>
      </c>
      <c r="P88" s="112" t="s">
        <v>554</v>
      </c>
      <c r="Q88" s="112" t="s">
        <v>4691</v>
      </c>
      <c r="R88" s="112" t="s">
        <v>4017</v>
      </c>
      <c r="S88" s="242"/>
      <c r="T88" s="112" t="s">
        <v>4692</v>
      </c>
      <c r="U88" s="242"/>
      <c r="V88" s="112" t="s">
        <v>4693</v>
      </c>
      <c r="W88" s="92"/>
      <c r="X88" s="117"/>
      <c r="Y88" s="117"/>
      <c r="Z88" s="117" t="s">
        <v>2705</v>
      </c>
      <c r="AA88" s="116" t="s">
        <v>322</v>
      </c>
      <c r="AB88" s="296"/>
      <c r="AC88" s="117" t="s">
        <v>1122</v>
      </c>
      <c r="AD88" s="116" t="s">
        <v>4694</v>
      </c>
      <c r="AE88" s="198" t="s">
        <v>4695</v>
      </c>
      <c r="AF88" s="116" t="s">
        <v>2284</v>
      </c>
      <c r="AG88" s="116" t="s">
        <v>1279</v>
      </c>
      <c r="AH88" s="116" t="s">
        <v>2500</v>
      </c>
      <c r="AI88" s="116" t="s">
        <v>1893</v>
      </c>
      <c r="AJ88" s="116" t="s">
        <v>1893</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1456</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1391</v>
      </c>
      <c r="CH88" s="134" t="s">
        <v>2359</v>
      </c>
      <c r="CI88" s="134" t="s">
        <v>3145</v>
      </c>
      <c r="CJ88" s="135"/>
      <c r="CK88" s="135"/>
      <c r="CL88" s="135"/>
      <c r="CM88" s="135"/>
      <c r="CN88" s="134" t="s">
        <v>1694</v>
      </c>
      <c r="CO88" s="134" t="s">
        <v>3952</v>
      </c>
      <c r="CP88" s="542"/>
      <c r="CQ88" s="252"/>
      <c r="CR88" s="232" t="s">
        <v>4705</v>
      </c>
      <c r="CS88" s="134" t="s">
        <v>2068</v>
      </c>
      <c r="CT88" s="252"/>
      <c r="CU88" s="92"/>
      <c r="CV88" s="285"/>
      <c r="CW88" s="285"/>
      <c r="CX88" s="139" t="s">
        <v>4706</v>
      </c>
      <c r="CY88" s="139" t="s">
        <v>2211</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1259</v>
      </c>
      <c r="D89" s="84" t="s">
        <v>1259</v>
      </c>
      <c r="E89" s="85" t="s">
        <v>1259</v>
      </c>
      <c r="F89" s="86" t="s">
        <v>647</v>
      </c>
      <c r="G89" s="82" t="s">
        <v>3879</v>
      </c>
      <c r="H89" s="94" t="s">
        <v>4712</v>
      </c>
      <c r="I89" s="94" t="s">
        <v>4141</v>
      </c>
      <c r="J89" s="94" t="s">
        <v>4337</v>
      </c>
      <c r="K89" s="94" t="s">
        <v>1951</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2521</v>
      </c>
      <c r="AE89" s="94"/>
      <c r="AF89" s="94" t="s">
        <v>291</v>
      </c>
      <c r="AG89" s="94" t="s">
        <v>1433</v>
      </c>
      <c r="AH89" s="99"/>
      <c r="AI89" s="99"/>
      <c r="AJ89" s="94" t="s">
        <v>1885</v>
      </c>
      <c r="AK89" s="99"/>
      <c r="AL89" s="97"/>
      <c r="AM89" s="94" t="s">
        <v>1856</v>
      </c>
      <c r="AN89" s="94" t="s">
        <v>1575</v>
      </c>
      <c r="AO89" s="99"/>
      <c r="AP89" s="99"/>
      <c r="AQ89" s="99"/>
      <c r="AR89" s="99"/>
      <c r="AS89" s="99"/>
      <c r="AT89" s="99"/>
      <c r="AU89" s="94" t="s">
        <v>3733</v>
      </c>
      <c r="AV89" s="94" t="s">
        <v>3698</v>
      </c>
      <c r="AW89" s="99"/>
      <c r="AX89" s="99"/>
      <c r="AY89" s="94" t="s">
        <v>2199</v>
      </c>
      <c r="AZ89" s="99"/>
      <c r="BA89" s="99"/>
      <c r="BB89" s="94" t="s">
        <v>4721</v>
      </c>
      <c r="BC89" s="94" t="s">
        <v>148</v>
      </c>
      <c r="BD89" s="94" t="s">
        <v>2770</v>
      </c>
      <c r="BE89" s="94" t="s">
        <v>4722</v>
      </c>
      <c r="BF89" s="94" t="s">
        <v>3395</v>
      </c>
      <c r="BG89" s="94"/>
      <c r="BH89" s="99"/>
      <c r="BI89" s="94" t="s">
        <v>1833</v>
      </c>
      <c r="BJ89" s="94" t="s">
        <v>4723</v>
      </c>
      <c r="BK89" s="94"/>
      <c r="BL89" s="94" t="s">
        <v>2577</v>
      </c>
      <c r="BM89" s="94" t="s">
        <v>4724</v>
      </c>
      <c r="BN89" s="94" t="s">
        <v>3698</v>
      </c>
      <c r="BO89" s="99"/>
      <c r="BP89" s="99"/>
      <c r="BQ89" s="237"/>
      <c r="BR89" s="94"/>
      <c r="BS89" s="94" t="s">
        <v>2217</v>
      </c>
      <c r="BT89" s="94" t="s">
        <v>4478</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2474</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1319</v>
      </c>
      <c r="EB89" s="99"/>
      <c r="EC89" s="99"/>
      <c r="ED89" s="258"/>
    </row>
    <row r="90">
      <c r="A90" s="543" t="s">
        <v>4739</v>
      </c>
      <c r="B90" s="544" t="s">
        <v>4740</v>
      </c>
      <c r="C90" s="545" t="s">
        <v>1259</v>
      </c>
      <c r="D90" s="546" t="s">
        <v>1259</v>
      </c>
      <c r="E90" s="547" t="s">
        <v>1259</v>
      </c>
      <c r="F90" s="548" t="s">
        <v>3000</v>
      </c>
      <c r="G90" s="544" t="s">
        <v>1351</v>
      </c>
      <c r="H90" s="549" t="s">
        <v>4741</v>
      </c>
      <c r="I90" s="550" t="s">
        <v>4742</v>
      </c>
      <c r="J90" s="549" t="s">
        <v>4743</v>
      </c>
      <c r="K90" s="549" t="s">
        <v>2164</v>
      </c>
      <c r="L90" s="549" t="s">
        <v>2948</v>
      </c>
      <c r="M90" s="549" t="s">
        <v>4744</v>
      </c>
      <c r="N90" s="550" t="s">
        <v>4745</v>
      </c>
      <c r="O90" s="549" t="s">
        <v>370</v>
      </c>
      <c r="P90" s="551" t="s">
        <v>4746</v>
      </c>
      <c r="Q90" s="551" t="s">
        <v>4747</v>
      </c>
      <c r="R90" s="551" t="s">
        <v>2566</v>
      </c>
      <c r="S90" s="551" t="s">
        <v>3619</v>
      </c>
      <c r="T90" s="551" t="s">
        <v>1268</v>
      </c>
      <c r="U90" s="551" t="s">
        <v>4748</v>
      </c>
      <c r="V90" s="549" t="s">
        <v>4749</v>
      </c>
      <c r="W90" s="552"/>
      <c r="X90" s="553" t="s">
        <v>2973</v>
      </c>
      <c r="Y90" s="553"/>
      <c r="Z90" s="553" t="s">
        <v>4750</v>
      </c>
      <c r="AA90" s="554" t="s">
        <v>509</v>
      </c>
      <c r="AB90" s="554" t="s">
        <v>628</v>
      </c>
      <c r="AC90" s="553" t="s">
        <v>2301</v>
      </c>
      <c r="AD90" s="554" t="s">
        <v>4751</v>
      </c>
      <c r="AE90" s="553"/>
      <c r="AF90" s="553" t="s">
        <v>4752</v>
      </c>
      <c r="AG90" s="555" t="s">
        <v>4753</v>
      </c>
      <c r="AH90" s="553" t="s">
        <v>3635</v>
      </c>
      <c r="AI90" s="556" t="s">
        <v>1402</v>
      </c>
      <c r="AJ90" s="116" t="s">
        <v>2212</v>
      </c>
      <c r="AK90" s="556" t="s">
        <v>4754</v>
      </c>
      <c r="AL90" s="557"/>
      <c r="AM90" s="558" t="s">
        <v>3496</v>
      </c>
      <c r="AN90" s="558" t="s">
        <v>1306</v>
      </c>
      <c r="AO90" s="558" t="s">
        <v>4755</v>
      </c>
      <c r="AP90" s="559" t="s">
        <v>3004</v>
      </c>
      <c r="AQ90" s="559" t="s">
        <v>134</v>
      </c>
      <c r="AR90" s="559" t="s">
        <v>1859</v>
      </c>
      <c r="AS90" s="558" t="s">
        <v>4756</v>
      </c>
      <c r="AT90" s="559" t="s">
        <v>4757</v>
      </c>
      <c r="AU90" s="559" t="s">
        <v>3161</v>
      </c>
      <c r="AV90" s="560" t="s">
        <v>2578</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2516</v>
      </c>
      <c r="BJ90" s="562" t="s">
        <v>4763</v>
      </c>
      <c r="BK90" s="173"/>
      <c r="BL90" s="564" t="s">
        <v>2542</v>
      </c>
      <c r="BM90" s="565"/>
      <c r="BN90" s="565"/>
      <c r="BO90" s="565"/>
      <c r="BP90" s="565"/>
      <c r="BQ90" s="566"/>
      <c r="BR90" s="567"/>
      <c r="BS90" s="568" t="s">
        <v>4764</v>
      </c>
      <c r="BT90" s="569" t="s">
        <v>4765</v>
      </c>
      <c r="BU90" s="568" t="s">
        <v>2856</v>
      </c>
      <c r="BV90" s="569" t="s">
        <v>4392</v>
      </c>
      <c r="BW90" s="569" t="s">
        <v>4766</v>
      </c>
      <c r="BX90" s="569" t="s">
        <v>4767</v>
      </c>
      <c r="BY90" s="570" t="s">
        <v>4768</v>
      </c>
      <c r="BZ90" s="567"/>
      <c r="CA90" s="571" t="s">
        <v>4769</v>
      </c>
      <c r="CB90" s="567"/>
      <c r="CC90" s="567"/>
      <c r="CD90" s="567"/>
      <c r="CE90" s="567"/>
      <c r="CF90" s="572"/>
      <c r="CG90" s="573" t="s">
        <v>4770</v>
      </c>
      <c r="CH90" s="574" t="s">
        <v>816</v>
      </c>
      <c r="CI90" s="575" t="s">
        <v>2500</v>
      </c>
      <c r="CJ90" s="574" t="s">
        <v>4771</v>
      </c>
      <c r="CK90" s="574"/>
      <c r="CL90" s="574" t="s">
        <v>2181</v>
      </c>
      <c r="CM90" s="574" t="s">
        <v>4772</v>
      </c>
      <c r="CN90" s="574" t="s">
        <v>985</v>
      </c>
      <c r="CO90" s="575" t="s">
        <v>3618</v>
      </c>
      <c r="CP90" s="574"/>
      <c r="CQ90" s="575" t="s">
        <v>3283</v>
      </c>
      <c r="CR90" s="575" t="s">
        <v>4773</v>
      </c>
      <c r="CS90" s="576"/>
      <c r="CT90" s="576"/>
      <c r="CU90" s="552"/>
      <c r="CV90" s="577" t="s">
        <v>4577</v>
      </c>
      <c r="CW90" s="578" t="s">
        <v>2143</v>
      </c>
      <c r="CX90" s="579" t="s">
        <v>4774</v>
      </c>
      <c r="CY90" s="578" t="s">
        <v>4775</v>
      </c>
      <c r="CZ90" s="579" t="s">
        <v>4776</v>
      </c>
      <c r="DA90" s="577" t="s">
        <v>2132</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2014</v>
      </c>
      <c r="DQ90" s="584" t="s">
        <v>4782</v>
      </c>
      <c r="DR90" s="584" t="s">
        <v>4783</v>
      </c>
      <c r="DS90" s="587" t="s">
        <v>4784</v>
      </c>
      <c r="DT90" s="584" t="s">
        <v>3356</v>
      </c>
      <c r="DU90" s="584" t="s">
        <v>4785</v>
      </c>
      <c r="DV90" s="588"/>
      <c r="DW90" s="586" t="s">
        <v>1626</v>
      </c>
      <c r="DX90" s="585"/>
      <c r="DY90" s="586" t="s">
        <v>3132</v>
      </c>
      <c r="DZ90" s="584" t="s">
        <v>2833</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2561</v>
      </c>
      <c r="J91" s="88" t="s">
        <v>2221</v>
      </c>
      <c r="K91" s="88" t="s">
        <v>1951</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2179</v>
      </c>
      <c r="AD91" s="88" t="s">
        <v>3016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4795</v>
      </c>
      <c r="BD91" s="88" t="s">
        <v>2220</v>
      </c>
      <c r="BE91" s="88" t="s">
        <v>4796</v>
      </c>
      <c r="BF91" s="88" t="s">
        <v>2167</v>
      </c>
      <c r="BG91" s="99"/>
      <c r="BH91" s="99"/>
      <c r="BI91" s="88" t="s">
        <v>609</v>
      </c>
      <c r="BJ91" s="99"/>
      <c r="BK91" s="88" t="s">
        <v>4797</v>
      </c>
      <c r="BL91" s="88" t="s">
        <v>2614</v>
      </c>
      <c r="BM91" s="99"/>
      <c r="BN91" s="99"/>
      <c r="BO91" s="99"/>
      <c r="BP91" s="99"/>
      <c r="BQ91" s="237"/>
      <c r="BR91" s="88" t="s">
        <v>4798</v>
      </c>
      <c r="BS91" s="88" t="s">
        <v>2244</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2739</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2881</v>
      </c>
      <c r="DS91" s="88" t="s">
        <v>2576</v>
      </c>
      <c r="DT91" s="99"/>
      <c r="DU91" s="99"/>
      <c r="DV91" s="99"/>
      <c r="DW91" s="99"/>
      <c r="DX91" s="99"/>
      <c r="DY91" s="99"/>
      <c r="DZ91" s="99"/>
      <c r="EA91" s="94" t="s">
        <v>4806</v>
      </c>
      <c r="EB91" s="88" t="s">
        <v>2808</v>
      </c>
      <c r="EC91" s="99"/>
      <c r="ED91" s="98" t="s">
        <v>1720</v>
      </c>
    </row>
    <row r="92">
      <c r="A92" s="165" t="s">
        <v>4807</v>
      </c>
      <c r="B92" s="104" t="s">
        <v>4808</v>
      </c>
      <c r="C92" s="105" t="s">
        <v>1259</v>
      </c>
      <c r="D92" s="106" t="s">
        <v>1259</v>
      </c>
      <c r="E92" s="107" t="s">
        <v>1259</v>
      </c>
      <c r="F92" s="108" t="s">
        <v>982</v>
      </c>
      <c r="G92" s="104" t="s">
        <v>1879</v>
      </c>
      <c r="H92" s="166" t="s">
        <v>3438</v>
      </c>
      <c r="I92" s="166" t="s">
        <v>4809</v>
      </c>
      <c r="J92" s="166" t="s">
        <v>1366</v>
      </c>
      <c r="K92" s="166" t="s">
        <v>4612</v>
      </c>
      <c r="L92" s="166" t="s">
        <v>4810</v>
      </c>
      <c r="M92" s="242"/>
      <c r="N92" s="166" t="s">
        <v>2246</v>
      </c>
      <c r="O92" s="166" t="s">
        <v>4426</v>
      </c>
      <c r="P92" s="166" t="s">
        <v>4811</v>
      </c>
      <c r="Q92" s="166" t="s">
        <v>2825</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1384</v>
      </c>
      <c r="AG92" s="198" t="s">
        <v>4387</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1814</v>
      </c>
      <c r="AU92" s="167" t="s">
        <v>2525</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2305</v>
      </c>
      <c r="BP92" s="173" t="s">
        <v>4828</v>
      </c>
      <c r="BQ92" s="173"/>
      <c r="BR92" s="249"/>
      <c r="BS92" s="249"/>
      <c r="BT92" s="174" t="s">
        <v>4829</v>
      </c>
      <c r="BU92" s="174" t="s">
        <v>2168</v>
      </c>
      <c r="BV92" s="174" t="s">
        <v>4830</v>
      </c>
      <c r="BW92" s="174" t="s">
        <v>2997</v>
      </c>
      <c r="BX92" s="249"/>
      <c r="BY92" s="174" t="s">
        <v>4831</v>
      </c>
      <c r="BZ92" s="249"/>
      <c r="CA92" s="174" t="s">
        <v>1037</v>
      </c>
      <c r="CB92" s="174" t="s">
        <v>4832</v>
      </c>
      <c r="CC92" s="174" t="s">
        <v>668</v>
      </c>
      <c r="CD92" s="174" t="s">
        <v>4153</v>
      </c>
      <c r="CE92" s="129" t="s">
        <v>4833</v>
      </c>
      <c r="CF92" s="299"/>
      <c r="CG92" s="177" t="s">
        <v>4834</v>
      </c>
      <c r="CH92" s="177" t="s">
        <v>1962</v>
      </c>
      <c r="CI92" s="252"/>
      <c r="CJ92" s="252"/>
      <c r="CK92" s="252"/>
      <c r="CL92" s="252" t="s">
        <v>3246</v>
      </c>
      <c r="CM92" s="252"/>
      <c r="CN92" s="177" t="s">
        <v>4835</v>
      </c>
      <c r="CO92" s="177" t="s">
        <v>3477</v>
      </c>
      <c r="CP92" s="252"/>
      <c r="CQ92" s="177" t="s">
        <v>4087</v>
      </c>
      <c r="CR92" s="252"/>
      <c r="CS92" s="252"/>
      <c r="CT92" s="134" t="s">
        <v>4836</v>
      </c>
      <c r="CU92" s="92"/>
      <c r="CV92" s="203" t="s">
        <v>2635</v>
      </c>
      <c r="CW92" s="139" t="s">
        <v>2251</v>
      </c>
      <c r="CX92" s="203" t="s">
        <v>4837</v>
      </c>
      <c r="CY92" s="203" t="s">
        <v>1235</v>
      </c>
      <c r="CZ92" s="203" t="s">
        <v>4838</v>
      </c>
      <c r="DA92" s="253"/>
      <c r="DB92" s="253"/>
      <c r="DC92" s="203" t="s">
        <v>4839</v>
      </c>
      <c r="DD92" s="139" t="s">
        <v>4840</v>
      </c>
      <c r="DE92" s="203" t="s">
        <v>1268</v>
      </c>
      <c r="DF92" s="253"/>
      <c r="DG92" s="203" t="s">
        <v>4841</v>
      </c>
      <c r="DH92" s="203"/>
      <c r="DI92" s="255"/>
      <c r="DJ92" s="204" t="s">
        <v>4351</v>
      </c>
      <c r="DK92" s="255"/>
      <c r="DL92" s="204"/>
      <c r="DM92" s="204" t="s">
        <v>4668</v>
      </c>
      <c r="DN92" s="204" t="s">
        <v>4842</v>
      </c>
      <c r="DO92" s="144" t="s">
        <v>3969</v>
      </c>
      <c r="DP92" s="204" t="s">
        <v>3192</v>
      </c>
      <c r="DQ92" s="204" t="s">
        <v>2296</v>
      </c>
      <c r="DR92" s="204" t="s">
        <v>1104</v>
      </c>
      <c r="DS92" s="255"/>
      <c r="DT92" s="204" t="s">
        <v>4843</v>
      </c>
      <c r="DU92" s="204" t="s">
        <v>4844</v>
      </c>
      <c r="DV92" s="204" t="s">
        <v>4845</v>
      </c>
      <c r="DW92" s="204" t="s">
        <v>4846</v>
      </c>
      <c r="DX92" s="204" t="s">
        <v>1912</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4137</v>
      </c>
      <c r="I93" s="95" t="s">
        <v>4852</v>
      </c>
      <c r="J93" s="88" t="s">
        <v>4853</v>
      </c>
      <c r="K93" s="88" t="s">
        <v>2883</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1828</v>
      </c>
      <c r="AO93" s="99"/>
      <c r="AP93" s="99"/>
      <c r="AQ93" s="94"/>
      <c r="AR93" s="94"/>
      <c r="AS93" s="99"/>
      <c r="AT93" s="99"/>
      <c r="AU93" s="102"/>
      <c r="AV93" s="102" t="s">
        <v>1244</v>
      </c>
      <c r="AW93" s="102" t="s">
        <v>2174</v>
      </c>
      <c r="AX93" s="99"/>
      <c r="AY93" s="99"/>
      <c r="AZ93" s="99"/>
      <c r="BA93" s="99"/>
      <c r="BB93" s="102"/>
      <c r="BC93" s="102"/>
      <c r="BD93" s="102" t="s">
        <v>1082</v>
      </c>
      <c r="BE93" s="102"/>
      <c r="BF93" s="102"/>
      <c r="BG93" s="102"/>
      <c r="BH93" s="99"/>
      <c r="BI93" s="102" t="s">
        <v>2359</v>
      </c>
      <c r="BJ93" s="99"/>
      <c r="BK93" s="102"/>
      <c r="BL93" s="102"/>
      <c r="BM93" s="99"/>
      <c r="BN93" s="94" t="s">
        <v>2902</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2780</v>
      </c>
      <c r="G94" s="104" t="s">
        <v>2348</v>
      </c>
      <c r="H94" s="242"/>
      <c r="I94" s="242"/>
      <c r="J94" s="166" t="s">
        <v>4867</v>
      </c>
      <c r="K94" s="166" t="s">
        <v>1067</v>
      </c>
      <c r="L94" s="166" t="s">
        <v>4868</v>
      </c>
      <c r="M94" s="166" t="s">
        <v>4869</v>
      </c>
      <c r="N94" s="166" t="s">
        <v>4870</v>
      </c>
      <c r="O94" s="166" t="s">
        <v>2803</v>
      </c>
      <c r="P94" s="112" t="s">
        <v>3111</v>
      </c>
      <c r="Q94" s="242"/>
      <c r="R94" s="242"/>
      <c r="S94" s="242"/>
      <c r="T94" s="242"/>
      <c r="U94" s="242"/>
      <c r="V94" s="166" t="s">
        <v>4871</v>
      </c>
      <c r="W94" s="92"/>
      <c r="X94" s="296" t="s">
        <v>4872</v>
      </c>
      <c r="Y94" s="198"/>
      <c r="Z94" s="198" t="s">
        <v>1076</v>
      </c>
      <c r="AA94" s="116" t="s">
        <v>4460</v>
      </c>
      <c r="AB94" s="116" t="s">
        <v>4873</v>
      </c>
      <c r="AC94" s="116" t="s">
        <v>2340</v>
      </c>
      <c r="AD94" s="296" t="s">
        <v>4348</v>
      </c>
      <c r="AE94" s="198"/>
      <c r="AF94" s="197" t="s">
        <v>3507</v>
      </c>
      <c r="AG94" s="116" t="s">
        <v>1892</v>
      </c>
      <c r="AH94" s="244"/>
      <c r="AI94" s="244"/>
      <c r="AJ94" s="198" t="s">
        <v>1822</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2013</v>
      </c>
      <c r="BD94" s="173" t="s">
        <v>2220</v>
      </c>
      <c r="BE94" s="126" t="s">
        <v>377</v>
      </c>
      <c r="BF94" s="173" t="s">
        <v>1230</v>
      </c>
      <c r="BG94" s="172"/>
      <c r="BH94" s="172"/>
      <c r="BI94" s="303" t="s">
        <v>2760</v>
      </c>
      <c r="BJ94" s="172"/>
      <c r="BK94" s="173" t="s">
        <v>4877</v>
      </c>
      <c r="BL94" s="172"/>
      <c r="BM94" s="173"/>
      <c r="BN94" s="173" t="s">
        <v>3283</v>
      </c>
      <c r="BO94" s="173" t="s">
        <v>4500</v>
      </c>
      <c r="BP94" s="172"/>
      <c r="BQ94" s="247"/>
      <c r="BR94" s="249"/>
      <c r="BS94" s="174" t="s">
        <v>2240</v>
      </c>
      <c r="BT94" s="128" t="s">
        <v>3697</v>
      </c>
      <c r="BU94" s="174" t="s">
        <v>2084</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4689</v>
      </c>
      <c r="CO94" s="134" t="s">
        <v>2739</v>
      </c>
      <c r="CP94" s="252"/>
      <c r="CQ94" s="177"/>
      <c r="CR94" s="252"/>
      <c r="CS94" s="252"/>
      <c r="CT94" s="177" t="s">
        <v>4883</v>
      </c>
      <c r="CU94" s="92"/>
      <c r="CV94" s="203" t="s">
        <v>4748</v>
      </c>
      <c r="CW94" s="253"/>
      <c r="CX94" s="301" t="s">
        <v>1603</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1878</v>
      </c>
      <c r="H95" s="99"/>
      <c r="I95" s="99"/>
      <c r="J95" s="99"/>
      <c r="K95" s="88" t="s">
        <v>2883</v>
      </c>
      <c r="L95" s="94" t="s">
        <v>4652</v>
      </c>
      <c r="M95" s="88" t="s">
        <v>4894</v>
      </c>
      <c r="N95" s="99"/>
      <c r="O95" s="94" t="s">
        <v>925</v>
      </c>
      <c r="P95" s="94" t="s">
        <v>2659</v>
      </c>
      <c r="Q95" s="99"/>
      <c r="R95" s="99"/>
      <c r="S95" s="99"/>
      <c r="T95" s="99"/>
      <c r="U95" s="99"/>
      <c r="V95" s="99"/>
      <c r="W95" s="92"/>
      <c r="X95" s="94" t="s">
        <v>4895</v>
      </c>
      <c r="Y95" s="94"/>
      <c r="Z95" s="94" t="s">
        <v>2820</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1784</v>
      </c>
      <c r="CW95" s="99"/>
      <c r="CX95" s="94" t="s">
        <v>2174</v>
      </c>
      <c r="CY95" s="99"/>
      <c r="CZ95" s="94" t="s">
        <v>4904</v>
      </c>
      <c r="DA95" s="94" t="s">
        <v>1839</v>
      </c>
      <c r="DB95" s="94" t="s">
        <v>2253</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2089</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1660</v>
      </c>
      <c r="Y96" s="244"/>
      <c r="Z96" s="244"/>
      <c r="AA96" s="116" t="s">
        <v>992</v>
      </c>
      <c r="AB96" s="197" t="s">
        <v>4915</v>
      </c>
      <c r="AC96" s="116" t="s">
        <v>1482</v>
      </c>
      <c r="AD96" s="198" t="s">
        <v>2888</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2090</v>
      </c>
      <c r="BC96" s="173" t="s">
        <v>2834</v>
      </c>
      <c r="BD96" s="173" t="s">
        <v>1833</v>
      </c>
      <c r="BE96" s="126" t="s">
        <v>2426</v>
      </c>
      <c r="BF96" s="126" t="s">
        <v>4647</v>
      </c>
      <c r="BG96" s="172"/>
      <c r="BH96" s="172"/>
      <c r="BI96" s="126" t="s">
        <v>2937</v>
      </c>
      <c r="BJ96" s="172"/>
      <c r="BK96" s="126" t="s">
        <v>4921</v>
      </c>
      <c r="BL96" s="126" t="s">
        <v>2712</v>
      </c>
      <c r="BM96" s="172"/>
      <c r="BN96" s="126" t="s">
        <v>2532</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1396</v>
      </c>
      <c r="CI96" s="177" t="s">
        <v>4928</v>
      </c>
      <c r="CJ96" s="134" t="s">
        <v>4929</v>
      </c>
      <c r="CK96" s="135"/>
      <c r="CL96" s="134" t="s">
        <v>4930</v>
      </c>
      <c r="CM96" s="134" t="s">
        <v>4517</v>
      </c>
      <c r="CN96" s="177" t="s">
        <v>4931</v>
      </c>
      <c r="CO96" s="134" t="s">
        <v>233</v>
      </c>
      <c r="CP96" s="252"/>
      <c r="CQ96" s="252"/>
      <c r="CR96" s="135"/>
      <c r="CS96" s="134" t="s">
        <v>1268</v>
      </c>
      <c r="CT96" s="252"/>
      <c r="CU96" s="92"/>
      <c r="CV96" s="451" t="s">
        <v>1928</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3000</v>
      </c>
      <c r="G97" s="82" t="s">
        <v>1634</v>
      </c>
      <c r="H97" s="94" t="s">
        <v>3284</v>
      </c>
      <c r="I97" s="94" t="s">
        <v>4941</v>
      </c>
      <c r="J97" s="94" t="s">
        <v>4942</v>
      </c>
      <c r="K97" s="266" t="s">
        <v>2883</v>
      </c>
      <c r="L97" s="88" t="s">
        <v>4943</v>
      </c>
      <c r="M97" s="99"/>
      <c r="N97" s="99"/>
      <c r="O97" s="99"/>
      <c r="P97" s="88" t="s">
        <v>2659</v>
      </c>
      <c r="Q97" s="99"/>
      <c r="R97" s="99"/>
      <c r="S97" s="88" t="s">
        <v>4944</v>
      </c>
      <c r="T97" s="99"/>
      <c r="U97" s="99"/>
      <c r="V97" s="88" t="s">
        <v>4945</v>
      </c>
      <c r="W97" s="92"/>
      <c r="X97" s="88" t="s">
        <v>4645</v>
      </c>
      <c r="Y97" s="102"/>
      <c r="Z97" s="88" t="s">
        <v>2205</v>
      </c>
      <c r="AA97" s="88" t="s">
        <v>4389</v>
      </c>
      <c r="AB97" s="88" t="s">
        <v>4946</v>
      </c>
      <c r="AC97" s="88" t="s">
        <v>2174</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2225</v>
      </c>
      <c r="BE97" s="88" t="s">
        <v>4124</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2644</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1939</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2114</v>
      </c>
      <c r="K98" s="112" t="s">
        <v>1951</v>
      </c>
      <c r="L98" s="293" t="s">
        <v>1015</v>
      </c>
      <c r="M98" s="112" t="s">
        <v>4962</v>
      </c>
      <c r="N98" s="293" t="s">
        <v>4963</v>
      </c>
      <c r="O98" s="293" t="s">
        <v>2426</v>
      </c>
      <c r="P98" s="293" t="s">
        <v>3111</v>
      </c>
      <c r="Q98" s="293" t="s">
        <v>4964</v>
      </c>
      <c r="R98" s="112" t="s">
        <v>3260</v>
      </c>
      <c r="S98" s="112" t="s">
        <v>4821</v>
      </c>
      <c r="T98" s="242"/>
      <c r="U98" s="112" t="s">
        <v>678</v>
      </c>
      <c r="V98" s="112" t="s">
        <v>4965</v>
      </c>
      <c r="W98" s="92"/>
      <c r="X98" s="296" t="s">
        <v>3030</v>
      </c>
      <c r="Y98" s="296"/>
      <c r="Z98" s="296" t="s">
        <v>4966</v>
      </c>
      <c r="AA98" s="296" t="s">
        <v>403</v>
      </c>
      <c r="AB98" s="296" t="s">
        <v>2163</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1501</v>
      </c>
      <c r="AZ98" s="245"/>
      <c r="BA98" s="245"/>
      <c r="BB98" s="303" t="s">
        <v>363</v>
      </c>
      <c r="BC98" s="126" t="s">
        <v>4977</v>
      </c>
      <c r="BD98" s="303" t="s">
        <v>2798</v>
      </c>
      <c r="BE98" s="303" t="s">
        <v>4978</v>
      </c>
      <c r="BF98" s="126" t="s">
        <v>3314</v>
      </c>
      <c r="BG98" s="126" t="s">
        <v>4979</v>
      </c>
      <c r="BH98" s="126" t="s">
        <v>2517</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1818</v>
      </c>
      <c r="CW98" s="301" t="s">
        <v>4026</v>
      </c>
      <c r="CX98" s="301" t="s">
        <v>4368</v>
      </c>
      <c r="CY98" s="301" t="s">
        <v>2950</v>
      </c>
      <c r="CZ98" s="139" t="s">
        <v>4997</v>
      </c>
      <c r="DA98" s="301" t="s">
        <v>2162</v>
      </c>
      <c r="DB98" s="301" t="s">
        <v>4998</v>
      </c>
      <c r="DC98" s="301" t="s">
        <v>2899</v>
      </c>
      <c r="DD98" s="253"/>
      <c r="DE98" s="253"/>
      <c r="DF98" s="253"/>
      <c r="DG98" s="139" t="s">
        <v>477</v>
      </c>
      <c r="DH98" s="139"/>
      <c r="DI98" s="204" t="s">
        <v>1821</v>
      </c>
      <c r="DJ98" s="255"/>
      <c r="DK98" s="255"/>
      <c r="DL98" s="255"/>
      <c r="DM98" s="179" t="s">
        <v>179</v>
      </c>
      <c r="DN98" s="144" t="s">
        <v>4229</v>
      </c>
      <c r="DO98" s="255"/>
      <c r="DP98" s="255"/>
      <c r="DQ98" s="255"/>
      <c r="DR98" s="204" t="s">
        <v>2862</v>
      </c>
      <c r="DS98" s="204" t="s">
        <v>2938</v>
      </c>
      <c r="DT98" s="255"/>
      <c r="DU98" s="144" t="s">
        <v>2158</v>
      </c>
      <c r="DV98" s="255"/>
      <c r="DW98" s="204" t="s">
        <v>894</v>
      </c>
      <c r="DX98" s="255"/>
      <c r="DY98" s="144" t="s">
        <v>3037</v>
      </c>
      <c r="DZ98" s="204" t="s">
        <v>2032</v>
      </c>
      <c r="EA98" s="255"/>
      <c r="EB98" s="255"/>
      <c r="EC98" s="255"/>
      <c r="ED98" s="141" t="s">
        <v>2584</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2944</v>
      </c>
      <c r="J100" s="166" t="s">
        <v>3467</v>
      </c>
      <c r="K100" s="166" t="s">
        <v>1557</v>
      </c>
      <c r="L100" s="442" t="s">
        <v>5008</v>
      </c>
      <c r="M100" s="242"/>
      <c r="N100" s="166" t="s">
        <v>5009</v>
      </c>
      <c r="O100" s="166" t="s">
        <v>5010</v>
      </c>
      <c r="P100" s="166" t="s">
        <v>3111</v>
      </c>
      <c r="Q100" s="242"/>
      <c r="R100" s="242"/>
      <c r="S100" s="242"/>
      <c r="T100" s="242"/>
      <c r="U100" s="242"/>
      <c r="V100" s="242"/>
      <c r="W100" s="92"/>
      <c r="X100" s="198" t="s">
        <v>5011</v>
      </c>
      <c r="Y100" s="198"/>
      <c r="Z100" s="198" t="s">
        <v>1429</v>
      </c>
      <c r="AA100" s="198" t="s">
        <v>1820</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2864</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2221</v>
      </c>
      <c r="K101" s="258" t="s">
        <v>3535</v>
      </c>
      <c r="L101" s="258" t="s">
        <v>5023</v>
      </c>
      <c r="M101" s="258"/>
      <c r="N101" s="258" t="s">
        <v>2924</v>
      </c>
      <c r="O101" s="258" t="s">
        <v>1449</v>
      </c>
      <c r="P101" s="258" t="s">
        <v>2932</v>
      </c>
      <c r="Q101" s="601"/>
      <c r="R101" s="601"/>
      <c r="S101" s="601"/>
      <c r="T101" s="601"/>
      <c r="U101" s="601"/>
      <c r="V101" s="601"/>
      <c r="W101" s="92"/>
      <c r="X101" s="258" t="s">
        <v>3991</v>
      </c>
      <c r="Y101" s="258"/>
      <c r="Z101" s="258" t="s">
        <v>361</v>
      </c>
      <c r="AA101" s="258" t="s">
        <v>2245</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1791</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2838</v>
      </c>
      <c r="CO101" s="258" t="s">
        <v>3833</v>
      </c>
      <c r="CP101" s="607"/>
      <c r="CQ101" s="601"/>
      <c r="CR101" s="601"/>
      <c r="CS101" s="601"/>
      <c r="CT101" s="601"/>
      <c r="CU101" s="608"/>
      <c r="CV101" s="258" t="s">
        <v>3958</v>
      </c>
      <c r="CW101" s="258" t="s">
        <v>241</v>
      </c>
      <c r="CX101" s="258" t="s">
        <v>1625</v>
      </c>
      <c r="CY101" s="258" t="s">
        <v>1065</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2787</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1566</v>
      </c>
      <c r="AA102" s="117" t="s">
        <v>5043</v>
      </c>
      <c r="AB102" s="296" t="s">
        <v>5044</v>
      </c>
      <c r="AC102" s="117" t="s">
        <v>2953</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2770</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2956</v>
      </c>
      <c r="M103" s="94" t="s">
        <v>5065</v>
      </c>
      <c r="N103" s="94" t="s">
        <v>5066</v>
      </c>
      <c r="O103" s="94" t="s">
        <v>1965</v>
      </c>
      <c r="P103" s="94" t="s">
        <v>5067</v>
      </c>
      <c r="Q103" s="99"/>
      <c r="R103" s="99"/>
      <c r="S103" s="94" t="s">
        <v>3208</v>
      </c>
      <c r="T103" s="99"/>
      <c r="U103" s="94" t="s">
        <v>636</v>
      </c>
      <c r="V103" s="99"/>
      <c r="W103" s="92"/>
      <c r="X103" s="94" t="s">
        <v>2071</v>
      </c>
      <c r="Y103" s="94"/>
      <c r="Z103" s="94" t="s">
        <v>1966</v>
      </c>
      <c r="AA103" s="94" t="s">
        <v>5068</v>
      </c>
      <c r="AB103" s="94" t="s">
        <v>3699</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2605</v>
      </c>
      <c r="AV103" s="94" t="s">
        <v>146</v>
      </c>
      <c r="AW103" s="94" t="s">
        <v>4219</v>
      </c>
      <c r="AX103" s="99"/>
      <c r="AY103" s="94" t="s">
        <v>5071</v>
      </c>
      <c r="AZ103" s="94" t="s">
        <v>5072</v>
      </c>
      <c r="BA103" s="94"/>
      <c r="BB103" s="94" t="s">
        <v>5073</v>
      </c>
      <c r="BC103" s="94" t="s">
        <v>5074</v>
      </c>
      <c r="BD103" s="94" t="s">
        <v>1111</v>
      </c>
      <c r="BE103" s="94" t="s">
        <v>1090</v>
      </c>
      <c r="BF103" s="94" t="s">
        <v>3048</v>
      </c>
      <c r="BG103" s="94" t="s">
        <v>2847</v>
      </c>
      <c r="BH103" s="94" t="s">
        <v>5075</v>
      </c>
      <c r="BI103" s="94" t="s">
        <v>5076</v>
      </c>
      <c r="BJ103" s="99"/>
      <c r="BK103" s="94" t="s">
        <v>5077</v>
      </c>
      <c r="BL103" s="94" t="s">
        <v>2863</v>
      </c>
      <c r="BM103" s="99"/>
      <c r="BN103" s="99"/>
      <c r="BO103" s="94"/>
      <c r="BP103" s="99"/>
      <c r="BQ103" s="237"/>
      <c r="BR103" s="99"/>
      <c r="BS103" s="99"/>
      <c r="BT103" s="94" t="s">
        <v>5078</v>
      </c>
      <c r="BU103" s="94" t="s">
        <v>2241</v>
      </c>
      <c r="BV103" s="99"/>
      <c r="BW103" s="94" t="s">
        <v>3519</v>
      </c>
      <c r="BX103" s="99"/>
      <c r="BY103" s="99"/>
      <c r="BZ103" s="99"/>
      <c r="CA103" s="94" t="s">
        <v>2650</v>
      </c>
      <c r="CB103" s="99"/>
      <c r="CC103" s="94" t="s">
        <v>5079</v>
      </c>
      <c r="CD103" s="99"/>
      <c r="CE103" s="99"/>
      <c r="CF103" s="237"/>
      <c r="CG103" s="94" t="s">
        <v>5080</v>
      </c>
      <c r="CH103" s="94" t="s">
        <v>5081</v>
      </c>
      <c r="CI103" s="94" t="s">
        <v>4944</v>
      </c>
      <c r="CJ103" s="94"/>
      <c r="CK103" s="94"/>
      <c r="CL103" s="94" t="s">
        <v>5082</v>
      </c>
      <c r="CM103" s="94" t="s">
        <v>4636</v>
      </c>
      <c r="CN103" s="316" t="s">
        <v>1407</v>
      </c>
      <c r="CO103" s="94" t="s">
        <v>3157</v>
      </c>
      <c r="CP103" s="99"/>
      <c r="CQ103" s="99"/>
      <c r="CR103" s="94"/>
      <c r="CS103" s="94" t="s">
        <v>5083</v>
      </c>
      <c r="CT103" s="99"/>
      <c r="CU103" s="92"/>
      <c r="CV103" s="94" t="s">
        <v>5084</v>
      </c>
      <c r="CW103" s="94" t="s">
        <v>2469</v>
      </c>
      <c r="CX103" s="94" t="s">
        <v>5085</v>
      </c>
      <c r="CY103" s="94" t="s">
        <v>4423</v>
      </c>
      <c r="CZ103" s="99"/>
      <c r="DA103" s="94" t="s">
        <v>388</v>
      </c>
      <c r="DB103" s="94" t="s">
        <v>5086</v>
      </c>
      <c r="DC103" s="94" t="s">
        <v>4279</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3027</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2261</v>
      </c>
      <c r="AD104" s="198" t="s">
        <v>5102</v>
      </c>
      <c r="AE104" s="244"/>
      <c r="AF104" s="198" t="s">
        <v>5103</v>
      </c>
      <c r="AG104" s="198" t="s">
        <v>1039</v>
      </c>
      <c r="AH104" s="198" t="s">
        <v>2702</v>
      </c>
      <c r="AI104" s="198"/>
      <c r="AJ104" s="198" t="s">
        <v>5104</v>
      </c>
      <c r="AK104" s="335" t="s">
        <v>5105</v>
      </c>
      <c r="AL104" s="97"/>
      <c r="AM104" s="167" t="s">
        <v>1927</v>
      </c>
      <c r="AN104" s="167" t="s">
        <v>5106</v>
      </c>
      <c r="AO104" s="167" t="s">
        <v>5107</v>
      </c>
      <c r="AP104" s="167" t="s">
        <v>1500</v>
      </c>
      <c r="AQ104" s="167" t="s">
        <v>3777</v>
      </c>
      <c r="AR104" s="167" t="s">
        <v>1357</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2648</v>
      </c>
      <c r="BF104" s="173" t="s">
        <v>5102</v>
      </c>
      <c r="BG104" s="173" t="s">
        <v>3720</v>
      </c>
      <c r="BH104" s="172"/>
      <c r="BI104" s="125" t="str">
        <f>HYPERLINK("https://clips.twitch.tv/SavagePeacefulEagleWOOP","29.65")</f>
        <v>29.65</v>
      </c>
      <c r="BJ104" s="172"/>
      <c r="BK104" s="172"/>
      <c r="BL104" s="126" t="s">
        <v>2110</v>
      </c>
      <c r="BM104" s="173" t="s">
        <v>5113</v>
      </c>
      <c r="BN104" s="125" t="str">
        <f>HYPERLINK("https://clips.twitch.tv/PeacefulSavoryAlfalfa4Head","35.58")</f>
        <v>35.58</v>
      </c>
      <c r="BO104" s="172"/>
      <c r="BP104" s="173" t="s">
        <v>5114</v>
      </c>
      <c r="BQ104" s="247"/>
      <c r="BR104" s="174" t="s">
        <v>5115</v>
      </c>
      <c r="BS104" s="174"/>
      <c r="BT104" s="174" t="s">
        <v>4478</v>
      </c>
      <c r="BU104" s="174" t="s">
        <v>1835</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2492</v>
      </c>
      <c r="CI104" s="177" t="s">
        <v>3164</v>
      </c>
      <c r="CJ104" s="177" t="s">
        <v>5119</v>
      </c>
      <c r="CK104" s="177"/>
      <c r="CL104" s="177" t="s">
        <v>5120</v>
      </c>
      <c r="CM104" s="252"/>
      <c r="CN104" s="177" t="s">
        <v>2995</v>
      </c>
      <c r="CO104" s="177" t="s">
        <v>1543</v>
      </c>
      <c r="CP104" s="177" t="s">
        <v>5121</v>
      </c>
      <c r="CQ104" s="177" t="s">
        <v>5122</v>
      </c>
      <c r="CR104" s="177"/>
      <c r="CS104" s="177" t="s">
        <v>5123</v>
      </c>
      <c r="CT104" s="177" t="s">
        <v>5124</v>
      </c>
      <c r="CU104" s="92"/>
      <c r="CV104" s="203" t="s">
        <v>2478</v>
      </c>
      <c r="CW104" s="203" t="s">
        <v>3922</v>
      </c>
      <c r="CX104" s="139" t="s">
        <v>5125</v>
      </c>
      <c r="CY104" s="203" t="s">
        <v>1844</v>
      </c>
      <c r="CZ104" s="253"/>
      <c r="DA104" s="203" t="s">
        <v>4337</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1319</v>
      </c>
      <c r="DZ104" s="204" t="s">
        <v>5135</v>
      </c>
      <c r="EA104" s="204" t="s">
        <v>5005</v>
      </c>
      <c r="EB104" s="204" t="s">
        <v>639</v>
      </c>
      <c r="EC104" s="204" t="s">
        <v>2480</v>
      </c>
      <c r="ED104" s="287" t="s">
        <v>5136</v>
      </c>
    </row>
    <row r="105">
      <c r="A105" s="81" t="s">
        <v>5137</v>
      </c>
      <c r="B105" s="82" t="s">
        <v>5138</v>
      </c>
      <c r="C105" s="83" t="s">
        <v>1259</v>
      </c>
      <c r="D105" s="84" t="s">
        <v>1259</v>
      </c>
      <c r="E105" s="85" t="s">
        <v>1259</v>
      </c>
      <c r="F105" s="86" t="s">
        <v>437</v>
      </c>
      <c r="G105" s="82" t="s">
        <v>3105</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3113</v>
      </c>
      <c r="AA105" s="94" t="s">
        <v>1692</v>
      </c>
      <c r="AB105" s="93" t="s">
        <v>2070</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4450</v>
      </c>
      <c r="BK105" s="94"/>
      <c r="BL105" s="94" t="s">
        <v>5143</v>
      </c>
      <c r="BM105" s="99"/>
      <c r="BN105" s="94" t="s">
        <v>1593</v>
      </c>
      <c r="BO105" s="99"/>
      <c r="BP105" s="99"/>
      <c r="BQ105" s="237"/>
      <c r="BR105" s="99"/>
      <c r="BS105" s="94" t="s">
        <v>5144</v>
      </c>
      <c r="BT105" s="94" t="s">
        <v>5145</v>
      </c>
      <c r="BU105" s="94" t="s">
        <v>4398</v>
      </c>
      <c r="BV105" s="99"/>
      <c r="BW105" s="94" t="s">
        <v>3087</v>
      </c>
      <c r="BX105" s="99"/>
      <c r="BY105" s="94" t="s">
        <v>5146</v>
      </c>
      <c r="BZ105" s="99"/>
      <c r="CA105" s="94" t="s">
        <v>2688</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2481</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4688</v>
      </c>
      <c r="H106" s="166" t="s">
        <v>2689</v>
      </c>
      <c r="I106" s="166" t="s">
        <v>4033</v>
      </c>
      <c r="J106" s="166" t="s">
        <v>5154</v>
      </c>
      <c r="K106" s="166" t="s">
        <v>3983</v>
      </c>
      <c r="L106" s="166" t="s">
        <v>5155</v>
      </c>
      <c r="M106" s="166" t="s">
        <v>5156</v>
      </c>
      <c r="N106" s="166" t="s">
        <v>5157</v>
      </c>
      <c r="O106" s="166" t="s">
        <v>5158</v>
      </c>
      <c r="P106" s="166" t="s">
        <v>2786</v>
      </c>
      <c r="Q106" s="242"/>
      <c r="R106" s="242"/>
      <c r="S106" s="242"/>
      <c r="T106" s="242"/>
      <c r="U106" s="242"/>
      <c r="V106" s="242"/>
      <c r="W106" s="92"/>
      <c r="X106" s="198" t="s">
        <v>3506</v>
      </c>
      <c r="Y106" s="198"/>
      <c r="Z106" s="198" t="s">
        <v>3545</v>
      </c>
      <c r="AA106" s="198" t="s">
        <v>4916</v>
      </c>
      <c r="AB106" s="114" t="str">
        <f>HYPERLINK("https://youtu.be/qJ6N4MrS6B4","48.05")</f>
        <v>48.05</v>
      </c>
      <c r="AC106" s="198" t="s">
        <v>2516</v>
      </c>
      <c r="AD106" s="114" t="str">
        <f>HYPERLINK("https://www.twitch.tv/videos/230818041","57.20")</f>
        <v>57.20</v>
      </c>
      <c r="AE106" s="244"/>
      <c r="AF106" s="198" t="s">
        <v>2130</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2799</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2921</v>
      </c>
      <c r="I107" s="94" t="s">
        <v>5173</v>
      </c>
      <c r="J107" s="94" t="s">
        <v>5174</v>
      </c>
      <c r="K107" s="94" t="s">
        <v>4297</v>
      </c>
      <c r="L107" s="94" t="s">
        <v>2328</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2066</v>
      </c>
      <c r="BC107" s="99"/>
      <c r="BD107" s="94" t="s">
        <v>5179</v>
      </c>
      <c r="BE107" s="94" t="s">
        <v>5013</v>
      </c>
      <c r="BF107" s="88" t="s">
        <v>4154</v>
      </c>
      <c r="BG107" s="94" t="s">
        <v>1341</v>
      </c>
      <c r="BH107" s="99"/>
      <c r="BI107" s="94" t="s">
        <v>2770</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1878</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2412</v>
      </c>
      <c r="V108" s="166" t="s">
        <v>5194</v>
      </c>
      <c r="W108" s="92"/>
      <c r="X108" s="198" t="s">
        <v>5195</v>
      </c>
      <c r="Y108" s="270"/>
      <c r="Z108" s="270" t="s">
        <v>2788</v>
      </c>
      <c r="AA108" s="198" t="s">
        <v>2955</v>
      </c>
      <c r="AB108" s="198" t="s">
        <v>5044</v>
      </c>
      <c r="AC108" s="198" t="s">
        <v>888</v>
      </c>
      <c r="AD108" s="198" t="s">
        <v>4367</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2543</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2896</v>
      </c>
      <c r="AG109" s="94" t="s">
        <v>5209</v>
      </c>
      <c r="AH109" s="99"/>
      <c r="AI109" s="99"/>
      <c r="AJ109" s="99"/>
      <c r="AK109" s="99"/>
      <c r="AL109" s="97"/>
      <c r="AM109" s="99"/>
      <c r="AN109" s="99"/>
      <c r="AO109" s="99"/>
      <c r="AP109" s="99"/>
      <c r="AQ109" s="99"/>
      <c r="AR109" s="99"/>
      <c r="AS109" s="99"/>
      <c r="AT109" s="99"/>
      <c r="AU109" s="94" t="s">
        <v>4366</v>
      </c>
      <c r="AV109" s="94" t="s">
        <v>2174</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1491</v>
      </c>
      <c r="BM109" s="99"/>
      <c r="BN109" s="99"/>
      <c r="BO109" s="99"/>
      <c r="BP109" s="99"/>
      <c r="BQ109" s="237"/>
      <c r="BR109" s="94" t="s">
        <v>5212</v>
      </c>
      <c r="BS109" s="94" t="s">
        <v>4307</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2466</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1878</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4123</v>
      </c>
      <c r="M112" s="166" t="s">
        <v>863</v>
      </c>
      <c r="N112" s="166" t="s">
        <v>5275</v>
      </c>
      <c r="O112" s="293" t="s">
        <v>155</v>
      </c>
      <c r="P112" s="112" t="s">
        <v>2786</v>
      </c>
      <c r="Q112" s="242"/>
      <c r="R112" s="242"/>
      <c r="S112" s="166" t="s">
        <v>3295</v>
      </c>
      <c r="T112" s="242"/>
      <c r="U112" s="112" t="s">
        <v>5276</v>
      </c>
      <c r="V112" s="242"/>
      <c r="W112" s="92"/>
      <c r="X112" s="296" t="s">
        <v>4817</v>
      </c>
      <c r="Y112" s="296"/>
      <c r="Z112" s="296" t="s">
        <v>3921</v>
      </c>
      <c r="AA112" s="116" t="s">
        <v>5277</v>
      </c>
      <c r="AB112" s="198" t="s">
        <v>5278</v>
      </c>
      <c r="AC112" s="116" t="s">
        <v>2631</v>
      </c>
      <c r="AD112" s="296" t="s">
        <v>5279</v>
      </c>
      <c r="AE112" s="244"/>
      <c r="AF112" s="198" t="s">
        <v>5280</v>
      </c>
      <c r="AG112" s="296" t="s">
        <v>5197</v>
      </c>
      <c r="AH112" s="198" t="s">
        <v>1695</v>
      </c>
      <c r="AI112" s="244"/>
      <c r="AJ112" s="116" t="s">
        <v>3730</v>
      </c>
      <c r="AK112" s="244"/>
      <c r="AL112" s="97"/>
      <c r="AM112" s="167" t="s">
        <v>4469</v>
      </c>
      <c r="AN112" s="167" t="s">
        <v>1120</v>
      </c>
      <c r="AO112" s="245"/>
      <c r="AP112" s="167" t="s">
        <v>5281</v>
      </c>
      <c r="AQ112" s="167" t="s">
        <v>5282</v>
      </c>
      <c r="AR112" s="167" t="s">
        <v>2468</v>
      </c>
      <c r="AS112" s="121" t="s">
        <v>1747</v>
      </c>
      <c r="AT112" s="245"/>
      <c r="AU112" s="455" t="s">
        <v>3715</v>
      </c>
      <c r="AV112" s="279" t="s">
        <v>4716</v>
      </c>
      <c r="AW112" s="121" t="s">
        <v>4070</v>
      </c>
      <c r="AX112" s="245"/>
      <c r="AY112" s="167" t="s">
        <v>5283</v>
      </c>
      <c r="AZ112" s="245"/>
      <c r="BA112" s="245"/>
      <c r="BB112" s="173" t="s">
        <v>4376</v>
      </c>
      <c r="BC112" s="173" t="s">
        <v>198</v>
      </c>
      <c r="BD112" s="126" t="s">
        <v>4685</v>
      </c>
      <c r="BE112" s="173" t="s">
        <v>3120</v>
      </c>
      <c r="BF112" s="173" t="s">
        <v>4365</v>
      </c>
      <c r="BG112" s="173" t="s">
        <v>2579</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4512</v>
      </c>
      <c r="L113" s="266" t="s">
        <v>563</v>
      </c>
      <c r="M113" s="99"/>
      <c r="N113" s="94" t="s">
        <v>5312</v>
      </c>
      <c r="O113" s="94" t="s">
        <v>1090</v>
      </c>
      <c r="P113" s="94" t="s">
        <v>3641</v>
      </c>
      <c r="Q113" s="99"/>
      <c r="R113" s="99"/>
      <c r="S113" s="99"/>
      <c r="T113" s="99"/>
      <c r="U113" s="99"/>
      <c r="V113" s="99"/>
      <c r="W113" s="92"/>
      <c r="X113" s="94" t="s">
        <v>2643</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4685</v>
      </c>
      <c r="BE113" s="94" t="s">
        <v>2426</v>
      </c>
      <c r="BF113" s="94" t="s">
        <v>1654</v>
      </c>
      <c r="BG113" s="99"/>
      <c r="BH113" s="99"/>
      <c r="BI113" s="94" t="s">
        <v>2049</v>
      </c>
      <c r="BJ113" s="94" t="s">
        <v>5316</v>
      </c>
      <c r="BK113" s="94" t="s">
        <v>690</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2918</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2722</v>
      </c>
      <c r="Q114" s="166"/>
      <c r="R114" s="166"/>
      <c r="S114" s="166"/>
      <c r="T114" s="166"/>
      <c r="U114" s="166"/>
      <c r="V114" s="242"/>
      <c r="W114" s="92"/>
      <c r="X114" s="198" t="s">
        <v>776</v>
      </c>
      <c r="Y114" s="335"/>
      <c r="Z114" s="335" t="s">
        <v>5327</v>
      </c>
      <c r="AA114" s="198" t="s">
        <v>509</v>
      </c>
      <c r="AB114" s="198" t="s">
        <v>5044</v>
      </c>
      <c r="AC114" s="198" t="s">
        <v>4336</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2185</v>
      </c>
      <c r="BE114" s="173" t="s">
        <v>4513</v>
      </c>
      <c r="BF114" s="173" t="s">
        <v>4427</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2011</v>
      </c>
      <c r="CH114" s="177" t="s">
        <v>1713</v>
      </c>
      <c r="CI114" s="177"/>
      <c r="CJ114" s="177"/>
      <c r="CK114" s="177"/>
      <c r="CL114" s="177"/>
      <c r="CM114" s="177" t="s">
        <v>1788</v>
      </c>
      <c r="CN114" s="177" t="s">
        <v>208</v>
      </c>
      <c r="CO114" s="177" t="s">
        <v>3715</v>
      </c>
      <c r="CP114" s="177"/>
      <c r="CQ114" s="177"/>
      <c r="CR114" s="177"/>
      <c r="CS114" s="177"/>
      <c r="CT114" s="177"/>
      <c r="CU114" s="92"/>
      <c r="CV114" s="203" t="s">
        <v>5334</v>
      </c>
      <c r="CW114" s="203" t="s">
        <v>3007</v>
      </c>
      <c r="CX114" s="203" t="s">
        <v>5027</v>
      </c>
      <c r="CY114" s="203" t="s">
        <v>1146</v>
      </c>
      <c r="CZ114" s="203" t="s">
        <v>5335</v>
      </c>
      <c r="DA114" s="203"/>
      <c r="DB114" s="203" t="s">
        <v>5336</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2883</v>
      </c>
      <c r="L115" s="94" t="s">
        <v>4861</v>
      </c>
      <c r="M115" s="99"/>
      <c r="N115" s="99"/>
      <c r="O115" s="94" t="s">
        <v>261</v>
      </c>
      <c r="P115" s="94" t="s">
        <v>109</v>
      </c>
      <c r="Q115" s="99"/>
      <c r="R115" s="99"/>
      <c r="S115" s="94" t="s">
        <v>2647</v>
      </c>
      <c r="T115" s="99"/>
      <c r="U115" s="99"/>
      <c r="V115" s="99"/>
      <c r="W115" s="92"/>
      <c r="X115" s="88" t="s">
        <v>3091</v>
      </c>
      <c r="Y115" s="93"/>
      <c r="Z115" s="93" t="s">
        <v>2499</v>
      </c>
      <c r="AA115" s="93" t="s">
        <v>4106</v>
      </c>
      <c r="AB115" s="93" t="s">
        <v>2095</v>
      </c>
      <c r="AC115" s="94" t="s">
        <v>5340</v>
      </c>
      <c r="AD115" s="94" t="s">
        <v>4544</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2480</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2881</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1850</v>
      </c>
      <c r="N116" s="166" t="s">
        <v>4699</v>
      </c>
      <c r="O116" s="646" t="s">
        <v>2306</v>
      </c>
      <c r="P116" s="646" t="s">
        <v>4863</v>
      </c>
      <c r="Q116" s="242"/>
      <c r="R116" s="242"/>
      <c r="S116" s="646" t="s">
        <v>5354</v>
      </c>
      <c r="T116" s="242"/>
      <c r="U116" s="242"/>
      <c r="V116" s="242"/>
      <c r="W116" s="92"/>
      <c r="X116" s="647" t="s">
        <v>1977</v>
      </c>
      <c r="Y116" s="270"/>
      <c r="Z116" s="648" t="s">
        <v>2688</v>
      </c>
      <c r="AA116" s="198" t="s">
        <v>455</v>
      </c>
      <c r="AB116" s="649" t="s">
        <v>3320</v>
      </c>
      <c r="AC116" s="647" t="s">
        <v>5355</v>
      </c>
      <c r="AD116" s="198" t="s">
        <v>5356</v>
      </c>
      <c r="AE116" s="244"/>
      <c r="AF116" s="244"/>
      <c r="AG116" s="649" t="s">
        <v>5357</v>
      </c>
      <c r="AH116" s="244"/>
      <c r="AI116" s="244"/>
      <c r="AJ116" s="198" t="s">
        <v>4672</v>
      </c>
      <c r="AK116" s="649" t="s">
        <v>5358</v>
      </c>
      <c r="AL116" s="97"/>
      <c r="AM116" s="245"/>
      <c r="AN116" s="650" t="s">
        <v>529</v>
      </c>
      <c r="AO116" s="650" t="s">
        <v>5359</v>
      </c>
      <c r="AP116" s="245"/>
      <c r="AQ116" s="650" t="s">
        <v>2256</v>
      </c>
      <c r="AR116" s="167"/>
      <c r="AS116" s="245"/>
      <c r="AT116" s="245"/>
      <c r="AU116" s="650" t="s">
        <v>5219</v>
      </c>
      <c r="AV116" s="650" t="s">
        <v>5360</v>
      </c>
      <c r="AW116" s="245"/>
      <c r="AX116" s="245"/>
      <c r="AY116" s="650" t="s">
        <v>5361</v>
      </c>
      <c r="AZ116" s="245"/>
      <c r="BA116" s="245"/>
      <c r="BB116" s="297" t="s">
        <v>5362</v>
      </c>
      <c r="BC116" s="297" t="s">
        <v>2126</v>
      </c>
      <c r="BD116" s="297" t="s">
        <v>4685</v>
      </c>
      <c r="BE116" s="651" t="s">
        <v>2144</v>
      </c>
      <c r="BF116" s="173" t="s">
        <v>4304</v>
      </c>
      <c r="BG116" s="172"/>
      <c r="BH116" s="172"/>
      <c r="BI116" s="297" t="s">
        <v>1962</v>
      </c>
      <c r="BJ116" s="652"/>
      <c r="BK116" s="297" t="s">
        <v>5363</v>
      </c>
      <c r="BL116" s="297" t="s">
        <v>5364</v>
      </c>
      <c r="BM116" s="173"/>
      <c r="BN116" s="126" t="s">
        <v>3283</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3376</v>
      </c>
      <c r="CB116" s="249"/>
      <c r="CC116" s="249"/>
      <c r="CD116" s="299" t="s">
        <v>2753</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2746</v>
      </c>
      <c r="G117" s="82" t="s">
        <v>5092</v>
      </c>
      <c r="H117" s="94" t="s">
        <v>3364</v>
      </c>
      <c r="I117" s="94" t="s">
        <v>5380</v>
      </c>
      <c r="J117" s="94" t="s">
        <v>5381</v>
      </c>
      <c r="K117" s="94" t="s">
        <v>752</v>
      </c>
      <c r="L117" s="94" t="s">
        <v>827</v>
      </c>
      <c r="M117" s="99"/>
      <c r="N117" s="94" t="s">
        <v>5382</v>
      </c>
      <c r="O117" s="94" t="s">
        <v>4529</v>
      </c>
      <c r="P117" s="88" t="s">
        <v>554</v>
      </c>
      <c r="Q117" s="94" t="s">
        <v>2444</v>
      </c>
      <c r="R117" s="99"/>
      <c r="S117" s="88" t="s">
        <v>2765</v>
      </c>
      <c r="T117" s="99"/>
      <c r="U117" s="94" t="s">
        <v>5383</v>
      </c>
      <c r="V117" s="88" t="s">
        <v>5384</v>
      </c>
      <c r="W117" s="92"/>
      <c r="X117" s="94" t="s">
        <v>4281</v>
      </c>
      <c r="Y117" s="94"/>
      <c r="Z117" s="94" t="s">
        <v>1575</v>
      </c>
      <c r="AA117" s="94" t="s">
        <v>1512</v>
      </c>
      <c r="AB117" s="94" t="s">
        <v>608</v>
      </c>
      <c r="AC117" s="94" t="s">
        <v>3836</v>
      </c>
      <c r="AD117" s="94" t="s">
        <v>5385</v>
      </c>
      <c r="AE117" s="94"/>
      <c r="AF117" s="94" t="s">
        <v>4008</v>
      </c>
      <c r="AG117" s="88" t="s">
        <v>2067</v>
      </c>
      <c r="AH117" s="94" t="s">
        <v>2810</v>
      </c>
      <c r="AI117" s="102"/>
      <c r="AJ117" s="88" t="s">
        <v>3075</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2612</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2911</v>
      </c>
      <c r="CE117" s="94" t="s">
        <v>5402</v>
      </c>
      <c r="CF117" s="94"/>
      <c r="CG117" s="94" t="s">
        <v>2693</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2622</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4146</v>
      </c>
      <c r="DJ117" s="94"/>
      <c r="DK117" s="94" t="s">
        <v>5411</v>
      </c>
      <c r="DL117" s="94"/>
      <c r="DM117" s="94" t="s">
        <v>5412</v>
      </c>
      <c r="DN117" s="94" t="s">
        <v>2480</v>
      </c>
      <c r="DO117" s="161" t="s">
        <v>5413</v>
      </c>
      <c r="DP117" s="94" t="s">
        <v>4128</v>
      </c>
      <c r="DQ117" s="99"/>
      <c r="DR117" s="94" t="s">
        <v>5414</v>
      </c>
      <c r="DS117" s="94" t="s">
        <v>5415</v>
      </c>
      <c r="DT117" s="94" t="s">
        <v>3779</v>
      </c>
      <c r="DU117" s="94" t="s">
        <v>3504</v>
      </c>
      <c r="DV117" s="94" t="s">
        <v>1000</v>
      </c>
      <c r="DW117" s="94" t="s">
        <v>1344</v>
      </c>
      <c r="DX117" s="94" t="s">
        <v>4176</v>
      </c>
      <c r="DY117" s="94" t="s">
        <v>1085</v>
      </c>
      <c r="DZ117" s="94" t="s">
        <v>2868</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2194</v>
      </c>
      <c r="H118" s="166" t="s">
        <v>4764</v>
      </c>
      <c r="I118" s="166" t="s">
        <v>2324</v>
      </c>
      <c r="J118" s="166" t="s">
        <v>1953</v>
      </c>
      <c r="K118" s="166" t="s">
        <v>1141</v>
      </c>
      <c r="L118" s="166" t="s">
        <v>2622</v>
      </c>
      <c r="M118" s="166" t="s">
        <v>5419</v>
      </c>
      <c r="N118" s="166" t="s">
        <v>5420</v>
      </c>
      <c r="O118" s="166" t="s">
        <v>338</v>
      </c>
      <c r="P118" s="166" t="s">
        <v>1895</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4387</v>
      </c>
      <c r="AH118" s="198" t="s">
        <v>1898</v>
      </c>
      <c r="AI118" s="198"/>
      <c r="AJ118" s="198" t="s">
        <v>1361</v>
      </c>
      <c r="AK118" s="198" t="s">
        <v>5429</v>
      </c>
      <c r="AL118" s="97"/>
      <c r="AM118" s="167" t="s">
        <v>1817</v>
      </c>
      <c r="AN118" s="167" t="s">
        <v>4289</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2520</v>
      </c>
      <c r="BF118" s="173" t="s">
        <v>5434</v>
      </c>
      <c r="BG118" s="173" t="s">
        <v>4262</v>
      </c>
      <c r="BH118" s="173" t="s">
        <v>4576</v>
      </c>
      <c r="BI118" s="173" t="s">
        <v>5435</v>
      </c>
      <c r="BJ118" s="173" t="s">
        <v>963</v>
      </c>
      <c r="BK118" s="173"/>
      <c r="BL118" s="173" t="s">
        <v>5436</v>
      </c>
      <c r="BM118" s="172"/>
      <c r="BN118" s="173" t="s">
        <v>1912</v>
      </c>
      <c r="BO118" s="173" t="s">
        <v>2992</v>
      </c>
      <c r="BP118" s="172"/>
      <c r="BQ118" s="247"/>
      <c r="BR118" s="174"/>
      <c r="BS118" s="174" t="s">
        <v>5437</v>
      </c>
      <c r="BT118" s="174" t="s">
        <v>2938</v>
      </c>
      <c r="BU118" s="174" t="s">
        <v>2460</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1962</v>
      </c>
      <c r="CI118" s="177" t="s">
        <v>5443</v>
      </c>
      <c r="CJ118" s="177" t="s">
        <v>5444</v>
      </c>
      <c r="CK118" s="177"/>
      <c r="CL118" s="177" t="s">
        <v>5445</v>
      </c>
      <c r="CM118" s="177" t="s">
        <v>5446</v>
      </c>
      <c r="CN118" s="177" t="s">
        <v>1445</v>
      </c>
      <c r="CO118" s="177" t="s">
        <v>3118</v>
      </c>
      <c r="CP118" s="177" t="s">
        <v>5447</v>
      </c>
      <c r="CQ118" s="177" t="s">
        <v>548</v>
      </c>
      <c r="CR118" s="177"/>
      <c r="CS118" s="177" t="s">
        <v>5296</v>
      </c>
      <c r="CT118" s="252"/>
      <c r="CU118" s="92"/>
      <c r="CV118" s="203" t="s">
        <v>5448</v>
      </c>
      <c r="CW118" s="203" t="s">
        <v>5449</v>
      </c>
      <c r="CX118" s="203" t="s">
        <v>3405</v>
      </c>
      <c r="CY118" s="203" t="s">
        <v>1851</v>
      </c>
      <c r="CZ118" s="203" t="s">
        <v>5450</v>
      </c>
      <c r="DA118" s="203" t="s">
        <v>4038</v>
      </c>
      <c r="DB118" s="203" t="s">
        <v>5451</v>
      </c>
      <c r="DC118" s="203" t="s">
        <v>2605</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2786</v>
      </c>
      <c r="Q119" s="99"/>
      <c r="R119" s="94"/>
      <c r="S119" s="94"/>
      <c r="T119" s="99"/>
      <c r="U119" s="99"/>
      <c r="V119" s="99"/>
      <c r="W119" s="92"/>
      <c r="X119" s="94" t="s">
        <v>1977</v>
      </c>
      <c r="Y119" s="99"/>
      <c r="Z119" s="99"/>
      <c r="AA119" s="94" t="s">
        <v>5458</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2853</v>
      </c>
      <c r="BF119" s="94" t="s">
        <v>3239</v>
      </c>
      <c r="BG119" s="99"/>
      <c r="BH119" s="99"/>
      <c r="BI119" s="94" t="s">
        <v>4575</v>
      </c>
      <c r="BJ119" s="94" t="s">
        <v>5460</v>
      </c>
      <c r="BK119" s="94"/>
      <c r="BL119" s="94" t="s">
        <v>2712</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4191</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2544</v>
      </c>
      <c r="J120" s="166" t="s">
        <v>1751</v>
      </c>
      <c r="K120" s="166" t="s">
        <v>4065</v>
      </c>
      <c r="L120" s="166" t="s">
        <v>4634</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3113</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4590</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2206</v>
      </c>
      <c r="CM120" s="177" t="s">
        <v>5492</v>
      </c>
      <c r="CN120" s="177" t="s">
        <v>2446</v>
      </c>
      <c r="CO120" s="177" t="s">
        <v>5343</v>
      </c>
      <c r="CP120" s="252"/>
      <c r="CQ120" s="252"/>
      <c r="CR120" s="252"/>
      <c r="CS120" s="252"/>
      <c r="CT120" s="252"/>
      <c r="CU120" s="92"/>
      <c r="CV120" s="203" t="s">
        <v>2478</v>
      </c>
      <c r="CW120" s="203" t="s">
        <v>3040</v>
      </c>
      <c r="CX120" s="203" t="s">
        <v>4233</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2559</v>
      </c>
      <c r="I121" s="94" t="s">
        <v>5499</v>
      </c>
      <c r="J121" s="94" t="s">
        <v>5500</v>
      </c>
      <c r="K121" s="94" t="s">
        <v>5501</v>
      </c>
      <c r="L121" s="94" t="s">
        <v>781</v>
      </c>
      <c r="M121" s="99"/>
      <c r="N121" s="94" t="s">
        <v>5502</v>
      </c>
      <c r="O121" s="94" t="s">
        <v>479</v>
      </c>
      <c r="P121" s="94" t="s">
        <v>5357</v>
      </c>
      <c r="Q121" s="99"/>
      <c r="R121" s="99"/>
      <c r="S121" s="94" t="s">
        <v>3044</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4452</v>
      </c>
      <c r="AN121" s="94" t="s">
        <v>3755</v>
      </c>
      <c r="AO121" s="99"/>
      <c r="AP121" s="99"/>
      <c r="AQ121" s="99"/>
      <c r="AR121" s="99"/>
      <c r="AS121" s="94" t="s">
        <v>5509</v>
      </c>
      <c r="AT121" s="99"/>
      <c r="AU121" s="94" t="s">
        <v>1710</v>
      </c>
      <c r="AV121" s="94" t="s">
        <v>2114</v>
      </c>
      <c r="AW121" s="94" t="s">
        <v>5510</v>
      </c>
      <c r="AX121" s="99"/>
      <c r="AY121" s="94" t="s">
        <v>5505</v>
      </c>
      <c r="AZ121" s="99"/>
      <c r="BA121" s="99"/>
      <c r="BB121" s="94" t="s">
        <v>5511</v>
      </c>
      <c r="BC121" s="94" t="s">
        <v>2773</v>
      </c>
      <c r="BD121" s="94" t="s">
        <v>5512</v>
      </c>
      <c r="BE121" s="94" t="s">
        <v>4547</v>
      </c>
      <c r="BF121" s="94" t="s">
        <v>5513</v>
      </c>
      <c r="BG121" s="94" t="s">
        <v>5514</v>
      </c>
      <c r="BH121" s="94" t="s">
        <v>4692</v>
      </c>
      <c r="BI121" s="94" t="s">
        <v>2330</v>
      </c>
      <c r="BJ121" s="94" t="s">
        <v>5515</v>
      </c>
      <c r="BK121" s="94" t="s">
        <v>5516</v>
      </c>
      <c r="BL121" s="94" t="s">
        <v>5517</v>
      </c>
      <c r="BM121" s="99"/>
      <c r="BN121" s="94" t="s">
        <v>2330</v>
      </c>
      <c r="BO121" s="94" t="s">
        <v>3584</v>
      </c>
      <c r="BP121" s="99"/>
      <c r="BQ121" s="237"/>
      <c r="BR121" s="94" t="s">
        <v>5518</v>
      </c>
      <c r="BS121" s="99"/>
      <c r="BT121" s="94" t="s">
        <v>4478</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4186</v>
      </c>
      <c r="CM121" s="94" t="s">
        <v>5526</v>
      </c>
      <c r="CN121" s="94" t="s">
        <v>5527</v>
      </c>
      <c r="CO121" s="94" t="s">
        <v>4167</v>
      </c>
      <c r="CP121" s="99"/>
      <c r="CQ121" s="94" t="s">
        <v>5528</v>
      </c>
      <c r="CR121" s="99"/>
      <c r="CS121" s="99"/>
      <c r="CT121" s="99"/>
      <c r="CU121" s="92"/>
      <c r="CV121" s="94" t="s">
        <v>1647</v>
      </c>
      <c r="CW121" s="94" t="s">
        <v>5529</v>
      </c>
      <c r="CX121" s="94" t="s">
        <v>5530</v>
      </c>
      <c r="CY121" s="94" t="s">
        <v>3506</v>
      </c>
      <c r="CZ121" s="94" t="s">
        <v>5531</v>
      </c>
      <c r="DA121" s="94" t="s">
        <v>1978</v>
      </c>
      <c r="DB121" s="94" t="s">
        <v>5532</v>
      </c>
      <c r="DC121" s="94" t="s">
        <v>5533</v>
      </c>
      <c r="DD121" s="99"/>
      <c r="DE121" s="99"/>
      <c r="DF121" s="94" t="s">
        <v>354</v>
      </c>
      <c r="DG121" s="99"/>
      <c r="DH121" s="237"/>
      <c r="DI121" s="94" t="s">
        <v>2537</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4451</v>
      </c>
      <c r="L122" s="293" t="s">
        <v>4471</v>
      </c>
      <c r="M122" s="293" t="s">
        <v>5547</v>
      </c>
      <c r="N122" s="293" t="s">
        <v>1968</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3015</v>
      </c>
      <c r="BG122" s="173" t="s">
        <v>5560</v>
      </c>
      <c r="BH122" s="173" t="s">
        <v>5561</v>
      </c>
      <c r="BI122" s="173" t="s">
        <v>5562</v>
      </c>
      <c r="BJ122" s="172"/>
      <c r="BK122" s="173" t="s">
        <v>5563</v>
      </c>
      <c r="BL122" s="173" t="s">
        <v>3952</v>
      </c>
      <c r="BM122" s="172"/>
      <c r="BN122" s="173" t="s">
        <v>5530</v>
      </c>
      <c r="BO122" s="173" t="s">
        <v>4454</v>
      </c>
      <c r="BP122" s="173" t="s">
        <v>5564</v>
      </c>
      <c r="BQ122" s="173"/>
      <c r="BR122" s="174"/>
      <c r="BS122" s="174" t="s">
        <v>3908</v>
      </c>
      <c r="BT122" s="174" t="s">
        <v>3819</v>
      </c>
      <c r="BU122" s="174" t="s">
        <v>5565</v>
      </c>
      <c r="BV122" s="174" t="s">
        <v>4884</v>
      </c>
      <c r="BW122" s="174" t="s">
        <v>4432</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4186</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1962</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3094</v>
      </c>
      <c r="DW122" s="255"/>
      <c r="DX122" s="255"/>
      <c r="DY122" s="255"/>
      <c r="DZ122" s="204" t="s">
        <v>2535</v>
      </c>
      <c r="EA122" s="255"/>
      <c r="EB122" s="255"/>
      <c r="EC122" s="255"/>
      <c r="ED122" s="287" t="s">
        <v>5583</v>
      </c>
    </row>
    <row r="123">
      <c r="A123" s="590" t="s">
        <v>5584</v>
      </c>
      <c r="B123" s="82" t="s">
        <v>5585</v>
      </c>
      <c r="C123" s="83" t="s">
        <v>1259</v>
      </c>
      <c r="D123" s="84" t="s">
        <v>1259</v>
      </c>
      <c r="E123" s="85" t="s">
        <v>1259</v>
      </c>
      <c r="F123" s="86" t="s">
        <v>2155</v>
      </c>
      <c r="G123" s="82" t="s">
        <v>5349</v>
      </c>
      <c r="H123" s="102"/>
      <c r="I123" s="98" t="s">
        <v>5586</v>
      </c>
      <c r="J123" s="88" t="s">
        <v>2593</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3098</v>
      </c>
      <c r="AA123" s="88" t="s">
        <v>5593</v>
      </c>
      <c r="AB123" s="88" t="s">
        <v>5594</v>
      </c>
      <c r="AC123" s="88" t="s">
        <v>1517</v>
      </c>
      <c r="AD123" s="88" t="s">
        <v>3769</v>
      </c>
      <c r="AE123" s="88" t="s">
        <v>3117</v>
      </c>
      <c r="AF123" s="88" t="s">
        <v>2666</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4432</v>
      </c>
      <c r="CB123" s="99"/>
      <c r="CC123" s="99"/>
      <c r="CD123" s="94"/>
      <c r="CE123" s="99"/>
      <c r="CF123" s="237"/>
      <c r="CG123" s="88" t="s">
        <v>4566</v>
      </c>
      <c r="CH123" s="88" t="s">
        <v>2311</v>
      </c>
      <c r="CI123" s="88" t="s">
        <v>879</v>
      </c>
      <c r="CJ123" s="88" t="s">
        <v>5107</v>
      </c>
      <c r="CK123" s="88" t="s">
        <v>4798</v>
      </c>
      <c r="CL123" s="88" t="s">
        <v>5605</v>
      </c>
      <c r="CM123" s="88" t="s">
        <v>5432</v>
      </c>
      <c r="CN123" s="88" t="s">
        <v>2271</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2746</v>
      </c>
      <c r="H124" s="242"/>
      <c r="I124" s="166" t="s">
        <v>3854</v>
      </c>
      <c r="J124" s="242"/>
      <c r="K124" s="110" t="str">
        <f>HYPERLINK("https://www.youtube.com/watch?v=fhmkEG98u50","13.86")</f>
        <v>13.86</v>
      </c>
      <c r="L124" s="242" t="s">
        <v>1813</v>
      </c>
      <c r="M124" s="242"/>
      <c r="N124" s="242"/>
      <c r="O124" s="110" t="s">
        <v>3637</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2106</v>
      </c>
      <c r="H125" s="94"/>
      <c r="I125" s="94" t="s">
        <v>5618</v>
      </c>
      <c r="J125" s="88" t="s">
        <v>653</v>
      </c>
      <c r="K125" s="88" t="s">
        <v>5445</v>
      </c>
      <c r="L125" s="94" t="s">
        <v>5056</v>
      </c>
      <c r="M125" s="99"/>
      <c r="N125" s="94" t="s">
        <v>5619</v>
      </c>
      <c r="O125" s="94" t="s">
        <v>1207</v>
      </c>
      <c r="P125" s="88" t="s">
        <v>4186</v>
      </c>
      <c r="Q125" s="99"/>
      <c r="R125" s="99"/>
      <c r="S125" s="99"/>
      <c r="T125" s="99"/>
      <c r="U125" s="99"/>
      <c r="V125" s="99"/>
      <c r="W125" s="92"/>
      <c r="X125" s="94" t="s">
        <v>3012</v>
      </c>
      <c r="Y125" s="94"/>
      <c r="Z125" s="94" t="s">
        <v>5620</v>
      </c>
      <c r="AA125" s="94" t="s">
        <v>4750</v>
      </c>
      <c r="AB125" s="94" t="s">
        <v>1065</v>
      </c>
      <c r="AC125" s="94" t="s">
        <v>4147</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1833</v>
      </c>
      <c r="BE125" s="94" t="s">
        <v>5626</v>
      </c>
      <c r="BF125" s="94" t="s">
        <v>4694</v>
      </c>
      <c r="BG125" s="94" t="s">
        <v>4155</v>
      </c>
      <c r="BH125" s="99"/>
      <c r="BI125" s="266" t="s">
        <v>609</v>
      </c>
      <c r="BJ125" s="94" t="s">
        <v>5627</v>
      </c>
      <c r="BK125" s="94" t="s">
        <v>5628</v>
      </c>
      <c r="BL125" s="94" t="s">
        <v>5629</v>
      </c>
      <c r="BM125" s="99"/>
      <c r="BN125" s="99"/>
      <c r="BO125" s="99"/>
      <c r="BP125" s="99"/>
      <c r="BQ125" s="237"/>
      <c r="BR125" s="94" t="s">
        <v>5630</v>
      </c>
      <c r="BS125" s="94" t="s">
        <v>3116</v>
      </c>
      <c r="BT125" s="94" t="s">
        <v>4923</v>
      </c>
      <c r="BU125" s="94" t="s">
        <v>5289</v>
      </c>
      <c r="BV125" s="94" t="s">
        <v>5631</v>
      </c>
      <c r="BW125" s="94" t="s">
        <v>4675</v>
      </c>
      <c r="BX125" s="99"/>
      <c r="BY125" s="94" t="s">
        <v>719</v>
      </c>
      <c r="BZ125" s="94" t="s">
        <v>5632</v>
      </c>
      <c r="CA125" s="99"/>
      <c r="CB125" s="99"/>
      <c r="CC125" s="99"/>
      <c r="CD125" s="99"/>
      <c r="CE125" s="99"/>
      <c r="CF125" s="237"/>
      <c r="CG125" s="94" t="s">
        <v>5633</v>
      </c>
      <c r="CH125" s="94" t="s">
        <v>5634</v>
      </c>
      <c r="CI125" s="94" t="s">
        <v>4131</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4609</v>
      </c>
      <c r="H126" s="166" t="s">
        <v>4741</v>
      </c>
      <c r="I126" s="166" t="s">
        <v>5645</v>
      </c>
      <c r="J126" s="166" t="s">
        <v>5339</v>
      </c>
      <c r="K126" s="166" t="s">
        <v>351</v>
      </c>
      <c r="L126" s="166" t="s">
        <v>2163</v>
      </c>
      <c r="M126" s="166" t="s">
        <v>5646</v>
      </c>
      <c r="N126" s="166" t="s">
        <v>5647</v>
      </c>
      <c r="O126" s="166" t="s">
        <v>3084</v>
      </c>
      <c r="P126" s="166" t="s">
        <v>5648</v>
      </c>
      <c r="Q126" s="242"/>
      <c r="R126" s="242"/>
      <c r="S126" s="242"/>
      <c r="T126" s="242"/>
      <c r="U126" s="242"/>
      <c r="V126" s="242"/>
      <c r="W126" s="92"/>
      <c r="X126" s="198" t="s">
        <v>3482</v>
      </c>
      <c r="Y126" s="198"/>
      <c r="Z126" s="198" t="s">
        <v>572</v>
      </c>
      <c r="AA126" s="198" t="s">
        <v>4753</v>
      </c>
      <c r="AB126" s="198" t="s">
        <v>617</v>
      </c>
      <c r="AC126" s="198" t="s">
        <v>4784</v>
      </c>
      <c r="AD126" s="198" t="s">
        <v>2200</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2189</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4561</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4191</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4407</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2939</v>
      </c>
      <c r="CB127" s="99"/>
      <c r="CC127" s="99"/>
      <c r="CD127" s="99"/>
      <c r="CE127" s="99"/>
      <c r="CF127" s="237"/>
      <c r="CG127" s="94" t="s">
        <v>2277</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1821</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2754</v>
      </c>
      <c r="M128" s="242"/>
      <c r="N128" s="166" t="s">
        <v>5700</v>
      </c>
      <c r="O128" s="166" t="s">
        <v>689</v>
      </c>
      <c r="P128" s="166" t="s">
        <v>1272</v>
      </c>
      <c r="Q128" s="242"/>
      <c r="R128" s="242"/>
      <c r="S128" s="242"/>
      <c r="T128" s="242"/>
      <c r="U128" s="242"/>
      <c r="V128" s="242"/>
      <c r="W128" s="92"/>
      <c r="X128" s="198" t="s">
        <v>2527</v>
      </c>
      <c r="Y128" s="198"/>
      <c r="Z128" s="198" t="s">
        <v>3844</v>
      </c>
      <c r="AA128" s="198" t="s">
        <v>5677</v>
      </c>
      <c r="AB128" s="198" t="s">
        <v>5701</v>
      </c>
      <c r="AC128" s="198" t="s">
        <v>4234</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5704</v>
      </c>
      <c r="BF128" s="173" t="s">
        <v>5705</v>
      </c>
      <c r="BG128" s="172"/>
      <c r="BH128" s="668"/>
      <c r="BI128" s="173" t="s">
        <v>754</v>
      </c>
      <c r="BJ128" s="173" t="s">
        <v>5706</v>
      </c>
      <c r="BK128" s="172"/>
      <c r="BL128" s="173" t="s">
        <v>4543</v>
      </c>
      <c r="BM128" s="172"/>
      <c r="BN128" s="172"/>
      <c r="BO128" s="172"/>
      <c r="BP128" s="172"/>
      <c r="BQ128" s="247"/>
      <c r="BR128" s="174" t="s">
        <v>5515</v>
      </c>
      <c r="BS128" s="174" t="s">
        <v>4455</v>
      </c>
      <c r="BT128" s="174" t="s">
        <v>4909</v>
      </c>
      <c r="BU128" s="174" t="s">
        <v>1919</v>
      </c>
      <c r="BV128" s="174" t="s">
        <v>1073</v>
      </c>
      <c r="BW128" s="174" t="s">
        <v>5707</v>
      </c>
      <c r="BX128" s="174"/>
      <c r="BY128" s="174" t="s">
        <v>5708</v>
      </c>
      <c r="BZ128" s="249"/>
      <c r="CA128" s="174" t="s">
        <v>2265</v>
      </c>
      <c r="CB128" s="249"/>
      <c r="CC128" s="249"/>
      <c r="CD128" s="249"/>
      <c r="CE128" s="249"/>
      <c r="CF128" s="251"/>
      <c r="CG128" s="177" t="s">
        <v>5709</v>
      </c>
      <c r="CH128" s="177" t="s">
        <v>2342</v>
      </c>
      <c r="CI128" s="252"/>
      <c r="CJ128" s="252"/>
      <c r="CK128" s="252"/>
      <c r="CL128" s="252"/>
      <c r="CM128" s="177" t="s">
        <v>5710</v>
      </c>
      <c r="CN128" s="177" t="s">
        <v>841</v>
      </c>
      <c r="CO128" s="177" t="s">
        <v>3118</v>
      </c>
      <c r="CP128" s="252"/>
      <c r="CQ128" s="252"/>
      <c r="CR128" s="252"/>
      <c r="CS128" s="252"/>
      <c r="CT128" s="252"/>
      <c r="CU128" s="92"/>
      <c r="CV128" s="203" t="s">
        <v>3660</v>
      </c>
      <c r="CW128" s="203" t="s">
        <v>2842</v>
      </c>
      <c r="CX128" s="203" t="s">
        <v>5134</v>
      </c>
      <c r="CY128" s="203" t="s">
        <v>907</v>
      </c>
      <c r="CZ128" s="203" t="s">
        <v>1676</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2154</v>
      </c>
      <c r="H129" s="99"/>
      <c r="I129" s="88" t="s">
        <v>5715</v>
      </c>
      <c r="J129" s="88" t="s">
        <v>5716</v>
      </c>
      <c r="K129" s="88" t="s">
        <v>5717</v>
      </c>
      <c r="L129" s="88" t="s">
        <v>2513</v>
      </c>
      <c r="M129" s="88" t="s">
        <v>1464</v>
      </c>
      <c r="N129" s="88" t="s">
        <v>5718</v>
      </c>
      <c r="O129" s="88" t="s">
        <v>1300</v>
      </c>
      <c r="P129" s="94" t="s">
        <v>5477</v>
      </c>
      <c r="Q129" s="99"/>
      <c r="R129" s="99"/>
      <c r="S129" s="99"/>
      <c r="T129" s="99"/>
      <c r="U129" s="99"/>
      <c r="V129" s="99"/>
      <c r="W129" s="92"/>
      <c r="X129" s="88" t="s">
        <v>3195</v>
      </c>
      <c r="Y129" s="102"/>
      <c r="Z129" s="88" t="s">
        <v>2525</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4243</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2044</v>
      </c>
      <c r="CO129" s="94" t="s">
        <v>1988</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2780</v>
      </c>
      <c r="G130" s="104" t="s">
        <v>2154</v>
      </c>
      <c r="H130" s="439"/>
      <c r="I130" s="110" t="s">
        <v>5748</v>
      </c>
      <c r="J130" s="225" t="s">
        <v>4743</v>
      </c>
      <c r="K130" s="112" t="s">
        <v>2281</v>
      </c>
      <c r="L130" s="225" t="s">
        <v>924</v>
      </c>
      <c r="M130" s="112" t="s">
        <v>5749</v>
      </c>
      <c r="N130" s="112" t="s">
        <v>4380</v>
      </c>
      <c r="O130" s="112" t="s">
        <v>5750</v>
      </c>
      <c r="P130" s="112" t="s">
        <v>4421</v>
      </c>
      <c r="Q130" s="242"/>
      <c r="R130" s="242"/>
      <c r="S130" s="242"/>
      <c r="T130" s="242"/>
      <c r="U130" s="242"/>
      <c r="V130" s="242"/>
      <c r="W130" s="92"/>
      <c r="X130" s="270" t="s">
        <v>1410</v>
      </c>
      <c r="Y130" s="270"/>
      <c r="Z130" s="116" t="s">
        <v>5751</v>
      </c>
      <c r="AA130" s="270" t="s">
        <v>959</v>
      </c>
      <c r="AB130" s="116" t="s">
        <v>1987</v>
      </c>
      <c r="AC130" s="116" t="s">
        <v>2995</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2201</v>
      </c>
      <c r="AW130" s="124"/>
      <c r="AX130" s="245"/>
      <c r="AY130" s="245"/>
      <c r="AZ130" s="245"/>
      <c r="BA130" s="245"/>
      <c r="BB130" s="372" t="s">
        <v>5754</v>
      </c>
      <c r="BC130" s="372" t="s">
        <v>879</v>
      </c>
      <c r="BD130" s="372" t="s">
        <v>735</v>
      </c>
      <c r="BE130" s="372" t="s">
        <v>5235</v>
      </c>
      <c r="BF130" s="372" t="s">
        <v>5755</v>
      </c>
      <c r="BG130" s="372" t="s">
        <v>706</v>
      </c>
      <c r="BH130" s="173"/>
      <c r="BI130" s="372" t="s">
        <v>3074</v>
      </c>
      <c r="BJ130" s="173" t="s">
        <v>5756</v>
      </c>
      <c r="BK130" s="372"/>
      <c r="BL130" s="372" t="s">
        <v>5757</v>
      </c>
      <c r="BM130" s="172"/>
      <c r="BN130" s="172"/>
      <c r="BO130" s="372"/>
      <c r="BP130" s="172"/>
      <c r="BQ130" s="247"/>
      <c r="BR130" s="130" t="s">
        <v>5758</v>
      </c>
      <c r="BS130" s="130" t="s">
        <v>4335</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4368</v>
      </c>
      <c r="CI130" s="135" t="s">
        <v>5766</v>
      </c>
      <c r="CJ130" s="135" t="s">
        <v>5767</v>
      </c>
      <c r="CK130" s="135" t="s">
        <v>2822</v>
      </c>
      <c r="CL130" s="135" t="s">
        <v>5605</v>
      </c>
      <c r="CM130" s="135" t="s">
        <v>3319</v>
      </c>
      <c r="CN130" s="135" t="s">
        <v>1582</v>
      </c>
      <c r="CO130" s="135" t="s">
        <v>3366</v>
      </c>
      <c r="CP130" s="542"/>
      <c r="CQ130" s="252"/>
      <c r="CR130" s="252"/>
      <c r="CS130" s="252"/>
      <c r="CT130" s="252"/>
      <c r="CU130" s="92"/>
      <c r="CV130" s="285" t="s">
        <v>4310</v>
      </c>
      <c r="CW130" s="285" t="s">
        <v>5768</v>
      </c>
      <c r="CX130" s="285" t="s">
        <v>2640</v>
      </c>
      <c r="CY130" s="285" t="s">
        <v>2662</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1947</v>
      </c>
      <c r="H131" s="99"/>
      <c r="I131" s="99"/>
      <c r="J131" s="94" t="s">
        <v>5774</v>
      </c>
      <c r="K131" s="94" t="s">
        <v>4612</v>
      </c>
      <c r="L131" s="94" t="s">
        <v>835</v>
      </c>
      <c r="M131" s="99"/>
      <c r="N131" s="94" t="s">
        <v>4963</v>
      </c>
      <c r="O131" s="94" t="s">
        <v>2740</v>
      </c>
      <c r="P131" s="94" t="s">
        <v>3585</v>
      </c>
      <c r="Q131" s="99"/>
      <c r="R131" s="99"/>
      <c r="S131" s="99"/>
      <c r="T131" s="99"/>
      <c r="U131" s="99"/>
      <c r="V131" s="99"/>
      <c r="W131" s="92"/>
      <c r="X131" s="94" t="s">
        <v>4595</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2878</v>
      </c>
      <c r="H132" s="439"/>
      <c r="I132" s="541"/>
      <c r="J132" s="439"/>
      <c r="K132" s="112" t="s">
        <v>2164</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2000</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2130</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1805</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2481</v>
      </c>
      <c r="CY133" s="99"/>
      <c r="CZ133" s="99"/>
      <c r="DA133" s="99"/>
      <c r="DB133" s="94" t="s">
        <v>5795</v>
      </c>
      <c r="DC133" s="94" t="s">
        <v>1868</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4584</v>
      </c>
      <c r="I134" s="321" t="s">
        <v>5798</v>
      </c>
      <c r="J134" s="321" t="s">
        <v>5799</v>
      </c>
      <c r="K134" s="321" t="s">
        <v>2723</v>
      </c>
      <c r="L134" s="321" t="s">
        <v>2098</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1912</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4348</v>
      </c>
      <c r="BH134" s="173" t="s">
        <v>5812</v>
      </c>
      <c r="BI134" s="200" t="s">
        <v>4445</v>
      </c>
      <c r="BJ134" s="172"/>
      <c r="BK134" s="200" t="s">
        <v>5813</v>
      </c>
      <c r="BL134" s="200" t="s">
        <v>2863</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2622</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4671</v>
      </c>
      <c r="K135" s="99"/>
      <c r="L135" s="88" t="s">
        <v>5848</v>
      </c>
      <c r="M135" s="88" t="s">
        <v>5849</v>
      </c>
      <c r="N135" s="99"/>
      <c r="O135" s="99"/>
      <c r="P135" s="88" t="s">
        <v>3641</v>
      </c>
      <c r="Q135" s="99"/>
      <c r="R135" s="99"/>
      <c r="S135" s="99"/>
      <c r="T135" s="99"/>
      <c r="U135" s="99"/>
      <c r="V135" s="99"/>
      <c r="W135" s="92"/>
      <c r="X135" s="88" t="s">
        <v>2304</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4677</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3000</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1839</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4678</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3105</v>
      </c>
      <c r="H137" s="94" t="s">
        <v>4214</v>
      </c>
      <c r="I137" s="94" t="s">
        <v>5873</v>
      </c>
      <c r="J137" s="94" t="s">
        <v>3367</v>
      </c>
      <c r="K137" s="94" t="s">
        <v>2281</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2067</v>
      </c>
      <c r="AB137" s="94" t="s">
        <v>5879</v>
      </c>
      <c r="AC137" s="94" t="s">
        <v>3894</v>
      </c>
      <c r="AD137" s="94" t="s">
        <v>5880</v>
      </c>
      <c r="AE137" s="99"/>
      <c r="AF137" s="94" t="s">
        <v>5801</v>
      </c>
      <c r="AG137" s="94" t="s">
        <v>4150</v>
      </c>
      <c r="AH137" s="99"/>
      <c r="AI137" s="99"/>
      <c r="AJ137" s="99"/>
      <c r="AK137" s="99"/>
      <c r="AL137" s="97"/>
      <c r="AM137" s="99"/>
      <c r="AN137" s="99"/>
      <c r="AO137" s="99"/>
      <c r="AP137" s="99"/>
      <c r="AQ137" s="99"/>
      <c r="AR137" s="99"/>
      <c r="AS137" s="99"/>
      <c r="AT137" s="99"/>
      <c r="AU137" s="94" t="s">
        <v>1743</v>
      </c>
      <c r="AV137" s="94" t="s">
        <v>1803</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2531</v>
      </c>
      <c r="BV137" s="99"/>
      <c r="BW137" s="94" t="s">
        <v>5881</v>
      </c>
      <c r="BX137" s="99"/>
      <c r="BY137" s="99"/>
      <c r="BZ137" s="99"/>
      <c r="CA137" s="94" t="s">
        <v>821</v>
      </c>
      <c r="CB137" s="99"/>
      <c r="CC137" s="99"/>
      <c r="CD137" s="99"/>
      <c r="CE137" s="99"/>
      <c r="CF137" s="237"/>
      <c r="CG137" s="94" t="s">
        <v>5882</v>
      </c>
      <c r="CH137" s="94" t="s">
        <v>4288</v>
      </c>
      <c r="CI137" s="94" t="s">
        <v>2611</v>
      </c>
      <c r="CJ137" s="99"/>
      <c r="CK137" s="99"/>
      <c r="CL137" s="99"/>
      <c r="CM137" s="99"/>
      <c r="CN137" s="99"/>
      <c r="CO137" s="94" t="s">
        <v>5883</v>
      </c>
      <c r="CP137" s="99"/>
      <c r="CQ137" s="99"/>
      <c r="CR137" s="99"/>
      <c r="CS137" s="99"/>
      <c r="CT137" s="99"/>
      <c r="CU137" s="92"/>
      <c r="CV137" s="94" t="s">
        <v>5884</v>
      </c>
      <c r="CW137" s="94" t="s">
        <v>5885</v>
      </c>
      <c r="CX137" s="94" t="s">
        <v>1904</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2765</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3114</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4507</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2603</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1852</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2096</v>
      </c>
      <c r="V139" s="94" t="s">
        <v>5914</v>
      </c>
      <c r="W139" s="92"/>
      <c r="X139" s="457" t="s">
        <v>5016</v>
      </c>
      <c r="Y139" s="161"/>
      <c r="Z139" s="161" t="s">
        <v>5533</v>
      </c>
      <c r="AA139" s="88" t="s">
        <v>414</v>
      </c>
      <c r="AB139" s="266" t="s">
        <v>2672</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4313</v>
      </c>
      <c r="AV139" s="258" t="s">
        <v>3504</v>
      </c>
      <c r="AW139" s="258" t="s">
        <v>4197</v>
      </c>
      <c r="AX139" s="99"/>
      <c r="AY139" s="99"/>
      <c r="AZ139" s="99"/>
      <c r="BA139" s="99"/>
      <c r="BB139" s="258" t="s">
        <v>5922</v>
      </c>
      <c r="BC139" s="258" t="s">
        <v>2061</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4602</v>
      </c>
      <c r="BX139" s="99"/>
      <c r="BY139" s="258" t="s">
        <v>5929</v>
      </c>
      <c r="BZ139" s="102"/>
      <c r="CA139" s="258" t="s">
        <v>974</v>
      </c>
      <c r="CB139" s="99"/>
      <c r="CC139" s="99"/>
      <c r="CD139" s="99"/>
      <c r="CE139" s="99"/>
      <c r="CF139" s="237"/>
      <c r="CG139" s="258" t="s">
        <v>5930</v>
      </c>
      <c r="CH139" s="258" t="s">
        <v>5931</v>
      </c>
      <c r="CI139" s="258" t="s">
        <v>4426</v>
      </c>
      <c r="CJ139" s="102"/>
      <c r="CK139" s="102"/>
      <c r="CL139" s="258" t="s">
        <v>2142</v>
      </c>
      <c r="CM139" s="102"/>
      <c r="CN139" s="102"/>
      <c r="CO139" s="102"/>
      <c r="CP139" s="221"/>
      <c r="CQ139" s="99"/>
      <c r="CR139" s="99"/>
      <c r="CS139" s="99"/>
      <c r="CT139" s="99"/>
      <c r="CU139" s="92"/>
      <c r="CV139" s="258" t="s">
        <v>5932</v>
      </c>
      <c r="CW139" s="258" t="s">
        <v>5933</v>
      </c>
      <c r="CX139" s="457" t="s">
        <v>5934</v>
      </c>
      <c r="CY139" s="88" t="s">
        <v>4517</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2833</v>
      </c>
      <c r="K140" s="225" t="s">
        <v>4512</v>
      </c>
      <c r="L140" s="225"/>
      <c r="M140" s="225"/>
      <c r="N140" s="225"/>
      <c r="O140" s="225"/>
      <c r="P140" s="225"/>
      <c r="Q140" s="242"/>
      <c r="R140" s="242"/>
      <c r="S140" s="242"/>
      <c r="T140" s="242"/>
      <c r="U140" s="242"/>
      <c r="V140" s="242"/>
      <c r="W140" s="92"/>
      <c r="X140" s="461" t="s">
        <v>1977</v>
      </c>
      <c r="Y140" s="270"/>
      <c r="Z140" s="270" t="s">
        <v>1429</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2571</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4153</v>
      </c>
      <c r="K141" s="88" t="s">
        <v>2281</v>
      </c>
      <c r="L141" s="94" t="s">
        <v>2520</v>
      </c>
      <c r="M141" s="94" t="s">
        <v>5945</v>
      </c>
      <c r="N141" s="94" t="s">
        <v>5946</v>
      </c>
      <c r="O141" s="94" t="s">
        <v>5160</v>
      </c>
      <c r="P141" s="94" t="s">
        <v>561</v>
      </c>
      <c r="Q141" s="99"/>
      <c r="R141" s="99"/>
      <c r="S141" s="99"/>
      <c r="T141" s="99"/>
      <c r="U141" s="99"/>
      <c r="V141" s="99"/>
      <c r="W141" s="92"/>
      <c r="X141" s="94" t="s">
        <v>4628</v>
      </c>
      <c r="Y141" s="94"/>
      <c r="Z141" s="94" t="s">
        <v>5865</v>
      </c>
      <c r="AA141" s="94" t="s">
        <v>2245</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1527</v>
      </c>
      <c r="BD141" s="94" t="s">
        <v>402</v>
      </c>
      <c r="BE141" s="94" t="s">
        <v>5950</v>
      </c>
      <c r="BF141" s="99"/>
      <c r="BG141" s="94" t="s">
        <v>2926</v>
      </c>
      <c r="BH141" s="99"/>
      <c r="BI141" s="94" t="s">
        <v>899</v>
      </c>
      <c r="BJ141" s="99"/>
      <c r="BK141" s="99"/>
      <c r="BL141" s="99"/>
      <c r="BM141" s="99"/>
      <c r="BN141" s="99"/>
      <c r="BO141" s="99"/>
      <c r="BP141" s="99"/>
      <c r="BQ141" s="237"/>
      <c r="BR141" s="94" t="s">
        <v>5951</v>
      </c>
      <c r="BS141" s="94" t="s">
        <v>5952</v>
      </c>
      <c r="BT141" s="94" t="s">
        <v>494</v>
      </c>
      <c r="BU141" s="266" t="s">
        <v>3100</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2571</v>
      </c>
      <c r="CO141" s="94" t="s">
        <v>3715</v>
      </c>
      <c r="CP141" s="99"/>
      <c r="CQ141" s="99"/>
      <c r="CR141" s="99"/>
      <c r="CS141" s="99"/>
      <c r="CT141" s="99"/>
      <c r="CU141" s="92"/>
      <c r="CV141" s="94" t="s">
        <v>2921</v>
      </c>
      <c r="CW141" s="94" t="s">
        <v>3678</v>
      </c>
      <c r="CX141" s="94" t="s">
        <v>2812</v>
      </c>
      <c r="CY141" s="94" t="s">
        <v>5962</v>
      </c>
      <c r="CZ141" s="94" t="s">
        <v>3735</v>
      </c>
      <c r="DA141" s="94" t="s">
        <v>1811</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2747</v>
      </c>
      <c r="H142" s="166" t="s">
        <v>5967</v>
      </c>
      <c r="I142" s="293" t="s">
        <v>1590</v>
      </c>
      <c r="J142" s="166" t="s">
        <v>5968</v>
      </c>
      <c r="K142" s="166" t="s">
        <v>5458</v>
      </c>
      <c r="L142" s="166" t="s">
        <v>5969</v>
      </c>
      <c r="M142" s="242"/>
      <c r="N142" s="166" t="s">
        <v>5970</v>
      </c>
      <c r="O142" s="166" t="s">
        <v>3596</v>
      </c>
      <c r="P142" s="166" t="s">
        <v>999</v>
      </c>
      <c r="Q142" s="242"/>
      <c r="R142" s="166" t="s">
        <v>324</v>
      </c>
      <c r="S142" s="166" t="s">
        <v>2220</v>
      </c>
      <c r="T142" s="242"/>
      <c r="U142" s="166" t="s">
        <v>3233</v>
      </c>
      <c r="V142" s="242"/>
      <c r="W142" s="92"/>
      <c r="X142" s="198" t="s">
        <v>5971</v>
      </c>
      <c r="Y142" s="117"/>
      <c r="Z142" s="116" t="s">
        <v>2398</v>
      </c>
      <c r="AA142" s="198" t="s">
        <v>4528</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1958</v>
      </c>
      <c r="BD142" s="173" t="s">
        <v>5974</v>
      </c>
      <c r="BE142" s="173" t="s">
        <v>3586</v>
      </c>
      <c r="BF142" s="173" t="s">
        <v>5792</v>
      </c>
      <c r="BG142" s="172"/>
      <c r="BH142" s="172"/>
      <c r="BI142" s="173" t="s">
        <v>4029</v>
      </c>
      <c r="BJ142" s="173" t="s">
        <v>5975</v>
      </c>
      <c r="BK142" s="173"/>
      <c r="BL142" s="173" t="s">
        <v>2630</v>
      </c>
      <c r="BM142" s="172"/>
      <c r="BN142" s="173" t="s">
        <v>4235</v>
      </c>
      <c r="BO142" s="172"/>
      <c r="BP142" s="172"/>
      <c r="BQ142" s="247"/>
      <c r="BR142" s="174" t="s">
        <v>5976</v>
      </c>
      <c r="BS142" s="174" t="s">
        <v>4254</v>
      </c>
      <c r="BT142" s="174" t="s">
        <v>3467</v>
      </c>
      <c r="BU142" s="174" t="s">
        <v>5977</v>
      </c>
      <c r="BV142" s="174" t="s">
        <v>5978</v>
      </c>
      <c r="BW142" s="174" t="s">
        <v>5213</v>
      </c>
      <c r="BX142" s="249"/>
      <c r="BY142" s="174" t="s">
        <v>2885</v>
      </c>
      <c r="BZ142" s="249"/>
      <c r="CA142" s="174" t="s">
        <v>5979</v>
      </c>
      <c r="CB142" s="249"/>
      <c r="CC142" s="249"/>
      <c r="CD142" s="249"/>
      <c r="CE142" s="249"/>
      <c r="CF142" s="251"/>
      <c r="CG142" s="177" t="s">
        <v>5980</v>
      </c>
      <c r="CH142" s="177" t="s">
        <v>4491</v>
      </c>
      <c r="CI142" s="177" t="s">
        <v>2222</v>
      </c>
      <c r="CJ142" s="177" t="s">
        <v>5981</v>
      </c>
      <c r="CK142" s="177"/>
      <c r="CL142" s="177" t="s">
        <v>5982</v>
      </c>
      <c r="CM142" s="177" t="s">
        <v>5983</v>
      </c>
      <c r="CN142" s="177" t="s">
        <v>1730</v>
      </c>
      <c r="CO142" s="177" t="s">
        <v>4313</v>
      </c>
      <c r="CP142" s="252"/>
      <c r="CQ142" s="252"/>
      <c r="CR142" s="252"/>
      <c r="CS142" s="252"/>
      <c r="CT142" s="252"/>
      <c r="CU142" s="92"/>
      <c r="CV142" s="203" t="s">
        <v>5984</v>
      </c>
      <c r="CW142" s="203" t="s">
        <v>2842</v>
      </c>
      <c r="CX142" s="203" t="s">
        <v>3763</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2191</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1898</v>
      </c>
      <c r="M143" s="94"/>
      <c r="N143" s="94" t="s">
        <v>5996</v>
      </c>
      <c r="O143" s="94" t="s">
        <v>5997</v>
      </c>
      <c r="P143" s="99"/>
      <c r="Q143" s="99"/>
      <c r="R143" s="99"/>
      <c r="S143" s="99"/>
      <c r="T143" s="99"/>
      <c r="U143" s="99"/>
      <c r="V143" s="99"/>
      <c r="W143" s="92"/>
      <c r="X143" s="93"/>
      <c r="Y143" s="94"/>
      <c r="Z143" s="94"/>
      <c r="AA143" s="94" t="s">
        <v>2932</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2716</v>
      </c>
      <c r="H144" s="321" t="s">
        <v>6004</v>
      </c>
      <c r="I144" s="321" t="s">
        <v>6005</v>
      </c>
      <c r="J144" s="321" t="s">
        <v>6006</v>
      </c>
      <c r="K144" s="321" t="s">
        <v>1951</v>
      </c>
      <c r="L144" s="550" t="s">
        <v>3692</v>
      </c>
      <c r="M144" s="321" t="s">
        <v>6007</v>
      </c>
      <c r="N144" s="321" t="s">
        <v>6008</v>
      </c>
      <c r="O144" s="321" t="s">
        <v>3145</v>
      </c>
      <c r="P144" s="321" t="s">
        <v>251</v>
      </c>
      <c r="Q144" s="688"/>
      <c r="R144" s="688"/>
      <c r="S144" s="689">
        <v>37.85</v>
      </c>
      <c r="T144" s="688"/>
      <c r="U144" s="166" t="s">
        <v>1904</v>
      </c>
      <c r="V144" s="689" t="s">
        <v>6009</v>
      </c>
      <c r="W144" s="690"/>
      <c r="X144" s="691"/>
      <c r="Y144" s="691"/>
      <c r="Z144" s="691"/>
      <c r="AA144" s="117" t="s">
        <v>3042</v>
      </c>
      <c r="AB144" s="692"/>
      <c r="AC144" s="335" t="s">
        <v>3563</v>
      </c>
      <c r="AD144" s="691"/>
      <c r="AE144" s="693"/>
      <c r="AF144" s="691"/>
      <c r="AG144" s="691"/>
      <c r="AH144" s="693"/>
      <c r="AI144" s="693"/>
      <c r="AJ144" s="117" t="s">
        <v>2302</v>
      </c>
      <c r="AK144" s="693"/>
      <c r="AL144" s="694"/>
      <c r="AM144" s="695"/>
      <c r="AN144" s="124" t="s">
        <v>2548</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3074</v>
      </c>
      <c r="BJ144" s="699"/>
      <c r="BK144" s="372" t="s">
        <v>6010</v>
      </c>
      <c r="BL144" s="200" t="s">
        <v>3788</v>
      </c>
      <c r="BM144" s="699"/>
      <c r="BN144" s="700">
        <v>35.32</v>
      </c>
      <c r="BO144" s="698"/>
      <c r="BP144" s="699"/>
      <c r="BQ144" s="701"/>
      <c r="BR144" s="702"/>
      <c r="BS144" s="702"/>
      <c r="BT144" s="444" t="s">
        <v>2783</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2995</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1849</v>
      </c>
      <c r="I145" s="94" t="s">
        <v>3723</v>
      </c>
      <c r="J145" s="94" t="s">
        <v>571</v>
      </c>
      <c r="K145" s="94" t="s">
        <v>2723</v>
      </c>
      <c r="L145" s="94" t="s">
        <v>4123</v>
      </c>
      <c r="M145" s="94" t="s">
        <v>6019</v>
      </c>
      <c r="N145" s="94" t="s">
        <v>6020</v>
      </c>
      <c r="O145" s="94" t="s">
        <v>444</v>
      </c>
      <c r="P145" s="94" t="s">
        <v>3962</v>
      </c>
      <c r="Q145" s="99"/>
      <c r="R145" s="99"/>
      <c r="S145" s="99"/>
      <c r="T145" s="99"/>
      <c r="U145" s="99"/>
      <c r="V145" s="99"/>
      <c r="W145" s="92"/>
      <c r="X145" s="94" t="s">
        <v>5019</v>
      </c>
      <c r="Y145" s="94"/>
      <c r="Z145" s="94" t="s">
        <v>4258</v>
      </c>
      <c r="AA145" s="94" t="s">
        <v>5609</v>
      </c>
      <c r="AB145" s="94" t="s">
        <v>783</v>
      </c>
      <c r="AC145" s="94" t="s">
        <v>4343</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1779</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3040</v>
      </c>
      <c r="CM145" s="99"/>
      <c r="CN145" s="94" t="s">
        <v>2803</v>
      </c>
      <c r="CO145" s="94" t="s">
        <v>2899</v>
      </c>
      <c r="CP145" s="99"/>
      <c r="CQ145" s="99"/>
      <c r="CR145" s="99"/>
      <c r="CS145" s="99"/>
      <c r="CT145" s="99"/>
      <c r="CU145" s="92"/>
      <c r="CV145" s="99"/>
      <c r="CW145" s="94" t="s">
        <v>5120</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2962</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2030</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2878</v>
      </c>
      <c r="G148" s="104" t="s">
        <v>2878</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2899</v>
      </c>
      <c r="AV148" s="245"/>
      <c r="AW148" s="245"/>
      <c r="AX148" s="245"/>
      <c r="AY148" s="245"/>
      <c r="AZ148" s="245"/>
      <c r="BA148" s="245"/>
      <c r="BB148" s="172"/>
      <c r="BC148" s="172"/>
      <c r="BD148" s="126" t="s">
        <v>6048</v>
      </c>
      <c r="BE148" s="172"/>
      <c r="BF148" s="172"/>
      <c r="BG148" s="172"/>
      <c r="BH148" s="172"/>
      <c r="BI148" s="126" t="s">
        <v>4052</v>
      </c>
      <c r="BJ148" s="172"/>
      <c r="BK148" s="172"/>
      <c r="BL148" s="126" t="s">
        <v>2110</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4167</v>
      </c>
      <c r="Q149" s="94" t="s">
        <v>6058</v>
      </c>
      <c r="R149" s="99"/>
      <c r="S149" s="94" t="s">
        <v>972</v>
      </c>
      <c r="T149" s="99"/>
      <c r="U149" s="94" t="s">
        <v>6059</v>
      </c>
      <c r="V149" s="94" t="s">
        <v>6060</v>
      </c>
      <c r="W149" s="92"/>
      <c r="X149" s="94" t="s">
        <v>6061</v>
      </c>
      <c r="Y149" s="94"/>
      <c r="Z149" s="94" t="s">
        <v>2085</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2056</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2177</v>
      </c>
      <c r="BN149" s="94" t="s">
        <v>4290</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2121</v>
      </c>
      <c r="CP149" s="94" t="s">
        <v>6092</v>
      </c>
      <c r="CQ149" s="94" t="s">
        <v>6093</v>
      </c>
      <c r="CR149" s="99"/>
      <c r="CS149" s="94" t="s">
        <v>5042</v>
      </c>
      <c r="CT149" s="94" t="s">
        <v>6094</v>
      </c>
      <c r="CU149" s="92"/>
      <c r="CV149" s="94" t="s">
        <v>2905</v>
      </c>
      <c r="CW149" s="94" t="s">
        <v>6095</v>
      </c>
      <c r="CX149" s="94" t="s">
        <v>2445</v>
      </c>
      <c r="CY149" s="94" t="s">
        <v>6096</v>
      </c>
      <c r="CZ149" s="94" t="s">
        <v>1432</v>
      </c>
      <c r="DA149" s="94" t="s">
        <v>4223</v>
      </c>
      <c r="DB149" s="94" t="s">
        <v>6097</v>
      </c>
      <c r="DC149" s="94" t="s">
        <v>6098</v>
      </c>
      <c r="DD149" s="94" t="s">
        <v>6099</v>
      </c>
      <c r="DE149" s="94" t="s">
        <v>4185</v>
      </c>
      <c r="DF149" s="94" t="s">
        <v>1887</v>
      </c>
      <c r="DG149" s="94" t="s">
        <v>6100</v>
      </c>
      <c r="DH149" s="237"/>
      <c r="DI149" s="94" t="s">
        <v>4053</v>
      </c>
      <c r="DJ149" s="99"/>
      <c r="DK149" s="94" t="s">
        <v>2802</v>
      </c>
      <c r="DL149" s="94" t="s">
        <v>2112</v>
      </c>
      <c r="DM149" s="94" t="s">
        <v>3708</v>
      </c>
      <c r="DN149" s="94" t="s">
        <v>2421</v>
      </c>
      <c r="DO149" s="94" t="s">
        <v>4138</v>
      </c>
      <c r="DP149" s="94" t="s">
        <v>6101</v>
      </c>
      <c r="DQ149" s="94" t="s">
        <v>179</v>
      </c>
      <c r="DR149" s="94" t="s">
        <v>6102</v>
      </c>
      <c r="DS149" s="94" t="s">
        <v>3141</v>
      </c>
      <c r="DT149" s="94" t="s">
        <v>4839</v>
      </c>
      <c r="DU149" s="94" t="s">
        <v>6103</v>
      </c>
      <c r="DV149" s="94" t="s">
        <v>6104</v>
      </c>
      <c r="DW149" s="94" t="s">
        <v>1047</v>
      </c>
      <c r="DX149" s="94" t="s">
        <v>3892</v>
      </c>
      <c r="DY149" s="94" t="s">
        <v>6105</v>
      </c>
      <c r="DZ149" s="94" t="s">
        <v>4469</v>
      </c>
      <c r="EA149" s="94" t="s">
        <v>2588</v>
      </c>
      <c r="EB149" s="94" t="s">
        <v>5027</v>
      </c>
      <c r="EC149" s="94" t="s">
        <v>2323</v>
      </c>
      <c r="ED149" s="603" t="s">
        <v>4447</v>
      </c>
    </row>
    <row r="150">
      <c r="A150" s="720" t="s">
        <v>6106</v>
      </c>
      <c r="B150" s="104" t="s">
        <v>6107</v>
      </c>
      <c r="C150" s="105" t="s">
        <v>1259</v>
      </c>
      <c r="D150" s="106" t="s">
        <v>544</v>
      </c>
      <c r="E150" s="107" t="s">
        <v>1259</v>
      </c>
      <c r="F150" s="108" t="s">
        <v>1054</v>
      </c>
      <c r="G150" s="104" t="s">
        <v>981</v>
      </c>
      <c r="H150" s="242"/>
      <c r="I150" s="166" t="s">
        <v>6108</v>
      </c>
      <c r="J150" s="166" t="s">
        <v>4364</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2667</v>
      </c>
      <c r="AH150" s="244"/>
      <c r="AI150" s="244"/>
      <c r="AJ150" s="244"/>
      <c r="AK150" s="244"/>
      <c r="AL150" s="97"/>
      <c r="AM150" s="245"/>
      <c r="AN150" s="121" t="s">
        <v>4258</v>
      </c>
      <c r="AO150" s="245"/>
      <c r="AP150" s="245"/>
      <c r="AQ150" s="245"/>
      <c r="AR150" s="245"/>
      <c r="AS150" s="245"/>
      <c r="AT150" s="245"/>
      <c r="AU150" s="121" t="s">
        <v>2638</v>
      </c>
      <c r="AV150" s="167" t="s">
        <v>3398</v>
      </c>
      <c r="AW150" s="121" t="s">
        <v>3018</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2995</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2098</v>
      </c>
      <c r="M151" s="102"/>
      <c r="N151" s="88" t="s">
        <v>712</v>
      </c>
      <c r="O151" s="266" t="s">
        <v>6118</v>
      </c>
      <c r="P151" s="88" t="s">
        <v>1931</v>
      </c>
      <c r="Q151" s="99"/>
      <c r="R151" s="99"/>
      <c r="S151" s="99"/>
      <c r="T151" s="99"/>
      <c r="U151" s="99"/>
      <c r="V151" s="99"/>
      <c r="W151" s="92"/>
      <c r="X151" s="88" t="s">
        <v>5591</v>
      </c>
      <c r="Y151" s="102"/>
      <c r="Z151" s="102" t="s">
        <v>6119</v>
      </c>
      <c r="AA151" s="102" t="s">
        <v>6120</v>
      </c>
      <c r="AB151" s="266" t="s">
        <v>2880</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4576</v>
      </c>
      <c r="BG151" s="102"/>
      <c r="BH151" s="99"/>
      <c r="BI151" s="88" t="s">
        <v>3062</v>
      </c>
      <c r="BJ151" s="266" t="s">
        <v>6125</v>
      </c>
      <c r="BK151" s="102"/>
      <c r="BL151" s="102"/>
      <c r="BM151" s="99"/>
      <c r="BN151" s="99"/>
      <c r="BO151" s="102"/>
      <c r="BP151" s="99"/>
      <c r="BQ151" s="237"/>
      <c r="BR151" s="102" t="s">
        <v>2550</v>
      </c>
      <c r="BS151" s="102" t="s">
        <v>6126</v>
      </c>
      <c r="BT151" s="102"/>
      <c r="BU151" s="102" t="s">
        <v>3115</v>
      </c>
      <c r="BV151" s="102" t="s">
        <v>6127</v>
      </c>
      <c r="BW151" s="102"/>
      <c r="BX151" s="99"/>
      <c r="BY151" s="102"/>
      <c r="BZ151" s="102"/>
      <c r="CA151" s="102"/>
      <c r="CB151" s="99"/>
      <c r="CC151" s="99"/>
      <c r="CD151" s="99"/>
      <c r="CE151" s="99"/>
      <c r="CF151" s="237"/>
      <c r="CG151" s="102" t="s">
        <v>6128</v>
      </c>
      <c r="CH151" s="102" t="s">
        <v>1863</v>
      </c>
      <c r="CI151" s="102" t="s">
        <v>3544</v>
      </c>
      <c r="CJ151" s="102" t="s">
        <v>6129</v>
      </c>
      <c r="CK151" s="102"/>
      <c r="CL151" s="102"/>
      <c r="CM151" s="102" t="s">
        <v>6130</v>
      </c>
      <c r="CN151" s="88" t="s">
        <v>2720</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3067</v>
      </c>
      <c r="H152" s="242"/>
      <c r="I152" s="242"/>
      <c r="J152" s="166" t="s">
        <v>6137</v>
      </c>
      <c r="K152" s="166" t="s">
        <v>662</v>
      </c>
      <c r="L152" s="166" t="s">
        <v>6138</v>
      </c>
      <c r="M152" s="242"/>
      <c r="N152" s="166" t="s">
        <v>2604</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2943</v>
      </c>
      <c r="H153" s="258"/>
      <c r="I153" s="258" t="s">
        <v>2822</v>
      </c>
      <c r="J153" s="98" t="s">
        <v>6144</v>
      </c>
      <c r="K153" s="258" t="s">
        <v>6145</v>
      </c>
      <c r="L153" s="102" t="s">
        <v>4154</v>
      </c>
      <c r="M153" s="102" t="s">
        <v>6146</v>
      </c>
      <c r="N153" s="102" t="s">
        <v>5851</v>
      </c>
      <c r="O153" s="102" t="s">
        <v>6147</v>
      </c>
      <c r="P153" s="102" t="s">
        <v>3111</v>
      </c>
      <c r="Q153" s="99"/>
      <c r="R153" s="99"/>
      <c r="S153" s="99"/>
      <c r="T153" s="99"/>
      <c r="U153" s="99"/>
      <c r="V153" s="99"/>
      <c r="W153" s="92"/>
      <c r="X153" s="102"/>
      <c r="Y153" s="93"/>
      <c r="Z153" s="88" t="s">
        <v>2845</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2485</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3020</v>
      </c>
      <c r="T154" s="620"/>
      <c r="U154" s="620"/>
      <c r="V154" s="620"/>
      <c r="W154" s="608"/>
      <c r="X154" s="335" t="s">
        <v>6159</v>
      </c>
      <c r="Y154" s="335"/>
      <c r="Z154" s="335" t="s">
        <v>2845</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2826</v>
      </c>
      <c r="BJ154" s="624"/>
      <c r="BK154" s="200" t="s">
        <v>6167</v>
      </c>
      <c r="BL154" s="200" t="s">
        <v>4221</v>
      </c>
      <c r="BM154" s="624"/>
      <c r="BN154" s="624"/>
      <c r="BO154" s="200"/>
      <c r="BP154" s="624"/>
      <c r="BQ154" s="626"/>
      <c r="BR154" s="444"/>
      <c r="BS154" s="444" t="s">
        <v>6168</v>
      </c>
      <c r="BT154" s="444" t="s">
        <v>4240</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2720</v>
      </c>
      <c r="CO154" s="336" t="s">
        <v>6176</v>
      </c>
      <c r="CP154" s="630"/>
      <c r="CQ154" s="632"/>
      <c r="CR154" s="632"/>
      <c r="CS154" s="632"/>
      <c r="CT154" s="632"/>
      <c r="CU154" s="608"/>
      <c r="CV154" s="284" t="s">
        <v>2075</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2466</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4367</v>
      </c>
      <c r="Y155" s="102"/>
      <c r="Z155" s="102" t="s">
        <v>2085</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1951</v>
      </c>
      <c r="BM155" s="99"/>
      <c r="BN155" s="99"/>
      <c r="BO155" s="102"/>
      <c r="BP155" s="99"/>
      <c r="BQ155" s="237"/>
      <c r="BR155" s="726" t="s">
        <v>6192</v>
      </c>
      <c r="BS155" s="102" t="s">
        <v>1356</v>
      </c>
      <c r="BT155" s="102" t="s">
        <v>5654</v>
      </c>
      <c r="BU155" s="102" t="s">
        <v>6193</v>
      </c>
      <c r="BV155" s="102" t="s">
        <v>6194</v>
      </c>
      <c r="BW155" s="102" t="s">
        <v>1518</v>
      </c>
      <c r="BX155" s="94" t="s">
        <v>4212</v>
      </c>
      <c r="BY155" s="102" t="s">
        <v>6195</v>
      </c>
      <c r="BZ155" s="102"/>
      <c r="CA155" s="102" t="s">
        <v>1444</v>
      </c>
      <c r="CB155" s="99"/>
      <c r="CC155" s="99"/>
      <c r="CD155" s="99"/>
      <c r="CE155" s="99"/>
      <c r="CF155" s="237"/>
      <c r="CG155" s="102" t="s">
        <v>6196</v>
      </c>
      <c r="CH155" s="102" t="s">
        <v>2126</v>
      </c>
      <c r="CI155" s="102" t="s">
        <v>2472</v>
      </c>
      <c r="CJ155" s="102"/>
      <c r="CK155" s="102" t="s">
        <v>6197</v>
      </c>
      <c r="CL155" s="102" t="s">
        <v>361</v>
      </c>
      <c r="CM155" s="102" t="s">
        <v>6198</v>
      </c>
      <c r="CN155" s="102" t="s">
        <v>6199</v>
      </c>
      <c r="CO155" s="102" t="s">
        <v>6200</v>
      </c>
      <c r="CP155" s="221"/>
      <c r="CQ155" s="99"/>
      <c r="CR155" s="99"/>
      <c r="CS155" s="99"/>
      <c r="CT155" s="99"/>
      <c r="CU155" s="92"/>
      <c r="CV155" s="102" t="s">
        <v>6201</v>
      </c>
      <c r="CW155" s="102" t="s">
        <v>2722</v>
      </c>
      <c r="CX155" s="102" t="s">
        <v>1789</v>
      </c>
      <c r="CY155" s="102" t="s">
        <v>4232</v>
      </c>
      <c r="CZ155" s="102" t="s">
        <v>6202</v>
      </c>
      <c r="DA155" s="102" t="s">
        <v>5238</v>
      </c>
      <c r="DB155" s="102" t="s">
        <v>6082</v>
      </c>
      <c r="DC155" s="102" t="s">
        <v>6183</v>
      </c>
      <c r="DD155" s="99"/>
      <c r="DE155" s="99"/>
      <c r="DF155" s="99"/>
      <c r="DG155" s="99"/>
      <c r="DH155" s="237"/>
      <c r="DI155" s="102" t="s">
        <v>2855</v>
      </c>
      <c r="DJ155" s="99"/>
      <c r="DK155" s="99"/>
      <c r="DL155" s="102"/>
      <c r="DM155" s="102"/>
      <c r="DN155" s="102"/>
      <c r="DO155" s="99"/>
      <c r="DP155" s="99"/>
      <c r="DQ155" s="99"/>
      <c r="DR155" s="102" t="s">
        <v>6203</v>
      </c>
      <c r="DS155" s="102" t="s">
        <v>4404</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1892</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1832</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1980</v>
      </c>
      <c r="J158" s="166" t="s">
        <v>2600</v>
      </c>
      <c r="K158" s="166" t="s">
        <v>3114</v>
      </c>
      <c r="L158" s="166" t="s">
        <v>2482</v>
      </c>
      <c r="M158" s="166" t="s">
        <v>6225</v>
      </c>
      <c r="N158" s="166" t="s">
        <v>6226</v>
      </c>
      <c r="O158" s="166" t="s">
        <v>6227</v>
      </c>
      <c r="P158" s="166" t="s">
        <v>4167</v>
      </c>
      <c r="Q158" s="242"/>
      <c r="R158" s="242"/>
      <c r="S158" s="242"/>
      <c r="T158" s="242"/>
      <c r="U158" s="242"/>
      <c r="V158" s="242"/>
      <c r="W158" s="92"/>
      <c r="X158" s="198" t="s">
        <v>5422</v>
      </c>
      <c r="Y158" s="198"/>
      <c r="Z158" s="198" t="s">
        <v>2133</v>
      </c>
      <c r="AA158" s="198" t="s">
        <v>2254</v>
      </c>
      <c r="AB158" s="198" t="s">
        <v>1851</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2537</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6231</v>
      </c>
      <c r="CY158" s="203" t="s">
        <v>4266</v>
      </c>
      <c r="CZ158" s="253"/>
      <c r="DA158" s="253"/>
      <c r="DB158" s="253"/>
      <c r="DC158" s="203" t="s">
        <v>1009</v>
      </c>
      <c r="DD158" s="253"/>
      <c r="DE158" s="253"/>
      <c r="DF158" s="253"/>
      <c r="DG158" s="253"/>
      <c r="DH158" s="263"/>
      <c r="DI158" s="204" t="s">
        <v>6232</v>
      </c>
      <c r="DJ158" s="255"/>
      <c r="DK158" s="255"/>
      <c r="DL158" s="204"/>
      <c r="DM158" s="255"/>
      <c r="DN158" s="204" t="s">
        <v>1843</v>
      </c>
      <c r="DO158" s="204" t="s">
        <v>6233</v>
      </c>
      <c r="DP158" s="255"/>
      <c r="DQ158" s="255"/>
      <c r="DR158" s="255"/>
      <c r="DS158" s="255"/>
      <c r="DT158" s="255"/>
      <c r="DU158" s="255"/>
      <c r="DV158" s="255"/>
      <c r="DW158" s="255"/>
      <c r="DX158" s="255"/>
      <c r="DY158" s="255"/>
      <c r="DZ158" s="204" t="s">
        <v>6234</v>
      </c>
      <c r="EA158" s="255"/>
      <c r="EB158" s="255"/>
      <c r="EC158" s="204" t="s">
        <v>4260</v>
      </c>
      <c r="ED158" s="287"/>
    </row>
    <row r="159">
      <c r="A159" s="81" t="s">
        <v>6235</v>
      </c>
      <c r="B159" s="82" t="s">
        <v>6236</v>
      </c>
      <c r="C159" s="83" t="s">
        <v>1259</v>
      </c>
      <c r="D159" s="84" t="s">
        <v>1259</v>
      </c>
      <c r="E159" s="85" t="s">
        <v>1259</v>
      </c>
      <c r="F159" s="86" t="s">
        <v>1259</v>
      </c>
      <c r="G159" s="82" t="s">
        <v>2943</v>
      </c>
      <c r="H159" s="94" t="s">
        <v>2800</v>
      </c>
      <c r="I159" s="94" t="s">
        <v>6237</v>
      </c>
      <c r="J159" s="94" t="s">
        <v>4867</v>
      </c>
      <c r="K159" s="94" t="s">
        <v>549</v>
      </c>
      <c r="L159" s="94" t="s">
        <v>6238</v>
      </c>
      <c r="M159" s="99"/>
      <c r="N159" s="99"/>
      <c r="O159" s="94" t="s">
        <v>1902</v>
      </c>
      <c r="P159" s="94" t="s">
        <v>350</v>
      </c>
      <c r="Q159" s="94"/>
      <c r="R159" s="99"/>
      <c r="S159" s="94" t="s">
        <v>6239</v>
      </c>
      <c r="T159" s="99"/>
      <c r="U159" s="94" t="s">
        <v>2963</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4292</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4554</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2241</v>
      </c>
      <c r="CB162" s="249"/>
      <c r="CC162" s="249"/>
      <c r="CD162" s="249"/>
      <c r="CE162" s="249"/>
      <c r="CF162" s="251"/>
      <c r="CG162" s="135"/>
      <c r="CH162" s="135"/>
      <c r="CI162" s="135"/>
      <c r="CJ162" s="135"/>
      <c r="CK162" s="135"/>
      <c r="CL162" s="135"/>
      <c r="CM162" s="135"/>
      <c r="CN162" s="135"/>
      <c r="CO162" s="336" t="s">
        <v>2709</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1928</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2156</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4591</v>
      </c>
      <c r="K165" s="94" t="s">
        <v>1951</v>
      </c>
      <c r="L165" s="94" t="s">
        <v>4350</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1977</v>
      </c>
      <c r="I166" s="166" t="s">
        <v>2180</v>
      </c>
      <c r="J166" s="242"/>
      <c r="K166" s="166" t="s">
        <v>2723</v>
      </c>
      <c r="L166" s="242"/>
      <c r="M166" s="242"/>
      <c r="N166" s="242"/>
      <c r="O166" s="166" t="s">
        <v>6286</v>
      </c>
      <c r="P166" s="166" t="s">
        <v>6287</v>
      </c>
      <c r="Q166" s="242"/>
      <c r="R166" s="242"/>
      <c r="S166" s="242"/>
      <c r="T166" s="242"/>
      <c r="U166" s="242"/>
      <c r="V166" s="242"/>
      <c r="W166" s="92"/>
      <c r="X166" s="198" t="s">
        <v>3506</v>
      </c>
      <c r="Y166" s="244"/>
      <c r="Z166" s="244"/>
      <c r="AA166" s="198" t="s">
        <v>4682</v>
      </c>
      <c r="AB166" s="244"/>
      <c r="AC166" s="198" t="s">
        <v>2485</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2716</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2525</v>
      </c>
      <c r="AB167" s="88" t="s">
        <v>6298</v>
      </c>
      <c r="AC167" s="88" t="s">
        <v>6299</v>
      </c>
      <c r="AD167" s="88" t="s">
        <v>2277</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1925</v>
      </c>
      <c r="CI167" s="88" t="s">
        <v>5528</v>
      </c>
      <c r="CJ167" s="102"/>
      <c r="CK167" s="102"/>
      <c r="CL167" s="102"/>
      <c r="CM167" s="88" t="s">
        <v>6310</v>
      </c>
      <c r="CN167" s="88" t="s">
        <v>2303</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4389</v>
      </c>
      <c r="L168" s="242" t="s">
        <v>2848</v>
      </c>
      <c r="M168" s="242" t="s">
        <v>6319</v>
      </c>
      <c r="N168" s="242"/>
      <c r="O168" s="242"/>
      <c r="P168" s="242" t="s">
        <v>2205</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3114</v>
      </c>
      <c r="L170" s="166" t="s">
        <v>2662</v>
      </c>
      <c r="M170" s="242"/>
      <c r="N170" s="242"/>
      <c r="O170" s="242"/>
      <c r="P170" s="166" t="s">
        <v>2663</v>
      </c>
      <c r="Q170" s="242"/>
      <c r="R170" s="242"/>
      <c r="S170" s="242"/>
      <c r="T170" s="242"/>
      <c r="U170" s="242"/>
      <c r="V170" s="242"/>
      <c r="W170" s="92"/>
      <c r="X170" s="736" t="s">
        <v>1970</v>
      </c>
      <c r="Y170" s="244"/>
      <c r="Z170" s="244"/>
      <c r="AA170" s="198" t="s">
        <v>3211</v>
      </c>
      <c r="AB170" s="114" t="str">
        <f>HYPERLINK("https://clips.twitch.tv/DeliciousHomelyChoughMingLee","53.66")</f>
        <v>53.66</v>
      </c>
      <c r="AC170" s="198" t="s">
        <v>4920</v>
      </c>
      <c r="AD170" s="198" t="s">
        <v>6161</v>
      </c>
      <c r="AE170" s="244"/>
      <c r="AF170" s="244"/>
      <c r="AG170" s="198" t="s">
        <v>2663</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1825</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2795</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4688</v>
      </c>
      <c r="H174" s="166"/>
      <c r="I174" s="166" t="s">
        <v>6347</v>
      </c>
      <c r="J174" s="166" t="s">
        <v>3026</v>
      </c>
      <c r="K174" s="166" t="s">
        <v>752</v>
      </c>
      <c r="L174" s="166" t="s">
        <v>6348</v>
      </c>
      <c r="M174" s="166" t="s">
        <v>6349</v>
      </c>
      <c r="N174" s="166" t="s">
        <v>6350</v>
      </c>
      <c r="O174" s="166" t="s">
        <v>6351</v>
      </c>
      <c r="P174" s="166" t="s">
        <v>1942</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1496</v>
      </c>
      <c r="CP174" s="252"/>
      <c r="CQ174" s="252"/>
      <c r="CR174" s="252"/>
      <c r="CS174" s="252"/>
      <c r="CT174" s="252"/>
      <c r="CU174" s="92"/>
      <c r="CV174" s="203" t="s">
        <v>5210</v>
      </c>
      <c r="CW174" s="253"/>
      <c r="CX174" s="203" t="s">
        <v>6359</v>
      </c>
      <c r="CY174" s="203" t="s">
        <v>3116</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2884</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3012</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1827</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2515</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2780</v>
      </c>
      <c r="G177" s="82" t="s">
        <v>2780</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5605</v>
      </c>
      <c r="AA177" s="102"/>
      <c r="AB177" s="266"/>
      <c r="AC177" s="88" t="s">
        <v>2485</v>
      </c>
      <c r="AD177" s="102"/>
      <c r="AE177" s="88" t="s">
        <v>6377</v>
      </c>
      <c r="AF177" s="88" t="s">
        <v>2444</v>
      </c>
      <c r="AG177" s="102"/>
      <c r="AH177" s="99"/>
      <c r="AI177" s="99"/>
      <c r="AJ177" s="88" t="s">
        <v>5962</v>
      </c>
      <c r="AK177" s="99"/>
      <c r="AL177" s="97"/>
      <c r="AM177" s="88" t="s">
        <v>3080</v>
      </c>
      <c r="AN177" s="88" t="s">
        <v>5624</v>
      </c>
      <c r="AO177" s="99"/>
      <c r="AP177" s="99"/>
      <c r="AQ177" s="94"/>
      <c r="AR177" s="94"/>
      <c r="AS177" s="99"/>
      <c r="AT177" s="99"/>
      <c r="AU177" s="102"/>
      <c r="AV177" s="88" t="s">
        <v>2911</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2796</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2051</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2265</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1927</v>
      </c>
      <c r="P181" s="94" t="s">
        <v>6395</v>
      </c>
      <c r="Q181" s="99"/>
      <c r="R181" s="99"/>
      <c r="S181" s="99"/>
      <c r="T181" s="99"/>
      <c r="U181" s="99"/>
      <c r="V181" s="99"/>
      <c r="W181" s="92"/>
      <c r="X181" s="94" t="s">
        <v>4455</v>
      </c>
      <c r="Y181" s="94"/>
      <c r="Z181" s="94" t="s">
        <v>5764</v>
      </c>
      <c r="AA181" s="94" t="s">
        <v>4489</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2574</v>
      </c>
      <c r="AV181" s="94" t="s">
        <v>1670</v>
      </c>
      <c r="AW181" s="99"/>
      <c r="AX181" s="99"/>
      <c r="AY181" s="99"/>
      <c r="AZ181" s="99"/>
      <c r="BA181" s="99"/>
      <c r="BB181" s="99"/>
      <c r="BC181" s="94" t="s">
        <v>771</v>
      </c>
      <c r="BD181" s="94" t="s">
        <v>4197</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2844</v>
      </c>
      <c r="BZ181" s="99"/>
      <c r="CA181" s="94" t="s">
        <v>2082</v>
      </c>
      <c r="CB181" s="99"/>
      <c r="CC181" s="99"/>
      <c r="CD181" s="99"/>
      <c r="CE181" s="99"/>
      <c r="CF181" s="237"/>
      <c r="CG181" s="94" t="s">
        <v>4964</v>
      </c>
      <c r="CH181" s="94" t="s">
        <v>2567</v>
      </c>
      <c r="CI181" s="94" t="s">
        <v>2628</v>
      </c>
      <c r="CJ181" s="94" t="s">
        <v>6405</v>
      </c>
      <c r="CK181" s="94"/>
      <c r="CL181" s="94" t="s">
        <v>2705</v>
      </c>
      <c r="CM181" s="99"/>
      <c r="CN181" s="94" t="s">
        <v>3284</v>
      </c>
      <c r="CO181" s="94" t="s">
        <v>3333</v>
      </c>
      <c r="CP181" s="99"/>
      <c r="CQ181" s="99"/>
      <c r="CR181" s="99"/>
      <c r="CS181" s="99"/>
      <c r="CT181" s="99"/>
      <c r="CU181" s="92"/>
      <c r="CV181" s="94" t="s">
        <v>5971</v>
      </c>
      <c r="CW181" s="94" t="s">
        <v>6406</v>
      </c>
      <c r="CX181" s="94" t="s">
        <v>2030</v>
      </c>
      <c r="CY181" s="99"/>
      <c r="CZ181" s="99"/>
      <c r="DA181" s="99"/>
      <c r="DB181" s="94" t="s">
        <v>6407</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2636</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851</v>
      </c>
      <c r="BD183" s="94" t="s">
        <v>531</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2730</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1878</v>
      </c>
      <c r="H185" s="94" t="s">
        <v>6430</v>
      </c>
      <c r="I185" s="94" t="s">
        <v>6431</v>
      </c>
      <c r="J185" s="94" t="s">
        <v>616</v>
      </c>
      <c r="K185" s="94" t="s">
        <v>2723</v>
      </c>
      <c r="L185" s="94" t="s">
        <v>2954</v>
      </c>
      <c r="M185" s="94" t="s">
        <v>6432</v>
      </c>
      <c r="N185" s="94" t="s">
        <v>6433</v>
      </c>
      <c r="O185" s="94" t="s">
        <v>846</v>
      </c>
      <c r="P185" s="94" t="s">
        <v>493</v>
      </c>
      <c r="Q185" s="94"/>
      <c r="R185" s="94"/>
      <c r="S185" s="94"/>
      <c r="T185" s="94"/>
      <c r="U185" s="94"/>
      <c r="V185" s="94"/>
      <c r="W185" s="92"/>
      <c r="X185" s="94" t="s">
        <v>6434</v>
      </c>
      <c r="Y185" s="94"/>
      <c r="Z185" s="94" t="s">
        <v>5319</v>
      </c>
      <c r="AA185" s="94" t="s">
        <v>2476</v>
      </c>
      <c r="AB185" s="94" t="s">
        <v>2758</v>
      </c>
      <c r="AC185" s="94" t="s">
        <v>6006</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4268</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2716</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1931</v>
      </c>
      <c r="CX186" s="203" t="s">
        <v>3084</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2780</v>
      </c>
      <c r="H187" s="94" t="s">
        <v>6464</v>
      </c>
      <c r="I187" s="94" t="s">
        <v>6465</v>
      </c>
      <c r="J187" s="94" t="s">
        <v>1813</v>
      </c>
      <c r="K187" s="94" t="s">
        <v>6117</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2669</v>
      </c>
      <c r="CI187" s="99"/>
      <c r="CJ187" s="99"/>
      <c r="CK187" s="99"/>
      <c r="CL187" s="99" t="s">
        <v>2705</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2878</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1895</v>
      </c>
      <c r="AB190" s="296" t="s">
        <v>1144</v>
      </c>
      <c r="AC190" s="117" t="s">
        <v>2242</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4148</v>
      </c>
      <c r="M193" s="102"/>
      <c r="N193" s="102"/>
      <c r="O193" s="102" t="s">
        <v>3165</v>
      </c>
      <c r="P193" s="102" t="s">
        <v>1443</v>
      </c>
      <c r="Q193" s="99"/>
      <c r="R193" s="99"/>
      <c r="S193" s="99"/>
      <c r="T193" s="99"/>
      <c r="U193" s="99"/>
      <c r="V193" s="99"/>
      <c r="W193" s="92"/>
      <c r="X193" s="102" t="s">
        <v>4578</v>
      </c>
      <c r="Y193" s="102"/>
      <c r="Z193" s="102"/>
      <c r="AA193" s="102"/>
      <c r="AB193" s="266" t="s">
        <v>6490</v>
      </c>
      <c r="AC193" s="102" t="s">
        <v>2647</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2648</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2780</v>
      </c>
      <c r="H195" s="99"/>
      <c r="I195" s="99"/>
      <c r="J195" s="99"/>
      <c r="K195" s="94" t="s">
        <v>3114</v>
      </c>
      <c r="L195" s="99"/>
      <c r="M195" s="99"/>
      <c r="N195" s="99"/>
      <c r="O195" s="99"/>
      <c r="P195" s="99"/>
      <c r="Q195" s="99"/>
      <c r="R195" s="99"/>
      <c r="S195" s="99"/>
      <c r="T195" s="99"/>
      <c r="U195" s="99"/>
      <c r="V195" s="99"/>
      <c r="W195" s="92"/>
      <c r="X195" s="94" t="s">
        <v>3906</v>
      </c>
      <c r="Y195" s="99"/>
      <c r="Z195" s="99"/>
      <c r="AA195" s="94" t="s">
        <v>1701</v>
      </c>
      <c r="AB195" s="99"/>
      <c r="AC195" s="88" t="s">
        <v>4734</v>
      </c>
      <c r="AD195" s="94" t="s">
        <v>3094</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4257</v>
      </c>
      <c r="K196" s="166" t="s">
        <v>4389</v>
      </c>
      <c r="L196" s="166" t="s">
        <v>6503</v>
      </c>
      <c r="M196" s="242"/>
      <c r="N196" s="242"/>
      <c r="O196" s="166" t="s">
        <v>1224</v>
      </c>
      <c r="P196" s="242"/>
      <c r="Q196" s="242"/>
      <c r="R196" s="242"/>
      <c r="S196" s="166" t="s">
        <v>2146</v>
      </c>
      <c r="T196" s="242"/>
      <c r="U196" s="242"/>
      <c r="V196" s="242"/>
      <c r="W196" s="92"/>
      <c r="X196" s="244"/>
      <c r="Y196" s="244"/>
      <c r="Z196" s="244"/>
      <c r="AA196" s="198" t="s">
        <v>2148</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1836</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4684</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1957</v>
      </c>
      <c r="L197" s="102" t="s">
        <v>5778</v>
      </c>
      <c r="M197" s="102"/>
      <c r="N197" s="102"/>
      <c r="O197" s="102" t="s">
        <v>2954</v>
      </c>
      <c r="P197" s="102"/>
      <c r="Q197" s="99"/>
      <c r="R197" s="99"/>
      <c r="S197" s="99"/>
      <c r="T197" s="99"/>
      <c r="U197" s="99"/>
      <c r="V197" s="99"/>
      <c r="W197" s="92"/>
      <c r="X197" s="88" t="s">
        <v>3647</v>
      </c>
      <c r="Y197" s="102"/>
      <c r="Z197" s="102" t="s">
        <v>6511</v>
      </c>
      <c r="AA197" s="102"/>
      <c r="AB197" s="266"/>
      <c r="AC197" s="102"/>
      <c r="AD197" s="102"/>
      <c r="AE197" s="88" t="s">
        <v>2756</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2659</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2189</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4609</v>
      </c>
      <c r="H201" s="94" t="s">
        <v>6525</v>
      </c>
      <c r="I201" s="94" t="s">
        <v>2523</v>
      </c>
      <c r="J201" s="94" t="s">
        <v>1209</v>
      </c>
      <c r="K201" s="94" t="s">
        <v>6526</v>
      </c>
      <c r="L201" s="94" t="s">
        <v>6527</v>
      </c>
      <c r="M201" s="94" t="s">
        <v>6528</v>
      </c>
      <c r="N201" s="94" t="s">
        <v>6529</v>
      </c>
      <c r="O201" s="94" t="s">
        <v>5051</v>
      </c>
      <c r="P201" s="94" t="s">
        <v>4152</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4468</v>
      </c>
      <c r="AW201" s="94" t="s">
        <v>6536</v>
      </c>
      <c r="AX201" s="99"/>
      <c r="AY201" s="99"/>
      <c r="AZ201" s="99"/>
      <c r="BA201" s="99"/>
      <c r="BB201" s="94"/>
      <c r="BC201" s="99" t="s">
        <v>2140</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2176</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2522</v>
      </c>
      <c r="CJ201" s="94" t="s">
        <v>3644</v>
      </c>
      <c r="CK201" s="94"/>
      <c r="CL201" s="94" t="s">
        <v>369</v>
      </c>
      <c r="CM201" s="94" t="s">
        <v>6549</v>
      </c>
      <c r="CN201" s="94" t="s">
        <v>6550</v>
      </c>
      <c r="CO201" s="94" t="s">
        <v>3896</v>
      </c>
      <c r="CP201" s="99"/>
      <c r="CQ201" s="99"/>
      <c r="CR201" s="99"/>
      <c r="CS201" s="99"/>
      <c r="CT201" s="99"/>
      <c r="CU201" s="92"/>
      <c r="CV201" s="99" t="s">
        <v>6551</v>
      </c>
      <c r="CW201" s="99" t="s">
        <v>2188</v>
      </c>
      <c r="CX201" s="99" t="s">
        <v>1023</v>
      </c>
      <c r="CY201" s="99" t="s">
        <v>6552</v>
      </c>
      <c r="CZ201" s="99" t="s">
        <v>6553</v>
      </c>
      <c r="DA201" s="99" t="s">
        <v>4527</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3017</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2873</v>
      </c>
      <c r="Q202" s="242"/>
      <c r="R202" s="242"/>
      <c r="S202" s="242"/>
      <c r="T202" s="242"/>
      <c r="U202" s="242"/>
      <c r="V202" s="242"/>
      <c r="W202" s="92"/>
      <c r="X202" s="117"/>
      <c r="Y202" s="117"/>
      <c r="Z202" s="117"/>
      <c r="AA202" s="117"/>
      <c r="AB202" s="296"/>
      <c r="AC202" s="335" t="s">
        <v>1815</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2589</v>
      </c>
      <c r="BV202" s="444" t="s">
        <v>6564</v>
      </c>
      <c r="BW202" s="444" t="s">
        <v>1016</v>
      </c>
      <c r="BX202" s="249"/>
      <c r="BY202" s="130"/>
      <c r="BZ202" s="444" t="s">
        <v>6565</v>
      </c>
      <c r="CA202" s="444" t="s">
        <v>1919</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2085</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3067</v>
      </c>
      <c r="H203" s="99"/>
      <c r="I203" s="94" t="s">
        <v>6571</v>
      </c>
      <c r="J203" s="94" t="s">
        <v>6572</v>
      </c>
      <c r="K203" s="94" t="s">
        <v>2040</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4623</v>
      </c>
      <c r="Q204" s="242"/>
      <c r="R204" s="242"/>
      <c r="S204" s="242"/>
      <c r="T204" s="242"/>
      <c r="U204" s="242"/>
      <c r="V204" s="242"/>
      <c r="W204" s="92"/>
      <c r="X204" s="198" t="s">
        <v>335</v>
      </c>
      <c r="Y204" s="198"/>
      <c r="Z204" s="198" t="s">
        <v>2214</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2181</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2944</v>
      </c>
      <c r="CJ204" s="177" t="s">
        <v>6604</v>
      </c>
      <c r="CK204" s="177"/>
      <c r="CL204" s="177" t="s">
        <v>4256</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4441</v>
      </c>
      <c r="P205" s="94" t="s">
        <v>4682</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2576</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2521</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4181</v>
      </c>
      <c r="C209" s="83" t="s">
        <v>1259</v>
      </c>
      <c r="D209" s="84" t="s">
        <v>1259</v>
      </c>
      <c r="E209" s="85" t="s">
        <v>1259</v>
      </c>
      <c r="F209" s="86" t="s">
        <v>1259</v>
      </c>
      <c r="G209" s="82" t="s">
        <v>2878</v>
      </c>
      <c r="H209" s="94"/>
      <c r="I209" s="94" t="s">
        <v>6630</v>
      </c>
      <c r="J209" s="94" t="s">
        <v>3293</v>
      </c>
      <c r="K209" s="94" t="s">
        <v>1957</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4452</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2723</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2764</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4609</v>
      </c>
      <c r="C215" s="83" t="s">
        <v>1259</v>
      </c>
      <c r="D215" s="84" t="s">
        <v>1259</v>
      </c>
      <c r="E215" s="85" t="s">
        <v>1259</v>
      </c>
      <c r="F215" s="86" t="s">
        <v>2780</v>
      </c>
      <c r="G215" s="82" t="s">
        <v>2780</v>
      </c>
      <c r="H215" s="612" t="s">
        <v>6644</v>
      </c>
      <c r="I215" s="94"/>
      <c r="J215" s="99"/>
      <c r="K215" s="369" t="s">
        <v>4305</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1907</v>
      </c>
    </row>
    <row r="216">
      <c r="A216" s="103" t="s">
        <v>6649</v>
      </c>
      <c r="B216" s="104" t="s">
        <v>1808</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4688</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2716</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4694</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2510</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2943</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2878</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2951</v>
      </c>
      <c r="L226" s="242"/>
      <c r="M226" s="242"/>
      <c r="N226" s="242"/>
      <c r="O226" s="166" t="s">
        <v>1816</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1947</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2716</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2749</v>
      </c>
      <c r="CA4" s="333"/>
      <c r="CB4" s="815" t="s">
        <v>2409</v>
      </c>
      <c r="CC4" s="817"/>
      <c r="CD4" s="817" t="s">
        <v>2960</v>
      </c>
      <c r="CE4" s="818" t="s">
        <v>6756</v>
      </c>
      <c r="CF4" s="818" t="s">
        <v>6757</v>
      </c>
      <c r="CG4" s="818" t="s">
        <v>6758</v>
      </c>
      <c r="CH4" s="818" t="s">
        <v>6759</v>
      </c>
      <c r="CI4" s="818" t="s">
        <v>3653</v>
      </c>
      <c r="CJ4" s="818" t="s">
        <v>5076</v>
      </c>
      <c r="CK4" s="826"/>
    </row>
    <row r="5">
      <c r="A5" s="827" t="s">
        <v>6760</v>
      </c>
      <c r="B5" s="828" t="s">
        <v>6761</v>
      </c>
      <c r="C5" s="829" t="s">
        <v>4122</v>
      </c>
      <c r="D5" s="830" t="s">
        <v>647</v>
      </c>
      <c r="E5" s="831" t="s">
        <v>647</v>
      </c>
      <c r="F5" s="832" t="s">
        <v>1634</v>
      </c>
      <c r="G5" s="833" t="s">
        <v>2466</v>
      </c>
      <c r="H5" s="834" t="s">
        <v>3002</v>
      </c>
      <c r="I5" s="835"/>
      <c r="J5" s="834" t="s">
        <v>2029</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4279</v>
      </c>
      <c r="AE5" s="846" t="s">
        <v>2571</v>
      </c>
      <c r="AF5" s="847"/>
      <c r="AG5" s="845" t="s">
        <v>6771</v>
      </c>
      <c r="AH5" s="848"/>
      <c r="AI5" s="849"/>
      <c r="AJ5" s="850"/>
      <c r="AK5" s="851"/>
      <c r="AL5" s="851"/>
      <c r="AM5" s="852" t="s">
        <v>4241</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4285</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2219</v>
      </c>
      <c r="CK5" s="840" t="s">
        <v>3882</v>
      </c>
    </row>
    <row r="6">
      <c r="A6" s="876" t="s">
        <v>6790</v>
      </c>
      <c r="B6" s="833" t="s">
        <v>6791</v>
      </c>
      <c r="C6" s="829" t="s">
        <v>437</v>
      </c>
      <c r="D6" s="830" t="s">
        <v>647</v>
      </c>
      <c r="E6" s="831" t="s">
        <v>647</v>
      </c>
      <c r="F6" s="832" t="s">
        <v>2878</v>
      </c>
      <c r="G6" s="833" t="s">
        <v>4688</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4454</v>
      </c>
      <c r="AA6" s="846" t="s">
        <v>5700</v>
      </c>
      <c r="AB6" s="844" t="s">
        <v>790</v>
      </c>
      <c r="AC6" s="846" t="s">
        <v>2986</v>
      </c>
      <c r="AD6" s="888" t="s">
        <v>1216</v>
      </c>
      <c r="AE6" s="846" t="s">
        <v>2740</v>
      </c>
      <c r="AF6" s="847"/>
      <c r="AG6" s="844" t="s">
        <v>6799</v>
      </c>
      <c r="AH6" s="848"/>
      <c r="AI6" s="855"/>
      <c r="AJ6" s="889"/>
      <c r="AK6" s="889" t="s">
        <v>4084</v>
      </c>
      <c r="AL6" s="890"/>
      <c r="AM6" s="889" t="s">
        <v>4645</v>
      </c>
      <c r="AN6" s="889"/>
      <c r="AO6" s="891" t="s">
        <v>2392</v>
      </c>
      <c r="AP6" s="890"/>
      <c r="AQ6" s="892" t="s">
        <v>6800</v>
      </c>
      <c r="AR6" s="889" t="s">
        <v>6801</v>
      </c>
      <c r="AS6" s="889" t="s">
        <v>6802</v>
      </c>
      <c r="AT6" s="890"/>
      <c r="AU6" s="890"/>
      <c r="AV6" s="890"/>
      <c r="AW6" s="893" t="s">
        <v>4242</v>
      </c>
      <c r="AX6" s="894" t="s">
        <v>3770</v>
      </c>
      <c r="AY6" s="889" t="s">
        <v>6803</v>
      </c>
      <c r="AZ6" s="855"/>
      <c r="BA6" s="895"/>
      <c r="BB6" s="896" t="s">
        <v>6804</v>
      </c>
      <c r="BC6" s="897" t="s">
        <v>6805</v>
      </c>
      <c r="BD6" s="895"/>
      <c r="BE6" s="897" t="s">
        <v>6806</v>
      </c>
      <c r="BF6" s="855"/>
      <c r="BG6" s="898" t="s">
        <v>6807</v>
      </c>
      <c r="BH6" s="899" t="s">
        <v>1940</v>
      </c>
      <c r="BI6" s="899"/>
      <c r="BJ6" s="899"/>
      <c r="BK6" s="900" t="s">
        <v>2048</v>
      </c>
      <c r="BL6" s="901"/>
      <c r="BM6" s="899" t="s">
        <v>6808</v>
      </c>
      <c r="BN6" s="855"/>
      <c r="BO6" s="902" t="s">
        <v>5051</v>
      </c>
      <c r="BP6" s="903"/>
      <c r="BQ6" s="903"/>
      <c r="BR6" s="904" t="s">
        <v>6809</v>
      </c>
      <c r="BS6" s="903"/>
      <c r="BT6" s="905" t="s">
        <v>1616</v>
      </c>
      <c r="BU6" s="903"/>
      <c r="BV6" s="906" t="s">
        <v>3870</v>
      </c>
      <c r="BW6" s="905" t="s">
        <v>6154</v>
      </c>
      <c r="BX6" s="855"/>
      <c r="BY6" s="907" t="s">
        <v>2816</v>
      </c>
      <c r="BZ6" s="908" t="s">
        <v>4219</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4660</v>
      </c>
      <c r="S7" s="915" t="s">
        <v>2849</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2471</v>
      </c>
      <c r="CF7" s="907" t="s">
        <v>2029</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2817</v>
      </c>
      <c r="S8" s="882"/>
      <c r="T8" s="930" t="s">
        <v>233</v>
      </c>
      <c r="U8" s="931"/>
      <c r="V8" s="883" t="s">
        <v>6835</v>
      </c>
      <c r="W8" s="839"/>
      <c r="X8" s="846" t="s">
        <v>148</v>
      </c>
      <c r="Y8" s="846" t="s">
        <v>6836</v>
      </c>
      <c r="Z8" s="846" t="s">
        <v>2602</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2510</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1831</v>
      </c>
      <c r="BU8" s="903"/>
      <c r="BV8" s="904" t="s">
        <v>5946</v>
      </c>
      <c r="BW8" s="904" t="s">
        <v>2134</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2029</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4393</v>
      </c>
      <c r="AC9" s="846" t="s">
        <v>5941</v>
      </c>
      <c r="AD9" s="846" t="s">
        <v>131</v>
      </c>
      <c r="AE9" s="846" t="s">
        <v>6865</v>
      </c>
      <c r="AF9" s="847"/>
      <c r="AG9" s="887" t="s">
        <v>6866</v>
      </c>
      <c r="AH9" s="944" t="s">
        <v>6867</v>
      </c>
      <c r="AI9" s="839"/>
      <c r="AJ9" s="945"/>
      <c r="AK9" s="935" t="s">
        <v>102</v>
      </c>
      <c r="AL9" s="917" t="s">
        <v>6868</v>
      </c>
      <c r="AM9" s="894" t="s">
        <v>2234</v>
      </c>
      <c r="AN9" s="889" t="s">
        <v>4635</v>
      </c>
      <c r="AO9" s="889" t="s">
        <v>6869</v>
      </c>
      <c r="AP9" s="894" t="s">
        <v>6870</v>
      </c>
      <c r="AQ9" s="889" t="s">
        <v>6871</v>
      </c>
      <c r="AR9" s="894" t="s">
        <v>6872</v>
      </c>
      <c r="AS9" s="894" t="s">
        <v>2690</v>
      </c>
      <c r="AT9" s="935" t="s">
        <v>6873</v>
      </c>
      <c r="AU9" s="891" t="s">
        <v>6874</v>
      </c>
      <c r="AV9" s="917" t="s">
        <v>6875</v>
      </c>
      <c r="AW9" s="894" t="s">
        <v>2659</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2510</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2825</v>
      </c>
      <c r="CF9" s="940" t="s">
        <v>6888</v>
      </c>
      <c r="CG9" s="940" t="s">
        <v>6889</v>
      </c>
      <c r="CH9" s="940" t="s">
        <v>2249</v>
      </c>
      <c r="CI9" s="940" t="s">
        <v>6890</v>
      </c>
      <c r="CJ9" s="950" t="s">
        <v>2676</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4350</v>
      </c>
      <c r="CE10" s="909"/>
      <c r="CF10" s="950" t="s">
        <v>6916</v>
      </c>
      <c r="CG10" s="968" t="s">
        <v>2645</v>
      </c>
      <c r="CH10" s="909"/>
      <c r="CI10" s="909"/>
      <c r="CJ10" s="927"/>
      <c r="CK10" s="927"/>
    </row>
    <row r="11">
      <c r="A11" s="969" t="s">
        <v>824</v>
      </c>
      <c r="B11" s="833" t="s">
        <v>6917</v>
      </c>
      <c r="C11" s="829" t="s">
        <v>1199</v>
      </c>
      <c r="D11" s="830" t="s">
        <v>1053</v>
      </c>
      <c r="E11" s="831" t="s">
        <v>332</v>
      </c>
      <c r="F11" s="832" t="s">
        <v>6264</v>
      </c>
      <c r="G11" s="833" t="s">
        <v>3000</v>
      </c>
      <c r="H11" s="877"/>
      <c r="I11" s="913" t="s">
        <v>6918</v>
      </c>
      <c r="J11" s="878" t="s">
        <v>6919</v>
      </c>
      <c r="K11" s="878"/>
      <c r="L11" s="954" t="s">
        <v>6920</v>
      </c>
      <c r="M11" s="877"/>
      <c r="N11" s="912" t="s">
        <v>6921</v>
      </c>
      <c r="O11" s="877"/>
      <c r="P11" s="839"/>
      <c r="Q11" s="885" t="s">
        <v>6922</v>
      </c>
      <c r="R11" s="930" t="s">
        <v>2122</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2662</v>
      </c>
      <c r="AN11" s="890"/>
      <c r="AO11" s="935" t="s">
        <v>2061</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2106</v>
      </c>
      <c r="G12" s="833" t="s">
        <v>2106</v>
      </c>
      <c r="H12" s="879" t="s">
        <v>1208</v>
      </c>
      <c r="I12" s="879" t="s">
        <v>6943</v>
      </c>
      <c r="J12" s="879" t="s">
        <v>3734</v>
      </c>
      <c r="K12" s="879" t="s">
        <v>2031</v>
      </c>
      <c r="L12" s="877"/>
      <c r="M12" s="877"/>
      <c r="N12" s="877"/>
      <c r="O12" s="879" t="s">
        <v>6944</v>
      </c>
      <c r="P12" s="839"/>
      <c r="Q12" s="885" t="s">
        <v>6945</v>
      </c>
      <c r="R12" s="882"/>
      <c r="S12" s="885" t="s">
        <v>6946</v>
      </c>
      <c r="T12" s="885" t="s">
        <v>5327</v>
      </c>
      <c r="U12" s="885" t="s">
        <v>3612</v>
      </c>
      <c r="V12" s="885" t="s">
        <v>6947</v>
      </c>
      <c r="W12" s="839"/>
      <c r="X12" s="846" t="s">
        <v>2707</v>
      </c>
      <c r="Y12" s="846" t="s">
        <v>6948</v>
      </c>
      <c r="Z12" s="846" t="s">
        <v>6949</v>
      </c>
      <c r="AA12" s="846" t="s">
        <v>6864</v>
      </c>
      <c r="AB12" s="846" t="s">
        <v>6430</v>
      </c>
      <c r="AC12" s="846" t="s">
        <v>6950</v>
      </c>
      <c r="AD12" s="846" t="s">
        <v>1126</v>
      </c>
      <c r="AE12" s="846" t="s">
        <v>6951</v>
      </c>
      <c r="AF12" s="933"/>
      <c r="AG12" s="846" t="s">
        <v>6952</v>
      </c>
      <c r="AH12" s="848"/>
      <c r="AI12" s="839"/>
      <c r="AJ12" s="970"/>
      <c r="AK12" s="917" t="s">
        <v>2091</v>
      </c>
      <c r="AL12" s="890"/>
      <c r="AM12" s="894" t="s">
        <v>4262</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2219</v>
      </c>
      <c r="BJ12" s="900" t="s">
        <v>6961</v>
      </c>
      <c r="BK12" s="898" t="s">
        <v>6962</v>
      </c>
      <c r="BL12" s="901"/>
      <c r="BM12" s="898" t="s">
        <v>6963</v>
      </c>
      <c r="BN12" s="839"/>
      <c r="BO12" s="903"/>
      <c r="BP12" s="922"/>
      <c r="BQ12" s="905" t="s">
        <v>2766</v>
      </c>
      <c r="BR12" s="905" t="s">
        <v>6964</v>
      </c>
      <c r="BS12" s="903"/>
      <c r="BT12" s="905" t="s">
        <v>1699</v>
      </c>
      <c r="BU12" s="903"/>
      <c r="BV12" s="905" t="s">
        <v>6965</v>
      </c>
      <c r="BW12" s="905" t="s">
        <v>6250</v>
      </c>
      <c r="BX12" s="839"/>
      <c r="BY12" s="940" t="s">
        <v>6841</v>
      </c>
      <c r="BZ12" s="940" t="s">
        <v>2787</v>
      </c>
      <c r="CA12" s="951" t="s">
        <v>6966</v>
      </c>
      <c r="CB12" s="927"/>
      <c r="CC12" s="909"/>
      <c r="CD12" s="951" t="s">
        <v>4350</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2935</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2907</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1859</v>
      </c>
      <c r="BU13" s="903"/>
      <c r="BV13" s="922" t="s">
        <v>6994</v>
      </c>
      <c r="BW13" s="979" t="s">
        <v>6995</v>
      </c>
      <c r="BX13" s="849"/>
      <c r="BY13" s="968" t="s">
        <v>4514</v>
      </c>
      <c r="BZ13" s="909"/>
      <c r="CA13" s="952"/>
      <c r="CB13" s="926" t="s">
        <v>2851</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4609</v>
      </c>
      <c r="H14" s="879" t="s">
        <v>2361</v>
      </c>
      <c r="I14" s="981" t="s">
        <v>6998</v>
      </c>
      <c r="J14" s="878" t="s">
        <v>1301</v>
      </c>
      <c r="K14" s="878" t="s">
        <v>6999</v>
      </c>
      <c r="L14" s="878" t="s">
        <v>2149</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1786</v>
      </c>
      <c r="AE14" s="984" t="s">
        <v>4946</v>
      </c>
      <c r="AF14" s="845" t="s">
        <v>102</v>
      </c>
      <c r="AG14" s="886" t="s">
        <v>7008</v>
      </c>
      <c r="AH14" s="985" t="s">
        <v>7009</v>
      </c>
      <c r="AI14" s="839"/>
      <c r="AJ14" s="945"/>
      <c r="AK14" s="892" t="s">
        <v>7010</v>
      </c>
      <c r="AL14" s="889"/>
      <c r="AM14" s="889" t="s">
        <v>3484</v>
      </c>
      <c r="AN14" s="894" t="s">
        <v>1730</v>
      </c>
      <c r="AO14" s="889" t="s">
        <v>4136</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4228</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2565</v>
      </c>
      <c r="BZ14" s="908" t="s">
        <v>7028</v>
      </c>
      <c r="CA14" s="909"/>
      <c r="CB14" s="927"/>
      <c r="CC14" s="909"/>
      <c r="CD14" s="908" t="s">
        <v>7029</v>
      </c>
      <c r="CE14" s="908" t="s">
        <v>7030</v>
      </c>
      <c r="CF14" s="908" t="s">
        <v>7031</v>
      </c>
      <c r="CG14" s="908"/>
      <c r="CH14" s="940" t="s">
        <v>7032</v>
      </c>
      <c r="CI14" s="909"/>
      <c r="CJ14" s="927"/>
      <c r="CK14" s="927"/>
    </row>
    <row r="15">
      <c r="A15" s="876" t="s">
        <v>2025</v>
      </c>
      <c r="B15" s="833" t="s">
        <v>7033</v>
      </c>
      <c r="C15" s="829" t="s">
        <v>1259</v>
      </c>
      <c r="D15" s="830" t="s">
        <v>647</v>
      </c>
      <c r="E15" s="831" t="s">
        <v>544</v>
      </c>
      <c r="F15" s="832" t="s">
        <v>2878</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2048</v>
      </c>
      <c r="AD15" s="886" t="s">
        <v>4152</v>
      </c>
      <c r="AE15" s="886" t="s">
        <v>4666</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4622</v>
      </c>
      <c r="CG15" s="909"/>
      <c r="CH15" s="909"/>
      <c r="CI15" s="909"/>
      <c r="CJ15" s="927"/>
      <c r="CK15" s="927"/>
    </row>
    <row r="16">
      <c r="A16" s="876" t="s">
        <v>7051</v>
      </c>
      <c r="B16" s="833" t="s">
        <v>7052</v>
      </c>
      <c r="C16" s="829" t="s">
        <v>1259</v>
      </c>
      <c r="D16" s="830" t="s">
        <v>437</v>
      </c>
      <c r="E16" s="831" t="s">
        <v>544</v>
      </c>
      <c r="F16" s="832" t="s">
        <v>5714</v>
      </c>
      <c r="G16" s="833" t="s">
        <v>4851</v>
      </c>
      <c r="H16" s="879" t="s">
        <v>2125</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4621</v>
      </c>
      <c r="BI16" s="977" t="s">
        <v>1586</v>
      </c>
      <c r="BJ16" s="901"/>
      <c r="BK16" s="899" t="s">
        <v>4315</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1876</v>
      </c>
      <c r="B17" s="833" t="s">
        <v>7076</v>
      </c>
      <c r="C17" s="829" t="s">
        <v>1259</v>
      </c>
      <c r="D17" s="830" t="s">
        <v>1259</v>
      </c>
      <c r="E17" s="831" t="s">
        <v>1259</v>
      </c>
      <c r="F17" s="832" t="s">
        <v>1259</v>
      </c>
      <c r="G17" s="833" t="s">
        <v>3580</v>
      </c>
      <c r="H17" s="877"/>
      <c r="I17" s="878" t="s">
        <v>2762</v>
      </c>
      <c r="J17" s="878" t="s">
        <v>2097</v>
      </c>
      <c r="K17" s="878" t="s">
        <v>7077</v>
      </c>
      <c r="L17" s="955" t="s">
        <v>7078</v>
      </c>
      <c r="M17" s="877"/>
      <c r="N17" s="955" t="s">
        <v>7079</v>
      </c>
      <c r="O17" s="878" t="s">
        <v>7080</v>
      </c>
      <c r="P17" s="839"/>
      <c r="Q17" s="957" t="s">
        <v>2475</v>
      </c>
      <c r="R17" s="882"/>
      <c r="S17" s="882"/>
      <c r="T17" s="957" t="s">
        <v>5069</v>
      </c>
      <c r="U17" s="881"/>
      <c r="V17" s="957" t="s">
        <v>7081</v>
      </c>
      <c r="W17" s="839"/>
      <c r="X17" s="932" t="s">
        <v>4129</v>
      </c>
      <c r="Y17" s="932" t="s">
        <v>7082</v>
      </c>
      <c r="Z17" s="932" t="s">
        <v>7083</v>
      </c>
      <c r="AA17" s="932" t="s">
        <v>3043</v>
      </c>
      <c r="AB17" s="932" t="s">
        <v>4741</v>
      </c>
      <c r="AC17" s="886" t="s">
        <v>7084</v>
      </c>
      <c r="AD17" s="932" t="s">
        <v>4620</v>
      </c>
      <c r="AE17" s="932" t="s">
        <v>4932</v>
      </c>
      <c r="AF17" s="886"/>
      <c r="AG17" s="886" t="s">
        <v>7085</v>
      </c>
      <c r="AH17" s="989" t="s">
        <v>7086</v>
      </c>
      <c r="AI17" s="839"/>
      <c r="AJ17" s="890"/>
      <c r="AK17" s="890"/>
      <c r="AL17" s="890"/>
      <c r="AM17" s="889" t="s">
        <v>171</v>
      </c>
      <c r="AN17" s="890"/>
      <c r="AO17" s="963" t="s">
        <v>4404</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2132</v>
      </c>
      <c r="BI17" s="901"/>
      <c r="BJ17" s="901"/>
      <c r="BK17" s="899" t="s">
        <v>7090</v>
      </c>
      <c r="BL17" s="901"/>
      <c r="BM17" s="978" t="s">
        <v>7091</v>
      </c>
      <c r="BN17" s="839"/>
      <c r="BO17" s="924" t="s">
        <v>7092</v>
      </c>
      <c r="BP17" s="922"/>
      <c r="BQ17" s="903"/>
      <c r="BR17" s="903"/>
      <c r="BS17" s="903"/>
      <c r="BT17" s="924" t="s">
        <v>2696</v>
      </c>
      <c r="BU17" s="903"/>
      <c r="BV17" s="903"/>
      <c r="BW17" s="922" t="s">
        <v>7093</v>
      </c>
      <c r="BX17" s="839"/>
      <c r="BY17" s="908" t="s">
        <v>3008</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2860</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4220</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2683</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4634</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2132</v>
      </c>
      <c r="BI19" s="901"/>
      <c r="BJ19" s="901"/>
      <c r="BK19" s="901"/>
      <c r="BL19" s="901"/>
      <c r="BM19" s="899" t="s">
        <v>7132</v>
      </c>
      <c r="BN19" s="839"/>
      <c r="BO19" s="924" t="s">
        <v>2033</v>
      </c>
      <c r="BP19" s="922"/>
      <c r="BQ19" s="903"/>
      <c r="BR19" s="924" t="s">
        <v>7133</v>
      </c>
      <c r="BS19" s="903"/>
      <c r="BT19" s="924" t="s">
        <v>3096</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2466</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2750</v>
      </c>
      <c r="Y20" s="886" t="s">
        <v>3592</v>
      </c>
      <c r="Z20" s="886" t="s">
        <v>6972</v>
      </c>
      <c r="AA20" s="943" t="s">
        <v>7141</v>
      </c>
      <c r="AB20" s="886" t="s">
        <v>2396</v>
      </c>
      <c r="AC20" s="886" t="s">
        <v>3953</v>
      </c>
      <c r="AD20" s="886" t="s">
        <v>3087</v>
      </c>
      <c r="AE20" s="994" t="s">
        <v>6770</v>
      </c>
      <c r="AF20" s="888" t="s">
        <v>1014</v>
      </c>
      <c r="AG20" s="886" t="s">
        <v>7142</v>
      </c>
      <c r="AH20" s="995" t="s">
        <v>3594</v>
      </c>
      <c r="AI20" s="839"/>
      <c r="AJ20" s="889"/>
      <c r="AK20" s="889" t="s">
        <v>7143</v>
      </c>
      <c r="AL20" s="889" t="s">
        <v>7144</v>
      </c>
      <c r="AM20" s="889" t="s">
        <v>7145</v>
      </c>
      <c r="AN20" s="889"/>
      <c r="AO20" s="890"/>
      <c r="AP20" s="892" t="s">
        <v>1780</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2076</v>
      </c>
      <c r="BI20" s="899" t="s">
        <v>1890</v>
      </c>
      <c r="BJ20" s="901"/>
      <c r="BK20" s="899" t="s">
        <v>1474</v>
      </c>
      <c r="BL20" s="899" t="s">
        <v>7157</v>
      </c>
      <c r="BM20" s="899" t="s">
        <v>7158</v>
      </c>
      <c r="BN20" s="839"/>
      <c r="BO20" s="924" t="s">
        <v>4910</v>
      </c>
      <c r="BP20" s="922"/>
      <c r="BQ20" s="904" t="s">
        <v>2606</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2275</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4318</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1845</v>
      </c>
      <c r="BX21" s="839"/>
      <c r="BY21" s="908" t="s">
        <v>4598</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4122</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2931</v>
      </c>
      <c r="AB22" s="886" t="s">
        <v>658</v>
      </c>
      <c r="AC22" s="886" t="s">
        <v>1880</v>
      </c>
      <c r="AD22" s="886" t="s">
        <v>7191</v>
      </c>
      <c r="AE22" s="886" t="s">
        <v>2482</v>
      </c>
      <c r="AF22" s="886"/>
      <c r="AG22" s="886" t="s">
        <v>7192</v>
      </c>
      <c r="AH22" s="998" t="s">
        <v>7193</v>
      </c>
      <c r="AI22" s="839"/>
      <c r="AJ22" s="889"/>
      <c r="AK22" s="889" t="s">
        <v>5847</v>
      </c>
      <c r="AL22" s="890"/>
      <c r="AM22" s="889" t="s">
        <v>5195</v>
      </c>
      <c r="AN22" s="890"/>
      <c r="AO22" s="890"/>
      <c r="AP22" s="889" t="s">
        <v>2060</v>
      </c>
      <c r="AQ22" s="890"/>
      <c r="AR22" s="889" t="s">
        <v>7194</v>
      </c>
      <c r="AS22" s="889"/>
      <c r="AT22" s="982"/>
      <c r="AU22" s="890"/>
      <c r="AV22" s="963" t="s">
        <v>7195</v>
      </c>
      <c r="AW22" s="894" t="s">
        <v>6158</v>
      </c>
      <c r="AX22" s="889" t="s">
        <v>7196</v>
      </c>
      <c r="AY22" s="889" t="s">
        <v>7197</v>
      </c>
      <c r="AZ22" s="855"/>
      <c r="BA22" s="918"/>
      <c r="BB22" s="897" t="s">
        <v>7198</v>
      </c>
      <c r="BC22" s="919" t="s">
        <v>2476</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2998</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3016</v>
      </c>
      <c r="AC23" s="886" t="s">
        <v>1755</v>
      </c>
      <c r="AD23" s="886" t="s">
        <v>2735</v>
      </c>
      <c r="AE23" s="886" t="s">
        <v>2847</v>
      </c>
      <c r="AF23" s="886"/>
      <c r="AG23" s="886" t="s">
        <v>7209</v>
      </c>
      <c r="AH23" s="1000" t="s">
        <v>3019</v>
      </c>
      <c r="AI23" s="839"/>
      <c r="AJ23" s="890"/>
      <c r="AK23" s="890"/>
      <c r="AL23" s="891" t="s">
        <v>7210</v>
      </c>
      <c r="AM23" s="889" t="s">
        <v>1963</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4193</v>
      </c>
      <c r="BQ23" s="903"/>
      <c r="BR23" s="904" t="s">
        <v>7224</v>
      </c>
      <c r="BS23" s="903"/>
      <c r="BT23" s="904" t="s">
        <v>3037</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4150</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2165</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2619</v>
      </c>
      <c r="I26" s="879" t="s">
        <v>7256</v>
      </c>
      <c r="J26" s="1007"/>
      <c r="K26" s="879" t="s">
        <v>3319</v>
      </c>
      <c r="L26" s="878"/>
      <c r="M26" s="877"/>
      <c r="N26" s="877"/>
      <c r="O26" s="955" t="s">
        <v>7257</v>
      </c>
      <c r="P26" s="839"/>
      <c r="Q26" s="957" t="s">
        <v>7258</v>
      </c>
      <c r="R26" s="882"/>
      <c r="S26" s="882"/>
      <c r="T26" s="957" t="s">
        <v>5209</v>
      </c>
      <c r="U26" s="881"/>
      <c r="V26" s="957" t="s">
        <v>7259</v>
      </c>
      <c r="W26" s="839"/>
      <c r="X26" s="932" t="s">
        <v>2144</v>
      </c>
      <c r="Y26" s="916"/>
      <c r="Z26" s="932" t="s">
        <v>1905</v>
      </c>
      <c r="AA26" s="991"/>
      <c r="AB26" s="932" t="s">
        <v>5398</v>
      </c>
      <c r="AC26" s="916"/>
      <c r="AD26" s="916"/>
      <c r="AE26" s="932" t="s">
        <v>4440</v>
      </c>
      <c r="AF26" s="886"/>
      <c r="AG26" s="932" t="s">
        <v>7260</v>
      </c>
      <c r="AH26" s="848"/>
      <c r="AI26" s="839"/>
      <c r="AJ26" s="890"/>
      <c r="AK26" s="890"/>
      <c r="AL26" s="890"/>
      <c r="AM26" s="890"/>
      <c r="AN26" s="890"/>
      <c r="AO26" s="963" t="s">
        <v>1844</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2634</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2943</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4622</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6510</v>
      </c>
      <c r="C29" s="829" t="s">
        <v>1259</v>
      </c>
      <c r="D29" s="830" t="s">
        <v>1259</v>
      </c>
      <c r="E29" s="831" t="s">
        <v>1259</v>
      </c>
      <c r="F29" s="832" t="s">
        <v>438</v>
      </c>
      <c r="G29" s="833" t="s">
        <v>4122</v>
      </c>
      <c r="H29" s="971" t="s">
        <v>4255</v>
      </c>
      <c r="I29" s="878" t="s">
        <v>7295</v>
      </c>
      <c r="J29" s="878"/>
      <c r="K29" s="878"/>
      <c r="L29" s="955" t="s">
        <v>7296</v>
      </c>
      <c r="M29" s="877"/>
      <c r="N29" s="879" t="s">
        <v>7297</v>
      </c>
      <c r="O29" s="877"/>
      <c r="P29" s="839"/>
      <c r="Q29" s="882"/>
      <c r="R29" s="882"/>
      <c r="S29" s="882"/>
      <c r="T29" s="882"/>
      <c r="U29" s="881" t="s">
        <v>5882</v>
      </c>
      <c r="V29" s="885" t="s">
        <v>7298</v>
      </c>
      <c r="W29" s="839"/>
      <c r="X29" s="932" t="s">
        <v>4943</v>
      </c>
      <c r="Y29" s="886" t="s">
        <v>6203</v>
      </c>
      <c r="Z29" s="932" t="s">
        <v>6116</v>
      </c>
      <c r="AA29" s="983" t="s">
        <v>4622</v>
      </c>
      <c r="AB29" s="932" t="s">
        <v>2552</v>
      </c>
      <c r="AC29" s="846" t="s">
        <v>7299</v>
      </c>
      <c r="AD29" s="916"/>
      <c r="AE29" s="846" t="str">
        <f>HYPERLINK("https://twitter.com/Qbe_Root/status/1242884733232648192","56.04")</f>
        <v>56.04</v>
      </c>
      <c r="AF29" s="933"/>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1617</v>
      </c>
      <c r="AX29" s="889" t="s">
        <v>7305</v>
      </c>
      <c r="AY29" s="890"/>
      <c r="AZ29" s="855"/>
      <c r="BA29" s="918"/>
      <c r="BB29" s="918"/>
      <c r="BC29" s="918"/>
      <c r="BD29" s="918"/>
      <c r="BE29" s="990" t="s">
        <v>7306</v>
      </c>
      <c r="BF29" s="855"/>
      <c r="BG29" s="899" t="s">
        <v>1467</v>
      </c>
      <c r="BH29" s="901"/>
      <c r="BI29" s="901"/>
      <c r="BJ29" s="901"/>
      <c r="BK29" s="899" t="s">
        <v>7307</v>
      </c>
      <c r="BL29" s="901"/>
      <c r="BM29" s="899" t="s">
        <v>7308</v>
      </c>
      <c r="BN29" s="839"/>
      <c r="BO29" s="904" t="s">
        <v>7309</v>
      </c>
      <c r="BP29" s="922"/>
      <c r="BQ29" s="903"/>
      <c r="BR29" s="903"/>
      <c r="BS29" s="903"/>
      <c r="BT29" s="924" t="s">
        <v>1473</v>
      </c>
      <c r="BU29" s="903"/>
      <c r="BV29" s="1013" t="str">
        <f>HYPERLINK("https://twitter.com/Qbe_Root/status/1400138849058275330", "1:53.21")</f>
        <v>1:53.21</v>
      </c>
      <c r="BW29" s="904" t="s">
        <v>2641</v>
      </c>
      <c r="BX29" s="839"/>
      <c r="BY29" s="909"/>
      <c r="BZ29" s="909"/>
      <c r="CA29" s="909"/>
      <c r="CB29" s="927"/>
      <c r="CC29" s="909"/>
      <c r="CD29" s="968" t="s">
        <v>1818</v>
      </c>
      <c r="CE29" s="909"/>
      <c r="CF29" s="909"/>
      <c r="CG29" s="909"/>
      <c r="CH29" s="909"/>
      <c r="CI29" s="909"/>
      <c r="CJ29" s="927"/>
      <c r="CK29" s="927"/>
    </row>
    <row r="30">
      <c r="A30" s="876" t="s">
        <v>4060</v>
      </c>
      <c r="B30" s="833" t="s">
        <v>7310</v>
      </c>
      <c r="C30" s="829" t="s">
        <v>1259</v>
      </c>
      <c r="D30" s="830" t="s">
        <v>1259</v>
      </c>
      <c r="E30" s="831" t="s">
        <v>1259</v>
      </c>
      <c r="F30" s="832" t="s">
        <v>437</v>
      </c>
      <c r="G30" s="833" t="s">
        <v>3000</v>
      </c>
      <c r="H30" s="878" t="s">
        <v>2313</v>
      </c>
      <c r="I30" s="877"/>
      <c r="J30" s="877"/>
      <c r="K30" s="877"/>
      <c r="L30" s="878" t="s">
        <v>6530</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3284</v>
      </c>
      <c r="AF30" s="886"/>
      <c r="AG30" s="846" t="s">
        <v>7315</v>
      </c>
      <c r="AH30" s="1000" t="s">
        <v>7316</v>
      </c>
      <c r="AI30" s="839"/>
      <c r="AJ30" s="889"/>
      <c r="AK30" s="889" t="s">
        <v>7317</v>
      </c>
      <c r="AL30" s="889" t="s">
        <v>7318</v>
      </c>
      <c r="AM30" s="889" t="s">
        <v>4005</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4516</v>
      </c>
      <c r="BD30" s="919"/>
      <c r="BE30" s="990" t="s">
        <v>7324</v>
      </c>
      <c r="BF30" s="855"/>
      <c r="BG30" s="899" t="s">
        <v>7325</v>
      </c>
      <c r="BH30" s="901"/>
      <c r="BI30" s="901"/>
      <c r="BJ30" s="901"/>
      <c r="BK30" s="901"/>
      <c r="BL30" s="899" t="s">
        <v>7326</v>
      </c>
      <c r="BM30" s="899" t="s">
        <v>7327</v>
      </c>
      <c r="BN30" s="839"/>
      <c r="BO30" s="904" t="s">
        <v>3409</v>
      </c>
      <c r="BP30" s="922"/>
      <c r="BQ30" s="903"/>
      <c r="BR30" s="904" t="s">
        <v>7328</v>
      </c>
      <c r="BS30" s="924" t="s">
        <v>7329</v>
      </c>
      <c r="BT30" s="903"/>
      <c r="BU30" s="903"/>
      <c r="BV30" s="904" t="s">
        <v>7330</v>
      </c>
      <c r="BW30" s="904" t="s">
        <v>4526</v>
      </c>
      <c r="BX30" s="839"/>
      <c r="BY30" s="909"/>
      <c r="BZ30" s="909"/>
      <c r="CA30" s="909"/>
      <c r="CB30" s="927"/>
      <c r="CC30" s="909"/>
      <c r="CD30" s="909"/>
      <c r="CE30" s="909"/>
      <c r="CF30" s="908" t="s">
        <v>7331</v>
      </c>
      <c r="CG30" s="909"/>
      <c r="CH30" s="909"/>
      <c r="CI30" s="940" t="s">
        <v>7332</v>
      </c>
      <c r="CJ30" s="927"/>
      <c r="CK30" s="927"/>
    </row>
    <row r="31">
      <c r="A31" s="876" t="s">
        <v>6628</v>
      </c>
      <c r="B31" s="833" t="s">
        <v>7333</v>
      </c>
      <c r="C31" s="829" t="s">
        <v>544</v>
      </c>
      <c r="D31" s="830" t="s">
        <v>1259</v>
      </c>
      <c r="E31" s="831" t="s">
        <v>1259</v>
      </c>
      <c r="F31" s="832" t="s">
        <v>544</v>
      </c>
      <c r="G31" s="833" t="s">
        <v>5455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1295</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5303</v>
      </c>
      <c r="BD31" s="918"/>
      <c r="BE31" s="919" t="s">
        <v>7349</v>
      </c>
      <c r="BF31" s="855"/>
      <c r="BG31" s="899" t="s">
        <v>6949</v>
      </c>
      <c r="BH31" s="899" t="s">
        <v>5898</v>
      </c>
      <c r="BI31" s="899" t="s">
        <v>3960</v>
      </c>
      <c r="BJ31" s="978" t="s">
        <v>6455</v>
      </c>
      <c r="BK31" s="901"/>
      <c r="BL31" s="899" t="s">
        <v>7350</v>
      </c>
      <c r="BM31" s="901"/>
      <c r="BN31" s="839"/>
      <c r="BO31" s="904" t="s">
        <v>7351</v>
      </c>
      <c r="BP31" s="922"/>
      <c r="BQ31" s="903"/>
      <c r="BR31" s="904" t="s">
        <v>1334</v>
      </c>
      <c r="BS31" s="903"/>
      <c r="BT31" s="904" t="s">
        <v>1289</v>
      </c>
      <c r="BU31" s="903"/>
      <c r="BV31" s="903"/>
      <c r="BW31" s="903"/>
      <c r="BX31" s="839"/>
      <c r="BY31" s="908" t="s">
        <v>4452</v>
      </c>
      <c r="BZ31" s="909"/>
      <c r="CA31" s="909"/>
      <c r="CB31" s="927"/>
      <c r="CC31" s="926" t="s">
        <v>7352</v>
      </c>
      <c r="CD31" s="909"/>
      <c r="CE31" s="909"/>
      <c r="CF31" s="908" t="s">
        <v>6836</v>
      </c>
      <c r="CG31" s="909"/>
      <c r="CH31" s="909"/>
      <c r="CI31" s="909"/>
      <c r="CJ31" s="927"/>
      <c r="CK31" s="927"/>
    </row>
    <row r="32">
      <c r="A32" s="876" t="s">
        <v>2941</v>
      </c>
      <c r="B32" s="833" t="s">
        <v>7353</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2009</v>
      </c>
      <c r="U32" s="885" t="s">
        <v>7354</v>
      </c>
      <c r="V32" s="881" t="s">
        <v>7355</v>
      </c>
      <c r="W32" s="839"/>
      <c r="X32" s="916"/>
      <c r="Y32" s="916"/>
      <c r="Z32" s="916"/>
      <c r="AA32" s="991"/>
      <c r="AB32" s="886"/>
      <c r="AC32" s="845" t="s">
        <v>7356</v>
      </c>
      <c r="AD32" s="886" t="s">
        <v>7357</v>
      </c>
      <c r="AE32" s="886" t="s">
        <v>4585</v>
      </c>
      <c r="AF32" s="886"/>
      <c r="AG32" s="916"/>
      <c r="AH32" s="848"/>
      <c r="AI32" s="839"/>
      <c r="AJ32" s="890"/>
      <c r="AK32" s="890"/>
      <c r="AL32" s="890"/>
      <c r="AM32" s="890"/>
      <c r="AN32" s="890"/>
      <c r="AO32" s="890"/>
      <c r="AP32" s="935" t="s">
        <v>7358</v>
      </c>
      <c r="AQ32" s="890"/>
      <c r="AR32" s="890"/>
      <c r="AS32" s="890"/>
      <c r="AT32" s="890"/>
      <c r="AU32" s="890"/>
      <c r="AV32" s="890"/>
      <c r="AW32" s="889" t="s">
        <v>1786</v>
      </c>
      <c r="AX32" s="890"/>
      <c r="AY32" s="890"/>
      <c r="AZ32" s="855"/>
      <c r="BA32" s="918"/>
      <c r="BB32" s="918"/>
      <c r="BC32" s="897" t="s">
        <v>5717</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741</v>
      </c>
      <c r="C33" s="829" t="s">
        <v>1259</v>
      </c>
      <c r="D33" s="830" t="s">
        <v>1259</v>
      </c>
      <c r="E33" s="831" t="s">
        <v>1259</v>
      </c>
      <c r="F33" s="832" t="s">
        <v>1259</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2302</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2518</v>
      </c>
      <c r="BS33" s="903"/>
      <c r="BT33" s="903"/>
      <c r="BU33" s="903"/>
      <c r="BV33" s="924" t="s">
        <v>7371</v>
      </c>
      <c r="BW33" s="904" t="s">
        <v>7372</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4376</v>
      </c>
      <c r="I34" s="877"/>
      <c r="J34" s="877"/>
      <c r="K34" s="877"/>
      <c r="L34" s="878" t="s">
        <v>7373</v>
      </c>
      <c r="M34" s="877"/>
      <c r="N34" s="878" t="s">
        <v>7374</v>
      </c>
      <c r="O34" s="877"/>
      <c r="P34" s="839"/>
      <c r="Q34" s="882"/>
      <c r="R34" s="882"/>
      <c r="S34" s="882"/>
      <c r="T34" s="882"/>
      <c r="U34" s="881" t="s">
        <v>7375</v>
      </c>
      <c r="V34" s="881" t="s">
        <v>7376</v>
      </c>
      <c r="W34" s="839"/>
      <c r="X34" s="916"/>
      <c r="Y34" s="886" t="s">
        <v>5240</v>
      </c>
      <c r="Z34" s="886" t="s">
        <v>2764</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7217</v>
      </c>
      <c r="BC34" s="918"/>
      <c r="BD34" s="919" t="s">
        <v>5249</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5271</v>
      </c>
      <c r="B35" s="833" t="s">
        <v>7394</v>
      </c>
      <c r="C35" s="829" t="s">
        <v>1259</v>
      </c>
      <c r="D35" s="830" t="s">
        <v>544</v>
      </c>
      <c r="E35" s="831" t="s">
        <v>1259</v>
      </c>
      <c r="F35" s="832" t="s">
        <v>1053</v>
      </c>
      <c r="G35" s="833" t="s">
        <v>2878</v>
      </c>
      <c r="H35" s="878" t="s">
        <v>1849</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3674</v>
      </c>
      <c r="BR35" s="903"/>
      <c r="BS35" s="903"/>
      <c r="BT35" s="903"/>
      <c r="BU35" s="905" t="s">
        <v>7409</v>
      </c>
      <c r="BV35" s="903"/>
      <c r="BW35" s="904" t="s">
        <v>7410</v>
      </c>
      <c r="BX35" s="839"/>
      <c r="BY35" s="909"/>
      <c r="BZ35" s="909"/>
      <c r="CA35" s="909"/>
      <c r="CB35" s="927"/>
      <c r="CC35" s="909"/>
      <c r="CD35" s="909"/>
      <c r="CE35" s="909"/>
      <c r="CF35" s="909"/>
      <c r="CG35" s="909"/>
      <c r="CH35" s="909"/>
      <c r="CI35" s="940" t="s">
        <v>7411</v>
      </c>
      <c r="CJ35" s="927"/>
      <c r="CK35" s="927"/>
    </row>
    <row r="36">
      <c r="A36" s="876" t="s">
        <v>2192</v>
      </c>
      <c r="B36" s="833" t="s">
        <v>545</v>
      </c>
      <c r="C36" s="829" t="s">
        <v>544</v>
      </c>
      <c r="D36" s="830" t="s">
        <v>1259</v>
      </c>
      <c r="E36" s="831" t="s">
        <v>1259</v>
      </c>
      <c r="F36" s="832" t="s">
        <v>544</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3972</v>
      </c>
      <c r="AC36" s="886" t="s">
        <v>7418</v>
      </c>
      <c r="AD36" s="916"/>
      <c r="AE36" s="886" t="s">
        <v>2612</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2652</v>
      </c>
      <c r="B37" s="833" t="s">
        <v>545</v>
      </c>
      <c r="C37" s="829" t="s">
        <v>1259</v>
      </c>
      <c r="D37" s="830" t="s">
        <v>1259</v>
      </c>
      <c r="E37" s="831" t="s">
        <v>1259</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2263</v>
      </c>
      <c r="AF37" s="916"/>
      <c r="AG37" s="846" t="s">
        <v>7430</v>
      </c>
      <c r="AH37" s="848"/>
      <c r="AI37" s="839"/>
      <c r="AJ37" s="890"/>
      <c r="AK37" s="890"/>
      <c r="AL37" s="890"/>
      <c r="AM37" s="894" t="s">
        <v>2119</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7433</v>
      </c>
      <c r="I38" s="877"/>
      <c r="J38" s="877"/>
      <c r="K38" s="877"/>
      <c r="L38" s="877"/>
      <c r="M38" s="877"/>
      <c r="N38" s="877"/>
      <c r="O38" s="877"/>
      <c r="P38" s="839"/>
      <c r="Q38" s="882"/>
      <c r="R38" s="882"/>
      <c r="S38" s="881" t="s">
        <v>1091</v>
      </c>
      <c r="T38" s="881" t="s">
        <v>1828</v>
      </c>
      <c r="U38" s="881" t="s">
        <v>4581</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1438</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0" t="s">
        <v>7442</v>
      </c>
      <c r="CA38" s="909"/>
      <c r="CB38" s="927"/>
      <c r="CC38" s="909"/>
      <c r="CD38" s="909"/>
      <c r="CE38" s="909"/>
      <c r="CF38" s="909"/>
      <c r="CG38" s="909"/>
      <c r="CH38" s="909"/>
      <c r="CI38" s="909"/>
      <c r="CJ38" s="927"/>
      <c r="CK38" s="927"/>
    </row>
    <row r="39">
      <c r="A39" s="876" t="s">
        <v>6386</v>
      </c>
      <c r="B39" s="833" t="s">
        <v>3581</v>
      </c>
      <c r="C39" s="829" t="s">
        <v>1259</v>
      </c>
      <c r="D39" s="830" t="s">
        <v>1259</v>
      </c>
      <c r="E39" s="831" t="s">
        <v>1259</v>
      </c>
      <c r="F39" s="832" t="s">
        <v>1259</v>
      </c>
      <c r="G39" s="833" t="s">
        <v>2878</v>
      </c>
      <c r="H39" s="877"/>
      <c r="I39" s="877"/>
      <c r="J39" s="877"/>
      <c r="K39" s="877"/>
      <c r="L39" s="878" t="s">
        <v>7443</v>
      </c>
      <c r="M39" s="877"/>
      <c r="N39" s="878" t="s">
        <v>7444</v>
      </c>
      <c r="O39" s="877"/>
      <c r="P39" s="839"/>
      <c r="Q39" s="882"/>
      <c r="R39" s="882"/>
      <c r="S39" s="882"/>
      <c r="T39" s="882"/>
      <c r="U39" s="881" t="s">
        <v>4527</v>
      </c>
      <c r="V39" s="881" t="s">
        <v>7445</v>
      </c>
      <c r="W39" s="839"/>
      <c r="X39" s="916"/>
      <c r="Y39" s="916"/>
      <c r="Z39" s="886" t="s">
        <v>7446</v>
      </c>
      <c r="AA39" s="991"/>
      <c r="AB39" s="916"/>
      <c r="AC39" s="916"/>
      <c r="AD39" s="886" t="s">
        <v>1412</v>
      </c>
      <c r="AE39" s="886" t="s">
        <v>3278</v>
      </c>
      <c r="AF39" s="886"/>
      <c r="AG39" s="916"/>
      <c r="AH39" s="1000" t="s">
        <v>7447</v>
      </c>
      <c r="AI39" s="839"/>
      <c r="AJ39" s="890"/>
      <c r="AK39" s="890"/>
      <c r="AL39" s="890"/>
      <c r="AM39" s="889" t="s">
        <v>2991</v>
      </c>
      <c r="AN39" s="890"/>
      <c r="AO39" s="890"/>
      <c r="AP39" s="890"/>
      <c r="AQ39" s="890"/>
      <c r="AR39" s="890"/>
      <c r="AS39" s="890"/>
      <c r="AT39" s="890"/>
      <c r="AU39" s="890"/>
      <c r="AV39" s="890"/>
      <c r="AW39" s="889" t="s">
        <v>1283</v>
      </c>
      <c r="AX39" s="890"/>
      <c r="AY39" s="890"/>
      <c r="AZ39" s="855"/>
      <c r="BA39" s="918"/>
      <c r="BB39" s="918"/>
      <c r="BC39" s="918"/>
      <c r="BD39" s="918"/>
      <c r="BE39" s="919" t="s">
        <v>7448</v>
      </c>
      <c r="BF39" s="855"/>
      <c r="BG39" s="899" t="s">
        <v>7449</v>
      </c>
      <c r="BH39" s="899" t="s">
        <v>3008</v>
      </c>
      <c r="BI39" s="901"/>
      <c r="BJ39" s="901"/>
      <c r="BK39" s="901"/>
      <c r="BL39" s="899" t="s">
        <v>7450</v>
      </c>
      <c r="BM39" s="901"/>
      <c r="BN39" s="839"/>
      <c r="BO39" s="904" t="s">
        <v>1897</v>
      </c>
      <c r="BP39" s="922"/>
      <c r="BQ39" s="903"/>
      <c r="BR39" s="903"/>
      <c r="BS39" s="903"/>
      <c r="BT39" s="904" t="s">
        <v>4406</v>
      </c>
      <c r="BU39" s="903"/>
      <c r="BV39" s="904" t="s">
        <v>7451</v>
      </c>
      <c r="BW39" s="904" t="s">
        <v>7452</v>
      </c>
      <c r="BX39" s="839"/>
      <c r="BY39" s="909"/>
      <c r="BZ39" s="909"/>
      <c r="CA39" s="909"/>
      <c r="CB39" s="927"/>
      <c r="CC39" s="909"/>
      <c r="CD39" s="909"/>
      <c r="CE39" s="909"/>
      <c r="CF39" s="909"/>
      <c r="CG39" s="909"/>
      <c r="CH39" s="968" t="s">
        <v>6121</v>
      </c>
      <c r="CI39" s="909"/>
      <c r="CJ39" s="927"/>
      <c r="CK39" s="927"/>
    </row>
    <row r="40">
      <c r="A40" s="1017" t="s">
        <v>3200</v>
      </c>
      <c r="B40" s="833" t="s">
        <v>4181</v>
      </c>
      <c r="C40" s="829" t="s">
        <v>544</v>
      </c>
      <c r="D40" s="830" t="s">
        <v>1259</v>
      </c>
      <c r="E40" s="831" t="s">
        <v>1259</v>
      </c>
      <c r="F40" s="832" t="s">
        <v>332</v>
      </c>
      <c r="G40" s="833" t="s">
        <v>1054</v>
      </c>
      <c r="H40" s="878" t="s">
        <v>837</v>
      </c>
      <c r="I40" s="877"/>
      <c r="J40" s="877"/>
      <c r="K40" s="877"/>
      <c r="L40" s="877"/>
      <c r="M40" s="877"/>
      <c r="N40" s="879" t="s">
        <v>7453</v>
      </c>
      <c r="O40" s="877"/>
      <c r="P40" s="839"/>
      <c r="Q40" s="882"/>
      <c r="R40" s="882"/>
      <c r="S40" s="915" t="s">
        <v>2849</v>
      </c>
      <c r="T40" s="882"/>
      <c r="U40" s="882"/>
      <c r="V40" s="881" t="s">
        <v>7454</v>
      </c>
      <c r="W40" s="839"/>
      <c r="X40" s="916"/>
      <c r="Y40" s="916"/>
      <c r="Z40" s="886" t="s">
        <v>7169</v>
      </c>
      <c r="AA40" s="943" t="s">
        <v>606</v>
      </c>
      <c r="AB40" s="916"/>
      <c r="AC40" s="916"/>
      <c r="AD40" s="886" t="s">
        <v>4855</v>
      </c>
      <c r="AE40" s="886" t="s">
        <v>748</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1392</v>
      </c>
      <c r="BH40" s="901"/>
      <c r="BI40" s="901"/>
      <c r="BJ40" s="901"/>
      <c r="BK40" s="901"/>
      <c r="BL40" s="899" t="s">
        <v>7460</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2027</v>
      </c>
      <c r="C41" s="829" t="s">
        <v>1259</v>
      </c>
      <c r="D41" s="830" t="s">
        <v>1259</v>
      </c>
      <c r="E41" s="831" t="s">
        <v>1259</v>
      </c>
      <c r="F41" s="832" t="s">
        <v>544</v>
      </c>
      <c r="G41" s="833" t="s">
        <v>221</v>
      </c>
      <c r="H41" s="877"/>
      <c r="I41" s="877"/>
      <c r="J41" s="877"/>
      <c r="K41" s="877"/>
      <c r="L41" s="971"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3475</v>
      </c>
      <c r="BV41" s="904" t="s">
        <v>390</v>
      </c>
      <c r="BW41" s="924" t="s">
        <v>7467</v>
      </c>
      <c r="BX41" s="839"/>
      <c r="BY41" s="909"/>
      <c r="BZ41" s="1001" t="s">
        <v>2882</v>
      </c>
      <c r="CA41" s="909"/>
      <c r="CB41" s="927"/>
      <c r="CC41" s="909"/>
      <c r="CD41" s="909"/>
      <c r="CE41" s="909"/>
      <c r="CF41" s="908" t="s">
        <v>7468</v>
      </c>
      <c r="CG41" s="909"/>
      <c r="CH41" s="909"/>
      <c r="CI41" s="940" t="s">
        <v>5009</v>
      </c>
      <c r="CJ41" s="927"/>
      <c r="CK41" s="927"/>
    </row>
    <row r="42">
      <c r="A42" s="876" t="s">
        <v>7469</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5164</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1259</v>
      </c>
      <c r="D45" s="830" t="s">
        <v>1259</v>
      </c>
      <c r="E45" s="831" t="s">
        <v>1259</v>
      </c>
      <c r="F45" s="832" t="s">
        <v>1259</v>
      </c>
      <c r="G45" s="833" t="s">
        <v>333</v>
      </c>
      <c r="H45" s="877"/>
      <c r="I45" s="877"/>
      <c r="J45" s="878" t="s">
        <v>7474</v>
      </c>
      <c r="K45" s="878"/>
      <c r="L45" s="878"/>
      <c r="M45" s="878" t="s">
        <v>7475</v>
      </c>
      <c r="N45" s="877"/>
      <c r="O45" s="878" t="s">
        <v>7476</v>
      </c>
      <c r="P45" s="839"/>
      <c r="Q45" s="882"/>
      <c r="R45" s="881" t="s">
        <v>5052</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2778</v>
      </c>
      <c r="B47" s="833" t="s">
        <v>981</v>
      </c>
      <c r="C47" s="829" t="s">
        <v>1259</v>
      </c>
      <c r="D47" s="830" t="s">
        <v>1259</v>
      </c>
      <c r="E47" s="831" t="s">
        <v>1259</v>
      </c>
      <c r="F47" s="832" t="s">
        <v>1259</v>
      </c>
      <c r="G47" s="833" t="s">
        <v>647</v>
      </c>
      <c r="H47" s="877"/>
      <c r="I47" s="877"/>
      <c r="J47" s="877"/>
      <c r="K47" s="877"/>
      <c r="L47" s="1026" t="s">
        <v>7485</v>
      </c>
      <c r="M47" s="955" t="s">
        <v>2825</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7488</v>
      </c>
      <c r="AS48" s="890"/>
      <c r="AT48" s="890"/>
      <c r="AU48" s="890"/>
      <c r="AV48" s="890"/>
      <c r="AW48" s="889" t="s">
        <v>885</v>
      </c>
      <c r="AX48" s="890"/>
      <c r="AY48" s="890"/>
      <c r="AZ48" s="855"/>
      <c r="BA48" s="918"/>
      <c r="BB48" s="918"/>
      <c r="BC48" s="919" t="s">
        <v>2137</v>
      </c>
      <c r="BD48" s="918"/>
      <c r="BE48" s="918"/>
      <c r="BF48" s="855"/>
      <c r="BG48" s="901"/>
      <c r="BH48" s="901"/>
      <c r="BI48" s="901"/>
      <c r="BJ48" s="901"/>
      <c r="BK48" s="901"/>
      <c r="BL48" s="901"/>
      <c r="BM48" s="901"/>
      <c r="BN48" s="839"/>
      <c r="BO48" s="904" t="s">
        <v>7489</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2" t="s">
        <v>7493</v>
      </c>
      <c r="AA50" s="991"/>
      <c r="AB50" s="886" t="s">
        <v>813</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3067</v>
      </c>
      <c r="C53" s="829" t="s">
        <v>1259</v>
      </c>
      <c r="D53" s="830" t="s">
        <v>1259</v>
      </c>
      <c r="E53" s="831" t="s">
        <v>1259</v>
      </c>
      <c r="F53" s="832" t="s">
        <v>1259</v>
      </c>
      <c r="G53" s="833" t="s">
        <v>647</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2056</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1259</v>
      </c>
      <c r="D62" s="830" t="s">
        <v>1259</v>
      </c>
      <c r="E62" s="831" t="s">
        <v>1259</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1550</v>
      </c>
      <c r="E1" s="1043" t="s">
        <v>7531</v>
      </c>
      <c r="F1" s="1044" t="s">
        <v>2464</v>
      </c>
      <c r="G1" s="1042" t="s">
        <v>979</v>
      </c>
      <c r="H1" s="1042" t="s">
        <v>7532</v>
      </c>
      <c r="I1" s="1042" t="s">
        <v>7533</v>
      </c>
      <c r="J1" s="1043" t="s">
        <v>7534</v>
      </c>
      <c r="K1" s="1042" t="s">
        <v>7051</v>
      </c>
      <c r="L1" s="1042" t="s">
        <v>7535</v>
      </c>
      <c r="M1" s="1043" t="s">
        <v>7536</v>
      </c>
      <c r="N1" s="1042" t="s">
        <v>738</v>
      </c>
      <c r="O1" s="1042" t="s">
        <v>7537</v>
      </c>
      <c r="P1" s="1042" t="s">
        <v>1051</v>
      </c>
      <c r="Q1" s="1045" t="s">
        <v>7538</v>
      </c>
      <c r="R1" s="1046" t="s">
        <v>7539</v>
      </c>
      <c r="S1" s="1042" t="s">
        <v>1876</v>
      </c>
      <c r="T1" s="1042" t="s">
        <v>7540</v>
      </c>
      <c r="U1" s="1042" t="s">
        <v>7294</v>
      </c>
      <c r="V1" s="1043" t="s">
        <v>7541</v>
      </c>
      <c r="W1" s="1042" t="s">
        <v>2652</v>
      </c>
      <c r="X1" s="1042" t="s">
        <v>7542</v>
      </c>
      <c r="Y1" s="1042" t="s">
        <v>7167</v>
      </c>
      <c r="Z1" s="1042" t="s">
        <v>4060</v>
      </c>
      <c r="AA1" s="1042" t="s">
        <v>7543</v>
      </c>
      <c r="AB1" s="1042" t="s">
        <v>6790</v>
      </c>
      <c r="AC1" s="1042" t="s">
        <v>3578</v>
      </c>
      <c r="AD1" s="1042" t="s">
        <v>7240</v>
      </c>
      <c r="AE1" s="1042" t="s">
        <v>7544</v>
      </c>
      <c r="AF1" s="1042" t="s">
        <v>7545</v>
      </c>
      <c r="AG1" s="1042" t="s">
        <v>1196</v>
      </c>
      <c r="AH1" s="1042" t="s">
        <v>218</v>
      </c>
      <c r="AI1" s="1042" t="s">
        <v>1632</v>
      </c>
      <c r="AJ1" s="1042" t="s">
        <v>2086</v>
      </c>
      <c r="AK1" s="1042" t="s">
        <v>7546</v>
      </c>
      <c r="AL1" s="1042" t="s">
        <v>7547</v>
      </c>
      <c r="AM1" s="1042" t="s">
        <v>7548</v>
      </c>
      <c r="AN1" s="1042" t="s">
        <v>2025</v>
      </c>
      <c r="AO1" s="1042" t="s">
        <v>7549</v>
      </c>
      <c r="AP1" s="1042" t="s">
        <v>7550</v>
      </c>
      <c r="AQ1" s="1042" t="s">
        <v>6035</v>
      </c>
      <c r="AR1" s="1042" t="s">
        <v>7551</v>
      </c>
      <c r="AS1" s="1042" t="s">
        <v>7552</v>
      </c>
      <c r="AT1" s="1042" t="s">
        <v>7553</v>
      </c>
      <c r="AU1" s="1046" t="s">
        <v>7554</v>
      </c>
      <c r="AV1" s="1042" t="s">
        <v>3200</v>
      </c>
      <c r="AW1" s="1042" t="s">
        <v>3911</v>
      </c>
      <c r="AX1" s="1042" t="s">
        <v>5907</v>
      </c>
      <c r="AY1" s="1042" t="s">
        <v>7555</v>
      </c>
      <c r="AZ1" s="1042" t="s">
        <v>5347</v>
      </c>
      <c r="BA1" s="1046" t="s">
        <v>4686</v>
      </c>
      <c r="BB1" s="1042" t="s">
        <v>824</v>
      </c>
      <c r="BC1" s="1042" t="s">
        <v>644</v>
      </c>
      <c r="BD1" s="1042" t="s">
        <v>7556</v>
      </c>
      <c r="BE1" s="1043" t="s">
        <v>7288</v>
      </c>
      <c r="BF1" s="1042" t="s">
        <v>7490</v>
      </c>
      <c r="BG1" s="1042" t="s">
        <v>7498</v>
      </c>
      <c r="BH1" s="1042" t="s">
        <v>1721</v>
      </c>
      <c r="BI1" s="1046" t="s">
        <v>6667</v>
      </c>
      <c r="BJ1" s="1046" t="s">
        <v>6628</v>
      </c>
      <c r="BK1" s="1046" t="s">
        <v>1806</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907</v>
      </c>
      <c r="E4" s="1061" t="s">
        <v>334</v>
      </c>
      <c r="F4" s="1062"/>
      <c r="G4" s="1063" t="s">
        <v>1046</v>
      </c>
      <c r="H4" s="1064" t="s">
        <v>1260</v>
      </c>
      <c r="I4" s="1065" t="s">
        <v>2474</v>
      </c>
      <c r="J4" s="1063" t="str">
        <f>HYPERLINK("https://youtu.be/BAG8a3WI9KM","52.27")</f>
        <v>52.27</v>
      </c>
      <c r="K4" s="1063" t="s">
        <v>2622</v>
      </c>
      <c r="L4" s="1066" t="s">
        <v>2063</v>
      </c>
      <c r="M4" s="1063" t="s">
        <v>441</v>
      </c>
      <c r="N4" s="1066" t="s">
        <v>742</v>
      </c>
      <c r="O4" s="1063" t="str">
        <f>HYPERLINK("https://youtu.be/qv_H1NgDIQ8","53.73")</f>
        <v>53.73</v>
      </c>
      <c r="P4" s="1063" t="s">
        <v>2993</v>
      </c>
      <c r="Q4" s="1065" t="s">
        <v>1304</v>
      </c>
      <c r="R4" s="1067" t="s">
        <v>7561</v>
      </c>
      <c r="S4" s="1063" t="str">
        <f>HYPERLINK("https://clips.twitch.tv/ZealousSeductiveOkapiCharlieBitMe","51.96")</f>
        <v>51.96</v>
      </c>
      <c r="T4" s="1066"/>
      <c r="U4" s="1063" t="s">
        <v>1799</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7121</v>
      </c>
      <c r="D5" s="1071" t="s">
        <v>7564</v>
      </c>
      <c r="E5" s="1071" t="s">
        <v>7565</v>
      </c>
      <c r="F5" s="1072"/>
      <c r="G5" s="1071"/>
      <c r="H5" s="1064" t="s">
        <v>7566</v>
      </c>
      <c r="I5" s="1065" t="s">
        <v>7567</v>
      </c>
      <c r="J5" s="1071" t="s">
        <v>7568</v>
      </c>
      <c r="K5" s="1071"/>
      <c r="L5" s="1071" t="s">
        <v>3661</v>
      </c>
      <c r="M5" s="1071"/>
      <c r="N5" s="1071"/>
      <c r="O5" s="1071" t="s">
        <v>7569</v>
      </c>
      <c r="P5" s="1071" t="str">
        <f>HYPERLINK("https://youtu.be/y9FQ4EcrohI", "1:21.52")</f>
        <v>1:21.52</v>
      </c>
      <c r="Q5" s="1065" t="s">
        <v>7570</v>
      </c>
      <c r="R5" s="1073" t="s">
        <v>7571</v>
      </c>
      <c r="S5" s="1071"/>
      <c r="T5" s="1071" t="s">
        <v>7121</v>
      </c>
      <c r="U5" s="1071" t="s">
        <v>2588</v>
      </c>
      <c r="V5" s="1071"/>
      <c r="W5" s="1071"/>
      <c r="X5" s="1071"/>
      <c r="Y5" s="1071"/>
      <c r="Z5" s="1071"/>
      <c r="AA5" s="1071"/>
      <c r="AB5" s="1071"/>
      <c r="AC5" s="1071" t="s">
        <v>7572</v>
      </c>
      <c r="AD5" s="1071"/>
      <c r="AE5" s="1071"/>
      <c r="AF5" s="1071" t="s">
        <v>7573</v>
      </c>
      <c r="AG5" s="1071"/>
      <c r="AH5" s="1071"/>
      <c r="AI5" s="1071"/>
      <c r="AJ5" s="1071"/>
      <c r="AK5" s="1071"/>
      <c r="AL5" s="1063" t="s">
        <v>4428</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1555</v>
      </c>
      <c r="E6" s="1063" t="s">
        <v>335</v>
      </c>
      <c r="F6" s="1077" t="s">
        <v>2467</v>
      </c>
      <c r="G6" s="1063" t="s">
        <v>6962</v>
      </c>
      <c r="H6" s="1064" t="s">
        <v>1261</v>
      </c>
      <c r="I6" s="1065" t="s">
        <v>7575</v>
      </c>
      <c r="J6" s="1063" t="str">
        <f>HYPERLINK("https://youtu.be/ZP_d48CVxG0","1:19.30")</f>
        <v>1:19.30</v>
      </c>
      <c r="K6" s="1066"/>
      <c r="L6" s="1066"/>
      <c r="M6" s="1066" t="s">
        <v>102</v>
      </c>
      <c r="N6" s="1066" t="s">
        <v>743</v>
      </c>
      <c r="O6" s="1066" t="s">
        <v>4610</v>
      </c>
      <c r="P6" s="1063" t="s">
        <v>1057</v>
      </c>
      <c r="Q6" s="1065" t="s">
        <v>6765</v>
      </c>
      <c r="R6" s="1078" t="s">
        <v>7576</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2124</v>
      </c>
      <c r="D7" s="1082"/>
      <c r="E7" s="1082"/>
      <c r="F7" s="1062"/>
      <c r="G7" s="1082"/>
      <c r="H7" s="1083"/>
      <c r="I7" s="1082"/>
      <c r="J7" s="1082"/>
      <c r="K7" s="1082"/>
      <c r="L7" s="1082"/>
      <c r="M7" s="1082"/>
      <c r="N7" s="1082"/>
      <c r="O7" s="1082"/>
      <c r="P7" s="1082"/>
      <c r="Q7" s="1082"/>
      <c r="R7" s="1078" t="s">
        <v>7579</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1373</v>
      </c>
      <c r="K8" s="1071"/>
      <c r="L8" s="1071"/>
      <c r="M8" s="1071" t="s">
        <v>1139</v>
      </c>
      <c r="N8" s="1071" t="s">
        <v>1139</v>
      </c>
      <c r="O8" s="1071" t="s">
        <v>7583</v>
      </c>
      <c r="P8" s="1071"/>
      <c r="Q8" s="1065"/>
      <c r="R8" s="1073" t="s">
        <v>7584</v>
      </c>
      <c r="S8" s="1071" t="s">
        <v>5876</v>
      </c>
      <c r="T8" s="1071" t="s">
        <v>3862</v>
      </c>
      <c r="U8" s="1071" t="s">
        <v>7585</v>
      </c>
      <c r="V8" s="1071" t="s">
        <v>7586</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2329</v>
      </c>
      <c r="D9" s="1082"/>
      <c r="E9" s="1082"/>
      <c r="F9" s="1062"/>
      <c r="G9" s="1082"/>
      <c r="H9" s="1064" t="s">
        <v>1409</v>
      </c>
      <c r="I9" s="1082"/>
      <c r="J9" s="1082"/>
      <c r="K9" s="1082"/>
      <c r="L9" s="1082"/>
      <c r="M9" s="1082"/>
      <c r="N9" s="1082"/>
      <c r="O9" s="1082"/>
      <c r="P9" s="1082" t="s">
        <v>633</v>
      </c>
      <c r="Q9" s="1082"/>
      <c r="R9" s="1078" t="s">
        <v>7589</v>
      </c>
      <c r="S9" s="1082"/>
      <c r="T9" s="1082" t="s">
        <v>2329</v>
      </c>
      <c r="U9" s="1082"/>
      <c r="V9" s="1082"/>
      <c r="W9" s="1082"/>
      <c r="X9" s="1082"/>
      <c r="Y9" s="1082"/>
      <c r="Z9" s="1082"/>
      <c r="AA9" s="1082"/>
      <c r="AB9" s="1082"/>
      <c r="AC9" s="1082"/>
      <c r="AD9" s="1082"/>
      <c r="AE9" s="1082" t="s">
        <v>2631</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2580</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2580</v>
      </c>
      <c r="BL10" s="1074"/>
      <c r="BM10" s="1074"/>
      <c r="BN10" s="1074"/>
      <c r="BO10" s="1074"/>
    </row>
    <row r="11" ht="15.75" customHeight="1">
      <c r="A11" s="1087"/>
      <c r="B11" s="1088" t="s">
        <v>7574</v>
      </c>
      <c r="C11" s="1059" t="s">
        <v>2178</v>
      </c>
      <c r="D11" s="1066"/>
      <c r="E11" s="1063" t="s">
        <v>1243</v>
      </c>
      <c r="F11" s="1089" t="s">
        <v>5076</v>
      </c>
      <c r="G11" s="1066"/>
      <c r="H11" s="1064" t="s">
        <v>2166</v>
      </c>
      <c r="I11" s="1065" t="s">
        <v>7594</v>
      </c>
      <c r="J11" s="1066"/>
      <c r="K11" s="1066"/>
      <c r="L11" s="1066"/>
      <c r="M11" s="1066"/>
      <c r="N11" s="1066"/>
      <c r="O11" s="1066"/>
      <c r="P11" s="1063" t="s">
        <v>2178</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2350</v>
      </c>
      <c r="D12" s="1071" t="s">
        <v>1789</v>
      </c>
      <c r="E12" s="1071" t="s">
        <v>2833</v>
      </c>
      <c r="F12" s="1091" t="s">
        <v>2350</v>
      </c>
      <c r="G12" s="1071"/>
      <c r="H12" s="1064" t="s">
        <v>7599</v>
      </c>
      <c r="I12" s="1065" t="s">
        <v>7600</v>
      </c>
      <c r="J12" s="1071" t="s">
        <v>7442</v>
      </c>
      <c r="K12" s="1071"/>
      <c r="L12" s="1071" t="s">
        <v>1863</v>
      </c>
      <c r="M12" s="1071"/>
      <c r="N12" s="1071" t="s">
        <v>4506</v>
      </c>
      <c r="O12" s="1071" t="s">
        <v>4796</v>
      </c>
      <c r="P12" s="1071"/>
      <c r="Q12" s="1065" t="s">
        <v>3467</v>
      </c>
      <c r="R12" s="1078" t="s">
        <v>7601</v>
      </c>
      <c r="S12" s="1071" t="s">
        <v>4506</v>
      </c>
      <c r="T12" s="1071"/>
      <c r="U12" s="1071" t="s">
        <v>4384</v>
      </c>
      <c r="V12" s="1071"/>
      <c r="W12" s="1071" t="s">
        <v>653</v>
      </c>
      <c r="X12" s="1071" t="s">
        <v>2902</v>
      </c>
      <c r="Y12" s="1071"/>
      <c r="Z12" s="1071"/>
      <c r="AA12" s="1071"/>
      <c r="AB12" s="1071"/>
      <c r="AC12" s="1071" t="s">
        <v>7602</v>
      </c>
      <c r="AD12" s="1071"/>
      <c r="AE12" s="1071"/>
      <c r="AF12" s="1071"/>
      <c r="AG12" s="1071"/>
      <c r="AH12" s="1071"/>
      <c r="AI12" s="1071"/>
      <c r="AJ12" s="1071"/>
      <c r="AK12" s="1071"/>
      <c r="AL12" s="1066"/>
      <c r="AM12" s="1071"/>
      <c r="AN12" s="1071"/>
      <c r="AO12" s="1071" t="s">
        <v>2034</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4283</v>
      </c>
      <c r="D13" s="1024" t="s">
        <v>1556</v>
      </c>
      <c r="E13" s="1063" t="s">
        <v>336</v>
      </c>
      <c r="F13" s="1077" t="s">
        <v>2468</v>
      </c>
      <c r="G13" s="1063" t="s">
        <v>4283</v>
      </c>
      <c r="H13" s="1064" t="s">
        <v>1262</v>
      </c>
      <c r="I13" s="1065" t="s">
        <v>2196</v>
      </c>
      <c r="J13" s="1066" t="s">
        <v>7604</v>
      </c>
      <c r="K13" s="1063" t="s">
        <v>723</v>
      </c>
      <c r="L13" s="1066"/>
      <c r="M13" s="1066" t="s">
        <v>2350</v>
      </c>
      <c r="N13" s="1063" t="s">
        <v>2109</v>
      </c>
      <c r="O13" s="1066" t="s">
        <v>7605</v>
      </c>
      <c r="P13" s="1063" t="s">
        <v>7606</v>
      </c>
      <c r="Q13" s="1065" t="s">
        <v>2833</v>
      </c>
      <c r="R13" s="1093"/>
      <c r="S13" s="1066" t="s">
        <v>3881</v>
      </c>
      <c r="T13" s="1066"/>
      <c r="U13" s="1063" t="s">
        <v>7607</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6145</v>
      </c>
      <c r="G14" s="1066" t="s">
        <v>4451</v>
      </c>
      <c r="H14" s="1064" t="str">
        <f>HYPERLINK("https://www.twitch.tv/videos/569558488","14.31")</f>
        <v>14.31</v>
      </c>
      <c r="I14" s="1095" t="s">
        <v>7608</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5445</v>
      </c>
      <c r="S14" s="1071" t="s">
        <v>2281</v>
      </c>
      <c r="T14" s="1071" t="s">
        <v>3914</v>
      </c>
      <c r="U14" s="1071"/>
      <c r="V14" s="1071"/>
      <c r="W14" s="1071"/>
      <c r="X14" s="1071" t="s">
        <v>5673</v>
      </c>
      <c r="Y14" s="1071"/>
      <c r="Z14" s="1071" t="s">
        <v>4525</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1557</v>
      </c>
      <c r="E15" s="1071" t="s">
        <v>443</v>
      </c>
      <c r="F15" s="1097" t="s">
        <v>2469</v>
      </c>
      <c r="G15" s="1066" t="s">
        <v>1059</v>
      </c>
      <c r="H15" s="1064" t="s">
        <v>1263</v>
      </c>
      <c r="I15" s="1065" t="s">
        <v>4665</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1059</v>
      </c>
      <c r="Q15" s="1065" t="s">
        <v>2384</v>
      </c>
      <c r="R15" s="1093"/>
      <c r="S15" s="1071" t="s">
        <v>1951</v>
      </c>
      <c r="T15" s="1071"/>
      <c r="U15" s="1063" t="s">
        <v>2469</v>
      </c>
      <c r="V15" s="1071"/>
      <c r="W15" s="1071"/>
      <c r="X15" s="1071" t="s">
        <v>2630</v>
      </c>
      <c r="Y15" s="1071"/>
      <c r="Z15" s="1071"/>
      <c r="AA15" s="1071"/>
      <c r="AB15" s="1071"/>
      <c r="AC15" s="1071" t="s">
        <v>1421</v>
      </c>
      <c r="AD15" s="1071"/>
      <c r="AE15" s="1071"/>
      <c r="AF15" s="1071" t="s">
        <v>1639</v>
      </c>
      <c r="AG15" s="1071"/>
      <c r="AH15" s="1071"/>
      <c r="AI15" s="1071" t="s">
        <v>1639</v>
      </c>
      <c r="AJ15" s="1071" t="s">
        <v>1059</v>
      </c>
      <c r="AK15" s="1071"/>
      <c r="AL15" s="1063" t="s">
        <v>1951</v>
      </c>
      <c r="AM15" s="1071" t="s">
        <v>1812</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2735</v>
      </c>
      <c r="D16" s="1071" t="s">
        <v>5556</v>
      </c>
      <c r="E16" s="1071"/>
      <c r="F16" s="1091" t="s">
        <v>2147</v>
      </c>
      <c r="G16" s="1071"/>
      <c r="H16" s="1083"/>
      <c r="I16" s="1065" t="s">
        <v>2133</v>
      </c>
      <c r="J16" s="1071"/>
      <c r="K16" s="1071"/>
      <c r="L16" s="1071"/>
      <c r="M16" s="1071"/>
      <c r="N16" s="1071" t="s">
        <v>2735</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944</v>
      </c>
      <c r="G17" s="1066" t="s">
        <v>7615</v>
      </c>
      <c r="H17" s="1064" t="s">
        <v>2260</v>
      </c>
      <c r="I17" s="1065"/>
      <c r="J17" s="1066"/>
      <c r="K17" s="1063" t="s">
        <v>7616</v>
      </c>
      <c r="L17" s="1066"/>
      <c r="M17" s="1066" t="s">
        <v>7616</v>
      </c>
      <c r="N17" s="1066"/>
      <c r="O17" s="1066"/>
      <c r="P17" s="1063" t="s">
        <v>1988</v>
      </c>
      <c r="Q17" s="1065" t="s">
        <v>7617</v>
      </c>
      <c r="R17" s="1067"/>
      <c r="S17" s="1066" t="s">
        <v>7618</v>
      </c>
      <c r="T17" s="1066"/>
      <c r="U17" s="1066"/>
      <c r="V17" s="1066" t="s">
        <v>2735</v>
      </c>
      <c r="W17" s="1066"/>
      <c r="X17" s="1066"/>
      <c r="Y17" s="1066" t="s">
        <v>7616</v>
      </c>
      <c r="Z17" s="1066"/>
      <c r="AA17" s="1063" t="s">
        <v>1988</v>
      </c>
      <c r="AB17" s="1066"/>
      <c r="AC17" s="1066"/>
      <c r="AD17" s="1066"/>
      <c r="AE17" s="1066"/>
      <c r="AF17" s="1066"/>
      <c r="AG17" s="1066"/>
      <c r="AH17" s="1063" t="s">
        <v>7613</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3621</v>
      </c>
      <c r="E18" s="1071" t="s">
        <v>1172</v>
      </c>
      <c r="F18" s="1072"/>
      <c r="G18" s="1071"/>
      <c r="H18" s="1064" t="s">
        <v>4452</v>
      </c>
      <c r="I18" s="1065"/>
      <c r="J18" s="1071" t="s">
        <v>4220</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2868</v>
      </c>
      <c r="D19" s="1071"/>
      <c r="E19" s="1071" t="s">
        <v>879</v>
      </c>
      <c r="F19" s="1062"/>
      <c r="G19" s="1071"/>
      <c r="H19" s="1083"/>
      <c r="I19" s="1065"/>
      <c r="J19" s="1071"/>
      <c r="K19" s="1071"/>
      <c r="L19" s="1071" t="s">
        <v>6728</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1558</v>
      </c>
      <c r="E20" s="1071" t="s">
        <v>417</v>
      </c>
      <c r="F20" s="1097" t="s">
        <v>2126</v>
      </c>
      <c r="G20" s="1071" t="s">
        <v>4390</v>
      </c>
      <c r="H20" s="1064" t="s">
        <v>1264</v>
      </c>
      <c r="I20" s="1065" t="s">
        <v>3966</v>
      </c>
      <c r="J20" s="1071" t="str">
        <f>HYPERLINK("https://clips.twitch.tv/EnergeticBeautifulMallardRalpherZ","42.96")</f>
        <v>42.96</v>
      </c>
      <c r="K20" s="1071" t="s">
        <v>141</v>
      </c>
      <c r="L20" s="1063" t="s">
        <v>2834</v>
      </c>
      <c r="M20" s="1071" t="s">
        <v>625</v>
      </c>
      <c r="N20" s="1071" t="s">
        <v>589</v>
      </c>
      <c r="O20" s="1071" t="s">
        <v>1889</v>
      </c>
      <c r="P20" s="1071" t="s">
        <v>657</v>
      </c>
      <c r="Q20" s="1065" t="s">
        <v>3302</v>
      </c>
      <c r="R20" s="1093"/>
      <c r="S20" s="1071" t="s">
        <v>1558</v>
      </c>
      <c r="T20" s="1071"/>
      <c r="U20" s="1071" t="s">
        <v>7628</v>
      </c>
      <c r="V20" s="1071"/>
      <c r="W20" s="1063" t="s">
        <v>5743</v>
      </c>
      <c r="X20" s="1071" t="s">
        <v>7629</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2735</v>
      </c>
      <c r="D23" s="1101"/>
      <c r="E23" s="1101" t="s">
        <v>160</v>
      </c>
      <c r="F23" s="1062"/>
      <c r="G23" s="1101"/>
      <c r="H23" s="1083" t="s">
        <v>4172</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3896</v>
      </c>
      <c r="F24" s="1089" t="s">
        <v>4264</v>
      </c>
      <c r="G24" s="1071" t="s">
        <v>7639</v>
      </c>
      <c r="H24" s="1083"/>
      <c r="I24" s="1065"/>
      <c r="J24" s="1071"/>
      <c r="K24" s="1071"/>
      <c r="L24" s="1071"/>
      <c r="M24" s="1071" t="s">
        <v>782</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3416</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2836</v>
      </c>
      <c r="D27" s="1063" t="s">
        <v>1560</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2471</v>
      </c>
      <c r="G28" s="1071"/>
      <c r="H28" s="1064" t="s">
        <v>1266</v>
      </c>
      <c r="I28" s="1065"/>
      <c r="J28" s="1071"/>
      <c r="K28" s="1071" t="s">
        <v>7655</v>
      </c>
      <c r="L28" s="1071" t="s">
        <v>7656</v>
      </c>
      <c r="M28" s="1071"/>
      <c r="N28" s="1071"/>
      <c r="O28" s="1071"/>
      <c r="P28" s="1071" t="s">
        <v>7657</v>
      </c>
      <c r="Q28" s="1065" t="s">
        <v>7658</v>
      </c>
      <c r="R28" s="1074"/>
      <c r="S28" s="1071" t="s">
        <v>7659</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2964</v>
      </c>
      <c r="D30" s="1071"/>
      <c r="E30" s="1071" t="s">
        <v>2964</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4273</v>
      </c>
      <c r="D31" s="1071"/>
      <c r="E31" s="1071" t="s">
        <v>1965</v>
      </c>
      <c r="F31" s="1110" t="s">
        <v>5759</v>
      </c>
      <c r="G31" s="1071"/>
      <c r="H31" s="1083"/>
      <c r="I31" s="1065"/>
      <c r="J31" s="1071" t="s">
        <v>4937</v>
      </c>
      <c r="K31" s="1071" t="s">
        <v>769</v>
      </c>
      <c r="L31" s="1071" t="s">
        <v>3417</v>
      </c>
      <c r="M31" s="1071"/>
      <c r="N31" s="1071" t="s">
        <v>1447</v>
      </c>
      <c r="O31" s="1071" t="s">
        <v>5759</v>
      </c>
      <c r="P31" s="1071"/>
      <c r="Q31" s="1065"/>
      <c r="R31" s="1067" t="s">
        <v>2479</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2044</v>
      </c>
      <c r="D32" s="1071"/>
      <c r="E32" s="1071" t="s">
        <v>1425</v>
      </c>
      <c r="F32" s="1072"/>
      <c r="G32" s="1071"/>
      <c r="H32" s="1064" t="s">
        <v>4944</v>
      </c>
      <c r="I32" s="1065"/>
      <c r="J32" s="1071" t="s">
        <v>1965</v>
      </c>
      <c r="K32" s="1071" t="s">
        <v>2044</v>
      </c>
      <c r="L32" s="1071" t="s">
        <v>876</v>
      </c>
      <c r="M32" s="1071"/>
      <c r="N32" s="1071" t="s">
        <v>2887</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2887</v>
      </c>
      <c r="D34" s="1071"/>
      <c r="E34" s="1071" t="s">
        <v>3178</v>
      </c>
      <c r="F34" s="1072"/>
      <c r="G34" s="1071"/>
      <c r="H34" s="1083"/>
      <c r="I34" s="1065"/>
      <c r="J34" s="1071"/>
      <c r="K34" s="1071"/>
      <c r="L34" s="1071" t="s">
        <v>4273</v>
      </c>
      <c r="M34" s="1071"/>
      <c r="N34" s="1071" t="s">
        <v>2887</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3754</v>
      </c>
      <c r="D35" s="1071"/>
      <c r="E35" s="1071" t="s">
        <v>3417</v>
      </c>
      <c r="F35" s="1062"/>
      <c r="G35" s="1071"/>
      <c r="H35" s="1083"/>
      <c r="I35" s="1095" t="s">
        <v>7668</v>
      </c>
      <c r="J35" s="1071"/>
      <c r="K35" s="1071" t="s">
        <v>3754</v>
      </c>
      <c r="L35" s="1071" t="s">
        <v>3884</v>
      </c>
      <c r="M35" s="1071"/>
      <c r="N35" s="1071" t="s">
        <v>5443</v>
      </c>
      <c r="O35" s="1071"/>
      <c r="P35" s="1071"/>
      <c r="Q35" s="1065"/>
      <c r="R35" s="1068"/>
      <c r="S35" s="1071" t="s">
        <v>7669</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4153</v>
      </c>
      <c r="D36" s="1071"/>
      <c r="E36" s="1071" t="s">
        <v>3856</v>
      </c>
      <c r="F36" s="1072"/>
      <c r="G36" s="1071"/>
      <c r="H36" s="1083"/>
      <c r="I36" s="1065"/>
      <c r="J36" s="1071"/>
      <c r="K36" s="1071" t="s">
        <v>4153</v>
      </c>
      <c r="L36" s="1071" t="s">
        <v>7671</v>
      </c>
      <c r="M36" s="1071" t="s">
        <v>2274</v>
      </c>
      <c r="N36" s="1071" t="s">
        <v>2887</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2320</v>
      </c>
      <c r="D37" s="1071" t="s">
        <v>1561</v>
      </c>
      <c r="E37" s="1071" t="s">
        <v>3754</v>
      </c>
      <c r="F37" s="1091" t="s">
        <v>3164</v>
      </c>
      <c r="G37" s="1071"/>
      <c r="H37" s="1083"/>
      <c r="I37" s="1065"/>
      <c r="J37" s="1071" t="s">
        <v>7673</v>
      </c>
      <c r="K37" s="1071" t="s">
        <v>2320</v>
      </c>
      <c r="L37" s="1071" t="s">
        <v>2274</v>
      </c>
      <c r="M37" s="1071"/>
      <c r="N37" s="1071" t="s">
        <v>7671</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760</v>
      </c>
      <c r="D38" s="1071"/>
      <c r="E38" s="1071" t="s">
        <v>4017</v>
      </c>
      <c r="F38" s="1077" t="s">
        <v>2472</v>
      </c>
      <c r="G38" s="1071" t="s">
        <v>760</v>
      </c>
      <c r="H38" s="1064" t="s">
        <v>3832</v>
      </c>
      <c r="I38" s="1065"/>
      <c r="J38" s="1071" t="s">
        <v>2034</v>
      </c>
      <c r="K38" s="1071" t="s">
        <v>1136</v>
      </c>
      <c r="L38" s="1071" t="s">
        <v>4909</v>
      </c>
      <c r="M38" s="1071"/>
      <c r="N38" s="1071"/>
      <c r="O38" s="1071"/>
      <c r="P38" s="1071" t="s">
        <v>2034</v>
      </c>
      <c r="Q38" s="1065" t="s">
        <v>2532</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4377</v>
      </c>
      <c r="D39" s="1071" t="s">
        <v>7676</v>
      </c>
      <c r="E39" s="1071" t="s">
        <v>4377</v>
      </c>
      <c r="F39" s="1091" t="s">
        <v>7677</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7678</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2581</v>
      </c>
      <c r="D40" s="1071" t="s">
        <v>2696</v>
      </c>
      <c r="E40" s="1071" t="s">
        <v>3430</v>
      </c>
      <c r="F40" s="1089" t="s">
        <v>5076</v>
      </c>
      <c r="G40" s="1071" t="s">
        <v>7680</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2581</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2722</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1562</v>
      </c>
      <c r="E42" s="1063" t="s">
        <v>342</v>
      </c>
      <c r="F42" s="1097" t="s">
        <v>342</v>
      </c>
      <c r="G42" s="1063" t="s">
        <v>233</v>
      </c>
      <c r="H42" s="1064" t="s">
        <v>554</v>
      </c>
      <c r="I42" s="1065" t="s">
        <v>904</v>
      </c>
      <c r="J42" s="1063" t="s">
        <v>109</v>
      </c>
      <c r="K42" s="1063" t="s">
        <v>554</v>
      </c>
      <c r="L42" s="1063" t="s">
        <v>2786</v>
      </c>
      <c r="M42" s="1066" t="s">
        <v>554</v>
      </c>
      <c r="N42" s="1063" t="s">
        <v>109</v>
      </c>
      <c r="O42" s="1066" t="s">
        <v>455</v>
      </c>
      <c r="P42" s="1063" t="s">
        <v>554</v>
      </c>
      <c r="Q42" s="1065" t="s">
        <v>342</v>
      </c>
      <c r="R42" s="1093" t="s">
        <v>305</v>
      </c>
      <c r="S42" s="1066"/>
      <c r="T42" s="1066"/>
      <c r="U42" s="1066"/>
      <c r="V42" s="1066"/>
      <c r="W42" s="1063" t="s">
        <v>2659</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7685</v>
      </c>
      <c r="B43" s="1058" t="s">
        <v>7686</v>
      </c>
      <c r="C43" s="1059" t="s">
        <v>4968</v>
      </c>
      <c r="D43" s="1024" t="s">
        <v>1563</v>
      </c>
      <c r="E43" s="1113"/>
      <c r="F43" s="1062"/>
      <c r="G43" s="1113"/>
      <c r="H43" s="1083"/>
      <c r="I43" s="1095" t="s">
        <v>7687</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2408</v>
      </c>
      <c r="D44" s="1021" t="s">
        <v>1357</v>
      </c>
      <c r="E44" s="1071" t="s">
        <v>2408</v>
      </c>
      <c r="F44" s="1062"/>
      <c r="G44" s="1071"/>
      <c r="H44" s="1083"/>
      <c r="I44" s="1065" t="s">
        <v>805</v>
      </c>
      <c r="J44" s="1071" t="str">
        <f>HYPERLINK("https://youtu.be/t-1yqXLdZMA","38.05")</f>
        <v>38.05</v>
      </c>
      <c r="K44" s="1071" t="s">
        <v>7690</v>
      </c>
      <c r="L44" s="1071" t="s">
        <v>2276</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648</v>
      </c>
      <c r="E46" s="1071" t="s">
        <v>2847</v>
      </c>
      <c r="F46" s="1062"/>
      <c r="G46" s="1071"/>
      <c r="H46" s="1083"/>
      <c r="I46" s="1065"/>
      <c r="J46" s="1071" t="s">
        <v>1636</v>
      </c>
      <c r="K46" s="1071"/>
      <c r="L46" s="1071" t="s">
        <v>2175</v>
      </c>
      <c r="M46" s="1071" t="s">
        <v>277</v>
      </c>
      <c r="N46" s="1071" t="s">
        <v>781</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2639</v>
      </c>
      <c r="D47" s="1065"/>
      <c r="E47" s="1065"/>
      <c r="F47" s="1072"/>
      <c r="G47" s="1065"/>
      <c r="H47" s="1083"/>
      <c r="I47" s="1065"/>
      <c r="J47" s="1063" t="s">
        <v>2639</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5488</v>
      </c>
      <c r="D49" s="1117" t="s">
        <v>6161</v>
      </c>
      <c r="E49" s="1065"/>
      <c r="F49" s="1072"/>
      <c r="G49" s="1065" t="s">
        <v>6161</v>
      </c>
      <c r="H49" s="1083"/>
      <c r="I49" s="1065" t="s">
        <v>7699</v>
      </c>
      <c r="J49" s="1063" t="s">
        <v>5488</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1271</v>
      </c>
      <c r="I53" s="1065" t="s">
        <v>7710</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1911</v>
      </c>
      <c r="D55" s="1071"/>
      <c r="E55" s="1071" t="s">
        <v>1478</v>
      </c>
      <c r="F55" s="1062"/>
      <c r="G55" s="1071"/>
      <c r="H55" s="1064" t="s">
        <v>2018</v>
      </c>
      <c r="I55" s="1131"/>
      <c r="J55" s="1071" t="s">
        <v>2662</v>
      </c>
      <c r="K55" s="1071" t="s">
        <v>1911</v>
      </c>
      <c r="L55" s="1071" t="s">
        <v>7713</v>
      </c>
      <c r="M55" s="1071" t="s">
        <v>907</v>
      </c>
      <c r="N55" s="1071" t="s">
        <v>751</v>
      </c>
      <c r="O55" s="1071" t="s">
        <v>3002</v>
      </c>
      <c r="P55" s="1071"/>
      <c r="Q55" s="1065" t="s">
        <v>3486</v>
      </c>
      <c r="R55" s="1132" t="s">
        <v>7714</v>
      </c>
      <c r="S55" s="1071" t="s">
        <v>122</v>
      </c>
      <c r="T55" s="1071" t="s">
        <v>7715</v>
      </c>
      <c r="U55" s="1071"/>
      <c r="V55" s="1071"/>
      <c r="W55" s="1071" t="s">
        <v>3556</v>
      </c>
      <c r="X55" s="1071" t="s">
        <v>2789</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491</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4306</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2148</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2725</v>
      </c>
      <c r="F63" s="1146" t="s">
        <v>1076</v>
      </c>
      <c r="G63" s="1064" t="s">
        <v>620</v>
      </c>
      <c r="H63" s="1064" t="s">
        <v>7724</v>
      </c>
      <c r="I63" s="1131"/>
      <c r="J63" s="1108"/>
      <c r="K63" s="1108"/>
      <c r="L63" s="1108"/>
      <c r="M63" s="1108"/>
      <c r="N63" s="1108"/>
      <c r="O63" s="1108"/>
      <c r="P63" s="1064" t="s">
        <v>3992</v>
      </c>
      <c r="Q63" s="1065" t="s">
        <v>7725</v>
      </c>
      <c r="R63" s="1074"/>
      <c r="S63" s="1108" t="s">
        <v>7625</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4147</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2474</v>
      </c>
      <c r="D66" s="1113" t="s">
        <v>7731</v>
      </c>
      <c r="E66" s="1113"/>
      <c r="F66" s="1146" t="s">
        <v>2474</v>
      </c>
      <c r="G66" s="1113" t="s">
        <v>2263</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3751</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4229</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2688</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2357</v>
      </c>
      <c r="E71" s="1071" t="s">
        <v>3452</v>
      </c>
      <c r="F71" s="1146" t="s">
        <v>7745</v>
      </c>
      <c r="G71" s="1071" t="s">
        <v>572</v>
      </c>
      <c r="H71" s="1083"/>
      <c r="I71" s="1142" t="s">
        <v>6287</v>
      </c>
      <c r="J71" s="1071"/>
      <c r="K71" s="1071" t="s">
        <v>7745</v>
      </c>
      <c r="L71" s="1071"/>
      <c r="M71" s="1071"/>
      <c r="N71" s="1071" t="s">
        <v>3452</v>
      </c>
      <c r="O71" s="1071"/>
      <c r="P71" s="1071"/>
      <c r="Q71" s="1065"/>
      <c r="R71" s="1132" t="s">
        <v>7746</v>
      </c>
      <c r="S71" s="1071"/>
      <c r="T71" s="1071"/>
      <c r="U71" s="1071"/>
      <c r="V71" s="1071" t="s">
        <v>2845</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7749</v>
      </c>
      <c r="S72" s="1156" t="str">
        <f>HYPERLINK("https://clips.twitch.tv/ThankfulSpoopyHerdWOOP","16.58")</f>
        <v>16.58</v>
      </c>
      <c r="T72" s="1156"/>
      <c r="U72" s="1156"/>
      <c r="V72" s="1156"/>
      <c r="W72" s="1156"/>
      <c r="X72" s="1156" t="s">
        <v>7750</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3588</v>
      </c>
      <c r="D73" s="1071" t="s">
        <v>528</v>
      </c>
      <c r="E73" s="1071"/>
      <c r="F73" s="1091" t="s">
        <v>342</v>
      </c>
      <c r="G73" s="1071" t="s">
        <v>3952</v>
      </c>
      <c r="H73" s="1064" t="s">
        <v>2218</v>
      </c>
      <c r="I73" s="1131"/>
      <c r="J73" s="1071" t="s">
        <v>403</v>
      </c>
      <c r="K73" s="1071" t="s">
        <v>3273</v>
      </c>
      <c r="L73" s="1071"/>
      <c r="M73" s="1071"/>
      <c r="N73" s="1071"/>
      <c r="O73" s="1071" t="str">
        <f>HYPERLINK("https://youtu.be/1clufi5ICPo","15.10")</f>
        <v>15.10</v>
      </c>
      <c r="P73" s="1071"/>
      <c r="Q73" s="1065"/>
      <c r="R73" s="1157">
        <v>17.35</v>
      </c>
      <c r="S73" s="1071" t="s">
        <v>2667</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662</v>
      </c>
      <c r="D74" s="1071" t="s">
        <v>1273</v>
      </c>
      <c r="E74" s="1113" t="s">
        <v>908</v>
      </c>
      <c r="F74" s="1146" t="s">
        <v>1820</v>
      </c>
      <c r="G74" s="1113" t="s">
        <v>1211</v>
      </c>
      <c r="H74" s="1064" t="s">
        <v>1273</v>
      </c>
      <c r="I74" s="1142" t="s">
        <v>7753</v>
      </c>
      <c r="J74" s="1113" t="s">
        <v>1430</v>
      </c>
      <c r="K74" s="1113" t="s">
        <v>4389</v>
      </c>
      <c r="L74" s="1113" t="s">
        <v>3113</v>
      </c>
      <c r="M74" s="1113" t="s">
        <v>7754</v>
      </c>
      <c r="N74" s="1113" t="s">
        <v>5458</v>
      </c>
      <c r="O74" s="1113" t="s">
        <v>357</v>
      </c>
      <c r="P74" s="1113" t="s">
        <v>6181</v>
      </c>
      <c r="Q74" s="1095"/>
      <c r="R74" s="1132" t="s">
        <v>5677</v>
      </c>
      <c r="S74" s="1113" t="s">
        <v>1957</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2203</v>
      </c>
      <c r="D75" s="1071"/>
      <c r="E75" s="1071" t="s">
        <v>2203</v>
      </c>
      <c r="F75" s="1136"/>
      <c r="G75" s="1071"/>
      <c r="H75" s="1064" t="s">
        <v>6634</v>
      </c>
      <c r="I75" s="1131"/>
      <c r="J75" s="1071" t="s">
        <v>7758</v>
      </c>
      <c r="K75" s="1071"/>
      <c r="L75" s="1071" t="s">
        <v>4240</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1477</v>
      </c>
      <c r="E76" s="1071" t="s">
        <v>352</v>
      </c>
      <c r="F76" s="1077" t="s">
        <v>358</v>
      </c>
      <c r="G76" s="1071" t="s">
        <v>1537</v>
      </c>
      <c r="H76" s="1064" t="s">
        <v>1274</v>
      </c>
      <c r="I76" s="1061" t="s">
        <v>1649</v>
      </c>
      <c r="J76" s="1071" t="s">
        <v>1431</v>
      </c>
      <c r="K76" s="1071" t="s">
        <v>5003</v>
      </c>
      <c r="L76" s="1071" t="s">
        <v>7762</v>
      </c>
      <c r="M76" s="1071" t="s">
        <v>909</v>
      </c>
      <c r="N76" s="1071" t="s">
        <v>753</v>
      </c>
      <c r="O76" s="1071" t="s">
        <v>1360</v>
      </c>
      <c r="P76" s="1071" t="s">
        <v>2328</v>
      </c>
      <c r="Q76" s="1065" t="s">
        <v>3888</v>
      </c>
      <c r="R76" s="1074"/>
      <c r="S76" s="1071" t="s">
        <v>7763</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1962</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4065</v>
      </c>
      <c r="D81" s="1071"/>
      <c r="E81" s="1071" t="s">
        <v>4065</v>
      </c>
      <c r="F81" s="1136"/>
      <c r="G81" s="1071"/>
      <c r="H81" s="1064" t="s">
        <v>2519</v>
      </c>
      <c r="I81" s="1131"/>
      <c r="J81" s="1071"/>
      <c r="K81" s="1071"/>
      <c r="L81" s="1071"/>
      <c r="M81" s="1071"/>
      <c r="N81" s="1071"/>
      <c r="O81" s="1071"/>
      <c r="P81" s="1071"/>
      <c r="Q81" s="1065"/>
      <c r="R81" s="1073" t="s">
        <v>7772</v>
      </c>
      <c r="S81" s="1071"/>
      <c r="T81" s="1071"/>
      <c r="U81" s="1071"/>
      <c r="V81" s="1071"/>
      <c r="W81" s="1071"/>
      <c r="X81" s="1071"/>
      <c r="Y81" s="1071"/>
      <c r="Z81" s="1071" t="s">
        <v>3752</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2682</v>
      </c>
      <c r="D82" s="1071" t="s">
        <v>2577</v>
      </c>
      <c r="E82" s="1071" t="s">
        <v>2406</v>
      </c>
      <c r="F82" s="1091" t="s">
        <v>7774</v>
      </c>
      <c r="G82" s="1071"/>
      <c r="H82" s="1064" t="s">
        <v>7775</v>
      </c>
      <c r="I82" s="1131"/>
      <c r="J82" s="1071"/>
      <c r="K82" s="1071"/>
      <c r="L82" s="1071"/>
      <c r="M82" s="1071"/>
      <c r="N82" s="1071" t="s">
        <v>7776</v>
      </c>
      <c r="O82" s="1071"/>
      <c r="P82" s="1071"/>
      <c r="Q82" s="1065" t="s">
        <v>7777</v>
      </c>
      <c r="R82" s="1132" t="s">
        <v>7778</v>
      </c>
      <c r="S82" s="1071"/>
      <c r="T82" s="1071"/>
      <c r="U82" s="1071" t="s">
        <v>4055</v>
      </c>
      <c r="V82" s="1071"/>
      <c r="W82" s="1071"/>
      <c r="X82" s="1071"/>
      <c r="Y82" s="1071" t="s">
        <v>7777</v>
      </c>
      <c r="Z82" s="1071" t="s">
        <v>1870</v>
      </c>
      <c r="AA82" s="1071" t="s">
        <v>2682</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3024</v>
      </c>
      <c r="D83" s="1108"/>
      <c r="E83" s="1108"/>
      <c r="F83" s="1146" t="s">
        <v>1907</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2259</v>
      </c>
      <c r="D84" s="1071"/>
      <c r="E84" s="1071" t="s">
        <v>2259</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2755</v>
      </c>
      <c r="D85" s="1071" t="s">
        <v>3659</v>
      </c>
      <c r="E85" s="1071" t="s">
        <v>2755</v>
      </c>
      <c r="F85" s="1062"/>
      <c r="G85" s="1071"/>
      <c r="H85" s="1083"/>
      <c r="I85" s="1131"/>
      <c r="J85" s="1071"/>
      <c r="K85" s="1071"/>
      <c r="L85" s="1071" t="s">
        <v>7783</v>
      </c>
      <c r="M85" s="1071" t="s">
        <v>5214</v>
      </c>
      <c r="N85" s="1071"/>
      <c r="O85" s="1071" t="str">
        <f>HYPERLINK("https://youtu.be/HUwmtKe7cOY","56.54")</f>
        <v>56.54</v>
      </c>
      <c r="P85" s="1071"/>
      <c r="Q85" s="1065" t="s">
        <v>3831</v>
      </c>
      <c r="R85" s="1158" t="s">
        <v>7784</v>
      </c>
      <c r="S85" s="1071"/>
      <c r="T85" s="1071"/>
      <c r="U85" s="1071"/>
      <c r="V85" s="1071"/>
      <c r="W85" s="1071" t="s">
        <v>7785</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948</v>
      </c>
      <c r="D86" s="1071" t="s">
        <v>1568</v>
      </c>
      <c r="E86" s="1071" t="s">
        <v>5247</v>
      </c>
      <c r="F86" s="1097" t="s">
        <v>755</v>
      </c>
      <c r="G86" s="1071" t="s">
        <v>948</v>
      </c>
      <c r="H86" s="1064" t="s">
        <v>1276</v>
      </c>
      <c r="I86" s="1142" t="s">
        <v>7787</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3552</v>
      </c>
      <c r="D87" s="1071"/>
      <c r="E87" s="1071" t="s">
        <v>7790</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1569</v>
      </c>
      <c r="D88" s="1071" t="s">
        <v>1569</v>
      </c>
      <c r="E88" s="1139"/>
      <c r="F88" s="1097" t="s">
        <v>2475</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2896</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757</v>
      </c>
      <c r="H89" s="1164" t="s">
        <v>666</v>
      </c>
      <c r="I89" s="1034"/>
      <c r="J89" s="1164" t="s">
        <v>2444</v>
      </c>
      <c r="K89" s="1164" t="s">
        <v>1278</v>
      </c>
      <c r="L89" s="1163" t="s">
        <v>3117</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7560</v>
      </c>
      <c r="C90" s="1150" t="s">
        <v>7799</v>
      </c>
      <c r="D90" s="1063" t="s">
        <v>7800</v>
      </c>
      <c r="E90" s="1108"/>
      <c r="F90" s="1146" t="s">
        <v>5056</v>
      </c>
      <c r="G90" s="1063" t="s">
        <v>7799</v>
      </c>
      <c r="H90" s="1083"/>
      <c r="I90" s="1142" t="s">
        <v>7801</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42" t="s">
        <v>7806</v>
      </c>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1777</v>
      </c>
      <c r="D93" s="1071"/>
      <c r="E93" s="1071" t="s">
        <v>1777</v>
      </c>
      <c r="F93" s="1062"/>
      <c r="G93" s="1071" t="s">
        <v>1777</v>
      </c>
      <c r="H93" s="1083"/>
      <c r="I93" s="1131"/>
      <c r="J93" s="1071"/>
      <c r="K93" s="1071"/>
      <c r="L93" s="1071"/>
      <c r="M93" s="1071"/>
      <c r="N93" s="1071" t="s">
        <v>1777</v>
      </c>
      <c r="O93" s="1071"/>
      <c r="P93" s="1071"/>
      <c r="Q93" s="1065"/>
      <c r="R93" s="1133"/>
      <c r="S93" s="1071" t="s">
        <v>2932</v>
      </c>
      <c r="T93" s="1071" t="s">
        <v>1777</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2519</v>
      </c>
      <c r="D96" s="1071" t="s">
        <v>2519</v>
      </c>
      <c r="E96" s="1071"/>
      <c r="F96" s="1152" t="s">
        <v>2519</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7815</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7816</v>
      </c>
      <c r="B98" s="1129" t="s">
        <v>7689</v>
      </c>
      <c r="C98" s="1130" t="s">
        <v>7817</v>
      </c>
      <c r="D98" s="1117" t="s">
        <v>1788</v>
      </c>
      <c r="E98" s="1071" t="s">
        <v>128</v>
      </c>
      <c r="F98" s="1062"/>
      <c r="G98" s="1071" t="s">
        <v>569</v>
      </c>
      <c r="H98" s="1083"/>
      <c r="I98" s="1142" t="s">
        <v>1893</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4529</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1573</v>
      </c>
      <c r="E100" s="1063" t="s">
        <v>359</v>
      </c>
      <c r="F100" s="1136"/>
      <c r="G100" s="1066"/>
      <c r="H100" s="1064" t="s">
        <v>1281</v>
      </c>
      <c r="I100" s="1142" t="s">
        <v>7822</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4216</v>
      </c>
      <c r="D102" s="1024" t="s">
        <v>1574</v>
      </c>
      <c r="E102" s="1176" t="s">
        <v>2445</v>
      </c>
      <c r="F102" s="1062"/>
      <c r="G102" s="1176"/>
      <c r="H102" s="1064" t="s">
        <v>6073</v>
      </c>
      <c r="I102" s="1177" t="s">
        <v>7824</v>
      </c>
      <c r="J102" s="1176" t="str">
        <f>HYPERLINK("https://youtu.be/ycBfir2aflI","41.70")</f>
        <v>41.70</v>
      </c>
      <c r="K102" s="1176" t="s">
        <v>7604</v>
      </c>
      <c r="L102" s="1176"/>
      <c r="M102" s="1176" t="s">
        <v>915</v>
      </c>
      <c r="N102" s="1176"/>
      <c r="O102" s="1176" t="str">
        <f>HYPERLINK("https://youtu.be/OxlK2SgEm_U","42.73")</f>
        <v>42.73</v>
      </c>
      <c r="P102" s="1176"/>
      <c r="Q102" s="1178" t="s">
        <v>1834</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1617</v>
      </c>
      <c r="D103" s="1024" t="s">
        <v>1575</v>
      </c>
      <c r="E103" s="1183"/>
      <c r="F103" s="1184"/>
      <c r="G103" s="1183"/>
      <c r="H103" s="1064" t="s">
        <v>7722</v>
      </c>
      <c r="I103" s="1177" t="s">
        <v>7825</v>
      </c>
      <c r="J103" s="1176" t="s">
        <v>3349</v>
      </c>
      <c r="K103" s="1176" t="s">
        <v>4167</v>
      </c>
      <c r="L103" s="1183" t="s">
        <v>1236</v>
      </c>
      <c r="M103" s="1183" t="s">
        <v>916</v>
      </c>
      <c r="N103" s="1176" t="s">
        <v>761</v>
      </c>
      <c r="O103" s="1183" t="s">
        <v>3733</v>
      </c>
      <c r="P103" s="1176" t="s">
        <v>1617</v>
      </c>
      <c r="Q103" s="1185" t="s">
        <v>2923</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3408</v>
      </c>
      <c r="D104" s="1187" t="s">
        <v>4528</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1828</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1513</v>
      </c>
      <c r="D105" s="1021" t="s">
        <v>7828</v>
      </c>
      <c r="E105" s="1183"/>
      <c r="F105" s="1062"/>
      <c r="G105" s="1183"/>
      <c r="H105" s="1064" t="s">
        <v>1284</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1576</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5740</v>
      </c>
      <c r="D107" s="1021" t="s">
        <v>6724</v>
      </c>
      <c r="E107" s="1183"/>
      <c r="F107" s="1062"/>
      <c r="G107" s="1183"/>
      <c r="H107" s="1064" t="s">
        <v>610</v>
      </c>
      <c r="I107" s="1180"/>
      <c r="J107" s="1183"/>
      <c r="K107" s="1176" t="s">
        <v>7834</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3730</v>
      </c>
      <c r="E108" s="1183"/>
      <c r="F108" s="1184"/>
      <c r="G108" s="1183"/>
      <c r="H108" s="1064" t="s">
        <v>134</v>
      </c>
      <c r="I108" s="1177"/>
      <c r="J108" s="1183" t="s">
        <v>7838</v>
      </c>
      <c r="K108" s="1176" t="s">
        <v>7839</v>
      </c>
      <c r="L108" s="1183" t="s">
        <v>3651</v>
      </c>
      <c r="M108" s="1183" t="s">
        <v>918</v>
      </c>
      <c r="N108" s="1183"/>
      <c r="O108" s="1183" t="s">
        <v>2552</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1786</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2499</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1260</v>
      </c>
      <c r="D113" s="1024" t="s">
        <v>1579</v>
      </c>
      <c r="E113" s="1183"/>
      <c r="F113" s="1062"/>
      <c r="G113" s="1183"/>
      <c r="H113" s="1064" t="s">
        <v>1287</v>
      </c>
      <c r="I113" s="1180"/>
      <c r="J113" s="1183" t="s">
        <v>7844</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1548</v>
      </c>
      <c r="F114" s="1194" t="s">
        <v>5550</v>
      </c>
      <c r="H114" s="1083"/>
      <c r="I114" s="1180"/>
      <c r="J114" s="1176" t="str">
        <f>HYPERLINK("https://youtu.be/NIfI1hsvvFQ","19.73")</f>
        <v>19.73</v>
      </c>
      <c r="K114" s="1176" t="s">
        <v>1126</v>
      </c>
      <c r="L114" s="1176" t="s">
        <v>2605</v>
      </c>
      <c r="M114" s="1176"/>
      <c r="N114" s="1183" t="s">
        <v>1749</v>
      </c>
      <c r="O114" s="1176" t="str">
        <f>HYPERLINK("https://youtu.be/vlD8b3WQME8","20.08")</f>
        <v>20.08</v>
      </c>
      <c r="P114" s="1176"/>
      <c r="Q114" s="1178" t="s">
        <v>3161</v>
      </c>
      <c r="R114" s="1195" t="s">
        <v>7846</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842</v>
      </c>
      <c r="E116" s="1176" t="s">
        <v>675</v>
      </c>
      <c r="F116" s="1097" t="s">
        <v>2476</v>
      </c>
      <c r="G116" s="1176" t="s">
        <v>472</v>
      </c>
      <c r="H116" s="1064" t="s">
        <v>1664</v>
      </c>
      <c r="I116" s="1177" t="s">
        <v>7848</v>
      </c>
      <c r="J116" s="1176"/>
      <c r="K116" s="1176" t="s">
        <v>3654</v>
      </c>
      <c r="L116" s="1176" t="s">
        <v>3654</v>
      </c>
      <c r="M116" s="1176" t="s">
        <v>675</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2247</v>
      </c>
      <c r="D117" s="1183"/>
      <c r="E117" s="1183"/>
      <c r="F117" s="1184"/>
      <c r="G117" s="1183"/>
      <c r="H117" s="1064" t="s">
        <v>4267</v>
      </c>
      <c r="I117" s="1180"/>
      <c r="J117" s="1183"/>
      <c r="K117" s="1183"/>
      <c r="L117" s="1176" t="s">
        <v>4025</v>
      </c>
      <c r="M117" s="1183"/>
      <c r="N117" s="1183"/>
      <c r="O117" s="1183" t="s">
        <v>5493</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7851</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2480</v>
      </c>
      <c r="T118" s="1183" t="s">
        <v>844</v>
      </c>
      <c r="U118" s="1183"/>
      <c r="V118" s="1183"/>
      <c r="W118" s="1183" t="s">
        <v>4706</v>
      </c>
      <c r="X118" s="1183" t="s">
        <v>7852</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1580</v>
      </c>
      <c r="E119" s="1176" t="s">
        <v>7854</v>
      </c>
      <c r="F119" s="1091" t="s">
        <v>2053</v>
      </c>
      <c r="G119" s="1183" t="s">
        <v>1859</v>
      </c>
      <c r="H119" s="1083"/>
      <c r="I119" s="1180"/>
      <c r="J119" s="1176" t="s">
        <v>259</v>
      </c>
      <c r="K119" s="1176" t="s">
        <v>4806</v>
      </c>
      <c r="L119" s="1176" t="s">
        <v>844</v>
      </c>
      <c r="M119" s="1176"/>
      <c r="N119" s="1176" t="s">
        <v>767</v>
      </c>
      <c r="O119" s="1176"/>
      <c r="P119" s="1176" t="s">
        <v>4247</v>
      </c>
      <c r="Q119" s="1178" t="s">
        <v>6214</v>
      </c>
      <c r="R119" s="1179"/>
      <c r="S119" s="1176" t="s">
        <v>2491</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2477</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922</v>
      </c>
      <c r="D121" s="1024" t="s">
        <v>1582</v>
      </c>
      <c r="E121" s="1183"/>
      <c r="F121" s="1184"/>
      <c r="G121" s="1183" t="s">
        <v>5175</v>
      </c>
      <c r="H121" s="1083"/>
      <c r="I121" s="1177" t="s">
        <v>6093</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7560</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2580</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2965</v>
      </c>
      <c r="D124" s="1024" t="s">
        <v>7860</v>
      </c>
      <c r="E124" s="1183"/>
      <c r="F124" s="1062"/>
      <c r="G124" s="1183"/>
      <c r="H124" s="1083"/>
      <c r="I124" s="1180"/>
      <c r="J124" s="1176" t="s">
        <v>7861</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4119</v>
      </c>
      <c r="D126" s="1176" t="s">
        <v>7863</v>
      </c>
      <c r="E126" s="1176" t="s">
        <v>7864</v>
      </c>
      <c r="F126" s="1091" t="s">
        <v>7865</v>
      </c>
      <c r="G126" s="1176" t="s">
        <v>4119</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660</v>
      </c>
      <c r="E129" s="1183"/>
      <c r="F129" s="1091" t="s">
        <v>1182</v>
      </c>
      <c r="G129" s="1183"/>
      <c r="H129" s="1064" t="s">
        <v>1352</v>
      </c>
      <c r="I129" s="1180"/>
      <c r="J129" s="1183"/>
      <c r="K129" s="1183" t="s">
        <v>2790</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2478</v>
      </c>
      <c r="G130" s="1105" t="s">
        <v>1004</v>
      </c>
      <c r="H130" s="1064" t="s">
        <v>1292</v>
      </c>
      <c r="I130" s="1180"/>
      <c r="J130" s="1183"/>
      <c r="K130" s="1183"/>
      <c r="L130" s="1183"/>
      <c r="M130" s="1183"/>
      <c r="N130" s="1183"/>
      <c r="O130" s="1183"/>
      <c r="P130" s="1105" t="s">
        <v>1084</v>
      </c>
      <c r="Q130" s="1185"/>
      <c r="R130" s="1207"/>
      <c r="S130" s="1183"/>
      <c r="T130" s="1183"/>
      <c r="U130" s="1183" t="s">
        <v>2608</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2502</v>
      </c>
      <c r="D131" s="1180"/>
      <c r="E131" s="1180"/>
      <c r="F131" s="1217" t="s">
        <v>2676</v>
      </c>
      <c r="G131" s="1105" t="s">
        <v>2502</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772</v>
      </c>
      <c r="D133" s="1071" t="s">
        <v>932</v>
      </c>
      <c r="E133" s="1183"/>
      <c r="F133" s="1097" t="s">
        <v>2479</v>
      </c>
      <c r="G133" s="1183"/>
      <c r="H133" s="1064" t="s">
        <v>1293</v>
      </c>
      <c r="I133" s="1177" t="s">
        <v>6755</v>
      </c>
      <c r="J133" s="1105" t="str">
        <f>HYPERLINK("https://youtu.be/6f5dBhAmU1g","42.10")</f>
        <v>42.10</v>
      </c>
      <c r="K133" s="1183" t="s">
        <v>525</v>
      </c>
      <c r="L133" s="1183" t="s">
        <v>2144</v>
      </c>
      <c r="M133" s="1105" t="s">
        <v>925</v>
      </c>
      <c r="N133" s="1105" t="s">
        <v>772</v>
      </c>
      <c r="O133" s="1183" t="s">
        <v>2500</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1584</v>
      </c>
      <c r="E134" s="1183"/>
      <c r="F134" s="1097" t="s">
        <v>2480</v>
      </c>
      <c r="G134" s="1105" t="s">
        <v>1034</v>
      </c>
      <c r="H134" s="1064" t="s">
        <v>374</v>
      </c>
      <c r="I134" s="1177" t="s">
        <v>7876</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1545</v>
      </c>
      <c r="G135" s="1176"/>
      <c r="H135" s="1064" t="s">
        <v>7878</v>
      </c>
      <c r="I135" s="1177" t="s">
        <v>1520</v>
      </c>
      <c r="J135" s="1176"/>
      <c r="K135" s="1176"/>
      <c r="L135" s="1176"/>
      <c r="M135" s="1176" t="s">
        <v>3024</v>
      </c>
      <c r="N135" s="1176" t="s">
        <v>7878</v>
      </c>
      <c r="O135" s="1176"/>
      <c r="P135" s="1176"/>
      <c r="Q135" s="1178" t="s">
        <v>7877</v>
      </c>
      <c r="R135" s="1074"/>
      <c r="S135" s="1176" t="s">
        <v>485</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7029</v>
      </c>
      <c r="D136" s="1183"/>
      <c r="E136" s="1183"/>
      <c r="F136" s="1062"/>
      <c r="G136" s="1183"/>
      <c r="H136" s="1064" t="s">
        <v>4824</v>
      </c>
      <c r="I136" s="1180"/>
      <c r="J136" s="1183"/>
      <c r="K136" s="1183"/>
      <c r="L136" s="1183" t="s">
        <v>4452</v>
      </c>
      <c r="M136" s="1183"/>
      <c r="N136" s="1183"/>
      <c r="O136" s="1183"/>
      <c r="P136" s="1183"/>
      <c r="Q136" s="1185"/>
      <c r="R136" s="1221" t="s">
        <v>7881</v>
      </c>
      <c r="S136" s="1183"/>
      <c r="T136" s="1183"/>
      <c r="U136" s="1183"/>
      <c r="V136" s="1183"/>
      <c r="W136" s="1064" t="s">
        <v>7029</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1811</v>
      </c>
      <c r="D137" s="1183" t="s">
        <v>2607</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773</v>
      </c>
      <c r="E139" s="1064" t="s">
        <v>375</v>
      </c>
      <c r="F139" s="1097" t="s">
        <v>3988</v>
      </c>
      <c r="G139" s="1222" t="s">
        <v>7885</v>
      </c>
      <c r="H139" s="1064" t="s">
        <v>1294</v>
      </c>
      <c r="I139" s="1180"/>
      <c r="J139" s="1064" t="s">
        <v>5530</v>
      </c>
      <c r="K139" s="1083"/>
      <c r="L139" s="1083"/>
      <c r="M139" s="1064" t="s">
        <v>926</v>
      </c>
      <c r="N139" s="1064" t="s">
        <v>6505</v>
      </c>
      <c r="O139" s="1083"/>
      <c r="P139" s="1064" t="s">
        <v>7886</v>
      </c>
      <c r="Q139" s="1178" t="s">
        <v>5134</v>
      </c>
      <c r="R139" s="1074"/>
      <c r="S139" s="1083"/>
      <c r="T139" s="1064" t="s">
        <v>1671</v>
      </c>
      <c r="U139" s="1083"/>
      <c r="V139" s="1083"/>
      <c r="W139" s="1064" t="s">
        <v>1940</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564</v>
      </c>
      <c r="D140" s="1183" t="s">
        <v>4304</v>
      </c>
      <c r="E140" s="1183"/>
      <c r="F140" s="1062"/>
      <c r="G140" s="1183"/>
      <c r="H140" s="1083"/>
      <c r="I140" s="1177" t="s">
        <v>7889</v>
      </c>
      <c r="J140" s="1183"/>
      <c r="K140" s="1064" t="s">
        <v>5723</v>
      </c>
      <c r="L140" s="1183" t="s">
        <v>1654</v>
      </c>
      <c r="M140" s="1183"/>
      <c r="N140" s="1183"/>
      <c r="O140" s="1183" t="str">
        <f>HYPERLINK("https://youtu.be/wzsts4r5VHY","56.24")</f>
        <v>56.24</v>
      </c>
      <c r="P140" s="1064" t="s">
        <v>7890</v>
      </c>
      <c r="Q140" s="1185"/>
      <c r="R140" s="1212" t="s">
        <v>7891</v>
      </c>
      <c r="S140" s="1183"/>
      <c r="T140" s="1183"/>
      <c r="U140" s="1183" t="s">
        <v>564</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4567</v>
      </c>
      <c r="D141" s="1223"/>
      <c r="E141" s="1223"/>
      <c r="F141" s="1209"/>
      <c r="G141" s="1223"/>
      <c r="H141" s="1083"/>
      <c r="I141" s="1180"/>
      <c r="J141" s="1223"/>
      <c r="K141" s="1064" t="s">
        <v>7894</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790</v>
      </c>
      <c r="E142" s="1224" t="s">
        <v>774</v>
      </c>
      <c r="F142" s="1110" t="s">
        <v>2482</v>
      </c>
      <c r="G142" s="1176" t="s">
        <v>774</v>
      </c>
      <c r="H142" s="1064" t="s">
        <v>918</v>
      </c>
      <c r="I142" s="1180"/>
      <c r="J142" s="1176" t="s">
        <v>502</v>
      </c>
      <c r="K142" s="1176"/>
      <c r="L142" s="1176"/>
      <c r="M142" s="1176" t="s">
        <v>927</v>
      </c>
      <c r="N142" s="1176" t="s">
        <v>1903</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579</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3597</v>
      </c>
      <c r="D149" s="1176" t="s">
        <v>5480</v>
      </c>
      <c r="E149" s="1176" t="s">
        <v>3597</v>
      </c>
      <c r="F149" s="1209"/>
      <c r="G149" s="1176"/>
      <c r="H149" s="1064" t="s">
        <v>2953</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1444</v>
      </c>
      <c r="D150" s="1024" t="s">
        <v>1586</v>
      </c>
      <c r="E150" s="1176" t="s">
        <v>5534</v>
      </c>
      <c r="F150" s="1097" t="s">
        <v>1616</v>
      </c>
      <c r="G150" s="1187" t="s">
        <v>139</v>
      </c>
      <c r="H150" s="1064" t="s">
        <v>3379</v>
      </c>
      <c r="I150" s="1177" t="s">
        <v>7907</v>
      </c>
      <c r="J150" s="1176" t="str">
        <f>HYPERLINK("https://youtu.be/NPrbRwZDn1I","27.54")</f>
        <v>27.54</v>
      </c>
      <c r="K150" s="1176" t="s">
        <v>503</v>
      </c>
      <c r="L150" s="1176" t="s">
        <v>2491</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2824</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931</v>
      </c>
      <c r="N152" s="1176"/>
      <c r="O152" s="1176" t="s">
        <v>7463</v>
      </c>
      <c r="P152" s="1176"/>
      <c r="Q152" s="1178"/>
      <c r="R152" s="1207"/>
      <c r="S152" s="1176"/>
      <c r="T152" s="1176"/>
      <c r="U152" s="1176"/>
      <c r="V152" s="1176" t="s">
        <v>7377</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2483</v>
      </c>
      <c r="D154" s="1108" t="s">
        <v>1588</v>
      </c>
      <c r="E154" s="1064" t="s">
        <v>380</v>
      </c>
      <c r="F154" s="1097" t="s">
        <v>2483</v>
      </c>
      <c r="G154" s="1064" t="s">
        <v>7922</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3503</v>
      </c>
      <c r="D155" s="1024" t="s">
        <v>1587</v>
      </c>
      <c r="E155" s="1183"/>
      <c r="F155" s="1209"/>
      <c r="G155" s="1183"/>
      <c r="H155" s="1064" t="s">
        <v>1298</v>
      </c>
      <c r="I155" s="1180"/>
      <c r="J155" s="1183"/>
      <c r="K155" s="1183"/>
      <c r="L155" s="1187" t="s">
        <v>3661</v>
      </c>
      <c r="M155" s="1183"/>
      <c r="N155" s="1183" t="s">
        <v>7925</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2635</v>
      </c>
      <c r="D158" s="1227" t="s">
        <v>7929</v>
      </c>
      <c r="E158" s="1227"/>
      <c r="F158" s="1110" t="s">
        <v>3862</v>
      </c>
      <c r="G158" s="1064" t="s">
        <v>2635</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1431</v>
      </c>
      <c r="D161" s="1227"/>
      <c r="E161" s="1227"/>
      <c r="F161" s="1209"/>
      <c r="G161" s="1227" t="s">
        <v>7932</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1323</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744</v>
      </c>
      <c r="D167" s="1227"/>
      <c r="E167" s="1227"/>
      <c r="F167" s="1217" t="s">
        <v>3114</v>
      </c>
      <c r="G167" s="1176" t="s">
        <v>744</v>
      </c>
      <c r="H167" s="1083"/>
      <c r="I167" s="1176"/>
      <c r="J167" s="1227"/>
      <c r="K167" s="1227"/>
      <c r="L167" s="1227"/>
      <c r="M167" s="1227"/>
      <c r="N167" s="1176" t="s">
        <v>2701</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2614</v>
      </c>
      <c r="D168" s="1183" t="s">
        <v>2614</v>
      </c>
      <c r="E168" s="1183"/>
      <c r="F168" s="1217" t="s">
        <v>2983</v>
      </c>
      <c r="G168" s="1176" t="s">
        <v>2614</v>
      </c>
      <c r="H168" s="1064" t="s">
        <v>2863</v>
      </c>
      <c r="I168" s="1177" t="s">
        <v>7955</v>
      </c>
      <c r="J168" s="1183"/>
      <c r="K168" s="1183"/>
      <c r="L168" s="1183" t="s">
        <v>3788</v>
      </c>
      <c r="M168" s="1183"/>
      <c r="N168" s="1183"/>
      <c r="O168" s="1183"/>
      <c r="P168" s="1183" t="s">
        <v>2614</v>
      </c>
      <c r="Q168" s="1185" t="s">
        <v>2983</v>
      </c>
      <c r="R168" s="1073" t="s">
        <v>7956</v>
      </c>
      <c r="S168" s="1183"/>
      <c r="T168" s="1183" t="s">
        <v>2614</v>
      </c>
      <c r="U168" s="1183" t="s">
        <v>2614</v>
      </c>
      <c r="V168" s="1183"/>
      <c r="W168" s="1183"/>
      <c r="X168" s="1183"/>
      <c r="Y168" s="1183"/>
      <c r="Z168" s="1183"/>
      <c r="AA168" s="1183"/>
      <c r="AB168" s="1183"/>
      <c r="AC168" s="1064" t="s">
        <v>3599</v>
      </c>
      <c r="AD168" s="1183"/>
      <c r="AE168" s="1183"/>
      <c r="AF168" s="1183"/>
      <c r="AG168" s="1183" t="s">
        <v>2614</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2448</v>
      </c>
      <c r="D169" s="1071" t="s">
        <v>1589</v>
      </c>
      <c r="E169" s="1176" t="s">
        <v>7958</v>
      </c>
      <c r="F169" s="1091" t="s">
        <v>7959</v>
      </c>
      <c r="G169" s="1176" t="s">
        <v>7960</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2682</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658</v>
      </c>
      <c r="D170" s="1024" t="s">
        <v>1137</v>
      </c>
      <c r="E170" s="1183"/>
      <c r="F170" s="1209"/>
      <c r="G170" s="1183"/>
      <c r="H170" s="1064" t="s">
        <v>1299</v>
      </c>
      <c r="I170" s="1177" t="s">
        <v>7962</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687</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7876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2684</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14"/>
      <c r="D177" s="1115"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1458</v>
      </c>
      <c r="D178" s="1024" t="s">
        <v>779</v>
      </c>
      <c r="E178" s="1183"/>
      <c r="F178" s="1209"/>
      <c r="G178" s="1183"/>
      <c r="H178" s="1064" t="s">
        <v>1302</v>
      </c>
      <c r="I178" s="1177" t="s">
        <v>7975</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2171</v>
      </c>
      <c r="U180" s="1071" t="s">
        <v>7986</v>
      </c>
      <c r="V180" s="1071"/>
      <c r="W180" s="1071"/>
      <c r="X180" s="1071"/>
      <c r="Y180" s="1071"/>
      <c r="Z180" s="1071"/>
      <c r="AA180" s="1071"/>
      <c r="AB180" s="1071"/>
      <c r="AC180" s="1071"/>
      <c r="AD180" s="1071" t="s">
        <v>7941</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7560</v>
      </c>
      <c r="C182" s="1175" t="s">
        <v>1923</v>
      </c>
      <c r="D182" s="1066" t="s">
        <v>5507</v>
      </c>
      <c r="E182" s="1071" t="s">
        <v>6270</v>
      </c>
      <c r="F182" s="1091" t="s">
        <v>3007</v>
      </c>
      <c r="G182" s="1071" t="s">
        <v>3007</v>
      </c>
      <c r="H182" s="1064" t="s">
        <v>7991</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827</v>
      </c>
      <c r="H185" s="1064" t="s">
        <v>1304</v>
      </c>
      <c r="I185" s="1142" t="s">
        <v>7999</v>
      </c>
      <c r="J185" s="1071"/>
      <c r="K185" s="1071" t="s">
        <v>608</v>
      </c>
      <c r="L185" s="1071" t="s">
        <v>354</v>
      </c>
      <c r="M185" s="1071"/>
      <c r="N185" s="1071"/>
      <c r="O185" s="1071" t="s">
        <v>147</v>
      </c>
      <c r="P185" s="1071" t="s">
        <v>8000</v>
      </c>
      <c r="Q185" s="1065"/>
      <c r="R185" s="1074"/>
      <c r="S185" s="1071"/>
      <c r="T185" s="1071"/>
      <c r="U185" s="1071" t="s">
        <v>2619</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8001</v>
      </c>
      <c r="C186" s="1175" t="s">
        <v>8002</v>
      </c>
      <c r="D186" s="1108"/>
      <c r="E186" s="1108"/>
      <c r="F186" s="1062"/>
      <c r="G186" s="1108"/>
      <c r="H186" s="1083"/>
      <c r="I186" s="1131"/>
      <c r="J186" s="1108"/>
      <c r="K186" s="1108" t="s">
        <v>4573</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2485</v>
      </c>
      <c r="G187" s="1071" t="s">
        <v>3092</v>
      </c>
      <c r="H187" s="1064" t="s">
        <v>1305</v>
      </c>
      <c r="I187" s="1142" t="s">
        <v>8006</v>
      </c>
      <c r="J187" s="1071" t="s">
        <v>159</v>
      </c>
      <c r="K187" s="1071" t="s">
        <v>4010</v>
      </c>
      <c r="L187" s="1071" t="s">
        <v>5484</v>
      </c>
      <c r="M187" s="1071" t="s">
        <v>937</v>
      </c>
      <c r="N187" s="1071" t="s">
        <v>2995</v>
      </c>
      <c r="O187" s="1071" t="s">
        <v>1986</v>
      </c>
      <c r="P187" s="1071" t="s">
        <v>4837</v>
      </c>
      <c r="Q187" s="1065" t="s">
        <v>1986</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7748</v>
      </c>
      <c r="C189" s="1175" t="s">
        <v>3922</v>
      </c>
      <c r="D189" s="1248"/>
      <c r="E189" s="1248"/>
      <c r="F189" s="1253" t="s">
        <v>3678</v>
      </c>
      <c r="G189" s="1248"/>
      <c r="H189" s="1083"/>
      <c r="I189" s="1142" t="s">
        <v>3305</v>
      </c>
      <c r="J189" s="1248"/>
      <c r="K189" s="1248"/>
      <c r="L189" s="1248"/>
      <c r="M189" s="1248" t="s">
        <v>2865</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2067</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7748</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81"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8021</v>
      </c>
      <c r="C194" s="1059" t="s">
        <v>2621</v>
      </c>
      <c r="D194" s="1248"/>
      <c r="E194" s="1248"/>
      <c r="F194" s="1243"/>
      <c r="G194" s="1248"/>
      <c r="H194" s="1064" t="s">
        <v>8022</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818</v>
      </c>
      <c r="D195" s="1248" t="s">
        <v>3440</v>
      </c>
      <c r="E195" s="1248"/>
      <c r="F195" s="1091" t="s">
        <v>2233</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493</v>
      </c>
      <c r="D196" s="1071" t="s">
        <v>2933</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2688</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2171</v>
      </c>
      <c r="D200" s="1113" t="s">
        <v>8034</v>
      </c>
      <c r="E200" s="1248"/>
      <c r="F200" s="1253" t="s">
        <v>8035</v>
      </c>
      <c r="G200" s="1248" t="s">
        <v>3083</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687</v>
      </c>
      <c r="AC200" s="1248"/>
      <c r="AD200" s="1176" t="s">
        <v>2171</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5278</v>
      </c>
      <c r="D202" s="1248" t="s">
        <v>3494</v>
      </c>
      <c r="E202" s="1248"/>
      <c r="F202" s="1246" t="s">
        <v>659</v>
      </c>
      <c r="G202" s="1248"/>
      <c r="H202" s="1064" t="s">
        <v>4531</v>
      </c>
      <c r="I202" s="1131"/>
      <c r="J202" s="1248"/>
      <c r="K202" s="1248"/>
      <c r="L202" s="1248" t="s">
        <v>5697</v>
      </c>
      <c r="M202" s="1248" t="s">
        <v>1762</v>
      </c>
      <c r="N202" s="1248"/>
      <c r="O202" s="1248" t="s">
        <v>4672</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939</v>
      </c>
      <c r="D205" s="1071" t="s">
        <v>161</v>
      </c>
      <c r="E205" s="1113"/>
      <c r="F205" s="1097" t="s">
        <v>595</v>
      </c>
      <c r="G205" s="1176" t="s">
        <v>8044</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4988</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2936</v>
      </c>
      <c r="D209" s="1071" t="s">
        <v>541</v>
      </c>
      <c r="E209" s="1071" t="s">
        <v>2936</v>
      </c>
      <c r="F209" s="1091" t="s">
        <v>8052</v>
      </c>
      <c r="G209" s="1071"/>
      <c r="H209" s="1083"/>
      <c r="I209" s="1142" t="s">
        <v>8053</v>
      </c>
      <c r="J209" s="1071" t="s">
        <v>1461</v>
      </c>
      <c r="K209" s="1071" t="s">
        <v>8054</v>
      </c>
      <c r="L209" s="1071" t="s">
        <v>4263</v>
      </c>
      <c r="M209" s="1071"/>
      <c r="N209" s="1071" t="s">
        <v>8055</v>
      </c>
      <c r="O209" s="1071" t="s">
        <v>4508</v>
      </c>
      <c r="P209" s="1071" t="s">
        <v>4846</v>
      </c>
      <c r="Q209" s="1063" t="s">
        <v>8056</v>
      </c>
      <c r="R209" s="1074"/>
      <c r="S209" s="1071"/>
      <c r="T209" s="1063" t="s">
        <v>5917</v>
      </c>
      <c r="U209" s="1071"/>
      <c r="V209" s="1071"/>
      <c r="W209" s="1071"/>
      <c r="X209" s="1071"/>
      <c r="Y209" s="1071" t="s">
        <v>2574</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2137</v>
      </c>
      <c r="D210" s="1071" t="s">
        <v>1594</v>
      </c>
      <c r="E210" s="1066"/>
      <c r="F210" s="1097" t="s">
        <v>2486</v>
      </c>
      <c r="G210" s="1063" t="s">
        <v>2137</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891</v>
      </c>
      <c r="D211" s="1066" t="s">
        <v>6049</v>
      </c>
      <c r="E211" s="1063" t="s">
        <v>378</v>
      </c>
      <c r="F211" s="1091" t="s">
        <v>1081</v>
      </c>
      <c r="G211" s="1066" t="s">
        <v>2169</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7560</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8065</v>
      </c>
      <c r="C213" s="1225" t="s">
        <v>2487</v>
      </c>
      <c r="D213" s="1071" t="s">
        <v>1595</v>
      </c>
      <c r="E213" s="1071" t="s">
        <v>8066</v>
      </c>
      <c r="F213" s="1097" t="s">
        <v>2487</v>
      </c>
      <c r="G213" s="1071" t="s">
        <v>1019</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8068</v>
      </c>
      <c r="D214" s="1071" t="s">
        <v>3404</v>
      </c>
      <c r="E214" s="1071" t="s">
        <v>4462</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8072</v>
      </c>
      <c r="C215" s="1265" t="s">
        <v>6903</v>
      </c>
      <c r="D215" s="1248"/>
      <c r="E215" s="1248"/>
      <c r="F215" s="1253" t="s">
        <v>2095</v>
      </c>
      <c r="G215" s="1082" t="s">
        <v>4169</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8075</v>
      </c>
      <c r="C217" s="1175" t="s">
        <v>1939</v>
      </c>
      <c r="D217" s="1248" t="s">
        <v>4172</v>
      </c>
      <c r="E217" s="1248"/>
      <c r="F217" s="1253" t="s">
        <v>886</v>
      </c>
      <c r="G217" s="1248"/>
      <c r="H217" s="1064" t="s">
        <v>3129</v>
      </c>
      <c r="I217" s="1142" t="s">
        <v>8076</v>
      </c>
      <c r="J217" s="1248"/>
      <c r="K217" s="1248"/>
      <c r="L217" s="1248" t="s">
        <v>1049</v>
      </c>
      <c r="M217" s="1248"/>
      <c r="N217" s="1248"/>
      <c r="O217" s="1248" t="s">
        <v>8077</v>
      </c>
      <c r="P217" s="1176" t="s">
        <v>6749</v>
      </c>
      <c r="Q217" s="1096" t="s">
        <v>8078</v>
      </c>
      <c r="R217" s="1250" t="s">
        <v>8079</v>
      </c>
      <c r="S217" s="1248"/>
      <c r="T217" s="1248" t="s">
        <v>886</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2489</v>
      </c>
      <c r="G218" s="1248"/>
      <c r="H218" s="1064" t="s">
        <v>166</v>
      </c>
      <c r="I218" s="1131"/>
      <c r="J218" s="1248"/>
      <c r="K218" s="1248"/>
      <c r="L218" s="1248"/>
      <c r="M218" s="1176" t="s">
        <v>944</v>
      </c>
      <c r="N218" s="1176" t="s">
        <v>787</v>
      </c>
      <c r="O218" s="1248"/>
      <c r="P218" s="1176" t="s">
        <v>1992</v>
      </c>
      <c r="Q218" s="1096" t="s">
        <v>1465</v>
      </c>
      <c r="R218" s="1074"/>
      <c r="S218" s="1248"/>
      <c r="T218" s="1248" t="s">
        <v>2709</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1599</v>
      </c>
      <c r="E220" s="1248"/>
      <c r="F220" s="1243"/>
      <c r="G220" s="1113" t="s">
        <v>8087</v>
      </c>
      <c r="H220" s="1064" t="s">
        <v>1310</v>
      </c>
      <c r="I220" s="1142" t="s">
        <v>1855</v>
      </c>
      <c r="J220" s="1248" t="s">
        <v>1475</v>
      </c>
      <c r="K220" s="1248" t="s">
        <v>1855</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8088</v>
      </c>
      <c r="E221" s="1248"/>
      <c r="F221" s="1062"/>
      <c r="G221" s="1113" t="s">
        <v>8089</v>
      </c>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081" t="s">
        <v>2763</v>
      </c>
      <c r="D223" s="1248"/>
      <c r="E223" s="1248"/>
      <c r="F223" s="1062"/>
      <c r="G223" s="1063" t="s">
        <v>2763</v>
      </c>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081" t="s">
        <v>4920</v>
      </c>
      <c r="D225" s="1082" t="s">
        <v>8096</v>
      </c>
      <c r="E225" s="1071"/>
      <c r="F225" s="1062"/>
      <c r="G225" s="1063" t="s">
        <v>4920</v>
      </c>
      <c r="H225" s="1083"/>
      <c r="I225" s="1113"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1601</v>
      </c>
      <c r="E228" s="1183"/>
      <c r="F228" s="1077" t="s">
        <v>2490</v>
      </c>
      <c r="G228" s="1176" t="s">
        <v>1023</v>
      </c>
      <c r="H228" s="1064" t="s">
        <v>1312</v>
      </c>
      <c r="I228" s="1177" t="s">
        <v>8103</v>
      </c>
      <c r="J228" s="1183" t="s">
        <v>8104</v>
      </c>
      <c r="K228" s="1176" t="s">
        <v>4584</v>
      </c>
      <c r="L228" s="1176" t="s">
        <v>1643</v>
      </c>
      <c r="M228" s="1176" t="s">
        <v>948</v>
      </c>
      <c r="N228" s="1176" t="s">
        <v>257</v>
      </c>
      <c r="O228" s="1183" t="s">
        <v>4436</v>
      </c>
      <c r="P228" s="1176" t="s">
        <v>1174</v>
      </c>
      <c r="Q228" s="1185" t="s">
        <v>354</v>
      </c>
      <c r="R228" s="1276" t="s">
        <v>8105</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8106</v>
      </c>
      <c r="C229" s="1175" t="s">
        <v>1616</v>
      </c>
      <c r="D229" s="1071" t="s">
        <v>1602</v>
      </c>
      <c r="E229" s="1176" t="s">
        <v>1616</v>
      </c>
      <c r="F229" s="1077" t="s">
        <v>2491</v>
      </c>
      <c r="G229" s="1176" t="s">
        <v>2219</v>
      </c>
      <c r="H229" s="1064" t="s">
        <v>2713</v>
      </c>
      <c r="I229" s="1177" t="s">
        <v>8107</v>
      </c>
      <c r="J229" s="1176" t="s">
        <v>1602</v>
      </c>
      <c r="K229" s="1176" t="s">
        <v>7908</v>
      </c>
      <c r="L229" s="1176" t="s">
        <v>2219</v>
      </c>
      <c r="M229" s="1176" t="s">
        <v>949</v>
      </c>
      <c r="N229" s="1176" t="s">
        <v>1243</v>
      </c>
      <c r="O229" s="1176" t="s">
        <v>374</v>
      </c>
      <c r="P229" s="1176" t="s">
        <v>2937</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8108</v>
      </c>
      <c r="I230" s="1180"/>
      <c r="J230" s="1176" t="s">
        <v>1727</v>
      </c>
      <c r="K230" s="1183"/>
      <c r="L230" s="1176" t="s">
        <v>6621</v>
      </c>
      <c r="M230" s="1176" t="s">
        <v>2590</v>
      </c>
      <c r="N230" s="1176" t="str">
        <f>HYPERLINK("https://www.youtube.com/watch?v=aWzlUqH0LaM","41.87")</f>
        <v>41.87</v>
      </c>
      <c r="O230" s="1183" t="s">
        <v>2200</v>
      </c>
      <c r="P230" s="1176" t="s">
        <v>1534</v>
      </c>
      <c r="Q230" s="1185" t="s">
        <v>3302</v>
      </c>
      <c r="R230" s="1278" t="s">
        <v>659</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8110</v>
      </c>
      <c r="C231" s="1059" t="s">
        <v>8111</v>
      </c>
      <c r="D231" s="1183" t="s">
        <v>7528</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505</v>
      </c>
      <c r="D232" s="1071" t="s">
        <v>8115</v>
      </c>
      <c r="E232" s="1183"/>
      <c r="F232" s="1110" t="s">
        <v>8116</v>
      </c>
      <c r="G232" s="1183" t="s">
        <v>8117</v>
      </c>
      <c r="H232" s="1064" t="s">
        <v>1315</v>
      </c>
      <c r="I232" s="1177" t="s">
        <v>8118</v>
      </c>
      <c r="J232" s="1183"/>
      <c r="K232" s="1176" t="s">
        <v>8119</v>
      </c>
      <c r="L232" s="1183"/>
      <c r="M232" s="1183" t="s">
        <v>950</v>
      </c>
      <c r="N232" s="1176" t="s">
        <v>791</v>
      </c>
      <c r="O232" s="1183"/>
      <c r="P232" s="1183"/>
      <c r="Q232" s="1185" t="s">
        <v>4206</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2493</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8110</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2494</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2774</v>
      </c>
      <c r="J239" s="1287"/>
      <c r="K239" s="1294" t="s">
        <v>3599</v>
      </c>
      <c r="L239" s="1287"/>
      <c r="M239" s="1287"/>
      <c r="N239" s="1287"/>
      <c r="O239" s="1287"/>
      <c r="P239" s="1287"/>
      <c r="Q239" s="1288"/>
      <c r="R239" s="1277"/>
      <c r="S239" s="1287"/>
      <c r="T239" s="1294" t="s">
        <v>7942</v>
      </c>
      <c r="U239" s="1287"/>
      <c r="V239" s="1287"/>
      <c r="W239" s="1287"/>
      <c r="X239" s="1287"/>
      <c r="Y239" s="1294" t="s">
        <v>2614</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4201</v>
      </c>
      <c r="E243" s="1183"/>
      <c r="F243" s="1279"/>
      <c r="G243" s="1183"/>
      <c r="H243" s="1083"/>
      <c r="I243" s="1180"/>
      <c r="J243" s="1183"/>
      <c r="K243" s="1183"/>
      <c r="L243" s="1176" t="s">
        <v>5520</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2216</v>
      </c>
      <c r="D244" s="1071" t="s">
        <v>1999</v>
      </c>
      <c r="E244" s="1183"/>
      <c r="F244" s="1097" t="s">
        <v>2216</v>
      </c>
      <c r="G244" s="1183"/>
      <c r="H244" s="1064" t="s">
        <v>1316</v>
      </c>
      <c r="I244" s="1177" t="s">
        <v>8143</v>
      </c>
      <c r="J244" s="1183" t="s">
        <v>4393</v>
      </c>
      <c r="K244" s="1176" t="s">
        <v>6201</v>
      </c>
      <c r="L244" s="1176" t="s">
        <v>3556</v>
      </c>
      <c r="M244" s="1183"/>
      <c r="N244" s="1183"/>
      <c r="O244" s="1183" t="s">
        <v>4376</v>
      </c>
      <c r="P244" s="1176" t="s">
        <v>1316</v>
      </c>
      <c r="Q244" s="1185" t="s">
        <v>2145</v>
      </c>
      <c r="R244" s="1277"/>
      <c r="S244" s="1183" t="s">
        <v>1999</v>
      </c>
      <c r="T244" s="1064" t="s">
        <v>1762</v>
      </c>
      <c r="U244" s="1064" t="s">
        <v>122</v>
      </c>
      <c r="V244" s="1176" t="s">
        <v>4056</v>
      </c>
      <c r="W244" s="1183"/>
      <c r="X244" s="1183" t="s">
        <v>4441</v>
      </c>
      <c r="Y244" s="1183"/>
      <c r="Z244" s="1183"/>
      <c r="AA244" s="1183"/>
      <c r="AB244" s="1183"/>
      <c r="AC244" s="1183"/>
      <c r="AD244" s="1183"/>
      <c r="AE244" s="1183"/>
      <c r="AF244" s="1183"/>
      <c r="AG244" s="1183"/>
      <c r="AH244" s="1183"/>
      <c r="AI244" s="1183" t="s">
        <v>2814</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4720</v>
      </c>
      <c r="D245" s="1176"/>
      <c r="E245" s="1176" t="s">
        <v>401</v>
      </c>
      <c r="F245" s="1077" t="s">
        <v>1260</v>
      </c>
      <c r="G245" s="1183" t="s">
        <v>7715</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2963</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4259</v>
      </c>
      <c r="F247" s="1292" t="s">
        <v>2360</v>
      </c>
      <c r="G247" s="1176"/>
      <c r="H247" s="1083"/>
      <c r="I247" s="1180"/>
      <c r="J247" s="1176"/>
      <c r="K247" s="1176"/>
      <c r="L247" s="1176"/>
      <c r="M247" s="1176"/>
      <c r="N247" s="1176"/>
      <c r="O247" s="1176"/>
      <c r="P247" s="1176"/>
      <c r="Q247" s="1178"/>
      <c r="R247" s="1300" t="s">
        <v>8149</v>
      </c>
      <c r="S247" s="1176"/>
      <c r="T247" s="1176" t="s">
        <v>2174</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7592</v>
      </c>
      <c r="J248" s="1183" t="s">
        <v>2419</v>
      </c>
      <c r="K248" s="1183"/>
      <c r="M248" s="1183"/>
      <c r="N248" s="1183"/>
      <c r="O248" s="1183" t="s">
        <v>3240</v>
      </c>
      <c r="P248" s="1183"/>
      <c r="Q248" s="1185" t="s">
        <v>8151</v>
      </c>
      <c r="R248" s="1277"/>
      <c r="S248" s="1183"/>
      <c r="T248" s="1183" t="s">
        <v>5435</v>
      </c>
      <c r="U248" s="1183"/>
      <c r="V248" s="1183"/>
      <c r="W248" s="1064" t="s">
        <v>3044</v>
      </c>
      <c r="X248" s="1183" t="s">
        <v>3778</v>
      </c>
      <c r="Y248" s="1183"/>
      <c r="Z248" s="1183"/>
      <c r="AA248" s="1183"/>
      <c r="AB248" s="1183"/>
      <c r="AC248" s="1183"/>
      <c r="AD248" s="1183"/>
      <c r="AE248" s="1183"/>
      <c r="AF248" s="1183"/>
      <c r="AI248" s="1183" t="s">
        <v>2516</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1779</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97" t="s">
        <v>1661</v>
      </c>
      <c r="G250" s="1176" t="s">
        <v>2566</v>
      </c>
      <c r="H250" s="1083"/>
      <c r="I250" s="1180"/>
      <c r="J250" s="1183"/>
      <c r="K250" s="1176" t="s">
        <v>997</v>
      </c>
      <c r="L250" s="1183"/>
      <c r="M250" s="1176" t="s">
        <v>952</v>
      </c>
      <c r="N250" s="1176" t="s">
        <v>243</v>
      </c>
      <c r="O250" s="1183"/>
      <c r="P250" s="1176" t="s">
        <v>3132</v>
      </c>
      <c r="Q250" s="1185"/>
      <c r="R250" s="1074"/>
      <c r="S250" s="1183" t="s">
        <v>8155</v>
      </c>
      <c r="T250" s="1064" t="s">
        <v>2146</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1831</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3255</v>
      </c>
      <c r="I252" s="1177" t="s">
        <v>1847</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4462</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4620</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8075</v>
      </c>
      <c r="C254" s="1175" t="s">
        <v>5550</v>
      </c>
      <c r="D254" s="1176" t="s">
        <v>1413</v>
      </c>
      <c r="E254" s="1176" t="s">
        <v>2605</v>
      </c>
      <c r="F254" s="1110" t="s">
        <v>3618</v>
      </c>
      <c r="G254" s="1176" t="s">
        <v>5550</v>
      </c>
      <c r="H254" s="1083"/>
      <c r="I254" s="1180"/>
      <c r="J254" s="1176"/>
      <c r="K254" s="1176"/>
      <c r="L254" s="1176" t="s">
        <v>5687</v>
      </c>
      <c r="M254" s="1176"/>
      <c r="N254" s="1176"/>
      <c r="O254" s="1176" t="s">
        <v>5343</v>
      </c>
      <c r="P254" s="1176" t="s">
        <v>3618</v>
      </c>
      <c r="Q254" s="1178" t="s">
        <v>5620</v>
      </c>
      <c r="R254" s="1278" t="s">
        <v>8162</v>
      </c>
      <c r="S254" s="1176"/>
      <c r="T254" s="1176" t="s">
        <v>5550</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3078</v>
      </c>
      <c r="D255" s="1176"/>
      <c r="E255" s="1176" t="s">
        <v>4279</v>
      </c>
      <c r="F255" s="1292" t="s">
        <v>8163</v>
      </c>
      <c r="G255" s="1176" t="s">
        <v>3078</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2423</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1923</v>
      </c>
      <c r="G257" s="1064" t="s">
        <v>1108</v>
      </c>
      <c r="H257" s="1064" t="s">
        <v>1248</v>
      </c>
      <c r="I257" s="1180"/>
      <c r="J257" s="1064" t="s">
        <v>403</v>
      </c>
      <c r="K257" s="1083"/>
      <c r="L257" s="1064" t="s">
        <v>2245</v>
      </c>
      <c r="M257" s="1064" t="s">
        <v>509</v>
      </c>
      <c r="N257" s="1083"/>
      <c r="O257" s="1083"/>
      <c r="P257" s="1064" t="s">
        <v>1923</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2067</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1611</v>
      </c>
      <c r="E260" s="1183"/>
      <c r="F260" s="1279"/>
      <c r="G260" s="1187" t="s">
        <v>5922</v>
      </c>
      <c r="H260" s="1083"/>
      <c r="I260" s="1177" t="s">
        <v>8174</v>
      </c>
      <c r="J260" s="1183" t="s">
        <v>1924</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2676</v>
      </c>
      <c r="D262" s="1176"/>
      <c r="E262" s="1176" t="s">
        <v>2676</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1669</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4563</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2930</v>
      </c>
      <c r="D271" s="1176"/>
      <c r="E271" s="1176" t="s">
        <v>1534</v>
      </c>
      <c r="F271" s="1091" t="s">
        <v>2930</v>
      </c>
      <c r="G271" s="1176" t="s">
        <v>2069</v>
      </c>
      <c r="H271" s="1083"/>
      <c r="I271" s="1177" t="s">
        <v>8193</v>
      </c>
      <c r="J271" s="1176"/>
      <c r="K271" s="1176" t="s">
        <v>2207</v>
      </c>
      <c r="L271" s="1176"/>
      <c r="M271" s="1178" t="s">
        <v>8194</v>
      </c>
      <c r="N271" s="1176"/>
      <c r="O271" s="1176"/>
      <c r="P271" s="1176" t="s">
        <v>1397</v>
      </c>
      <c r="Q271" s="1178" t="s">
        <v>8195</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2775</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2207</v>
      </c>
      <c r="D272" s="1176"/>
      <c r="E272" s="1176" t="s">
        <v>2207</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845</v>
      </c>
      <c r="E274" s="1176" t="s">
        <v>8202</v>
      </c>
      <c r="F274" s="1091" t="s">
        <v>2495</v>
      </c>
      <c r="G274" s="1176"/>
      <c r="H274" s="1064" t="s">
        <v>2664</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1624</v>
      </c>
      <c r="D276" s="1183" t="s">
        <v>1671</v>
      </c>
      <c r="E276" s="1183"/>
      <c r="F276" s="1322"/>
      <c r="G276" s="1183"/>
      <c r="H276" s="1064" t="s">
        <v>4246</v>
      </c>
      <c r="I276" s="1180"/>
      <c r="J276" s="1176" t="str">
        <f>HYPERLINK("https://youtu.be/_GZXmZdCc5s","31.80")</f>
        <v>31.80</v>
      </c>
      <c r="K276" s="1183"/>
      <c r="L276" s="1176" t="s">
        <v>8206</v>
      </c>
      <c r="M276" s="1183"/>
      <c r="N276" s="1176" t="s">
        <v>1624</v>
      </c>
      <c r="O276" s="1176" t="str">
        <f>HYPERLINK("https://youtu.be/kUsh0nBBuMY","32.45")</f>
        <v>32.45</v>
      </c>
      <c r="P276" s="1183"/>
      <c r="Q276" s="1185" t="s">
        <v>2261</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2496</v>
      </c>
      <c r="G279" s="1176" t="s">
        <v>1536</v>
      </c>
      <c r="H279" s="1064" t="s">
        <v>1324</v>
      </c>
      <c r="I279" s="1180"/>
      <c r="J279" s="1176" t="s">
        <v>2191</v>
      </c>
      <c r="K279" s="1176" t="s">
        <v>2146</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4169</v>
      </c>
      <c r="F280" s="1319" t="s">
        <v>2567</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4004</v>
      </c>
      <c r="V280" s="1176" t="s">
        <v>8188</v>
      </c>
      <c r="W280" s="1176"/>
      <c r="X280" s="1176" t="s">
        <v>8216</v>
      </c>
      <c r="Y280" s="1176" t="s">
        <v>4407</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5207</v>
      </c>
      <c r="E281" s="1176" t="s">
        <v>3496</v>
      </c>
      <c r="F281" s="1110" t="s">
        <v>8222</v>
      </c>
      <c r="G281" s="1176"/>
      <c r="H281" s="1064" t="s">
        <v>8223</v>
      </c>
      <c r="I281" s="1180"/>
      <c r="J281" s="1176" t="str">
        <f>HYPERLINK(" https://youtu.be/dsDcBzsPA5s","45.74")</f>
        <v>45.74</v>
      </c>
      <c r="K281" s="1176" t="s">
        <v>3989</v>
      </c>
      <c r="L281" s="1176" t="s">
        <v>8224</v>
      </c>
      <c r="M281" s="1176" t="s">
        <v>3915</v>
      </c>
      <c r="N281" s="1176" t="s">
        <v>1784</v>
      </c>
      <c r="O281" s="1176" t="s">
        <v>2070</v>
      </c>
      <c r="P281" s="1176" t="s">
        <v>4053</v>
      </c>
      <c r="Q281" s="1178" t="s">
        <v>3567</v>
      </c>
      <c r="R281" s="1074"/>
      <c r="S281" s="1176" t="s">
        <v>8225</v>
      </c>
      <c r="T281" s="1176"/>
      <c r="U281" s="1176" t="s">
        <v>8226</v>
      </c>
      <c r="V281" s="1176" t="s">
        <v>286</v>
      </c>
      <c r="W281" s="1176"/>
      <c r="X281" s="1176" t="s">
        <v>8200</v>
      </c>
      <c r="Y281" s="1176" t="s">
        <v>704</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4651</v>
      </c>
      <c r="E282" s="1176" t="s">
        <v>410</v>
      </c>
      <c r="F282" s="1091" t="s">
        <v>563</v>
      </c>
      <c r="G282" s="1176" t="s">
        <v>1838</v>
      </c>
      <c r="H282" s="1064" t="s">
        <v>1325</v>
      </c>
      <c r="I282" s="1180"/>
      <c r="J282" s="1176" t="str">
        <f>HYPERLINK("https://youtu.be/9O9oqhlyCxY","45.20")</f>
        <v>45.20</v>
      </c>
      <c r="K282" s="1176" t="s">
        <v>8229</v>
      </c>
      <c r="L282" s="1064" t="s">
        <v>3679</v>
      </c>
      <c r="M282" s="1176" t="s">
        <v>321</v>
      </c>
      <c r="N282" s="1176" t="s">
        <v>1398</v>
      </c>
      <c r="O282" s="1176" t="s">
        <v>8191</v>
      </c>
      <c r="P282" s="1176" t="s">
        <v>1112</v>
      </c>
      <c r="Q282" s="1178"/>
      <c r="R282" s="1315"/>
      <c r="S282" s="1176" t="s">
        <v>1927</v>
      </c>
      <c r="T282" s="1176"/>
      <c r="U282" s="1176" t="s">
        <v>428</v>
      </c>
      <c r="V282" s="1176" t="s">
        <v>517</v>
      </c>
      <c r="W282" s="1176"/>
      <c r="X282" s="1176"/>
      <c r="Y282" s="1176" t="s">
        <v>616</v>
      </c>
      <c r="Z282" s="1176"/>
      <c r="AA282" s="1176"/>
      <c r="AB282" s="1176"/>
      <c r="AC282" s="1176" t="s">
        <v>4404</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880</v>
      </c>
      <c r="D283" s="1024" t="s">
        <v>1615</v>
      </c>
      <c r="E283" s="1327" t="s">
        <v>411</v>
      </c>
      <c r="F283" s="1077" t="s">
        <v>2497</v>
      </c>
      <c r="G283" s="1327" t="s">
        <v>4561</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1616</v>
      </c>
      <c r="E284" s="1327" t="s">
        <v>412</v>
      </c>
      <c r="F284" s="1097" t="s">
        <v>2498</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5883</v>
      </c>
      <c r="D285" s="1176" t="s">
        <v>5865</v>
      </c>
      <c r="E285" s="1176" t="s">
        <v>2958</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1479</v>
      </c>
      <c r="E286" s="1176" t="s">
        <v>4434</v>
      </c>
      <c r="F286" s="1077" t="s">
        <v>3088</v>
      </c>
      <c r="G286" s="1176" t="s">
        <v>8238</v>
      </c>
      <c r="H286" s="1064" t="s">
        <v>1328</v>
      </c>
      <c r="I286" s="1293" t="s">
        <v>8239</v>
      </c>
      <c r="J286" s="1176" t="s">
        <v>1479</v>
      </c>
      <c r="K286" s="1176" t="s">
        <v>3847</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4226</v>
      </c>
      <c r="D288" s="1083"/>
      <c r="E288" s="1064" t="s">
        <v>1868</v>
      </c>
      <c r="F288" s="1322"/>
      <c r="G288" s="1064" t="s">
        <v>4226</v>
      </c>
      <c r="H288" s="1064" t="s">
        <v>3256</v>
      </c>
      <c r="I288" s="1180"/>
      <c r="J288" s="1083"/>
      <c r="K288" s="1083"/>
      <c r="L288" s="1083"/>
      <c r="M288" s="1083"/>
      <c r="N288" s="1083"/>
      <c r="O288" s="1083" t="s">
        <v>4347</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4516</v>
      </c>
      <c r="D289" s="1176" t="s">
        <v>1617</v>
      </c>
      <c r="E289" s="1176" t="s">
        <v>2675</v>
      </c>
      <c r="F289" s="1091" t="s">
        <v>4111</v>
      </c>
      <c r="G289" s="1178" t="s">
        <v>1367</v>
      </c>
      <c r="H289" s="1083"/>
      <c r="I289" s="1180"/>
      <c r="J289" s="1176"/>
      <c r="K289" s="1176"/>
      <c r="L289" s="1176"/>
      <c r="M289" s="1176"/>
      <c r="N289" s="1176"/>
      <c r="O289" s="1176"/>
      <c r="P289" s="1176"/>
      <c r="Q289" s="1178" t="s">
        <v>5346</v>
      </c>
      <c r="R289" s="1314" t="s">
        <v>6256</v>
      </c>
      <c r="S289" s="1176" t="s">
        <v>2638</v>
      </c>
      <c r="T289" s="1176" t="s">
        <v>1617</v>
      </c>
      <c r="U289" s="1176"/>
      <c r="V289" s="1176" t="s">
        <v>4516</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2499</v>
      </c>
      <c r="G290" s="1178" t="s">
        <v>2476</v>
      </c>
      <c r="H290" s="1064" t="s">
        <v>3835</v>
      </c>
      <c r="I290" s="1177" t="s">
        <v>8252</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7827</v>
      </c>
      <c r="C294" s="1059" t="s">
        <v>8257</v>
      </c>
      <c r="D294" s="1021" t="s">
        <v>1618</v>
      </c>
      <c r="E294" s="1183"/>
      <c r="F294" s="1322"/>
      <c r="G294" s="1064" t="s">
        <v>8257</v>
      </c>
      <c r="H294" s="1064" t="s">
        <v>1730</v>
      </c>
      <c r="I294" s="1177" t="s">
        <v>8258</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2640</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2501</v>
      </c>
      <c r="G300" s="1064" t="s">
        <v>8271</v>
      </c>
      <c r="H300" s="1064" t="s">
        <v>1339</v>
      </c>
      <c r="I300" s="1180"/>
      <c r="J300" s="1064" t="str">
        <f>HYPERLINK("https://youtu.be/ZpzmhXUsVhA","1:19.38")</f>
        <v>1:19.38</v>
      </c>
      <c r="K300" s="1083"/>
      <c r="L300" s="1064" t="s">
        <v>3685</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2608</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2224</v>
      </c>
      <c r="D303" s="1350" t="s">
        <v>8277</v>
      </c>
      <c r="E303" s="1176" t="s">
        <v>3596</v>
      </c>
      <c r="F303" s="1146" t="s">
        <v>683</v>
      </c>
      <c r="G303" s="1222" t="s">
        <v>2500</v>
      </c>
      <c r="H303" s="1064" t="s">
        <v>2843</v>
      </c>
      <c r="I303" s="1180"/>
      <c r="J303" s="1176"/>
      <c r="K303" s="1176"/>
      <c r="L303" s="1176"/>
      <c r="M303" s="1176"/>
      <c r="N303" s="1176"/>
      <c r="O303" s="1176"/>
      <c r="P303" s="1176" t="s">
        <v>2224</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4244</v>
      </c>
      <c r="D304" s="1304" t="s">
        <v>1712</v>
      </c>
      <c r="E304" s="1176" t="s">
        <v>4244</v>
      </c>
      <c r="F304" s="1062"/>
      <c r="G304" s="1176"/>
      <c r="H304" s="1083"/>
      <c r="I304" s="1180"/>
      <c r="J304" s="1176"/>
      <c r="K304" s="1176"/>
      <c r="L304" s="1176" t="s">
        <v>2342</v>
      </c>
      <c r="M304" s="1176"/>
      <c r="N304" s="1176"/>
      <c r="O304" s="1176"/>
      <c r="P304" s="1176"/>
      <c r="Q304" s="1178" t="s">
        <v>8280</v>
      </c>
      <c r="R304" s="1346"/>
      <c r="S304" s="1176"/>
      <c r="T304" s="1176"/>
      <c r="U304" s="1176" t="s">
        <v>2640</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2502</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2614</v>
      </c>
      <c r="D309" s="1227"/>
      <c r="E309" s="1227"/>
      <c r="F309" s="1136"/>
      <c r="G309" s="1227"/>
      <c r="H309" s="1083"/>
      <c r="I309" s="1180"/>
      <c r="J309" s="1227" t="s">
        <v>2614</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2649</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1779</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2865</v>
      </c>
      <c r="D314" s="1071" t="s">
        <v>3646</v>
      </c>
      <c r="E314" s="1183"/>
      <c r="F314" s="1062"/>
      <c r="G314" s="1064" t="s">
        <v>2865</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1777</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4192</v>
      </c>
      <c r="F315" s="1136"/>
      <c r="G315" s="1064" t="s">
        <v>3952</v>
      </c>
      <c r="H315" s="1083"/>
      <c r="I315" s="1180"/>
      <c r="J315" s="1064" t="s">
        <v>3952</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3037</v>
      </c>
      <c r="D326" s="1064" t="s">
        <v>405</v>
      </c>
      <c r="E326" s="1064" t="s">
        <v>5421</v>
      </c>
      <c r="F326" s="1091" t="s">
        <v>3525</v>
      </c>
      <c r="G326" s="1083" t="s">
        <v>1833</v>
      </c>
      <c r="H326" s="1083"/>
      <c r="I326" s="1180"/>
      <c r="J326" s="1083"/>
      <c r="K326" s="1083"/>
      <c r="L326" s="1083"/>
      <c r="M326" s="1083"/>
      <c r="N326" s="1083"/>
      <c r="O326" s="1083"/>
      <c r="P326" s="1083"/>
      <c r="Q326" s="1178"/>
      <c r="R326" s="1074"/>
      <c r="S326" s="1083"/>
      <c r="T326" s="1064" t="s">
        <v>5421</v>
      </c>
      <c r="U326" s="1083"/>
      <c r="V326" s="1064" t="s">
        <v>3037</v>
      </c>
      <c r="W326" s="1083"/>
      <c r="X326" s="1083"/>
      <c r="Y326" s="1083"/>
      <c r="Z326" s="1083"/>
      <c r="AA326" s="1064" t="s">
        <v>2817</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5134</v>
      </c>
      <c r="E328" s="1064" t="s">
        <v>4488</v>
      </c>
      <c r="F328" s="1091" t="s">
        <v>7046</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3572</v>
      </c>
      <c r="D329" s="1104"/>
      <c r="E329" s="1103" t="s">
        <v>1698</v>
      </c>
      <c r="F329" s="1146" t="s">
        <v>3572</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2843</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4620</v>
      </c>
      <c r="D350" s="1083"/>
      <c r="E350" s="1064" t="s">
        <v>5832</v>
      </c>
      <c r="F350" s="1110" t="s">
        <v>965</v>
      </c>
      <c r="G350" s="1083"/>
      <c r="H350" s="1083"/>
      <c r="I350" s="1180"/>
      <c r="J350" s="1083"/>
      <c r="K350" s="1083"/>
      <c r="L350" s="1083"/>
      <c r="M350" s="1083"/>
      <c r="N350" s="1083"/>
      <c r="O350" s="1083"/>
      <c r="P350" s="1083"/>
      <c r="Q350" s="1178"/>
      <c r="R350" s="1074"/>
      <c r="S350" s="1083"/>
      <c r="T350" s="1064" t="s">
        <v>1793</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2503</v>
      </c>
      <c r="B3" s="833" t="s">
        <v>8473</v>
      </c>
      <c r="C3" s="829" t="s">
        <v>8474</v>
      </c>
      <c r="D3" s="830" t="s">
        <v>2943</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2131</v>
      </c>
      <c r="X3" s="1024" t="s">
        <v>1887</v>
      </c>
      <c r="Y3" s="1024" t="s">
        <v>2680</v>
      </c>
      <c r="Z3" s="1385" t="s">
        <v>8490</v>
      </c>
      <c r="AA3" s="1383" t="s">
        <v>8491</v>
      </c>
      <c r="AB3" s="1385" t="s">
        <v>8492</v>
      </c>
      <c r="AC3" s="1024" t="s">
        <v>8493</v>
      </c>
      <c r="AD3" s="1024" t="s">
        <v>4488</v>
      </c>
      <c r="AE3" s="1384" t="s">
        <v>8494</v>
      </c>
      <c r="AF3" s="1024" t="s">
        <v>8495</v>
      </c>
      <c r="AG3" s="1384" t="s">
        <v>8496</v>
      </c>
      <c r="AH3" s="1383" t="s">
        <v>8497</v>
      </c>
      <c r="AI3" s="1024" t="s">
        <v>7972</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2511</v>
      </c>
      <c r="BW3" s="1383" t="s">
        <v>2521</v>
      </c>
      <c r="BX3" s="1384" t="s">
        <v>2532</v>
      </c>
      <c r="BY3" s="1385" t="s">
        <v>8535</v>
      </c>
      <c r="BZ3" s="1383" t="s">
        <v>8536</v>
      </c>
      <c r="CA3" s="1385" t="s">
        <v>1280</v>
      </c>
      <c r="CB3" s="1385" t="s">
        <v>8537</v>
      </c>
      <c r="CC3" s="1385" t="s">
        <v>3658</v>
      </c>
      <c r="CD3" s="1388" t="s">
        <v>2562</v>
      </c>
      <c r="CE3" s="1384" t="s">
        <v>8538</v>
      </c>
      <c r="CF3" s="1383" t="s">
        <v>8539</v>
      </c>
      <c r="CG3" s="1383" t="s">
        <v>8540</v>
      </c>
      <c r="CH3" s="1385" t="s">
        <v>8541</v>
      </c>
      <c r="CI3" s="1383" t="s">
        <v>8542</v>
      </c>
      <c r="CJ3" s="1384" t="s">
        <v>8543</v>
      </c>
      <c r="CK3" s="1385" t="s">
        <v>8544</v>
      </c>
      <c r="CL3" s="1024" t="s">
        <v>7386</v>
      </c>
      <c r="CM3" s="1385" t="s">
        <v>8545</v>
      </c>
      <c r="CN3" s="1385" t="s">
        <v>8546</v>
      </c>
      <c r="CO3" s="1383" t="s">
        <v>8547</v>
      </c>
      <c r="CP3" s="1384" t="s">
        <v>8548</v>
      </c>
      <c r="CQ3" s="1385" t="s">
        <v>8549</v>
      </c>
      <c r="CR3" s="1385" t="s">
        <v>8550</v>
      </c>
      <c r="CS3" s="1383" t="s">
        <v>8551</v>
      </c>
      <c r="CT3" s="1385" t="s">
        <v>8552</v>
      </c>
      <c r="CU3" s="1385" t="s">
        <v>8553</v>
      </c>
    </row>
    <row r="4">
      <c r="A4" s="1389" t="s">
        <v>7553</v>
      </c>
      <c r="B4" s="833" t="s">
        <v>8554</v>
      </c>
      <c r="C4" s="829" t="s">
        <v>3580</v>
      </c>
      <c r="D4" s="830" t="s">
        <v>438</v>
      </c>
      <c r="E4" s="831" t="s">
        <v>332</v>
      </c>
      <c r="F4" s="832" t="s">
        <v>4789</v>
      </c>
      <c r="G4" s="833" t="s">
        <v>3853</v>
      </c>
      <c r="H4" s="1384" t="s">
        <v>8555</v>
      </c>
      <c r="I4" s="1385" t="s">
        <v>4274</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2583</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2154</v>
      </c>
      <c r="CN4" s="1397" t="s">
        <v>3388</v>
      </c>
      <c r="CO4" s="1398"/>
      <c r="CP4" s="1394" t="s">
        <v>8595</v>
      </c>
      <c r="CQ4" s="1398"/>
      <c r="CR4" s="1398"/>
      <c r="CS4" s="1394" t="s">
        <v>8596</v>
      </c>
      <c r="CT4" s="1022"/>
      <c r="CU4" s="1022"/>
    </row>
    <row r="5">
      <c r="A5" s="1399" t="s">
        <v>7555</v>
      </c>
      <c r="B5" s="833" t="s">
        <v>6275</v>
      </c>
      <c r="C5" s="829" t="s">
        <v>332</v>
      </c>
      <c r="D5" s="830" t="s">
        <v>333</v>
      </c>
      <c r="E5" s="831" t="s">
        <v>1054</v>
      </c>
      <c r="F5" s="832" t="s">
        <v>1499</v>
      </c>
      <c r="G5" s="833" t="s">
        <v>4414</v>
      </c>
      <c r="H5" s="1021" t="s">
        <v>8597</v>
      </c>
      <c r="I5" s="1024" t="s">
        <v>8598</v>
      </c>
      <c r="J5" s="1021" t="s">
        <v>6480</v>
      </c>
      <c r="K5" s="1385" t="s">
        <v>8599</v>
      </c>
      <c r="L5" s="1384" t="s">
        <v>8600</v>
      </c>
      <c r="M5" s="1384" t="s">
        <v>3765</v>
      </c>
      <c r="N5" s="1021" t="s">
        <v>8601</v>
      </c>
      <c r="O5" s="1024" t="s">
        <v>8602</v>
      </c>
      <c r="P5" s="1385" t="s">
        <v>8603</v>
      </c>
      <c r="Q5" s="1383" t="s">
        <v>8604</v>
      </c>
      <c r="R5" s="1383" t="s">
        <v>8605</v>
      </c>
      <c r="S5" s="1383" t="s">
        <v>8606</v>
      </c>
      <c r="T5" s="1384" t="s">
        <v>8607</v>
      </c>
      <c r="U5" s="1383" t="s">
        <v>8608</v>
      </c>
      <c r="V5" s="1024" t="s">
        <v>8609</v>
      </c>
      <c r="W5" s="1021" t="s">
        <v>2361</v>
      </c>
      <c r="X5" s="1400" t="s">
        <v>177</v>
      </c>
      <c r="Y5" s="1024" t="s">
        <v>8610</v>
      </c>
      <c r="Z5" s="1400" t="s">
        <v>8611</v>
      </c>
      <c r="AA5" s="1024" t="s">
        <v>8612</v>
      </c>
      <c r="AB5" s="1021"/>
      <c r="AC5" s="1021" t="s">
        <v>3425</v>
      </c>
      <c r="AD5" s="1021" t="s">
        <v>3890</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4681</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3974</v>
      </c>
      <c r="BY5" s="1022"/>
      <c r="BZ5" s="1022"/>
      <c r="CA5" s="1400" t="s">
        <v>3460</v>
      </c>
      <c r="CB5" s="1383" t="s">
        <v>257</v>
      </c>
      <c r="CC5" s="1024" t="s">
        <v>1607</v>
      </c>
      <c r="CD5" s="1400"/>
      <c r="CE5" s="1021" t="s">
        <v>8644</v>
      </c>
      <c r="CF5" s="1021" t="s">
        <v>8645</v>
      </c>
      <c r="CG5" s="1021"/>
      <c r="CH5" s="1021"/>
      <c r="CI5" s="1021"/>
      <c r="CJ5" s="1021"/>
      <c r="CK5" s="1021"/>
      <c r="CL5" s="1021"/>
      <c r="CM5" s="1021"/>
      <c r="CN5" s="1383" t="s">
        <v>8646</v>
      </c>
      <c r="CO5" s="1385" t="s">
        <v>7741</v>
      </c>
      <c r="CP5" s="1383" t="s">
        <v>8647</v>
      </c>
      <c r="CQ5" s="1021" t="s">
        <v>8648</v>
      </c>
      <c r="CR5" s="1021"/>
      <c r="CS5" s="1021"/>
      <c r="CT5" s="1400" t="s">
        <v>8649</v>
      </c>
      <c r="CU5" s="1021"/>
    </row>
    <row r="6">
      <c r="A6" s="1402" t="s">
        <v>7167</v>
      </c>
      <c r="B6" s="833" t="s">
        <v>6337</v>
      </c>
      <c r="C6" s="829" t="s">
        <v>332</v>
      </c>
      <c r="D6" s="830" t="s">
        <v>646</v>
      </c>
      <c r="E6" s="831" t="s">
        <v>647</v>
      </c>
      <c r="F6" s="832" t="s">
        <v>2878</v>
      </c>
      <c r="G6" s="833" t="s">
        <v>3105</v>
      </c>
      <c r="H6" s="1021" t="s">
        <v>8650</v>
      </c>
      <c r="I6" s="1021" t="s">
        <v>7321</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7583</v>
      </c>
      <c r="X6" s="1021"/>
      <c r="Y6" s="1021" t="s">
        <v>8660</v>
      </c>
      <c r="Z6" s="1384" t="s">
        <v>122</v>
      </c>
      <c r="AA6" s="1384" t="s">
        <v>8661</v>
      </c>
      <c r="AB6" s="1390"/>
      <c r="AC6" s="1021" t="s">
        <v>8662</v>
      </c>
      <c r="AD6" s="1022"/>
      <c r="AE6" s="1383" t="s">
        <v>8663</v>
      </c>
      <c r="AF6" s="1021" t="s">
        <v>8664</v>
      </c>
      <c r="AG6" s="1021"/>
      <c r="AH6" s="1021" t="s">
        <v>2474</v>
      </c>
      <c r="AI6" s="1021" t="s">
        <v>1822</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3105</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7892</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3580</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3473</v>
      </c>
      <c r="AD7" s="1024" t="s">
        <v>4734</v>
      </c>
      <c r="AE7" s="1390"/>
      <c r="AF7" s="1384" t="s">
        <v>7435</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4122</v>
      </c>
      <c r="G8" s="833" t="s">
        <v>1878</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3044</v>
      </c>
      <c r="Z8" s="1022"/>
      <c r="AA8" s="1022"/>
      <c r="AB8" s="1022"/>
      <c r="AC8" s="1024" t="s">
        <v>4164</v>
      </c>
      <c r="AD8" s="1060" t="s">
        <v>4288</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4122</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3784</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3647</v>
      </c>
      <c r="BX9" s="1383" t="s">
        <v>2320</v>
      </c>
      <c r="BY9" s="1410" t="s">
        <v>3283</v>
      </c>
      <c r="BZ9" s="1390"/>
      <c r="CA9" s="1383" t="s">
        <v>2042</v>
      </c>
      <c r="CB9" s="1410" t="s">
        <v>2861</v>
      </c>
      <c r="CC9" s="1405" t="s">
        <v>3553</v>
      </c>
      <c r="CD9" s="1414"/>
      <c r="CE9" s="1395"/>
      <c r="CF9" s="1395"/>
      <c r="CG9" s="1395"/>
      <c r="CH9" s="1395"/>
      <c r="CI9" s="1395"/>
      <c r="CJ9" s="1395"/>
      <c r="CK9" s="1395"/>
      <c r="CL9" s="1395"/>
      <c r="CM9" s="1397" t="s">
        <v>2155</v>
      </c>
      <c r="CN9" s="1395"/>
      <c r="CO9" s="1395"/>
      <c r="CP9" s="1395"/>
      <c r="CQ9" s="1415" t="s">
        <v>8749</v>
      </c>
      <c r="CR9" s="1395"/>
      <c r="CS9" s="1395"/>
      <c r="CT9" s="1390"/>
      <c r="CU9" s="1390"/>
    </row>
    <row r="10">
      <c r="A10" s="1416" t="s">
        <v>8750</v>
      </c>
      <c r="B10" s="833" t="s">
        <v>8751</v>
      </c>
      <c r="C10" s="829" t="s">
        <v>1259</v>
      </c>
      <c r="D10" s="830" t="s">
        <v>437</v>
      </c>
      <c r="E10" s="831" t="s">
        <v>437</v>
      </c>
      <c r="F10" s="832" t="s">
        <v>4122</v>
      </c>
      <c r="G10" s="833" t="s">
        <v>3000</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2261</v>
      </c>
      <c r="Z10" s="1022"/>
      <c r="AA10" s="1024" t="s">
        <v>6161</v>
      </c>
      <c r="AB10" s="1022"/>
      <c r="AC10" s="1024" t="s">
        <v>2259</v>
      </c>
      <c r="AD10" s="1024" t="s">
        <v>2301</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2998</v>
      </c>
      <c r="B11" s="833" t="s">
        <v>8773</v>
      </c>
      <c r="C11" s="829" t="s">
        <v>544</v>
      </c>
      <c r="D11" s="830" t="s">
        <v>437</v>
      </c>
      <c r="E11" s="831" t="s">
        <v>544</v>
      </c>
      <c r="F11" s="832" t="s">
        <v>3067</v>
      </c>
      <c r="G11" s="833" t="s">
        <v>1878</v>
      </c>
      <c r="H11" s="1407"/>
      <c r="I11" s="1407" t="s">
        <v>8774</v>
      </c>
      <c r="J11" s="1022"/>
      <c r="K11" s="1021" t="s">
        <v>8775</v>
      </c>
      <c r="L11" s="1024" t="s">
        <v>8776</v>
      </c>
      <c r="M11" s="1021" t="s">
        <v>8707</v>
      </c>
      <c r="N11" s="1022"/>
      <c r="O11" s="1021" t="s">
        <v>8777</v>
      </c>
      <c r="P11" s="1021" t="s">
        <v>8778</v>
      </c>
      <c r="Q11" s="1021" t="s">
        <v>8779</v>
      </c>
      <c r="R11" s="1021" t="s">
        <v>8780</v>
      </c>
      <c r="S11" s="1024" t="s">
        <v>3035</v>
      </c>
      <c r="T11" s="1022"/>
      <c r="U11" s="1021" t="s">
        <v>4014</v>
      </c>
      <c r="V11" s="1022"/>
      <c r="W11" s="1021" t="s">
        <v>5016</v>
      </c>
      <c r="X11" s="1024" t="s">
        <v>3677</v>
      </c>
      <c r="Y11" s="1024" t="s">
        <v>8781</v>
      </c>
      <c r="Z11" s="1022"/>
      <c r="AA11" s="1024" t="s">
        <v>5792</v>
      </c>
      <c r="AB11" s="1022"/>
      <c r="AC11" s="1021" t="s">
        <v>5924</v>
      </c>
      <c r="AD11" s="1021" t="s">
        <v>2057</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3200</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4547</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8820</v>
      </c>
      <c r="C13" s="829" t="s">
        <v>1259</v>
      </c>
      <c r="D13" s="830" t="s">
        <v>1259</v>
      </c>
      <c r="E13" s="831" t="s">
        <v>1259</v>
      </c>
      <c r="F13" s="832" t="s">
        <v>544</v>
      </c>
      <c r="G13" s="833" t="s">
        <v>1808</v>
      </c>
      <c r="H13" s="1407"/>
      <c r="I13" s="1407" t="s">
        <v>3920</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4096</v>
      </c>
      <c r="W13" s="1021" t="s">
        <v>5024</v>
      </c>
      <c r="X13" s="1021" t="s">
        <v>8832</v>
      </c>
      <c r="Y13" s="1021" t="s">
        <v>375</v>
      </c>
      <c r="Z13" s="1400" t="s">
        <v>3232</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2192</v>
      </c>
      <c r="B14" s="833" t="s">
        <v>8854</v>
      </c>
      <c r="C14" s="829" t="s">
        <v>1259</v>
      </c>
      <c r="D14" s="830" t="s">
        <v>1259</v>
      </c>
      <c r="E14" s="831" t="s">
        <v>1259</v>
      </c>
      <c r="F14" s="832" t="s">
        <v>332</v>
      </c>
      <c r="G14" s="833" t="s">
        <v>4642</v>
      </c>
      <c r="H14" s="1407" t="s">
        <v>8855</v>
      </c>
      <c r="I14" s="1404" t="s">
        <v>2204</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2700</v>
      </c>
      <c r="X14" s="1021" t="s">
        <v>8869</v>
      </c>
      <c r="Y14" s="1400" t="s">
        <v>2057</v>
      </c>
      <c r="Z14" s="1022"/>
      <c r="AA14" s="1022"/>
      <c r="AB14" s="1022"/>
      <c r="AC14" s="1400" t="s">
        <v>8870</v>
      </c>
      <c r="AD14" s="1400" t="s">
        <v>5297</v>
      </c>
      <c r="AE14" s="1024" t="s">
        <v>2571</v>
      </c>
      <c r="AF14" s="1400" t="s">
        <v>8871</v>
      </c>
      <c r="AG14" s="1021" t="s">
        <v>8872</v>
      </c>
      <c r="AH14" s="1022"/>
      <c r="AI14" s="1022"/>
      <c r="AJ14" s="1022"/>
      <c r="AK14" s="1021" t="s">
        <v>8873</v>
      </c>
      <c r="AL14" s="1021" t="s">
        <v>2931</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2221</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1876</v>
      </c>
      <c r="B15" s="833" t="s">
        <v>8879</v>
      </c>
      <c r="C15" s="829" t="s">
        <v>647</v>
      </c>
      <c r="D15" s="830" t="s">
        <v>437</v>
      </c>
      <c r="E15" s="831" t="s">
        <v>544</v>
      </c>
      <c r="F15" s="832" t="s">
        <v>646</v>
      </c>
      <c r="G15" s="833" t="s">
        <v>2746</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4288</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6493</v>
      </c>
      <c r="C17" s="829" t="s">
        <v>1259</v>
      </c>
      <c r="D17" s="830" t="s">
        <v>544</v>
      </c>
      <c r="E17" s="831" t="s">
        <v>437</v>
      </c>
      <c r="F17" s="832" t="s">
        <v>982</v>
      </c>
      <c r="G17" s="833" t="s">
        <v>2943</v>
      </c>
      <c r="H17" s="1437" t="s">
        <v>8895</v>
      </c>
      <c r="I17" s="1407" t="s">
        <v>8896</v>
      </c>
      <c r="J17" s="1021" t="s">
        <v>8897</v>
      </c>
      <c r="K17" s="1407" t="s">
        <v>8898</v>
      </c>
      <c r="L17" s="1021" t="s">
        <v>4570</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3067</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2505</v>
      </c>
      <c r="AD19" s="1024" t="s">
        <v>4632</v>
      </c>
      <c r="AE19" s="1390"/>
      <c r="AF19" s="1385" t="s">
        <v>8929</v>
      </c>
      <c r="AG19" s="1022"/>
      <c r="AH19" s="1384" t="s">
        <v>1784</v>
      </c>
      <c r="AI19" s="1385" t="s">
        <v>3155</v>
      </c>
      <c r="AJ19" s="1022"/>
      <c r="AK19" s="1021" t="s">
        <v>4290</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7353</v>
      </c>
      <c r="C20" s="829" t="s">
        <v>1259</v>
      </c>
      <c r="D20" s="830" t="s">
        <v>544</v>
      </c>
      <c r="E20" s="831" t="s">
        <v>1259</v>
      </c>
      <c r="F20" s="832" t="s">
        <v>437</v>
      </c>
      <c r="G20" s="833" t="s">
        <v>3105</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4455</v>
      </c>
      <c r="X20" s="1021" t="s">
        <v>3828</v>
      </c>
      <c r="Y20" s="1400" t="s">
        <v>2838</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4706</v>
      </c>
      <c r="BW20" s="1401"/>
      <c r="BX20" s="1022"/>
      <c r="BY20" s="1021" t="s">
        <v>2232</v>
      </c>
      <c r="BZ20" s="1022"/>
      <c r="CA20" s="1401"/>
      <c r="CB20" s="1021" t="s">
        <v>4547</v>
      </c>
      <c r="CC20" s="1400" t="s">
        <v>8946</v>
      </c>
      <c r="CD20" s="1400"/>
      <c r="CE20" s="1022"/>
      <c r="CF20" s="1022"/>
      <c r="CG20" s="1022"/>
      <c r="CH20" s="1022"/>
      <c r="CI20" s="1022"/>
      <c r="CJ20" s="1022"/>
      <c r="CK20" s="1022"/>
      <c r="CL20" s="1022"/>
      <c r="CM20" s="1400" t="s">
        <v>8947</v>
      </c>
      <c r="CN20" s="1400" t="s">
        <v>1947</v>
      </c>
      <c r="CO20" s="1400" t="s">
        <v>1878</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544</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2627</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2154</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4124</v>
      </c>
      <c r="AE23" s="1390"/>
      <c r="AF23" s="1024" t="s">
        <v>722</v>
      </c>
      <c r="AG23" s="1390"/>
      <c r="AH23" s="1400" t="s">
        <v>7695</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3338</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2256</v>
      </c>
      <c r="CA24" s="1400" t="s">
        <v>5553</v>
      </c>
      <c r="CB24" s="1400" t="s">
        <v>2132</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750</v>
      </c>
      <c r="V25" s="1021"/>
      <c r="W25" s="1400" t="s">
        <v>4340</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7505</v>
      </c>
      <c r="B26" s="833" t="s">
        <v>9015</v>
      </c>
      <c r="C26" s="829" t="s">
        <v>1259</v>
      </c>
      <c r="D26" s="830" t="s">
        <v>1259</v>
      </c>
      <c r="E26" s="831" t="s">
        <v>1259</v>
      </c>
      <c r="F26" s="832" t="s">
        <v>1259</v>
      </c>
      <c r="G26" s="833" t="s">
        <v>2878</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2693</v>
      </c>
      <c r="X26" s="1021"/>
      <c r="Y26" s="1400" t="s">
        <v>1083</v>
      </c>
      <c r="Z26" s="1401" t="s">
        <v>9022</v>
      </c>
      <c r="AA26" s="1022"/>
      <c r="AB26" s="1022"/>
      <c r="AC26" s="1021"/>
      <c r="AD26" s="1400" t="s">
        <v>1977</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1259</v>
      </c>
      <c r="D27" s="830" t="s">
        <v>1259</v>
      </c>
      <c r="E27" s="831" t="s">
        <v>1259</v>
      </c>
      <c r="F27" s="832" t="s">
        <v>332</v>
      </c>
      <c r="G27" s="833" t="s">
        <v>2780</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7785</v>
      </c>
      <c r="Y27" s="1024" t="s">
        <v>7886</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2747</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2154</v>
      </c>
      <c r="C31" s="829" t="s">
        <v>1259</v>
      </c>
      <c r="D31" s="830" t="s">
        <v>1259</v>
      </c>
      <c r="E31" s="831" t="s">
        <v>1259</v>
      </c>
      <c r="F31" s="832" t="s">
        <v>1259</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2380</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2126</v>
      </c>
      <c r="AE32" s="1021"/>
      <c r="AF32" s="1400" t="s">
        <v>7277</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3580</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998</v>
      </c>
      <c r="CC35" s="1410" t="s">
        <v>2887</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2004</v>
      </c>
      <c r="Z38" s="1022"/>
      <c r="AA38" s="1021" t="s">
        <v>3152</v>
      </c>
      <c r="AB38" s="1022"/>
      <c r="AC38" s="1021" t="s">
        <v>9063</v>
      </c>
      <c r="AD38" s="1021" t="s">
        <v>2125</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2878</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4122</v>
      </c>
      <c r="CO46" s="1022"/>
      <c r="CP46" s="1022"/>
      <c r="CQ46" s="1022"/>
      <c r="CR46" s="1022"/>
      <c r="CS46" s="1022"/>
      <c r="CT46" s="1022"/>
      <c r="CU46" s="1022"/>
    </row>
    <row r="47">
      <c r="A47" s="1443" t="s">
        <v>3632</v>
      </c>
      <c r="B47" s="833" t="s">
        <v>2746</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2780</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2780</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8102</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2878</v>
      </c>
      <c r="C3" s="1484" t="s">
        <v>544</v>
      </c>
      <c r="D3" s="1485" t="s">
        <v>544</v>
      </c>
      <c r="E3" s="1486" t="s">
        <v>544</v>
      </c>
      <c r="F3" s="1487" t="s">
        <v>332</v>
      </c>
      <c r="G3" s="1483" t="s">
        <v>982</v>
      </c>
      <c r="H3" s="1022"/>
      <c r="I3" s="97"/>
      <c r="J3" s="92"/>
      <c r="K3" s="1022"/>
      <c r="L3" s="1021" t="s">
        <v>3333</v>
      </c>
      <c r="M3" s="1021" t="s">
        <v>9124</v>
      </c>
      <c r="N3" s="1021" t="s">
        <v>1158</v>
      </c>
      <c r="O3" s="1022"/>
      <c r="P3" s="1022"/>
      <c r="Q3" s="1401"/>
      <c r="R3" s="1384" t="s">
        <v>6117</v>
      </c>
      <c r="S3" s="1022"/>
      <c r="T3" s="1022"/>
      <c r="U3" s="1383" t="s">
        <v>2116</v>
      </c>
      <c r="V3" s="1401"/>
      <c r="W3" s="1401"/>
      <c r="X3" s="1385" t="s">
        <v>9125</v>
      </c>
      <c r="Y3" s="1401"/>
      <c r="Z3" s="1401"/>
      <c r="AA3" s="1024" t="s">
        <v>1246</v>
      </c>
      <c r="AB3" s="1401"/>
      <c r="AC3" s="1022"/>
      <c r="AD3" s="1401"/>
      <c r="AE3" s="1401"/>
      <c r="AF3" s="1401"/>
      <c r="AG3" s="1488"/>
      <c r="AH3" s="1488"/>
    </row>
    <row r="4">
      <c r="A4" s="1489" t="s">
        <v>4271</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4525</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2503</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7325</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7508</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1777</v>
      </c>
      <c r="V9" s="1401"/>
      <c r="W9" s="1401"/>
      <c r="X9" s="1452" t="s">
        <v>643</v>
      </c>
      <c r="Y9" s="1497"/>
      <c r="Z9" s="1497"/>
      <c r="AA9" s="1452" t="s">
        <v>7952</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2652</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4552</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7683</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2585</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4079</v>
      </c>
      <c r="O2" s="1529" t="s">
        <v>9194</v>
      </c>
      <c r="P2" s="1529" t="s">
        <v>9195</v>
      </c>
      <c r="Q2" s="1530" t="s">
        <v>4280</v>
      </c>
      <c r="R2" s="1531" t="s">
        <v>9196</v>
      </c>
      <c r="S2" s="1530" t="s">
        <v>6724</v>
      </c>
      <c r="T2" s="1531" t="s">
        <v>3281</v>
      </c>
      <c r="U2" s="1530" t="s">
        <v>6817</v>
      </c>
      <c r="V2" s="1530" t="s">
        <v>9197</v>
      </c>
      <c r="W2" s="1532" t="s">
        <v>6533</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2954</v>
      </c>
      <c r="M3" s="1550" t="s">
        <v>9221</v>
      </c>
      <c r="N3" s="1550" t="s">
        <v>2543</v>
      </c>
      <c r="O3" s="1550" t="s">
        <v>9222</v>
      </c>
      <c r="P3" s="1550" t="s">
        <v>5626</v>
      </c>
      <c r="Q3" s="1551" t="s">
        <v>5833</v>
      </c>
      <c r="R3" s="1551" t="s">
        <v>9223</v>
      </c>
      <c r="S3" s="1551" t="s">
        <v>9224</v>
      </c>
      <c r="T3" s="1551" t="s">
        <v>9225</v>
      </c>
      <c r="U3" s="1552" t="s">
        <v>7409</v>
      </c>
      <c r="V3" s="1551" t="s">
        <v>9226</v>
      </c>
      <c r="W3" s="1553" t="s">
        <v>4160</v>
      </c>
      <c r="X3" s="1553" t="s">
        <v>6034</v>
      </c>
      <c r="Y3" s="1554" t="s">
        <v>9227</v>
      </c>
      <c r="Z3" s="1554" t="s">
        <v>1339</v>
      </c>
      <c r="AA3" s="1554" t="s">
        <v>5859</v>
      </c>
      <c r="AB3" s="1553" t="s">
        <v>6882</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7314</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3817</v>
      </c>
      <c r="M4" s="1566" t="s">
        <v>9248</v>
      </c>
      <c r="N4" s="1566" t="s">
        <v>9207</v>
      </c>
      <c r="O4" s="1566" t="s">
        <v>9249</v>
      </c>
      <c r="P4" s="1566" t="s">
        <v>9250</v>
      </c>
      <c r="Q4" s="1567" t="s">
        <v>9251</v>
      </c>
      <c r="R4" s="1567" t="s">
        <v>9252</v>
      </c>
      <c r="S4" s="1567" t="s">
        <v>2270</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5606</v>
      </c>
      <c r="AF4" s="1571" t="s">
        <v>2809</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7566</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2313</v>
      </c>
      <c r="M5" s="1583" t="s">
        <v>2494</v>
      </c>
      <c r="N5" s="1584" t="s">
        <v>4079</v>
      </c>
      <c r="O5" s="1585" t="s">
        <v>9273</v>
      </c>
      <c r="P5" s="1584" t="s">
        <v>9195</v>
      </c>
      <c r="Q5" s="1584" t="s">
        <v>4280</v>
      </c>
      <c r="R5" s="1582" t="s">
        <v>9196</v>
      </c>
      <c r="S5" s="1584" t="s">
        <v>6724</v>
      </c>
      <c r="T5" s="1582" t="s">
        <v>3281</v>
      </c>
      <c r="U5" s="1584" t="s">
        <v>6817</v>
      </c>
      <c r="V5" s="1586" t="s">
        <v>9197</v>
      </c>
      <c r="W5" s="1580" t="s">
        <v>6533</v>
      </c>
      <c r="X5" s="1582" t="s">
        <v>9198</v>
      </c>
      <c r="Y5" s="1582" t="s">
        <v>6903</v>
      </c>
      <c r="Z5" s="1585" t="s">
        <v>5096</v>
      </c>
      <c r="AA5" s="1582" t="s">
        <v>9199</v>
      </c>
      <c r="AB5" s="1581" t="s">
        <v>3301</v>
      </c>
      <c r="AC5" s="1584" t="s">
        <v>4105</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2590</v>
      </c>
      <c r="AT5" s="1581" t="s">
        <v>9278</v>
      </c>
      <c r="AU5" s="1587" t="s">
        <v>9279</v>
      </c>
      <c r="AV5" s="1463" t="str">
        <f t="shared" si="1"/>
        <v>1:58</v>
      </c>
      <c r="AW5" s="1588" t="s">
        <v>9280</v>
      </c>
    </row>
    <row r="6">
      <c r="A6" s="1589" t="s">
        <v>2464</v>
      </c>
      <c r="B6" s="1590" t="s">
        <v>9187</v>
      </c>
      <c r="C6" s="1591">
        <v>0.04926921296296296</v>
      </c>
      <c r="D6" s="1592" t="s">
        <v>9281</v>
      </c>
      <c r="E6" s="1592" t="s">
        <v>9282</v>
      </c>
      <c r="F6" s="1592" t="s">
        <v>9283</v>
      </c>
      <c r="G6" s="1592" t="s">
        <v>9284</v>
      </c>
      <c r="H6" s="1593" t="s">
        <v>9285</v>
      </c>
      <c r="I6" s="1593" t="s">
        <v>4306</v>
      </c>
      <c r="J6" s="1594" t="s">
        <v>9286</v>
      </c>
      <c r="K6" s="1594" t="s">
        <v>7570</v>
      </c>
      <c r="L6" s="1594" t="s">
        <v>9287</v>
      </c>
      <c r="M6" s="1594" t="s">
        <v>9288</v>
      </c>
      <c r="N6" s="1594" t="s">
        <v>102</v>
      </c>
      <c r="O6" s="1594" t="s">
        <v>9289</v>
      </c>
      <c r="P6" s="1594" t="s">
        <v>1015</v>
      </c>
      <c r="Q6" s="1595" t="s">
        <v>9290</v>
      </c>
      <c r="R6" s="1595" t="s">
        <v>3650</v>
      </c>
      <c r="S6" s="1595" t="s">
        <v>9291</v>
      </c>
      <c r="T6" s="1595" t="s">
        <v>3027</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3275</v>
      </c>
      <c r="AI6" s="1597" t="s">
        <v>9301</v>
      </c>
      <c r="AJ6" s="1597" t="s">
        <v>9302</v>
      </c>
      <c r="AK6" s="1597" t="s">
        <v>9207</v>
      </c>
      <c r="AL6" s="1597" t="s">
        <v>1737</v>
      </c>
      <c r="AM6" s="1598" t="s">
        <v>5062</v>
      </c>
      <c r="AN6" s="1598" t="s">
        <v>6322</v>
      </c>
      <c r="AO6" s="1598" t="s">
        <v>9303</v>
      </c>
      <c r="AP6" s="1598" t="s">
        <v>9304</v>
      </c>
      <c r="AQ6" s="1598" t="s">
        <v>4783</v>
      </c>
      <c r="AR6" s="1598" t="s">
        <v>6918</v>
      </c>
      <c r="AS6" s="1598" t="s">
        <v>2069</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2494</v>
      </c>
      <c r="N7" s="1603" t="s">
        <v>9315</v>
      </c>
      <c r="O7" s="1603" t="s">
        <v>9316</v>
      </c>
      <c r="P7" s="1603" t="s">
        <v>1285</v>
      </c>
      <c r="Q7" s="1605" t="s">
        <v>1565</v>
      </c>
      <c r="R7" s="1603" t="s">
        <v>4464</v>
      </c>
      <c r="S7" s="1603" t="s">
        <v>9313</v>
      </c>
      <c r="T7" s="1603" t="s">
        <v>5274</v>
      </c>
      <c r="U7" s="1605" t="s">
        <v>9317</v>
      </c>
      <c r="V7" s="1606" t="s">
        <v>8983</v>
      </c>
      <c r="W7" s="1603" t="s">
        <v>9318</v>
      </c>
      <c r="X7" s="1603" t="s">
        <v>6642</v>
      </c>
      <c r="Y7" s="1607">
        <v>46.72</v>
      </c>
      <c r="Z7" s="1607" t="s">
        <v>3711</v>
      </c>
      <c r="AA7" s="1603" t="s">
        <v>3723</v>
      </c>
      <c r="AB7" s="1608" t="s">
        <v>9200</v>
      </c>
      <c r="AC7" s="1603" t="s">
        <v>5577</v>
      </c>
      <c r="AD7" s="1603" t="s">
        <v>7044</v>
      </c>
      <c r="AE7" s="1609" t="s">
        <v>4810</v>
      </c>
      <c r="AF7" s="1607" t="s">
        <v>9319</v>
      </c>
      <c r="AG7" s="1606" t="s">
        <v>6198</v>
      </c>
      <c r="AH7" s="1608" t="s">
        <v>3859</v>
      </c>
      <c r="AI7" s="1603" t="s">
        <v>6092</v>
      </c>
      <c r="AJ7" s="1607" t="s">
        <v>9320</v>
      </c>
      <c r="AK7" s="1607" t="s">
        <v>6005</v>
      </c>
      <c r="AL7" s="1606" t="s">
        <v>6322</v>
      </c>
      <c r="AM7" s="1603" t="s">
        <v>9321</v>
      </c>
      <c r="AN7" s="1606" t="s">
        <v>4266</v>
      </c>
      <c r="AO7" s="1606" t="s">
        <v>2851</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6631</v>
      </c>
      <c r="N8" s="1585" t="s">
        <v>9334</v>
      </c>
      <c r="O8" s="1604" t="s">
        <v>9335</v>
      </c>
      <c r="P8" s="1463" t="s">
        <v>8216</v>
      </c>
      <c r="Q8" s="1585" t="s">
        <v>9336</v>
      </c>
      <c r="R8" s="1604" t="s">
        <v>6890</v>
      </c>
      <c r="S8" s="1604" t="s">
        <v>3498</v>
      </c>
      <c r="T8" s="1463" t="s">
        <v>4088</v>
      </c>
      <c r="U8" s="1604" t="s">
        <v>9337</v>
      </c>
      <c r="V8" s="1604" t="s">
        <v>5320</v>
      </c>
      <c r="W8" s="1611" t="s">
        <v>9338</v>
      </c>
      <c r="X8" s="1463" t="s">
        <v>2493</v>
      </c>
      <c r="Y8" s="1612" t="s">
        <v>9339</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4555</v>
      </c>
      <c r="AN8" s="1585" t="s">
        <v>2789</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1876</v>
      </c>
      <c r="B9" s="1578" t="s">
        <v>9187</v>
      </c>
      <c r="C9" s="1579">
        <v>0.04949074074074074</v>
      </c>
      <c r="D9" s="1616" t="s">
        <v>9351</v>
      </c>
      <c r="E9" s="1612" t="s">
        <v>9352</v>
      </c>
      <c r="F9" s="1612" t="s">
        <v>2134</v>
      </c>
      <c r="G9" s="1612" t="s">
        <v>9353</v>
      </c>
      <c r="H9" s="1585" t="s">
        <v>9354</v>
      </c>
      <c r="I9" s="1603">
        <v>47.34</v>
      </c>
      <c r="J9" s="1612" t="s">
        <v>1637</v>
      </c>
      <c r="K9" s="1612" t="s">
        <v>7426</v>
      </c>
      <c r="L9" s="1612">
        <v>55.97</v>
      </c>
      <c r="M9" s="1612" t="s">
        <v>2048</v>
      </c>
      <c r="N9" s="1612" t="s">
        <v>9355</v>
      </c>
      <c r="O9" s="1617" t="s">
        <v>9194</v>
      </c>
      <c r="P9" s="1612">
        <v>47.49</v>
      </c>
      <c r="Q9" s="1612" t="s">
        <v>9356</v>
      </c>
      <c r="R9" s="1612" t="s">
        <v>1228</v>
      </c>
      <c r="S9" s="1618" t="s">
        <v>1897</v>
      </c>
      <c r="T9" s="1612" t="s">
        <v>7970</v>
      </c>
      <c r="U9" s="1585" t="s">
        <v>9357</v>
      </c>
      <c r="V9" s="1612">
        <v>59.32</v>
      </c>
      <c r="W9" s="1616" t="s">
        <v>9358</v>
      </c>
      <c r="X9" s="1619" t="s">
        <v>9359</v>
      </c>
      <c r="Y9" s="1612">
        <v>46.65</v>
      </c>
      <c r="Z9" s="1612" t="s">
        <v>9360</v>
      </c>
      <c r="AA9" s="1612" t="s">
        <v>2540</v>
      </c>
      <c r="AB9" s="1612" t="s">
        <v>9361</v>
      </c>
      <c r="AC9" s="1612">
        <v>47.89</v>
      </c>
      <c r="AD9" s="1612" t="s">
        <v>1896</v>
      </c>
      <c r="AE9" s="1612">
        <v>47.98</v>
      </c>
      <c r="AF9" s="1619" t="s">
        <v>9362</v>
      </c>
      <c r="AG9" s="1612" t="s">
        <v>9363</v>
      </c>
      <c r="AH9" s="1612">
        <v>57.45</v>
      </c>
      <c r="AI9" s="1607" t="s">
        <v>6795</v>
      </c>
      <c r="AJ9" s="1620" t="s">
        <v>9277</v>
      </c>
      <c r="AK9" s="1612" t="s">
        <v>5545</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1489</v>
      </c>
      <c r="K10" s="1606" t="s">
        <v>9373</v>
      </c>
      <c r="L10" s="1606" t="s">
        <v>9374</v>
      </c>
      <c r="M10" s="1609" t="s">
        <v>6309</v>
      </c>
      <c r="N10" s="1606" t="s">
        <v>5970</v>
      </c>
      <c r="O10" s="1606" t="s">
        <v>8666</v>
      </c>
      <c r="P10" s="1606" t="s">
        <v>6227</v>
      </c>
      <c r="Q10" s="1606" t="s">
        <v>4805</v>
      </c>
      <c r="R10" s="1606" t="s">
        <v>5862</v>
      </c>
      <c r="S10" s="1585" t="s">
        <v>2909</v>
      </c>
      <c r="T10" s="1606" t="s">
        <v>9375</v>
      </c>
      <c r="U10" s="1606" t="s">
        <v>9376</v>
      </c>
      <c r="V10" s="1606" t="s">
        <v>9377</v>
      </c>
      <c r="W10" s="1606" t="s">
        <v>9378</v>
      </c>
      <c r="X10" s="1585" t="s">
        <v>9379</v>
      </c>
      <c r="Y10" s="1606" t="s">
        <v>6227</v>
      </c>
      <c r="Z10" s="1617" t="s">
        <v>6898</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7506</v>
      </c>
      <c r="AL10" s="1606" t="s">
        <v>8787</v>
      </c>
      <c r="AM10" s="1606" t="s">
        <v>4555</v>
      </c>
      <c r="AN10" s="1617" t="s">
        <v>9208</v>
      </c>
      <c r="AO10" s="1617" t="s">
        <v>7084</v>
      </c>
      <c r="AP10" s="1606" t="s">
        <v>9383</v>
      </c>
      <c r="AQ10" s="1624" t="s">
        <v>9384</v>
      </c>
      <c r="AR10" s="1617" t="s">
        <v>9211</v>
      </c>
      <c r="AS10" s="1609" t="s">
        <v>1333</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5515</v>
      </c>
      <c r="I11" s="1606" t="s">
        <v>1387</v>
      </c>
      <c r="J11" s="1156" t="s">
        <v>9391</v>
      </c>
      <c r="K11" s="1606" t="s">
        <v>7917</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9200</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6625</v>
      </c>
      <c r="B12" s="1633" t="s">
        <v>9187</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2231</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2152</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6608</v>
      </c>
      <c r="N13" s="1641" t="s">
        <v>5350</v>
      </c>
      <c r="O13" s="1021" t="s">
        <v>6965</v>
      </c>
      <c r="P13" s="1641" t="s">
        <v>5575</v>
      </c>
      <c r="Q13" s="1021" t="s">
        <v>9441</v>
      </c>
      <c r="R13" s="1639" t="s">
        <v>9223</v>
      </c>
      <c r="S13" s="1642" t="s">
        <v>9224</v>
      </c>
      <c r="T13" s="1643" t="s">
        <v>4033</v>
      </c>
      <c r="U13" s="1644" t="s">
        <v>9442</v>
      </c>
      <c r="V13" s="1645" t="s">
        <v>9226</v>
      </c>
      <c r="W13" s="1646" t="s">
        <v>4160</v>
      </c>
      <c r="X13" s="1646" t="s">
        <v>6034</v>
      </c>
      <c r="Y13" s="1639" t="s">
        <v>9443</v>
      </c>
      <c r="Z13" s="1646" t="s">
        <v>1339</v>
      </c>
      <c r="AA13" s="1647" t="s">
        <v>5859</v>
      </c>
      <c r="AB13" s="1639" t="s">
        <v>6882</v>
      </c>
      <c r="AC13" s="1648" t="s">
        <v>9228</v>
      </c>
      <c r="AD13" s="1021" t="s">
        <v>9444</v>
      </c>
      <c r="AE13" s="1649" t="s">
        <v>9230</v>
      </c>
      <c r="AF13" s="1390" t="s">
        <v>9445</v>
      </c>
      <c r="AG13" s="1646" t="s">
        <v>4622</v>
      </c>
      <c r="AH13" s="1650" t="s">
        <v>9232</v>
      </c>
      <c r="AI13" s="1650" t="s">
        <v>9233</v>
      </c>
      <c r="AJ13" s="1021" t="s">
        <v>9446</v>
      </c>
      <c r="AK13" s="1640" t="s">
        <v>6928</v>
      </c>
      <c r="AL13" s="1646" t="s">
        <v>9235</v>
      </c>
      <c r="AM13" s="1021" t="s">
        <v>884</v>
      </c>
      <c r="AN13" s="1651" t="s">
        <v>4764</v>
      </c>
      <c r="AO13" s="1639" t="s">
        <v>7314</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7167</v>
      </c>
      <c r="B14" s="1578" t="s">
        <v>9187</v>
      </c>
      <c r="C14" s="1579">
        <v>0.04967592592592593</v>
      </c>
      <c r="D14" s="1021" t="s">
        <v>9449</v>
      </c>
      <c r="E14" s="1604" t="s">
        <v>954</v>
      </c>
      <c r="F14" s="1604" t="s">
        <v>9450</v>
      </c>
      <c r="G14" s="1604" t="s">
        <v>9451</v>
      </c>
      <c r="H14" s="1021" t="s">
        <v>9452</v>
      </c>
      <c r="I14" s="1604" t="s">
        <v>9453</v>
      </c>
      <c r="J14" s="1604" t="s">
        <v>9454</v>
      </c>
      <c r="K14" s="1604" t="s">
        <v>6548</v>
      </c>
      <c r="L14" s="1604" t="s">
        <v>4517</v>
      </c>
      <c r="M14" s="1604" t="s">
        <v>8959</v>
      </c>
      <c r="N14" s="1604" t="s">
        <v>2227</v>
      </c>
      <c r="O14" s="1604" t="s">
        <v>3341</v>
      </c>
      <c r="P14" s="1604" t="s">
        <v>9453</v>
      </c>
      <c r="Q14" s="1604" t="s">
        <v>9455</v>
      </c>
      <c r="R14" s="1604" t="s">
        <v>1228</v>
      </c>
      <c r="S14" s="1655" t="s">
        <v>9456</v>
      </c>
      <c r="T14" s="1604" t="s">
        <v>4899</v>
      </c>
      <c r="U14" s="1604" t="s">
        <v>9457</v>
      </c>
      <c r="V14" s="1604" t="s">
        <v>9458</v>
      </c>
      <c r="W14" s="1604" t="s">
        <v>9459</v>
      </c>
      <c r="X14" s="1604" t="s">
        <v>1118</v>
      </c>
      <c r="Y14" s="1604" t="s">
        <v>4404</v>
      </c>
      <c r="Z14" s="1604" t="s">
        <v>9460</v>
      </c>
      <c r="AA14" s="1604" t="s">
        <v>9461</v>
      </c>
      <c r="AB14" s="1604" t="s">
        <v>1905</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1909</v>
      </c>
      <c r="AS14" s="1604" t="s">
        <v>1571</v>
      </c>
      <c r="AT14" s="1604" t="s">
        <v>9471</v>
      </c>
      <c r="AU14" s="1604" t="s">
        <v>9472</v>
      </c>
      <c r="AV14" s="1463" t="str">
        <f t="shared" si="1"/>
        <v>2:47</v>
      </c>
      <c r="AW14" s="1588" t="s">
        <v>9473</v>
      </c>
    </row>
    <row r="15" ht="15.75" customHeight="1">
      <c r="A15" s="1656" t="s">
        <v>2778</v>
      </c>
      <c r="B15" s="1578" t="s">
        <v>9187</v>
      </c>
      <c r="C15" s="1657">
        <v>0.04971064814814815</v>
      </c>
      <c r="D15" s="1411" t="s">
        <v>9474</v>
      </c>
      <c r="E15" s="1658" t="s">
        <v>510</v>
      </c>
      <c r="F15" s="1658" t="s">
        <v>9475</v>
      </c>
      <c r="G15" s="1658" t="s">
        <v>9476</v>
      </c>
      <c r="H15" s="1585" t="s">
        <v>9477</v>
      </c>
      <c r="I15" s="916" t="s">
        <v>5860</v>
      </c>
      <c r="J15" s="1641" t="s">
        <v>2467</v>
      </c>
      <c r="K15" s="1641" t="s">
        <v>4359</v>
      </c>
      <c r="L15" s="1641" t="s">
        <v>4741</v>
      </c>
      <c r="M15" s="1659" t="s">
        <v>6309</v>
      </c>
      <c r="N15" s="1641" t="s">
        <v>2762</v>
      </c>
      <c r="O15" s="1641" t="s">
        <v>9478</v>
      </c>
      <c r="P15" s="1641" t="s">
        <v>9479</v>
      </c>
      <c r="Q15" s="1585" t="s">
        <v>9480</v>
      </c>
      <c r="R15" s="1644" t="s">
        <v>9481</v>
      </c>
      <c r="S15" s="1585" t="s">
        <v>1897</v>
      </c>
      <c r="T15" s="1644" t="s">
        <v>9482</v>
      </c>
      <c r="U15" s="1585" t="s">
        <v>9483</v>
      </c>
      <c r="V15" s="1644" t="s">
        <v>3425</v>
      </c>
      <c r="W15" s="1660" t="s">
        <v>9484</v>
      </c>
      <c r="X15" s="1660" t="s">
        <v>4117</v>
      </c>
      <c r="Y15" s="1660" t="s">
        <v>8227</v>
      </c>
      <c r="Z15" s="1660" t="s">
        <v>9485</v>
      </c>
      <c r="AA15" s="1660" t="s">
        <v>6198</v>
      </c>
      <c r="AB15" s="1660" t="s">
        <v>4444</v>
      </c>
      <c r="AC15" s="1660" t="s">
        <v>1146</v>
      </c>
      <c r="AD15" s="1658" t="s">
        <v>9486</v>
      </c>
      <c r="AE15" s="1658" t="s">
        <v>5473</v>
      </c>
      <c r="AF15" s="1661" t="s">
        <v>9487</v>
      </c>
      <c r="AG15" s="1661" t="s">
        <v>7462</v>
      </c>
      <c r="AH15" s="1661" t="s">
        <v>5483</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1806</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2097</v>
      </c>
      <c r="O17" s="1411" t="s">
        <v>9550</v>
      </c>
      <c r="P17" s="1021" t="s">
        <v>4493</v>
      </c>
      <c r="Q17" s="1411" t="s">
        <v>9551</v>
      </c>
      <c r="R17" s="1411" t="s">
        <v>1937</v>
      </c>
      <c r="S17" s="1411" t="s">
        <v>3498</v>
      </c>
      <c r="T17" s="1411" t="s">
        <v>9552</v>
      </c>
      <c r="U17" s="1411" t="s">
        <v>9553</v>
      </c>
      <c r="V17" s="1411" t="s">
        <v>7783</v>
      </c>
      <c r="W17" s="1411" t="s">
        <v>5563</v>
      </c>
      <c r="X17" s="1411" t="s">
        <v>9203</v>
      </c>
      <c r="Y17" s="1411" t="s">
        <v>9312</v>
      </c>
      <c r="Z17" s="1411" t="s">
        <v>7925</v>
      </c>
      <c r="AA17" s="1670" t="s">
        <v>9554</v>
      </c>
      <c r="AB17" s="1411" t="s">
        <v>5970</v>
      </c>
      <c r="AC17" s="1411" t="s">
        <v>1096</v>
      </c>
      <c r="AD17" s="1411" t="s">
        <v>7073</v>
      </c>
      <c r="AE17" s="1411" t="s">
        <v>4978</v>
      </c>
      <c r="AF17" s="1411" t="s">
        <v>9555</v>
      </c>
      <c r="AG17" s="1411" t="s">
        <v>1529</v>
      </c>
      <c r="AH17" s="1021" t="s">
        <v>9556</v>
      </c>
      <c r="AI17" s="1411" t="s">
        <v>8878</v>
      </c>
      <c r="AJ17" s="1411" t="s">
        <v>9557</v>
      </c>
      <c r="AK17" s="1411" t="s">
        <v>9558</v>
      </c>
      <c r="AL17" s="1411" t="s">
        <v>4436</v>
      </c>
      <c r="AM17" s="1411" t="s">
        <v>3433</v>
      </c>
      <c r="AN17" s="1411" t="s">
        <v>9559</v>
      </c>
      <c r="AO17" s="1411" t="s">
        <v>9347</v>
      </c>
      <c r="AP17" s="1610" t="s">
        <v>9317</v>
      </c>
      <c r="AQ17" s="1411" t="s">
        <v>9560</v>
      </c>
      <c r="AR17" s="1411" t="s">
        <v>9561</v>
      </c>
      <c r="AS17" s="1411" t="s">
        <v>8663</v>
      </c>
      <c r="AT17" s="1411" t="s">
        <v>9562</v>
      </c>
      <c r="AU17" s="1391" t="s">
        <v>9563</v>
      </c>
      <c r="AV17" s="1463" t="str">
        <f t="shared" si="1"/>
        <v>2:18</v>
      </c>
      <c r="AW17" s="1671" t="s">
        <v>9564</v>
      </c>
    </row>
    <row r="18">
      <c r="A18" s="1672" t="s">
        <v>2714</v>
      </c>
      <c r="B18" s="1623" t="s">
        <v>9215</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4561</v>
      </c>
      <c r="Q18" s="1677" t="s">
        <v>9574</v>
      </c>
      <c r="R18" s="1678" t="s">
        <v>5589</v>
      </c>
      <c r="S18" s="1677" t="s">
        <v>9575</v>
      </c>
      <c r="T18" s="1221" t="s">
        <v>9576</v>
      </c>
      <c r="U18" s="1221" t="s">
        <v>9577</v>
      </c>
      <c r="V18" s="1678" t="s">
        <v>6441</v>
      </c>
      <c r="W18" s="1679" t="s">
        <v>9578</v>
      </c>
      <c r="X18" s="1680" t="s">
        <v>6895</v>
      </c>
      <c r="Y18" s="1660" t="s">
        <v>8693</v>
      </c>
      <c r="Z18" s="1680" t="s">
        <v>9579</v>
      </c>
      <c r="AA18" s="1681" t="s">
        <v>1853</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2086</v>
      </c>
      <c r="B19" s="1578" t="s">
        <v>9187</v>
      </c>
      <c r="C19" s="1579">
        <v>0.049895833333333334</v>
      </c>
      <c r="D19" s="1021" t="s">
        <v>9590</v>
      </c>
      <c r="E19" s="1688" t="s">
        <v>954</v>
      </c>
      <c r="F19" s="1658" t="s">
        <v>9591</v>
      </c>
      <c r="G19" s="1688" t="s">
        <v>9592</v>
      </c>
      <c r="H19" s="847" t="s">
        <v>9593</v>
      </c>
      <c r="I19" s="916" t="s">
        <v>5654</v>
      </c>
      <c r="J19" s="1641" t="s">
        <v>9594</v>
      </c>
      <c r="K19" s="1689" t="s">
        <v>9595</v>
      </c>
      <c r="L19" s="1641" t="s">
        <v>9287</v>
      </c>
      <c r="M19" s="1641" t="s">
        <v>5098</v>
      </c>
      <c r="N19" s="1641" t="s">
        <v>9596</v>
      </c>
      <c r="O19" s="1689" t="s">
        <v>9597</v>
      </c>
      <c r="P19" s="1021" t="s">
        <v>991</v>
      </c>
      <c r="Q19" s="1644" t="s">
        <v>3557</v>
      </c>
      <c r="R19" s="1690" t="s">
        <v>7922</v>
      </c>
      <c r="S19" s="1690" t="s">
        <v>9598</v>
      </c>
      <c r="T19" s="1690" t="s">
        <v>9599</v>
      </c>
      <c r="U19" s="1690" t="s">
        <v>1894</v>
      </c>
      <c r="V19" s="1644" t="s">
        <v>4472</v>
      </c>
      <c r="W19" s="1660" t="s">
        <v>9600</v>
      </c>
      <c r="X19" s="1691" t="s">
        <v>9601</v>
      </c>
      <c r="Y19" s="1660" t="s">
        <v>9602</v>
      </c>
      <c r="Z19" s="1660" t="s">
        <v>9603</v>
      </c>
      <c r="AA19" s="1660" t="s">
        <v>3328</v>
      </c>
      <c r="AB19" s="1691" t="s">
        <v>7416</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9187</v>
      </c>
      <c r="C20" s="1579">
        <v>0.04991898148148148</v>
      </c>
      <c r="D20" s="1693" t="s">
        <v>9616</v>
      </c>
      <c r="E20" s="1694" t="s">
        <v>9617</v>
      </c>
      <c r="F20" s="1694" t="s">
        <v>9618</v>
      </c>
      <c r="G20" s="1694" t="s">
        <v>9619</v>
      </c>
      <c r="H20" s="1694" t="s">
        <v>9620</v>
      </c>
      <c r="I20" s="1694">
        <v>48.07</v>
      </c>
      <c r="J20" s="1694" t="s">
        <v>9579</v>
      </c>
      <c r="K20" s="1694" t="s">
        <v>1787</v>
      </c>
      <c r="L20" s="1694">
        <v>56.32</v>
      </c>
      <c r="M20" s="1694" t="s">
        <v>175</v>
      </c>
      <c r="N20" s="1694" t="s">
        <v>9621</v>
      </c>
      <c r="O20" s="1694" t="s">
        <v>9622</v>
      </c>
      <c r="P20" s="1694">
        <v>47.77</v>
      </c>
      <c r="Q20" s="1694" t="s">
        <v>9623</v>
      </c>
      <c r="R20" s="1694" t="s">
        <v>6920</v>
      </c>
      <c r="S20" s="1694" t="s">
        <v>9624</v>
      </c>
      <c r="T20" s="1694" t="s">
        <v>2730</v>
      </c>
      <c r="U20" s="1694" t="s">
        <v>9625</v>
      </c>
      <c r="V20" s="1694">
        <v>59.79</v>
      </c>
      <c r="W20" s="1694" t="s">
        <v>9626</v>
      </c>
      <c r="X20" s="1694" t="s">
        <v>1853</v>
      </c>
      <c r="Y20" s="1694">
        <v>47.0</v>
      </c>
      <c r="Z20" s="1694" t="s">
        <v>9627</v>
      </c>
      <c r="AA20" s="1694" t="s">
        <v>9628</v>
      </c>
      <c r="AB20" s="1694" t="s">
        <v>6882</v>
      </c>
      <c r="AC20" s="1694">
        <v>47.56</v>
      </c>
      <c r="AD20" s="1694" t="s">
        <v>9229</v>
      </c>
      <c r="AE20" s="1694">
        <v>47.95</v>
      </c>
      <c r="AF20" s="1694" t="s">
        <v>9629</v>
      </c>
      <c r="AG20" s="1694" t="s">
        <v>9630</v>
      </c>
      <c r="AH20" s="1694">
        <v>57.67</v>
      </c>
      <c r="AI20" s="1694" t="s">
        <v>1118</v>
      </c>
      <c r="AJ20" s="1694" t="s">
        <v>9631</v>
      </c>
      <c r="AK20" s="1694" t="s">
        <v>7449</v>
      </c>
      <c r="AL20" s="1694">
        <v>56.37</v>
      </c>
      <c r="AM20" s="1694" t="s">
        <v>9632</v>
      </c>
      <c r="AN20" s="1694">
        <v>55.92</v>
      </c>
      <c r="AO20" s="1694" t="s">
        <v>4522</v>
      </c>
      <c r="AP20" s="1694" t="s">
        <v>9041</v>
      </c>
      <c r="AQ20" s="1694" t="s">
        <v>9633</v>
      </c>
      <c r="AR20" s="1694" t="s">
        <v>7565</v>
      </c>
      <c r="AS20" s="1694">
        <v>46.83</v>
      </c>
      <c r="AT20" s="1695" t="s">
        <v>9634</v>
      </c>
      <c r="AU20" s="1616" t="s">
        <v>9635</v>
      </c>
      <c r="AV20" s="1463" t="str">
        <f t="shared" si="1"/>
        <v>1:53</v>
      </c>
      <c r="AW20" s="1626" t="s">
        <v>9636</v>
      </c>
    </row>
    <row r="21">
      <c r="A21" s="1635" t="s">
        <v>2104</v>
      </c>
      <c r="B21" s="1623" t="s">
        <v>9187</v>
      </c>
      <c r="C21" s="1696">
        <v>0.049930555555555554</v>
      </c>
      <c r="D21" s="1697" t="s">
        <v>9637</v>
      </c>
      <c r="E21" s="1616" t="s">
        <v>6478</v>
      </c>
      <c r="F21" s="1616" t="s">
        <v>4245</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5864</v>
      </c>
      <c r="AO21" s="1698" t="s">
        <v>7913</v>
      </c>
      <c r="AP21" s="1698" t="s">
        <v>9655</v>
      </c>
      <c r="AQ21" s="1698" t="s">
        <v>7043</v>
      </c>
      <c r="AR21" s="1698" t="s">
        <v>6551</v>
      </c>
      <c r="AS21" s="1699">
        <v>42.83</v>
      </c>
      <c r="AT21" s="1612" t="s">
        <v>9656</v>
      </c>
      <c r="AU21" s="1625" t="s">
        <v>9657</v>
      </c>
      <c r="AV21" s="1463" t="str">
        <f t="shared" si="1"/>
        <v>4:29</v>
      </c>
      <c r="AW21" s="1626" t="s">
        <v>9658</v>
      </c>
    </row>
    <row r="22" ht="15.75" customHeight="1">
      <c r="A22" s="1635" t="s">
        <v>2267</v>
      </c>
      <c r="B22" s="1578" t="s">
        <v>9187</v>
      </c>
      <c r="C22" s="1579">
        <v>0.0499537037037037</v>
      </c>
      <c r="D22" s="1604" t="s">
        <v>9659</v>
      </c>
      <c r="E22" s="1604" t="s">
        <v>2886</v>
      </c>
      <c r="F22" s="1604" t="s">
        <v>9660</v>
      </c>
      <c r="G22" s="1585" t="s">
        <v>9661</v>
      </c>
      <c r="H22" s="1604" t="s">
        <v>9662</v>
      </c>
      <c r="I22" s="817" t="s">
        <v>9605</v>
      </c>
      <c r="J22" s="1604" t="s">
        <v>1419</v>
      </c>
      <c r="K22" s="1604" t="s">
        <v>5310</v>
      </c>
      <c r="L22" s="1604" t="s">
        <v>9663</v>
      </c>
      <c r="M22" s="1604" t="s">
        <v>9664</v>
      </c>
      <c r="N22" s="1604" t="s">
        <v>9665</v>
      </c>
      <c r="O22" s="1604" t="s">
        <v>9666</v>
      </c>
      <c r="P22" s="1604" t="s">
        <v>7799</v>
      </c>
      <c r="Q22" s="1604" t="s">
        <v>4637</v>
      </c>
      <c r="R22" s="1644" t="s">
        <v>5589</v>
      </c>
      <c r="S22" s="1604" t="s">
        <v>4079</v>
      </c>
      <c r="T22" s="1604" t="s">
        <v>9379</v>
      </c>
      <c r="U22" s="1604" t="s">
        <v>9667</v>
      </c>
      <c r="V22" s="1604" t="s">
        <v>9668</v>
      </c>
      <c r="W22" s="1604" t="s">
        <v>9669</v>
      </c>
      <c r="X22" s="1604" t="s">
        <v>7417</v>
      </c>
      <c r="Y22" s="1604" t="s">
        <v>4364</v>
      </c>
      <c r="Z22" s="1604" t="s">
        <v>9670</v>
      </c>
      <c r="AA22" s="1604" t="s">
        <v>7417</v>
      </c>
      <c r="AB22" s="1604" t="s">
        <v>9671</v>
      </c>
      <c r="AC22" s="1604" t="s">
        <v>5704</v>
      </c>
      <c r="AD22" s="1604" t="s">
        <v>7474</v>
      </c>
      <c r="AE22" s="1604" t="s">
        <v>5959</v>
      </c>
      <c r="AF22" s="1604" t="s">
        <v>9672</v>
      </c>
      <c r="AG22" s="1604" t="s">
        <v>5103</v>
      </c>
      <c r="AH22" s="1604" t="s">
        <v>5328</v>
      </c>
      <c r="AI22" s="1604" t="s">
        <v>9673</v>
      </c>
      <c r="AJ22" s="1584" t="s">
        <v>9205</v>
      </c>
      <c r="AK22" s="1604" t="s">
        <v>2572</v>
      </c>
      <c r="AL22" s="1604" t="s">
        <v>9674</v>
      </c>
      <c r="AM22" s="1604" t="s">
        <v>9359</v>
      </c>
      <c r="AN22" s="1604" t="s">
        <v>555</v>
      </c>
      <c r="AO22" s="1604" t="s">
        <v>9675</v>
      </c>
      <c r="AP22" s="1604" t="s">
        <v>9676</v>
      </c>
      <c r="AQ22" s="1604" t="s">
        <v>4840</v>
      </c>
      <c r="AR22" s="1604" t="s">
        <v>7566</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2291</v>
      </c>
      <c r="I23" s="1604" t="s">
        <v>1387</v>
      </c>
      <c r="J23" s="1604" t="s">
        <v>380</v>
      </c>
      <c r="K23" s="1604" t="s">
        <v>9684</v>
      </c>
      <c r="L23" s="1604" t="s">
        <v>5520</v>
      </c>
      <c r="M23" s="1604" t="s">
        <v>6631</v>
      </c>
      <c r="N23" s="1604" t="s">
        <v>9685</v>
      </c>
      <c r="O23" s="1604" t="s">
        <v>2618</v>
      </c>
      <c r="P23" s="1463" t="s">
        <v>5353</v>
      </c>
      <c r="Q23" s="1604" t="s">
        <v>9686</v>
      </c>
      <c r="R23" s="1604" t="s">
        <v>3306</v>
      </c>
      <c r="S23" s="1604" t="s">
        <v>7287</v>
      </c>
      <c r="T23" s="1604" t="s">
        <v>8928</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4628</v>
      </c>
      <c r="AM23" s="1604" t="s">
        <v>3723</v>
      </c>
      <c r="AN23" s="1463" t="s">
        <v>6322</v>
      </c>
      <c r="AO23" s="1463" t="s">
        <v>7566</v>
      </c>
      <c r="AP23" s="1463" t="s">
        <v>9694</v>
      </c>
      <c r="AQ23" s="1463" t="s">
        <v>9323</v>
      </c>
      <c r="AR23" s="1463" t="s">
        <v>489</v>
      </c>
      <c r="AS23" s="1463" t="s">
        <v>6903</v>
      </c>
      <c r="AT23" s="1463" t="s">
        <v>9555</v>
      </c>
      <c r="AU23" s="1604" t="s">
        <v>9695</v>
      </c>
      <c r="AV23" s="1463" t="str">
        <f t="shared" si="1"/>
        <v>3:46</v>
      </c>
      <c r="AW23" s="1668" t="s">
        <v>8672</v>
      </c>
    </row>
    <row r="24" ht="15.75" customHeight="1">
      <c r="A24" s="1700" t="s">
        <v>6379</v>
      </c>
      <c r="B24" s="1578" t="s">
        <v>9187</v>
      </c>
      <c r="C24" s="1579">
        <v>0.05</v>
      </c>
      <c r="D24" s="1021" t="s">
        <v>9696</v>
      </c>
      <c r="E24" s="1604" t="s">
        <v>8959</v>
      </c>
      <c r="F24" s="1604" t="s">
        <v>9660</v>
      </c>
      <c r="G24" s="1463" t="s">
        <v>9697</v>
      </c>
      <c r="H24" s="1604" t="s">
        <v>9698</v>
      </c>
      <c r="I24" s="1463" t="s">
        <v>1914</v>
      </c>
      <c r="J24" s="1604" t="s">
        <v>2874</v>
      </c>
      <c r="K24" s="1604" t="s">
        <v>9699</v>
      </c>
      <c r="L24" s="1604" t="s">
        <v>3326</v>
      </c>
      <c r="M24" s="1604" t="s">
        <v>9700</v>
      </c>
      <c r="N24" s="1604" t="s">
        <v>9701</v>
      </c>
      <c r="O24" s="1604" t="s">
        <v>9645</v>
      </c>
      <c r="P24" s="1463" t="s">
        <v>4027</v>
      </c>
      <c r="Q24" s="1604" t="s">
        <v>1918</v>
      </c>
      <c r="R24" s="1604" t="s">
        <v>6724</v>
      </c>
      <c r="S24" s="1604" t="s">
        <v>8127</v>
      </c>
      <c r="T24" s="1604" t="s">
        <v>6922</v>
      </c>
      <c r="U24" s="1604" t="s">
        <v>9702</v>
      </c>
      <c r="V24" s="1604" t="s">
        <v>9703</v>
      </c>
      <c r="W24" s="1604" t="s">
        <v>9704</v>
      </c>
      <c r="X24" s="1604" t="s">
        <v>9705</v>
      </c>
      <c r="Y24" s="1604" t="s">
        <v>9706</v>
      </c>
      <c r="Z24" s="1604" t="s">
        <v>9707</v>
      </c>
      <c r="AA24" s="1604" t="s">
        <v>9708</v>
      </c>
      <c r="AB24" s="1604" t="s">
        <v>9709</v>
      </c>
      <c r="AC24" s="1463" t="s">
        <v>1818</v>
      </c>
      <c r="AD24" s="1604" t="s">
        <v>9710</v>
      </c>
      <c r="AE24" s="1463" t="s">
        <v>5626</v>
      </c>
      <c r="AF24" s="1701" t="s">
        <v>9202</v>
      </c>
      <c r="AG24" s="1604" t="s">
        <v>606</v>
      </c>
      <c r="AH24" s="1604" t="s">
        <v>8109</v>
      </c>
      <c r="AI24" s="1604" t="s">
        <v>309</v>
      </c>
      <c r="AJ24" s="1463" t="s">
        <v>9711</v>
      </c>
      <c r="AK24" s="1604" t="s">
        <v>9712</v>
      </c>
      <c r="AL24" s="1463" t="s">
        <v>3275</v>
      </c>
      <c r="AM24" s="1604" t="s">
        <v>2056</v>
      </c>
      <c r="AN24" s="1463" t="s">
        <v>2636</v>
      </c>
      <c r="AO24" s="1604" t="s">
        <v>3461</v>
      </c>
      <c r="AP24" s="1604" t="s">
        <v>9713</v>
      </c>
      <c r="AQ24" s="1463" t="s">
        <v>9714</v>
      </c>
      <c r="AR24" s="1604" t="s">
        <v>1756</v>
      </c>
      <c r="AS24" s="1463" t="s">
        <v>8663</v>
      </c>
      <c r="AT24" s="1604" t="s">
        <v>9715</v>
      </c>
      <c r="AU24" s="1604" t="s">
        <v>9716</v>
      </c>
      <c r="AV24" s="1463" t="str">
        <f t="shared" si="1"/>
        <v>1:53</v>
      </c>
      <c r="AW24" s="1668"/>
    </row>
    <row r="25" ht="15.75" customHeight="1">
      <c r="A25" s="1635" t="s">
        <v>2744</v>
      </c>
      <c r="B25" s="1623" t="s">
        <v>9215</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2543</v>
      </c>
      <c r="O25" s="1021" t="s">
        <v>9722</v>
      </c>
      <c r="P25" s="1639" t="s">
        <v>5626</v>
      </c>
      <c r="Q25" s="1639" t="s">
        <v>5833</v>
      </c>
      <c r="R25" s="1021" t="s">
        <v>6855</v>
      </c>
      <c r="S25" s="1021" t="s">
        <v>335</v>
      </c>
      <c r="T25" s="1639" t="s">
        <v>9225</v>
      </c>
      <c r="U25" s="1021" t="s">
        <v>9723</v>
      </c>
      <c r="V25" s="1021" t="s">
        <v>9724</v>
      </c>
      <c r="W25" s="1021" t="s">
        <v>6801</v>
      </c>
      <c r="X25" s="1021" t="s">
        <v>5912</v>
      </c>
      <c r="Y25" s="1021" t="s">
        <v>5165</v>
      </c>
      <c r="Z25" s="1021" t="s">
        <v>1131</v>
      </c>
      <c r="AA25" s="1021" t="s">
        <v>9584</v>
      </c>
      <c r="AB25" s="1021" t="s">
        <v>2561</v>
      </c>
      <c r="AC25" s="1021" t="s">
        <v>1898</v>
      </c>
      <c r="AD25" s="1021" t="s">
        <v>6335</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6977</v>
      </c>
      <c r="AP25" s="1021" t="s">
        <v>9728</v>
      </c>
      <c r="AQ25" s="1021" t="s">
        <v>9729</v>
      </c>
      <c r="AR25" s="1021" t="s">
        <v>9730</v>
      </c>
      <c r="AS25" s="1021" t="s">
        <v>4680</v>
      </c>
      <c r="AT25" s="1021" t="s">
        <v>9731</v>
      </c>
      <c r="AU25" s="1661" t="s">
        <v>9239</v>
      </c>
      <c r="AV25" s="1463" t="str">
        <f t="shared" si="1"/>
        <v>2:51</v>
      </c>
      <c r="AW25" s="1702"/>
    </row>
    <row r="26">
      <c r="A26" s="1635" t="s">
        <v>7544</v>
      </c>
      <c r="B26" s="1633" t="s">
        <v>9215</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9221</v>
      </c>
      <c r="N26" s="1612" t="s">
        <v>9737</v>
      </c>
      <c r="O26" s="1612" t="s">
        <v>9738</v>
      </c>
      <c r="P26" s="1612" t="s">
        <v>5985</v>
      </c>
      <c r="Q26" s="1612" t="s">
        <v>2811</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2721</v>
      </c>
      <c r="AF26" s="1612" t="s">
        <v>5874</v>
      </c>
      <c r="AG26" s="1612" t="s">
        <v>9745</v>
      </c>
      <c r="AH26" s="1612" t="s">
        <v>4307</v>
      </c>
      <c r="AI26" s="1604" t="s">
        <v>4173</v>
      </c>
      <c r="AJ26" s="1612" t="s">
        <v>9746</v>
      </c>
      <c r="AK26" s="1612" t="s">
        <v>9569</v>
      </c>
      <c r="AL26" s="1612" t="s">
        <v>2555</v>
      </c>
      <c r="AM26" s="1612" t="s">
        <v>4084</v>
      </c>
      <c r="AN26" s="1612" t="s">
        <v>6096</v>
      </c>
      <c r="AO26" s="1612" t="s">
        <v>9747</v>
      </c>
      <c r="AP26" s="1612" t="s">
        <v>9748</v>
      </c>
      <c r="AQ26" s="1612" t="s">
        <v>4069</v>
      </c>
      <c r="AR26" s="1612" t="s">
        <v>2683</v>
      </c>
      <c r="AS26" s="1612" t="s">
        <v>753</v>
      </c>
      <c r="AT26" s="1612" t="s">
        <v>9749</v>
      </c>
      <c r="AU26" s="1604" t="s">
        <v>9750</v>
      </c>
      <c r="AV26" s="1463" t="str">
        <f t="shared" si="1"/>
        <v>3:20</v>
      </c>
      <c r="AW26" s="1093"/>
    </row>
    <row r="27" ht="15.75" customHeight="1">
      <c r="A27" s="1601" t="s">
        <v>1415</v>
      </c>
      <c r="B27" s="1578" t="s">
        <v>9187</v>
      </c>
      <c r="C27" s="1579">
        <v>0.05025462962962963</v>
      </c>
      <c r="D27" s="1021" t="s">
        <v>9751</v>
      </c>
      <c r="E27" s="1658" t="s">
        <v>9752</v>
      </c>
      <c r="F27" s="1688" t="s">
        <v>7322</v>
      </c>
      <c r="G27" s="1585" t="s">
        <v>9753</v>
      </c>
      <c r="H27" s="916" t="s">
        <v>9754</v>
      </c>
      <c r="I27" s="916" t="s">
        <v>1113</v>
      </c>
      <c r="J27" s="1641" t="s">
        <v>7426</v>
      </c>
      <c r="K27" s="1689" t="s">
        <v>8265</v>
      </c>
      <c r="L27" s="1689" t="s">
        <v>5210</v>
      </c>
      <c r="M27" s="1704" t="str">
        <f>HYPERLINK("https://youtu.be/teAIifUZjFw","1:14.18")</f>
        <v>1:14.18</v>
      </c>
      <c r="N27" s="1689" t="s">
        <v>3786</v>
      </c>
      <c r="O27" s="1689" t="s">
        <v>9755</v>
      </c>
      <c r="P27" s="1689" t="s">
        <v>2095</v>
      </c>
      <c r="Q27" s="1690" t="s">
        <v>9756</v>
      </c>
      <c r="R27" s="1644" t="s">
        <v>9757</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8929</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9187</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2793</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9299</v>
      </c>
      <c r="AF28" s="1604" t="s">
        <v>9782</v>
      </c>
      <c r="AG28" s="1021" t="s">
        <v>1841</v>
      </c>
      <c r="AH28" s="1021" t="s">
        <v>2643</v>
      </c>
      <c r="AI28" s="1604" t="s">
        <v>9783</v>
      </c>
      <c r="AJ28" s="1021" t="s">
        <v>9784</v>
      </c>
      <c r="AK28" s="1021" t="s">
        <v>6642</v>
      </c>
      <c r="AL28" s="1021" t="s">
        <v>4628</v>
      </c>
      <c r="AM28" s="1021" t="s">
        <v>9785</v>
      </c>
      <c r="AN28" s="1021" t="s">
        <v>4628</v>
      </c>
      <c r="AO28" s="1021" t="s">
        <v>1910</v>
      </c>
      <c r="AP28" s="1604" t="s">
        <v>9786</v>
      </c>
      <c r="AQ28" s="1021" t="s">
        <v>2230</v>
      </c>
      <c r="AR28" s="1604" t="s">
        <v>9038</v>
      </c>
      <c r="AS28" s="1021" t="s">
        <v>1969</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7017</v>
      </c>
      <c r="G29" s="1658" t="s">
        <v>9793</v>
      </c>
      <c r="H29" s="886" t="s">
        <v>9794</v>
      </c>
      <c r="I29" s="886" t="s">
        <v>8226</v>
      </c>
      <c r="J29" s="1641" t="s">
        <v>1906</v>
      </c>
      <c r="K29" s="1641" t="s">
        <v>6116</v>
      </c>
      <c r="L29" s="1641" t="s">
        <v>3561</v>
      </c>
      <c r="M29" s="1641" t="s">
        <v>9795</v>
      </c>
      <c r="N29" s="1641" t="s">
        <v>7141</v>
      </c>
      <c r="O29" s="1641" t="s">
        <v>4160</v>
      </c>
      <c r="P29" s="1641" t="s">
        <v>4722</v>
      </c>
      <c r="Q29" s="1644" t="s">
        <v>9796</v>
      </c>
      <c r="R29" s="1644" t="s">
        <v>9797</v>
      </c>
      <c r="S29" s="1644" t="s">
        <v>547</v>
      </c>
      <c r="T29" s="1644" t="s">
        <v>9798</v>
      </c>
      <c r="U29" s="1644" t="s">
        <v>9799</v>
      </c>
      <c r="V29" s="1644" t="s">
        <v>9800</v>
      </c>
      <c r="W29" s="1660" t="s">
        <v>9801</v>
      </c>
      <c r="X29" s="1660" t="s">
        <v>4490</v>
      </c>
      <c r="Y29" s="1660" t="s">
        <v>1546</v>
      </c>
      <c r="Z29" s="1660" t="s">
        <v>2407</v>
      </c>
      <c r="AA29" s="1660" t="s">
        <v>9802</v>
      </c>
      <c r="AB29" s="1660" t="s">
        <v>3814</v>
      </c>
      <c r="AC29" s="1660" t="s">
        <v>9803</v>
      </c>
      <c r="AD29" s="1658" t="s">
        <v>9804</v>
      </c>
      <c r="AE29" s="1658" t="s">
        <v>5959</v>
      </c>
      <c r="AF29" s="1661" t="s">
        <v>9805</v>
      </c>
      <c r="AG29" s="1661" t="s">
        <v>7493</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6396</v>
      </c>
      <c r="F30" s="1658" t="s">
        <v>9817</v>
      </c>
      <c r="G30" s="1688" t="s">
        <v>9818</v>
      </c>
      <c r="H30" s="916" t="s">
        <v>9819</v>
      </c>
      <c r="I30" s="886" t="s">
        <v>3373</v>
      </c>
      <c r="J30" s="1641" t="s">
        <v>4889</v>
      </c>
      <c r="K30" s="1641" t="s">
        <v>5286</v>
      </c>
      <c r="L30" s="1641" t="s">
        <v>2517</v>
      </c>
      <c r="M30" s="1641" t="s">
        <v>1830</v>
      </c>
      <c r="N30" s="1641" t="s">
        <v>4204</v>
      </c>
      <c r="O30" s="1641" t="s">
        <v>9820</v>
      </c>
      <c r="P30" s="1689" t="s">
        <v>758</v>
      </c>
      <c r="Q30" s="1644" t="s">
        <v>9821</v>
      </c>
      <c r="R30" s="1644" t="s">
        <v>3498</v>
      </c>
      <c r="S30" s="1644" t="s">
        <v>7231</v>
      </c>
      <c r="T30" s="1690" t="s">
        <v>3224</v>
      </c>
      <c r="U30" s="1644" t="s">
        <v>9357</v>
      </c>
      <c r="V30" s="1690" t="s">
        <v>5034</v>
      </c>
      <c r="W30" s="1691" t="s">
        <v>6956</v>
      </c>
      <c r="X30" s="1660" t="s">
        <v>2615</v>
      </c>
      <c r="Y30" s="1691" t="s">
        <v>9822</v>
      </c>
      <c r="Z30" s="1660" t="s">
        <v>9823</v>
      </c>
      <c r="AA30" s="1691" t="s">
        <v>9824</v>
      </c>
      <c r="AB30" s="1021" t="s">
        <v>9825</v>
      </c>
      <c r="AC30" s="1691" t="s">
        <v>3699</v>
      </c>
      <c r="AD30" s="1649" t="s">
        <v>9229</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1866</v>
      </c>
      <c r="AP30" s="1663" t="s">
        <v>9830</v>
      </c>
      <c r="AQ30" s="1662" t="s">
        <v>9831</v>
      </c>
      <c r="AR30" s="1662" t="s">
        <v>3750</v>
      </c>
      <c r="AS30" s="1662" t="s">
        <v>5326</v>
      </c>
      <c r="AT30" s="1641" t="s">
        <v>9832</v>
      </c>
      <c r="AU30" s="1625" t="s">
        <v>9833</v>
      </c>
      <c r="AV30" s="1463" t="str">
        <f t="shared" si="1"/>
        <v>2:55</v>
      </c>
      <c r="AW30" s="1687"/>
    </row>
    <row r="31" ht="15.75" customHeight="1">
      <c r="A31" s="1577" t="s">
        <v>4357</v>
      </c>
      <c r="B31" s="1578" t="s">
        <v>9187</v>
      </c>
      <c r="C31" s="1710">
        <v>0.05043981481481481</v>
      </c>
      <c r="D31" s="1021" t="s">
        <v>9834</v>
      </c>
      <c r="E31" s="1463" t="s">
        <v>6982</v>
      </c>
      <c r="F31" s="1463" t="s">
        <v>1573</v>
      </c>
      <c r="G31" s="1463" t="s">
        <v>9835</v>
      </c>
      <c r="H31" s="1463" t="s">
        <v>9416</v>
      </c>
      <c r="I31" s="1463" t="s">
        <v>4762</v>
      </c>
      <c r="J31" s="1463" t="s">
        <v>4500</v>
      </c>
      <c r="K31" s="1463" t="s">
        <v>9684</v>
      </c>
      <c r="L31" s="1463" t="s">
        <v>3886</v>
      </c>
      <c r="M31" s="1463" t="s">
        <v>9836</v>
      </c>
      <c r="N31" s="1463" t="s">
        <v>9225</v>
      </c>
      <c r="O31" s="1463" t="s">
        <v>9837</v>
      </c>
      <c r="P31" s="1463" t="s">
        <v>5473</v>
      </c>
      <c r="Q31" s="1463" t="s">
        <v>9838</v>
      </c>
      <c r="R31" s="1463" t="s">
        <v>9839</v>
      </c>
      <c r="S31" s="1463" t="s">
        <v>9840</v>
      </c>
      <c r="T31" s="1463" t="s">
        <v>9841</v>
      </c>
      <c r="U31" s="1463" t="s">
        <v>9842</v>
      </c>
      <c r="V31" s="1463" t="s">
        <v>2287</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4207</v>
      </c>
      <c r="AO31" s="1463" t="s">
        <v>9848</v>
      </c>
      <c r="AP31" s="1614" t="str">
        <f>HYPERLINK("https://www.twitch.tv/videos/511415405","2:00.79")</f>
        <v>2:00.79</v>
      </c>
      <c r="AQ31" s="1463" t="s">
        <v>3614</v>
      </c>
      <c r="AR31" s="1463" t="s">
        <v>6977</v>
      </c>
      <c r="AS31" s="1463" t="s">
        <v>9295</v>
      </c>
      <c r="AT31" s="1463" t="s">
        <v>9849</v>
      </c>
      <c r="AU31" s="1463" t="s">
        <v>9850</v>
      </c>
      <c r="AV31" s="1463" t="str">
        <f t="shared" si="1"/>
        <v>2:36</v>
      </c>
      <c r="AW31" s="1615" t="s">
        <v>7625</v>
      </c>
    </row>
    <row r="32">
      <c r="A32" s="1635" t="s">
        <v>1196</v>
      </c>
      <c r="B32" s="1623" t="s">
        <v>9187</v>
      </c>
      <c r="C32" s="1579">
        <v>0.050486111111111114</v>
      </c>
      <c r="D32" s="1658" t="s">
        <v>9851</v>
      </c>
      <c r="E32" s="1658" t="s">
        <v>4282</v>
      </c>
      <c r="F32" s="1658" t="s">
        <v>9852</v>
      </c>
      <c r="G32" s="1658" t="s">
        <v>9853</v>
      </c>
      <c r="H32" s="1021" t="s">
        <v>9854</v>
      </c>
      <c r="I32" s="886" t="s">
        <v>924</v>
      </c>
      <c r="J32" s="1641" t="s">
        <v>5941</v>
      </c>
      <c r="K32" s="1641" t="s">
        <v>7506</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8186</v>
      </c>
      <c r="Z32" s="1660" t="s">
        <v>9862</v>
      </c>
      <c r="AA32" s="1604" t="s">
        <v>9863</v>
      </c>
      <c r="AB32" s="1660" t="s">
        <v>3466</v>
      </c>
      <c r="AC32" s="1660" t="s">
        <v>1113</v>
      </c>
      <c r="AD32" s="1658" t="s">
        <v>9864</v>
      </c>
      <c r="AE32" s="1658" t="s">
        <v>2226</v>
      </c>
      <c r="AF32" s="1661" t="s">
        <v>9865</v>
      </c>
      <c r="AG32" s="1661" t="s">
        <v>527</v>
      </c>
      <c r="AH32" s="1661" t="s">
        <v>9866</v>
      </c>
      <c r="AI32" s="1661" t="s">
        <v>2772</v>
      </c>
      <c r="AJ32" s="1661" t="s">
        <v>9867</v>
      </c>
      <c r="AK32" s="1661" t="s">
        <v>7061</v>
      </c>
      <c r="AL32" s="1661" t="s">
        <v>2895</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7564</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7799</v>
      </c>
      <c r="Z34" s="1660" t="s">
        <v>9355</v>
      </c>
      <c r="AA34" s="1604" t="s">
        <v>9898</v>
      </c>
      <c r="AB34" s="1660" t="s">
        <v>4156</v>
      </c>
      <c r="AC34" s="1660" t="s">
        <v>939</v>
      </c>
      <c r="AD34" s="1658" t="s">
        <v>3965</v>
      </c>
      <c r="AE34" s="1658" t="s">
        <v>5985</v>
      </c>
      <c r="AF34" s="1661" t="s">
        <v>9899</v>
      </c>
      <c r="AG34" s="1697" t="s">
        <v>4650</v>
      </c>
      <c r="AH34" s="1661" t="s">
        <v>9900</v>
      </c>
      <c r="AI34" s="1661" t="s">
        <v>7914</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2777</v>
      </c>
      <c r="S35" s="1644" t="s">
        <v>7006</v>
      </c>
      <c r="T35" s="1644" t="s">
        <v>9921</v>
      </c>
      <c r="U35" s="1644" t="s">
        <v>9922</v>
      </c>
      <c r="V35" s="1644" t="s">
        <v>9226</v>
      </c>
      <c r="W35" s="1660" t="s">
        <v>9923</v>
      </c>
      <c r="X35" s="1660" t="s">
        <v>9924</v>
      </c>
      <c r="Y35" s="1660" t="s">
        <v>9925</v>
      </c>
      <c r="Z35" s="1660" t="s">
        <v>1383</v>
      </c>
      <c r="AA35" s="1660" t="s">
        <v>9926</v>
      </c>
      <c r="AB35" s="1660" t="s">
        <v>7121</v>
      </c>
      <c r="AC35" s="1691" t="s">
        <v>2175</v>
      </c>
      <c r="AD35" s="1658" t="s">
        <v>9927</v>
      </c>
      <c r="AE35" s="1658" t="s">
        <v>9605</v>
      </c>
      <c r="AF35" s="1661" t="s">
        <v>9928</v>
      </c>
      <c r="AG35" s="1661" t="s">
        <v>9929</v>
      </c>
      <c r="AH35" s="1661" t="s">
        <v>5705</v>
      </c>
      <c r="AI35" s="1661" t="s">
        <v>9930</v>
      </c>
      <c r="AJ35" s="1661" t="s">
        <v>9931</v>
      </c>
      <c r="AK35" s="1661" t="s">
        <v>4490</v>
      </c>
      <c r="AL35" s="1661" t="s">
        <v>5791</v>
      </c>
      <c r="AM35" s="1663" t="s">
        <v>1853</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1302</v>
      </c>
      <c r="K36" s="1021" t="s">
        <v>9943</v>
      </c>
      <c r="L36" s="1021" t="s">
        <v>4275</v>
      </c>
      <c r="M36" s="1021" t="s">
        <v>4184</v>
      </c>
      <c r="N36" s="1021" t="s">
        <v>9944</v>
      </c>
      <c r="O36" s="1021" t="s">
        <v>9945</v>
      </c>
      <c r="P36" s="1021" t="s">
        <v>9946</v>
      </c>
      <c r="Q36" s="1021" t="s">
        <v>9947</v>
      </c>
      <c r="R36" s="1021" t="s">
        <v>1869</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4459</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1026</v>
      </c>
      <c r="K37" s="1604" t="s">
        <v>4899</v>
      </c>
      <c r="L37" s="1604" t="s">
        <v>2293</v>
      </c>
      <c r="M37" s="1604" t="s">
        <v>2246</v>
      </c>
      <c r="N37" s="1604" t="s">
        <v>9712</v>
      </c>
      <c r="O37" s="1604" t="s">
        <v>9965</v>
      </c>
      <c r="P37" s="1604" t="s">
        <v>4027</v>
      </c>
      <c r="Q37" s="1604" t="s">
        <v>9966</v>
      </c>
      <c r="R37" s="1604" t="s">
        <v>3123</v>
      </c>
      <c r="S37" s="1604" t="s">
        <v>9303</v>
      </c>
      <c r="T37" s="1604" t="s">
        <v>2363</v>
      </c>
      <c r="U37" s="1604" t="s">
        <v>9450</v>
      </c>
      <c r="V37" s="1604" t="s">
        <v>2889</v>
      </c>
      <c r="W37" s="1604" t="s">
        <v>9967</v>
      </c>
      <c r="X37" s="1604" t="s">
        <v>9968</v>
      </c>
      <c r="Y37" s="1604" t="s">
        <v>860</v>
      </c>
      <c r="Z37" s="1604" t="s">
        <v>9627</v>
      </c>
      <c r="AA37" s="1604" t="s">
        <v>7061</v>
      </c>
      <c r="AB37" s="1604" t="s">
        <v>6197</v>
      </c>
      <c r="AC37" s="1463" t="s">
        <v>534</v>
      </c>
      <c r="AD37" s="1604" t="s">
        <v>9969</v>
      </c>
      <c r="AE37" s="1604" t="s">
        <v>2721</v>
      </c>
      <c r="AF37" s="1604" t="s">
        <v>9970</v>
      </c>
      <c r="AG37" s="1604" t="s">
        <v>9808</v>
      </c>
      <c r="AH37" s="1604" t="s">
        <v>2968</v>
      </c>
      <c r="AI37" s="1604" t="s">
        <v>9971</v>
      </c>
      <c r="AJ37" s="1604" t="s">
        <v>3234</v>
      </c>
      <c r="AK37" s="1604" t="s">
        <v>5281</v>
      </c>
      <c r="AL37" s="1604" t="s">
        <v>4207</v>
      </c>
      <c r="AM37" s="1604" t="s">
        <v>3328</v>
      </c>
      <c r="AN37" s="1604" t="s">
        <v>343</v>
      </c>
      <c r="AO37" s="1604" t="s">
        <v>9972</v>
      </c>
      <c r="AP37" s="1604" t="s">
        <v>9973</v>
      </c>
      <c r="AQ37" s="1604" t="s">
        <v>6994</v>
      </c>
      <c r="AR37" s="1604" t="s">
        <v>2762</v>
      </c>
      <c r="AS37" s="1604" t="s">
        <v>4105</v>
      </c>
      <c r="AT37" s="1604" t="s">
        <v>5588</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1182</v>
      </c>
      <c r="J38" s="1604" t="s">
        <v>3447</v>
      </c>
      <c r="K38" s="1604" t="s">
        <v>3447</v>
      </c>
      <c r="L38" s="1463" t="s">
        <v>9978</v>
      </c>
      <c r="M38" s="1463" t="s">
        <v>9979</v>
      </c>
      <c r="N38" s="1463" t="s">
        <v>9632</v>
      </c>
      <c r="O38" s="1703" t="s">
        <v>9222</v>
      </c>
      <c r="P38" s="1463" t="s">
        <v>8223</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2327</v>
      </c>
      <c r="AE38" s="1463" t="s">
        <v>9925</v>
      </c>
      <c r="AF38" s="1463" t="s">
        <v>9985</v>
      </c>
      <c r="AG38" s="1463" t="s">
        <v>9986</v>
      </c>
      <c r="AH38" s="1463" t="s">
        <v>4480</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6133</v>
      </c>
      <c r="G39" s="1688" t="s">
        <v>9995</v>
      </c>
      <c r="H39" s="916" t="s">
        <v>9996</v>
      </c>
      <c r="I39" s="916" t="s">
        <v>4794</v>
      </c>
      <c r="J39" s="1689" t="s">
        <v>9417</v>
      </c>
      <c r="K39" s="1689" t="s">
        <v>7506</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7496</v>
      </c>
      <c r="Y39" s="1691" t="s">
        <v>1844</v>
      </c>
      <c r="Z39" s="1691" t="s">
        <v>1906</v>
      </c>
      <c r="AA39" s="1691" t="s">
        <v>10002</v>
      </c>
      <c r="AB39" s="1691" t="s">
        <v>9468</v>
      </c>
      <c r="AC39" s="1691" t="s">
        <v>5654</v>
      </c>
      <c r="AD39" s="1688" t="s">
        <v>6616</v>
      </c>
      <c r="AE39" s="1688" t="s">
        <v>7799</v>
      </c>
      <c r="AF39" s="1692" t="s">
        <v>10003</v>
      </c>
      <c r="AG39" s="1692" t="s">
        <v>9929</v>
      </c>
      <c r="AH39" s="1692" t="s">
        <v>8316</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5532</v>
      </c>
      <c r="G40" s="1463" t="s">
        <v>10015</v>
      </c>
      <c r="H40" s="1604" t="s">
        <v>10016</v>
      </c>
      <c r="I40" s="1604" t="s">
        <v>387</v>
      </c>
      <c r="J40" s="1604" t="s">
        <v>7916</v>
      </c>
      <c r="K40" s="1463" t="s">
        <v>9684</v>
      </c>
      <c r="L40" s="1604" t="s">
        <v>10017</v>
      </c>
      <c r="M40" s="1604" t="s">
        <v>10018</v>
      </c>
      <c r="N40" s="1604" t="s">
        <v>4411</v>
      </c>
      <c r="O40" s="1604" t="s">
        <v>10019</v>
      </c>
      <c r="P40" s="1604" t="s">
        <v>1585</v>
      </c>
      <c r="Q40" s="1583" t="s">
        <v>10020</v>
      </c>
      <c r="R40" s="1604" t="s">
        <v>10021</v>
      </c>
      <c r="S40" s="1463" t="s">
        <v>10022</v>
      </c>
      <c r="T40" s="1604" t="s">
        <v>9785</v>
      </c>
      <c r="U40" s="1604" t="s">
        <v>6775</v>
      </c>
      <c r="V40" s="1604" t="s">
        <v>2522</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4634</v>
      </c>
      <c r="AF40" s="1463" t="s">
        <v>10026</v>
      </c>
      <c r="AG40" s="1604" t="s">
        <v>1865</v>
      </c>
      <c r="AH40" s="1604" t="s">
        <v>3060</v>
      </c>
      <c r="AI40" s="1604" t="s">
        <v>10027</v>
      </c>
      <c r="AJ40" s="1463" t="s">
        <v>8557</v>
      </c>
      <c r="AK40" s="1604" t="s">
        <v>10028</v>
      </c>
      <c r="AL40" s="1463" t="s">
        <v>4365</v>
      </c>
      <c r="AM40" s="1463" t="s">
        <v>10029</v>
      </c>
      <c r="AN40" s="1463" t="s">
        <v>2555</v>
      </c>
      <c r="AO40" s="1604" t="s">
        <v>3615</v>
      </c>
      <c r="AP40" s="1604" t="s">
        <v>10030</v>
      </c>
      <c r="AQ40" s="1604" t="s">
        <v>10031</v>
      </c>
      <c r="AR40" s="1604" t="s">
        <v>1302</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1744</v>
      </c>
      <c r="I41" s="1604" t="s">
        <v>1898</v>
      </c>
      <c r="J41" s="1604" t="s">
        <v>10038</v>
      </c>
      <c r="K41" s="1604" t="s">
        <v>3636</v>
      </c>
      <c r="L41" s="1604" t="s">
        <v>10039</v>
      </c>
      <c r="M41" s="1604" t="s">
        <v>10040</v>
      </c>
      <c r="N41" s="1604" t="s">
        <v>10041</v>
      </c>
      <c r="O41" s="1604" t="s">
        <v>10042</v>
      </c>
      <c r="P41" s="1604" t="s">
        <v>9925</v>
      </c>
      <c r="Q41" s="1604" t="s">
        <v>4654</v>
      </c>
      <c r="R41" s="1604" t="s">
        <v>4024</v>
      </c>
      <c r="S41" s="1604" t="s">
        <v>2748</v>
      </c>
      <c r="T41" s="1604" t="s">
        <v>2363</v>
      </c>
      <c r="U41" s="1604" t="s">
        <v>10043</v>
      </c>
      <c r="V41" s="1604" t="s">
        <v>2217</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7569</v>
      </c>
      <c r="AS41" s="1604" t="s">
        <v>5841</v>
      </c>
      <c r="AT41" s="1604" t="s">
        <v>8868</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8272</v>
      </c>
      <c r="L42" s="1641" t="s">
        <v>4339</v>
      </c>
      <c r="M42" s="1641" t="s">
        <v>8273</v>
      </c>
      <c r="N42" s="1641" t="s">
        <v>10065</v>
      </c>
      <c r="O42" s="1641" t="s">
        <v>2250</v>
      </c>
      <c r="P42" s="1641" t="s">
        <v>8226</v>
      </c>
      <c r="Q42" s="1644" t="s">
        <v>7437</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2627</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2522</v>
      </c>
      <c r="W43" s="1691" t="s">
        <v>10092</v>
      </c>
      <c r="X43" s="1691" t="s">
        <v>6198</v>
      </c>
      <c r="Y43" s="1691" t="s">
        <v>9131</v>
      </c>
      <c r="Z43" s="1691" t="s">
        <v>2655</v>
      </c>
      <c r="AA43" s="1691" t="s">
        <v>10093</v>
      </c>
      <c r="AB43" s="1691" t="s">
        <v>2646</v>
      </c>
      <c r="AC43" s="1691" t="s">
        <v>3120</v>
      </c>
      <c r="AD43" s="1688" t="s">
        <v>10094</v>
      </c>
      <c r="AE43" s="1688" t="s">
        <v>6328</v>
      </c>
      <c r="AF43" s="1692" t="s">
        <v>9341</v>
      </c>
      <c r="AG43" s="1692" t="s">
        <v>10095</v>
      </c>
      <c r="AH43" s="1692" t="s">
        <v>2259</v>
      </c>
      <c r="AI43" s="1692" t="s">
        <v>10096</v>
      </c>
      <c r="AJ43" s="1692" t="s">
        <v>10097</v>
      </c>
      <c r="AK43" s="1692" t="s">
        <v>10098</v>
      </c>
      <c r="AL43" s="1692" t="s">
        <v>5511</v>
      </c>
      <c r="AM43" s="1662" t="s">
        <v>9951</v>
      </c>
      <c r="AN43" s="1662" t="s">
        <v>5511</v>
      </c>
      <c r="AO43" s="1662" t="s">
        <v>2307</v>
      </c>
      <c r="AP43" s="1662" t="s">
        <v>10099</v>
      </c>
      <c r="AQ43" s="1662" t="s">
        <v>10100</v>
      </c>
      <c r="AR43" s="1662" t="s">
        <v>4701</v>
      </c>
      <c r="AS43" s="1662" t="s">
        <v>4407</v>
      </c>
      <c r="AT43" s="1689" t="s">
        <v>10101</v>
      </c>
      <c r="AU43" s="1686" t="s">
        <v>10102</v>
      </c>
      <c r="AV43" s="1463" t="str">
        <f t="shared" si="1"/>
        <v>2:54</v>
      </c>
      <c r="AW43" s="1687"/>
    </row>
    <row r="44">
      <c r="A44" s="1635" t="s">
        <v>2829</v>
      </c>
      <c r="B44" s="1633" t="s">
        <v>9187</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8318</v>
      </c>
      <c r="W44" s="1604" t="s">
        <v>5571</v>
      </c>
      <c r="X44" s="1604" t="s">
        <v>10113</v>
      </c>
      <c r="Y44" s="1604" t="s">
        <v>8217</v>
      </c>
      <c r="Z44" s="1604" t="s">
        <v>6175</v>
      </c>
      <c r="AA44" s="1660" t="s">
        <v>10114</v>
      </c>
      <c r="AB44" s="1604" t="s">
        <v>1906</v>
      </c>
      <c r="AC44" s="1604" t="s">
        <v>7246</v>
      </c>
      <c r="AD44" s="1604" t="s">
        <v>10115</v>
      </c>
      <c r="AE44" s="1604" t="s">
        <v>4978</v>
      </c>
      <c r="AF44" s="1604" t="s">
        <v>10116</v>
      </c>
      <c r="AG44" s="1604" t="s">
        <v>1176</v>
      </c>
      <c r="AH44" s="1604" t="s">
        <v>3905</v>
      </c>
      <c r="AI44" s="1604" t="s">
        <v>10117</v>
      </c>
      <c r="AJ44" s="1604" t="s">
        <v>10118</v>
      </c>
      <c r="AK44" s="1604" t="s">
        <v>10028</v>
      </c>
      <c r="AL44" s="1604" t="s">
        <v>4369</v>
      </c>
      <c r="AM44" s="1604" t="s">
        <v>10028</v>
      </c>
      <c r="AN44" s="1604" t="s">
        <v>9265</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4655</v>
      </c>
      <c r="B45" s="1578" t="s">
        <v>9187</v>
      </c>
      <c r="C45" s="1710">
        <v>0.050868055555555555</v>
      </c>
      <c r="D45" s="1021" t="s">
        <v>10123</v>
      </c>
      <c r="E45" s="1463" t="s">
        <v>7223</v>
      </c>
      <c r="F45" s="1463" t="s">
        <v>10124</v>
      </c>
      <c r="G45" s="1463" t="s">
        <v>10125</v>
      </c>
      <c r="H45" s="1463" t="s">
        <v>9292</v>
      </c>
      <c r="I45" s="1463" t="s">
        <v>1292</v>
      </c>
      <c r="J45" s="1463" t="s">
        <v>4852</v>
      </c>
      <c r="K45" s="1463" t="s">
        <v>9699</v>
      </c>
      <c r="L45" s="1463" t="s">
        <v>9556</v>
      </c>
      <c r="M45" s="1463" t="s">
        <v>5471</v>
      </c>
      <c r="N45" s="1463" t="s">
        <v>8692</v>
      </c>
      <c r="O45" s="1463" t="s">
        <v>10126</v>
      </c>
      <c r="P45" s="1463" t="s">
        <v>4306</v>
      </c>
      <c r="Q45" s="1463" t="s">
        <v>10127</v>
      </c>
      <c r="R45" s="1463" t="s">
        <v>6928</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6063</v>
      </c>
      <c r="AH45" s="1463" t="s">
        <v>9293</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1876</v>
      </c>
      <c r="B46" s="1717" t="s">
        <v>9241</v>
      </c>
      <c r="C46" s="1718">
        <v>0.05092592592592592</v>
      </c>
      <c r="D46" s="1719" t="s">
        <v>9242</v>
      </c>
      <c r="E46" s="1720" t="s">
        <v>9243</v>
      </c>
      <c r="F46" s="1719" t="s">
        <v>9244</v>
      </c>
      <c r="G46" s="1604" t="s">
        <v>10140</v>
      </c>
      <c r="H46" s="1719" t="s">
        <v>9246</v>
      </c>
      <c r="I46" s="1463" t="s">
        <v>1410</v>
      </c>
      <c r="J46" s="1688" t="s">
        <v>10141</v>
      </c>
      <c r="K46" s="1463" t="s">
        <v>9921</v>
      </c>
      <c r="L46" s="1688" t="s">
        <v>2333</v>
      </c>
      <c r="M46" s="1463" t="s">
        <v>2777</v>
      </c>
      <c r="N46" s="1719" t="s">
        <v>9207</v>
      </c>
      <c r="O46" s="1463" t="s">
        <v>10142</v>
      </c>
      <c r="P46" s="1688" t="s">
        <v>636</v>
      </c>
      <c r="Q46" s="1720" t="s">
        <v>9251</v>
      </c>
      <c r="R46" s="1719" t="s">
        <v>9252</v>
      </c>
      <c r="S46" s="1463" t="s">
        <v>1162</v>
      </c>
      <c r="T46" s="1688" t="s">
        <v>7296</v>
      </c>
      <c r="U46" s="1720" t="s">
        <v>9254</v>
      </c>
      <c r="V46" s="1719" t="s">
        <v>4301</v>
      </c>
      <c r="W46" s="1463" t="s">
        <v>10143</v>
      </c>
      <c r="X46" s="1719" t="s">
        <v>9256</v>
      </c>
      <c r="Y46" s="1463" t="s">
        <v>5739</v>
      </c>
      <c r="Z46" s="1658" t="s">
        <v>10144</v>
      </c>
      <c r="AA46" s="1463" t="s">
        <v>2309</v>
      </c>
      <c r="AB46" s="1688" t="s">
        <v>9586</v>
      </c>
      <c r="AC46" s="1604" t="s">
        <v>10145</v>
      </c>
      <c r="AD46" s="1688" t="s">
        <v>10146</v>
      </c>
      <c r="AE46" s="1604" t="s">
        <v>10147</v>
      </c>
      <c r="AF46" s="1688" t="s">
        <v>10148</v>
      </c>
      <c r="AG46" s="1463" t="s">
        <v>8115</v>
      </c>
      <c r="AH46" s="1658" t="s">
        <v>10039</v>
      </c>
      <c r="AI46" s="1720" t="s">
        <v>9261</v>
      </c>
      <c r="AJ46" s="1688" t="s">
        <v>10149</v>
      </c>
      <c r="AK46" s="1463" t="s">
        <v>5970</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2585</v>
      </c>
      <c r="B47" s="1636" t="s">
        <v>9215</v>
      </c>
      <c r="C47" s="1579">
        <v>0.05092592592592592</v>
      </c>
      <c r="D47" s="1021" t="s">
        <v>10153</v>
      </c>
      <c r="E47" s="1658" t="s">
        <v>10154</v>
      </c>
      <c r="F47" s="1658" t="s">
        <v>10155</v>
      </c>
      <c r="G47" s="1658" t="s">
        <v>10156</v>
      </c>
      <c r="H47" s="886" t="s">
        <v>10157</v>
      </c>
      <c r="I47" s="886" t="s">
        <v>2966</v>
      </c>
      <c r="J47" s="1641" t="s">
        <v>7970</v>
      </c>
      <c r="K47" s="1641" t="s">
        <v>3601</v>
      </c>
      <c r="L47" s="1641" t="s">
        <v>5884</v>
      </c>
      <c r="M47" s="1641" t="s">
        <v>3137</v>
      </c>
      <c r="N47" s="1641" t="s">
        <v>871</v>
      </c>
      <c r="O47" s="1641" t="s">
        <v>10158</v>
      </c>
      <c r="P47" s="1641" t="s">
        <v>771</v>
      </c>
      <c r="Q47" s="1644" t="s">
        <v>7279</v>
      </c>
      <c r="R47" s="1644" t="s">
        <v>6949</v>
      </c>
      <c r="S47" s="1644" t="s">
        <v>7564</v>
      </c>
      <c r="T47" s="1644" t="s">
        <v>10159</v>
      </c>
      <c r="U47" s="1721" t="s">
        <v>7409</v>
      </c>
      <c r="V47" s="1644" t="s">
        <v>10160</v>
      </c>
      <c r="W47" s="1660" t="s">
        <v>6897</v>
      </c>
      <c r="X47" s="1660" t="s">
        <v>10161</v>
      </c>
      <c r="Y47" s="1660" t="s">
        <v>10162</v>
      </c>
      <c r="Z47" s="1660" t="s">
        <v>7231</v>
      </c>
      <c r="AA47" s="1660" t="s">
        <v>1934</v>
      </c>
      <c r="AB47" s="1660" t="s">
        <v>10163</v>
      </c>
      <c r="AC47" s="1660" t="s">
        <v>2451</v>
      </c>
      <c r="AD47" s="1658" t="s">
        <v>10164</v>
      </c>
      <c r="AE47" s="1658" t="s">
        <v>5334</v>
      </c>
      <c r="AF47" s="1661" t="s">
        <v>10165</v>
      </c>
      <c r="AG47" s="1661" t="s">
        <v>5280</v>
      </c>
      <c r="AH47" s="1661" t="s">
        <v>4480</v>
      </c>
      <c r="AI47" s="1661" t="s">
        <v>10166</v>
      </c>
      <c r="AJ47" s="1650" t="s">
        <v>9234</v>
      </c>
      <c r="AK47" s="1661" t="s">
        <v>194</v>
      </c>
      <c r="AL47" s="1661" t="s">
        <v>5971</v>
      </c>
      <c r="AM47" s="1663" t="s">
        <v>4085</v>
      </c>
      <c r="AN47" s="1663" t="s">
        <v>3741</v>
      </c>
      <c r="AO47" s="1663" t="s">
        <v>2405</v>
      </c>
      <c r="AP47" s="1663" t="s">
        <v>10167</v>
      </c>
      <c r="AQ47" s="1663" t="s">
        <v>4322</v>
      </c>
      <c r="AR47" s="1663" t="s">
        <v>7268</v>
      </c>
      <c r="AS47" s="1663" t="s">
        <v>6621</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1410</v>
      </c>
      <c r="J48" s="1641" t="s">
        <v>5188</v>
      </c>
      <c r="K48" s="1641" t="s">
        <v>9919</v>
      </c>
      <c r="L48" s="1641" t="s">
        <v>4423</v>
      </c>
      <c r="M48" s="1641" t="s">
        <v>1453</v>
      </c>
      <c r="N48" s="1641" t="s">
        <v>9276</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7758</v>
      </c>
      <c r="AD48" s="1658" t="s">
        <v>10180</v>
      </c>
      <c r="AE48" s="1688" t="s">
        <v>2163</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1051</v>
      </c>
      <c r="B49" s="1623" t="s">
        <v>9215</v>
      </c>
      <c r="C49" s="1579">
        <v>0.05112268518518519</v>
      </c>
      <c r="D49" s="1658" t="s">
        <v>10193</v>
      </c>
      <c r="E49" s="1658" t="s">
        <v>4667</v>
      </c>
      <c r="F49" s="1658" t="s">
        <v>10194</v>
      </c>
      <c r="G49" s="1658" t="s">
        <v>10195</v>
      </c>
      <c r="H49" s="1021" t="s">
        <v>10196</v>
      </c>
      <c r="I49" s="886" t="s">
        <v>5425</v>
      </c>
      <c r="J49" s="1641" t="s">
        <v>9396</v>
      </c>
      <c r="K49" s="1641" t="s">
        <v>10197</v>
      </c>
      <c r="L49" s="1585" t="s">
        <v>3659</v>
      </c>
      <c r="M49" s="1641" t="s">
        <v>4464</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2851</v>
      </c>
      <c r="AC49" s="1660" t="s">
        <v>5094</v>
      </c>
      <c r="AD49" s="1658" t="s">
        <v>10208</v>
      </c>
      <c r="AE49" s="1658" t="s">
        <v>5606</v>
      </c>
      <c r="AF49" s="1661" t="s">
        <v>9415</v>
      </c>
      <c r="AG49" s="1661" t="s">
        <v>274</v>
      </c>
      <c r="AH49" s="1661" t="s">
        <v>463</v>
      </c>
      <c r="AI49" s="1661" t="s">
        <v>10209</v>
      </c>
      <c r="AJ49" s="1661" t="s">
        <v>10210</v>
      </c>
      <c r="AK49" s="1661" t="s">
        <v>4159</v>
      </c>
      <c r="AL49" s="1661" t="s">
        <v>10211</v>
      </c>
      <c r="AM49" s="1663" t="s">
        <v>10212</v>
      </c>
      <c r="AN49" s="1723" t="s">
        <v>3225</v>
      </c>
      <c r="AO49" s="1663" t="s">
        <v>8272</v>
      </c>
      <c r="AP49" s="1663" t="s">
        <v>10213</v>
      </c>
      <c r="AQ49" s="1663" t="s">
        <v>10214</v>
      </c>
      <c r="AR49" s="1663" t="s">
        <v>10215</v>
      </c>
      <c r="AS49" s="1663" t="s">
        <v>9107</v>
      </c>
      <c r="AT49" s="1641" t="s">
        <v>10216</v>
      </c>
      <c r="AU49" s="1625" t="s">
        <v>10217</v>
      </c>
      <c r="AV49" s="1463" t="str">
        <f t="shared" si="1"/>
        <v>4:57</v>
      </c>
      <c r="AW49" s="1687"/>
    </row>
    <row r="50">
      <c r="A50" s="1635" t="s">
        <v>2378</v>
      </c>
      <c r="B50" s="1633" t="s">
        <v>9215</v>
      </c>
      <c r="C50" s="1579">
        <v>0.05112268518518519</v>
      </c>
      <c r="D50" s="1604" t="s">
        <v>10218</v>
      </c>
      <c r="E50" s="1604" t="s">
        <v>4527</v>
      </c>
      <c r="F50" s="1604" t="s">
        <v>6177</v>
      </c>
      <c r="G50" s="1703" t="s">
        <v>9218</v>
      </c>
      <c r="H50" s="1021" t="s">
        <v>10219</v>
      </c>
      <c r="I50" s="1604" t="s">
        <v>764</v>
      </c>
      <c r="J50" s="1604" t="s">
        <v>7568</v>
      </c>
      <c r="K50" s="1604" t="s">
        <v>2544</v>
      </c>
      <c r="L50" s="1604" t="s">
        <v>1364</v>
      </c>
      <c r="M50" s="1604" t="s">
        <v>10220</v>
      </c>
      <c r="N50" s="1604" t="s">
        <v>9301</v>
      </c>
      <c r="O50" s="1604" t="s">
        <v>10221</v>
      </c>
      <c r="P50" s="1604" t="s">
        <v>3643</v>
      </c>
      <c r="Q50" s="1604" t="s">
        <v>10222</v>
      </c>
      <c r="R50" s="1604" t="s">
        <v>10223</v>
      </c>
      <c r="S50" s="1604" t="s">
        <v>3789</v>
      </c>
      <c r="T50" s="1604" t="s">
        <v>7496</v>
      </c>
      <c r="U50" s="1644" t="s">
        <v>9655</v>
      </c>
      <c r="V50" s="1604" t="s">
        <v>10224</v>
      </c>
      <c r="W50" s="1604" t="s">
        <v>10225</v>
      </c>
      <c r="X50" s="1604" t="s">
        <v>1485</v>
      </c>
      <c r="Y50" s="1604" t="s">
        <v>8223</v>
      </c>
      <c r="Z50" s="1604" t="s">
        <v>9454</v>
      </c>
      <c r="AA50" s="1660" t="s">
        <v>612</v>
      </c>
      <c r="AB50" s="1604" t="s">
        <v>10226</v>
      </c>
      <c r="AC50" s="1604" t="s">
        <v>5334</v>
      </c>
      <c r="AD50" s="1604" t="s">
        <v>10227</v>
      </c>
      <c r="AE50" s="1604" t="s">
        <v>3643</v>
      </c>
      <c r="AF50" s="1604" t="s">
        <v>10228</v>
      </c>
      <c r="AG50" s="1604" t="s">
        <v>10229</v>
      </c>
      <c r="AH50" s="1604" t="s">
        <v>2568</v>
      </c>
      <c r="AI50" s="1604" t="s">
        <v>6210</v>
      </c>
      <c r="AJ50" s="1604" t="s">
        <v>10230</v>
      </c>
      <c r="AK50" s="1604" t="s">
        <v>9747</v>
      </c>
      <c r="AL50" s="1604" t="s">
        <v>10231</v>
      </c>
      <c r="AM50" s="1604" t="s">
        <v>2772</v>
      </c>
      <c r="AN50" s="1604" t="s">
        <v>10232</v>
      </c>
      <c r="AO50" s="1604" t="s">
        <v>7426</v>
      </c>
      <c r="AP50" s="1604" t="s">
        <v>10233</v>
      </c>
      <c r="AQ50" s="1604" t="s">
        <v>10234</v>
      </c>
      <c r="AR50" s="1604" t="s">
        <v>2258</v>
      </c>
      <c r="AS50" s="1604" t="s">
        <v>8217</v>
      </c>
      <c r="AT50" s="1604" t="s">
        <v>10235</v>
      </c>
      <c r="AU50" s="1604" t="s">
        <v>10236</v>
      </c>
      <c r="AV50" s="1463" t="str">
        <f t="shared" si="1"/>
        <v>3:15</v>
      </c>
      <c r="AW50" s="1074"/>
    </row>
    <row r="51">
      <c r="A51" s="1635" t="s">
        <v>2652</v>
      </c>
      <c r="B51" s="1633" t="s">
        <v>9187</v>
      </c>
      <c r="C51" s="1579">
        <v>0.051145833333333335</v>
      </c>
      <c r="D51" s="1021" t="s">
        <v>10237</v>
      </c>
      <c r="E51" s="817" t="s">
        <v>4144</v>
      </c>
      <c r="F51" s="817" t="s">
        <v>1683</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9038</v>
      </c>
      <c r="T52" s="1463" t="s">
        <v>4205</v>
      </c>
      <c r="U52" s="1463" t="s">
        <v>10268</v>
      </c>
      <c r="V52" s="1604" t="s">
        <v>1963</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8259</v>
      </c>
      <c r="L53" s="1641" t="s">
        <v>10287</v>
      </c>
      <c r="M53" s="1641" t="s">
        <v>5589</v>
      </c>
      <c r="N53" s="1727" t="s">
        <v>1161</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9241</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9250</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4522</v>
      </c>
      <c r="AC54" s="1463" t="s">
        <v>6165</v>
      </c>
      <c r="AD54" s="1463" t="s">
        <v>10319</v>
      </c>
      <c r="AE54" s="1730" t="s">
        <v>5606</v>
      </c>
      <c r="AF54" s="1730" t="s">
        <v>2809</v>
      </c>
      <c r="AG54" s="1463" t="s">
        <v>4604</v>
      </c>
      <c r="AH54" s="1463" t="s">
        <v>10320</v>
      </c>
      <c r="AI54" s="1463" t="s">
        <v>10321</v>
      </c>
      <c r="AJ54" s="1463" t="s">
        <v>10322</v>
      </c>
      <c r="AK54" s="1463" t="s">
        <v>6116</v>
      </c>
      <c r="AL54" s="1463" t="s">
        <v>6348</v>
      </c>
      <c r="AM54" s="1730" t="s">
        <v>9264</v>
      </c>
      <c r="AN54" s="1604" t="s">
        <v>2517</v>
      </c>
      <c r="AO54" s="1463" t="s">
        <v>4964</v>
      </c>
      <c r="AP54" s="1463" t="s">
        <v>10323</v>
      </c>
      <c r="AQ54" s="1463" t="s">
        <v>10324</v>
      </c>
      <c r="AR54" s="1463" t="s">
        <v>8265</v>
      </c>
      <c r="AS54" s="1463" t="s">
        <v>4452</v>
      </c>
      <c r="AT54" s="1463" t="s">
        <v>10325</v>
      </c>
      <c r="AU54" s="1463" t="s">
        <v>10326</v>
      </c>
      <c r="AV54" s="1463" t="str">
        <f t="shared" si="1"/>
        <v>3:15</v>
      </c>
      <c r="AW54" s="1668" t="s">
        <v>10327</v>
      </c>
    </row>
    <row r="55">
      <c r="A55" s="1635" t="s">
        <v>1945</v>
      </c>
      <c r="B55" s="1623" t="s">
        <v>9187</v>
      </c>
      <c r="C55" s="1579">
        <v>0.05133101851851852</v>
      </c>
      <c r="D55" s="1716" t="s">
        <v>10328</v>
      </c>
      <c r="E55" s="1658" t="s">
        <v>10329</v>
      </c>
      <c r="F55" s="1658" t="s">
        <v>10330</v>
      </c>
      <c r="G55" s="1658" t="s">
        <v>10331</v>
      </c>
      <c r="H55" s="886" t="s">
        <v>10332</v>
      </c>
      <c r="I55" s="886" t="s">
        <v>3120</v>
      </c>
      <c r="J55" s="1641" t="s">
        <v>1932</v>
      </c>
      <c r="K55" s="1641" t="s">
        <v>10333</v>
      </c>
      <c r="L55" s="1641" t="s">
        <v>4193</v>
      </c>
      <c r="M55" s="1641" t="s">
        <v>10334</v>
      </c>
      <c r="N55" s="1641" t="s">
        <v>9461</v>
      </c>
      <c r="O55" s="1641" t="s">
        <v>10335</v>
      </c>
      <c r="P55" s="1641" t="s">
        <v>9401</v>
      </c>
      <c r="Q55" s="1644" t="s">
        <v>10336</v>
      </c>
      <c r="R55" s="1644" t="s">
        <v>10110</v>
      </c>
      <c r="S55" s="1644" t="s">
        <v>7515</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2074</v>
      </c>
      <c r="O56" s="1641" t="s">
        <v>10352</v>
      </c>
      <c r="P56" s="1641" t="s">
        <v>4561</v>
      </c>
      <c r="Q56" s="1644" t="s">
        <v>10353</v>
      </c>
      <c r="R56" s="1644" t="s">
        <v>2602</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1970</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1969</v>
      </c>
      <c r="AT56" s="1641" t="s">
        <v>10368</v>
      </c>
      <c r="AU56" s="1625" t="s">
        <v>10236</v>
      </c>
      <c r="AV56" s="1463" t="str">
        <f t="shared" si="1"/>
        <v>2:56</v>
      </c>
      <c r="AW56" s="1626" t="s">
        <v>10369</v>
      </c>
    </row>
    <row r="57" ht="15.75" customHeight="1">
      <c r="A57" s="1601" t="s">
        <v>1415</v>
      </c>
      <c r="B57" s="1729" t="s">
        <v>9241</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7427</v>
      </c>
      <c r="O57" s="1732" t="s">
        <v>9249</v>
      </c>
      <c r="P57" s="1689" t="s">
        <v>387</v>
      </c>
      <c r="Q57" s="1690" t="s">
        <v>10374</v>
      </c>
      <c r="R57" s="1690" t="s">
        <v>1623</v>
      </c>
      <c r="S57" s="1690" t="s">
        <v>10375</v>
      </c>
      <c r="T57" s="1733" t="s">
        <v>9253</v>
      </c>
      <c r="U57" s="1690" t="s">
        <v>10376</v>
      </c>
      <c r="V57" s="1690" t="s">
        <v>4077</v>
      </c>
      <c r="W57" s="1734" t="s">
        <v>9255</v>
      </c>
      <c r="X57" s="1691" t="s">
        <v>4378</v>
      </c>
      <c r="Y57" s="1691" t="s">
        <v>6634</v>
      </c>
      <c r="Z57" s="1691" t="s">
        <v>7256</v>
      </c>
      <c r="AA57" s="1691" t="s">
        <v>9783</v>
      </c>
      <c r="AB57" s="1734" t="s">
        <v>9259</v>
      </c>
      <c r="AC57" s="1691" t="s">
        <v>7585</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2931</v>
      </c>
      <c r="O58" s="1463" t="s">
        <v>10396</v>
      </c>
      <c r="P58" s="1463" t="s">
        <v>1004</v>
      </c>
      <c r="Q58" s="1463" t="s">
        <v>2508</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9324</v>
      </c>
      <c r="AC58" s="1463" t="s">
        <v>846</v>
      </c>
      <c r="AD58" s="1463" t="s">
        <v>10401</v>
      </c>
      <c r="AE58" s="1463" t="s">
        <v>387</v>
      </c>
      <c r="AF58" s="1463" t="s">
        <v>10402</v>
      </c>
      <c r="AG58" s="1463" t="s">
        <v>10403</v>
      </c>
      <c r="AH58" s="1463" t="s">
        <v>5321</v>
      </c>
      <c r="AI58" s="1463" t="s">
        <v>10404</v>
      </c>
      <c r="AJ58" s="1463" t="s">
        <v>10343</v>
      </c>
      <c r="AK58" s="1463" t="s">
        <v>6946</v>
      </c>
      <c r="AL58" s="1463" t="s">
        <v>3322</v>
      </c>
      <c r="AM58" s="1463" t="s">
        <v>4157</v>
      </c>
      <c r="AN58" s="1463" t="s">
        <v>5804</v>
      </c>
      <c r="AO58" s="1463" t="s">
        <v>6548</v>
      </c>
      <c r="AP58" s="1463" t="s">
        <v>10405</v>
      </c>
      <c r="AQ58" s="1463" t="s">
        <v>10406</v>
      </c>
      <c r="AR58" s="1463" t="s">
        <v>10407</v>
      </c>
      <c r="AS58" s="1662" t="s">
        <v>4440</v>
      </c>
      <c r="AT58" s="1463" t="s">
        <v>10408</v>
      </c>
      <c r="AU58" s="1463" t="s">
        <v>9657</v>
      </c>
      <c r="AV58" s="1463" t="str">
        <f t="shared" si="1"/>
        <v>2:27</v>
      </c>
      <c r="AW58" s="1668"/>
    </row>
    <row r="59" ht="15.75" customHeight="1">
      <c r="A59" s="1635" t="s">
        <v>1348</v>
      </c>
      <c r="B59" s="1633" t="s">
        <v>9241</v>
      </c>
      <c r="C59" s="1579">
        <v>0.05140046296296296</v>
      </c>
      <c r="D59" s="1604" t="s">
        <v>10409</v>
      </c>
      <c r="E59" s="1604" t="s">
        <v>1745</v>
      </c>
      <c r="F59" s="1604" t="s">
        <v>10410</v>
      </c>
      <c r="G59" s="1720" t="s">
        <v>9245</v>
      </c>
      <c r="H59" s="1021" t="s">
        <v>10411</v>
      </c>
      <c r="I59" s="1604" t="s">
        <v>1669</v>
      </c>
      <c r="J59" s="1720" t="s">
        <v>9247</v>
      </c>
      <c r="K59" s="1604" t="s">
        <v>7164</v>
      </c>
      <c r="L59" s="1604" t="s">
        <v>10412</v>
      </c>
      <c r="M59" s="1720" t="s">
        <v>9248</v>
      </c>
      <c r="N59" s="1604" t="s">
        <v>10413</v>
      </c>
      <c r="O59" s="1604" t="s">
        <v>10414</v>
      </c>
      <c r="P59" s="1604" t="s">
        <v>1113</v>
      </c>
      <c r="Q59" s="1604" t="s">
        <v>10199</v>
      </c>
      <c r="R59" s="1604" t="s">
        <v>10415</v>
      </c>
      <c r="S59" s="1604" t="s">
        <v>9236</v>
      </c>
      <c r="T59" s="1604" t="s">
        <v>10416</v>
      </c>
      <c r="U59" s="1604" t="s">
        <v>10124</v>
      </c>
      <c r="V59" s="1604" t="s">
        <v>6000</v>
      </c>
      <c r="W59" s="1604" t="s">
        <v>10417</v>
      </c>
      <c r="X59" s="1604" t="s">
        <v>627</v>
      </c>
      <c r="Y59" s="1604" t="s">
        <v>10418</v>
      </c>
      <c r="Z59" s="1604" t="s">
        <v>10419</v>
      </c>
      <c r="AA59" s="1736" t="s">
        <v>9258</v>
      </c>
      <c r="AB59" s="1604" t="s">
        <v>6091</v>
      </c>
      <c r="AC59" s="1604" t="s">
        <v>10420</v>
      </c>
      <c r="AD59" s="1604" t="s">
        <v>9639</v>
      </c>
      <c r="AE59" s="1604" t="s">
        <v>2608</v>
      </c>
      <c r="AF59" s="1604" t="s">
        <v>10421</v>
      </c>
      <c r="AG59" s="1720" t="s">
        <v>4617</v>
      </c>
      <c r="AH59" s="1720" t="s">
        <v>4544</v>
      </c>
      <c r="AI59" s="1604" t="s">
        <v>10422</v>
      </c>
      <c r="AJ59" s="1604" t="s">
        <v>10423</v>
      </c>
      <c r="AK59" s="1604" t="s">
        <v>7220</v>
      </c>
      <c r="AL59" s="1604" t="s">
        <v>3905</v>
      </c>
      <c r="AM59" s="1604" t="s">
        <v>10424</v>
      </c>
      <c r="AN59" s="1604" t="s">
        <v>3828</v>
      </c>
      <c r="AO59" s="1720" t="s">
        <v>9266</v>
      </c>
      <c r="AP59" s="1737" t="s">
        <v>9267</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7834</v>
      </c>
      <c r="F60" s="817" t="s">
        <v>10428</v>
      </c>
      <c r="G60" s="817" t="s">
        <v>4971</v>
      </c>
      <c r="H60" s="1021" t="s">
        <v>10429</v>
      </c>
      <c r="I60" s="817" t="s">
        <v>1292</v>
      </c>
      <c r="J60" s="817" t="s">
        <v>10430</v>
      </c>
      <c r="K60" s="817" t="s">
        <v>3685</v>
      </c>
      <c r="L60" s="817" t="s">
        <v>4232</v>
      </c>
      <c r="M60" s="817" t="s">
        <v>6793</v>
      </c>
      <c r="N60" s="817" t="s">
        <v>10431</v>
      </c>
      <c r="O60" s="817" t="s">
        <v>3810</v>
      </c>
      <c r="P60" s="817" t="s">
        <v>8223</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2597</v>
      </c>
      <c r="AO60" s="817" t="s">
        <v>5847</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2025</v>
      </c>
      <c r="B61" s="1578" t="s">
        <v>9187</v>
      </c>
      <c r="C61" s="1579">
        <v>0.05157407407407407</v>
      </c>
      <c r="D61" s="1021" t="s">
        <v>10446</v>
      </c>
      <c r="E61" s="1658" t="s">
        <v>10447</v>
      </c>
      <c r="F61" s="1658" t="s">
        <v>10448</v>
      </c>
      <c r="G61" s="1688" t="s">
        <v>9940</v>
      </c>
      <c r="H61" s="916" t="s">
        <v>10449</v>
      </c>
      <c r="I61" s="916" t="s">
        <v>2098</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2690</v>
      </c>
      <c r="V61" s="1690" t="s">
        <v>5132</v>
      </c>
      <c r="W61" s="1691" t="s">
        <v>10455</v>
      </c>
      <c r="X61" s="1691" t="s">
        <v>10456</v>
      </c>
      <c r="Y61" s="1691" t="s">
        <v>10318</v>
      </c>
      <c r="Z61" s="1691" t="s">
        <v>9259</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7506</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7645</v>
      </c>
      <c r="F62" s="1658" t="s">
        <v>9383</v>
      </c>
      <c r="G62" s="1658" t="s">
        <v>10472</v>
      </c>
      <c r="H62" s="886" t="s">
        <v>10473</v>
      </c>
      <c r="I62" s="886" t="s">
        <v>10474</v>
      </c>
      <c r="J62" s="1641" t="s">
        <v>10475</v>
      </c>
      <c r="K62" s="1641" t="s">
        <v>7220</v>
      </c>
      <c r="L62" s="1641" t="s">
        <v>4472</v>
      </c>
      <c r="M62" s="1641" t="s">
        <v>10476</v>
      </c>
      <c r="N62" s="1641" t="s">
        <v>9878</v>
      </c>
      <c r="O62" s="1641" t="s">
        <v>10477</v>
      </c>
      <c r="P62" s="1641" t="s">
        <v>2175</v>
      </c>
      <c r="Q62" s="1644" t="s">
        <v>10478</v>
      </c>
      <c r="R62" s="1644" t="s">
        <v>5950</v>
      </c>
      <c r="S62" s="1644" t="s">
        <v>5698</v>
      </c>
      <c r="T62" s="1644" t="s">
        <v>6332</v>
      </c>
      <c r="U62" s="1644" t="s">
        <v>10479</v>
      </c>
      <c r="V62" s="1644" t="s">
        <v>10480</v>
      </c>
      <c r="W62" s="1660" t="s">
        <v>10481</v>
      </c>
      <c r="X62" s="1660" t="s">
        <v>627</v>
      </c>
      <c r="Y62" s="1660" t="s">
        <v>2478</v>
      </c>
      <c r="Z62" s="1660" t="s">
        <v>10482</v>
      </c>
      <c r="AA62" s="1604" t="s">
        <v>10483</v>
      </c>
      <c r="AB62" s="1660" t="s">
        <v>10074</v>
      </c>
      <c r="AC62" s="1660" t="s">
        <v>4762</v>
      </c>
      <c r="AD62" s="1658" t="s">
        <v>10484</v>
      </c>
      <c r="AE62" s="1658" t="s">
        <v>9775</v>
      </c>
      <c r="AF62" s="1740" t="s">
        <v>10485</v>
      </c>
      <c r="AG62" s="1661" t="s">
        <v>7796</v>
      </c>
      <c r="AH62" s="1661" t="s">
        <v>10460</v>
      </c>
      <c r="AI62" s="1661" t="s">
        <v>4130</v>
      </c>
      <c r="AJ62" s="1661" t="s">
        <v>10486</v>
      </c>
      <c r="AK62" s="1661" t="s">
        <v>1521</v>
      </c>
      <c r="AL62" s="1661" t="s">
        <v>3457</v>
      </c>
      <c r="AM62" s="1663" t="s">
        <v>6210</v>
      </c>
      <c r="AN62" s="1663" t="s">
        <v>5775</v>
      </c>
      <c r="AO62" s="1663" t="s">
        <v>7566</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8804</v>
      </c>
      <c r="F63" s="333" t="s">
        <v>9267</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3120</v>
      </c>
      <c r="AF63" s="333" t="s">
        <v>10173</v>
      </c>
      <c r="AG63" s="333" t="s">
        <v>10503</v>
      </c>
      <c r="AH63" s="333" t="s">
        <v>5513</v>
      </c>
      <c r="AI63" s="333" t="s">
        <v>3590</v>
      </c>
      <c r="AJ63" s="333" t="s">
        <v>10504</v>
      </c>
      <c r="AK63" s="333" t="s">
        <v>10340</v>
      </c>
      <c r="AL63" s="333" t="s">
        <v>5314</v>
      </c>
      <c r="AM63" s="333" t="s">
        <v>10505</v>
      </c>
      <c r="AN63" s="333" t="s">
        <v>9023</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9187</v>
      </c>
      <c r="C64" s="1710">
        <v>0.051631944444444446</v>
      </c>
      <c r="D64" s="1021" t="s">
        <v>10509</v>
      </c>
      <c r="E64" s="333" t="s">
        <v>7834</v>
      </c>
      <c r="F64" s="333" t="s">
        <v>10510</v>
      </c>
      <c r="G64" s="333" t="s">
        <v>5429</v>
      </c>
      <c r="H64" s="333" t="s">
        <v>10086</v>
      </c>
      <c r="I64" s="333" t="s">
        <v>4762</v>
      </c>
      <c r="J64" s="333" t="s">
        <v>9375</v>
      </c>
      <c r="K64" s="333" t="s">
        <v>9012</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2256</v>
      </c>
      <c r="AI64" s="333" t="s">
        <v>5341</v>
      </c>
      <c r="AJ64" s="333" t="s">
        <v>8863</v>
      </c>
      <c r="AK64" s="333" t="s">
        <v>1790</v>
      </c>
      <c r="AL64" s="333" t="s">
        <v>5775</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1292</v>
      </c>
      <c r="J65" s="333" t="s">
        <v>803</v>
      </c>
      <c r="K65" s="333" t="s">
        <v>6840</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7256</v>
      </c>
      <c r="AA65" s="333" t="s">
        <v>5702</v>
      </c>
      <c r="AB65" s="333" t="s">
        <v>7568</v>
      </c>
      <c r="AC65" s="333" t="s">
        <v>7758</v>
      </c>
      <c r="AD65" s="333" t="s">
        <v>10539</v>
      </c>
      <c r="AE65" s="333" t="s">
        <v>1914</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5955</v>
      </c>
      <c r="G66" s="333" t="s">
        <v>10551</v>
      </c>
      <c r="H66" s="333" t="s">
        <v>10552</v>
      </c>
      <c r="I66" s="333" t="s">
        <v>1902</v>
      </c>
      <c r="J66" s="333" t="s">
        <v>10413</v>
      </c>
      <c r="K66" s="333" t="s">
        <v>9558</v>
      </c>
      <c r="L66" s="333" t="s">
        <v>1963</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1928</v>
      </c>
      <c r="AF66" s="333" t="s">
        <v>10026</v>
      </c>
      <c r="AG66" s="333" t="s">
        <v>7920</v>
      </c>
      <c r="AH66" s="333" t="s">
        <v>4472</v>
      </c>
      <c r="AI66" s="333" t="s">
        <v>1706</v>
      </c>
      <c r="AJ66" s="333" t="s">
        <v>10561</v>
      </c>
      <c r="AK66" s="333" t="s">
        <v>4088</v>
      </c>
      <c r="AL66" s="333" t="s">
        <v>4544</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2835</v>
      </c>
      <c r="R67" s="333" t="s">
        <v>9286</v>
      </c>
      <c r="S67" s="333" t="s">
        <v>10464</v>
      </c>
      <c r="T67" s="333" t="s">
        <v>2931</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1954</v>
      </c>
      <c r="M68" s="1744" t="s">
        <v>10593</v>
      </c>
      <c r="N68" s="817" t="s">
        <v>10594</v>
      </c>
      <c r="O68" s="817" t="s">
        <v>1696</v>
      </c>
      <c r="P68" s="817" t="s">
        <v>2478</v>
      </c>
      <c r="Q68" s="817" t="s">
        <v>2741</v>
      </c>
      <c r="R68" s="817" t="s">
        <v>10595</v>
      </c>
      <c r="S68" s="817" t="s">
        <v>9321</v>
      </c>
      <c r="T68" s="817" t="s">
        <v>10596</v>
      </c>
      <c r="U68" s="817" t="s">
        <v>10392</v>
      </c>
      <c r="V68" s="1744" t="s">
        <v>10597</v>
      </c>
      <c r="W68" s="1744" t="s">
        <v>10598</v>
      </c>
      <c r="X68" s="817" t="s">
        <v>10272</v>
      </c>
      <c r="Y68" s="1021" t="s">
        <v>9942</v>
      </c>
      <c r="Z68" s="817" t="s">
        <v>1519</v>
      </c>
      <c r="AA68" s="817" t="s">
        <v>200</v>
      </c>
      <c r="AB68" s="1744" t="s">
        <v>10599</v>
      </c>
      <c r="AC68" s="817" t="s">
        <v>1914</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2907</v>
      </c>
      <c r="AP68" s="817" t="s">
        <v>2072</v>
      </c>
      <c r="AQ68" s="817" t="s">
        <v>756</v>
      </c>
      <c r="AR68" s="817" t="s">
        <v>10215</v>
      </c>
      <c r="AS68" s="817" t="s">
        <v>8227</v>
      </c>
      <c r="AT68" s="817" t="s">
        <v>10606</v>
      </c>
      <c r="AU68" s="817" t="s">
        <v>10607</v>
      </c>
      <c r="AV68" s="1463" t="str">
        <f t="shared" si="1"/>
        <v>4:14</v>
      </c>
      <c r="AW68" s="1739" t="s">
        <v>10608</v>
      </c>
    </row>
    <row r="69" ht="15.75" customHeight="1">
      <c r="A69" s="1635" t="s">
        <v>2192</v>
      </c>
      <c r="B69" s="1725" t="s">
        <v>9215</v>
      </c>
      <c r="C69" s="1579">
        <v>0.05173611111111111</v>
      </c>
      <c r="D69" s="1021" t="s">
        <v>10609</v>
      </c>
      <c r="E69" s="817" t="s">
        <v>10610</v>
      </c>
      <c r="F69" s="817" t="s">
        <v>10611</v>
      </c>
      <c r="G69" s="817" t="s">
        <v>10612</v>
      </c>
      <c r="H69" s="817" t="s">
        <v>7018</v>
      </c>
      <c r="I69" s="817" t="s">
        <v>494</v>
      </c>
      <c r="J69" s="817" t="s">
        <v>9643</v>
      </c>
      <c r="K69" s="817" t="s">
        <v>9199</v>
      </c>
      <c r="L69" s="817" t="s">
        <v>8314</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7565</v>
      </c>
      <c r="AC69" s="817" t="s">
        <v>161</v>
      </c>
      <c r="AD69" s="817" t="s">
        <v>10484</v>
      </c>
      <c r="AE69" s="817" t="s">
        <v>9915</v>
      </c>
      <c r="AF69" s="817" t="s">
        <v>9928</v>
      </c>
      <c r="AG69" s="817" t="s">
        <v>10619</v>
      </c>
      <c r="AH69" s="817" t="s">
        <v>10620</v>
      </c>
      <c r="AI69" s="817" t="s">
        <v>10621</v>
      </c>
      <c r="AJ69" s="817" t="s">
        <v>6182</v>
      </c>
      <c r="AK69" s="817" t="s">
        <v>6812</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8926</v>
      </c>
      <c r="B70" s="1623" t="s">
        <v>9241</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2003</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7295</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9215</v>
      </c>
      <c r="C71" s="1746">
        <v>0.05181712962962963</v>
      </c>
      <c r="D71" s="1585" t="s">
        <v>10652</v>
      </c>
      <c r="E71" s="1585" t="s">
        <v>7652</v>
      </c>
      <c r="F71" s="1585" t="s">
        <v>10653</v>
      </c>
      <c r="G71" s="1585" t="s">
        <v>10654</v>
      </c>
      <c r="H71" s="1585" t="s">
        <v>10655</v>
      </c>
      <c r="I71" s="1585" t="s">
        <v>5084</v>
      </c>
      <c r="J71" s="1585" t="s">
        <v>9628</v>
      </c>
      <c r="K71" s="1585" t="s">
        <v>9225</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9298</v>
      </c>
      <c r="X71" s="1585" t="s">
        <v>10205</v>
      </c>
      <c r="Y71" s="1585" t="s">
        <v>10659</v>
      </c>
      <c r="Z71" s="1585" t="s">
        <v>6438</v>
      </c>
      <c r="AA71" s="1585" t="s">
        <v>955</v>
      </c>
      <c r="AB71" s="1585" t="s">
        <v>10660</v>
      </c>
      <c r="AC71" s="1585" t="s">
        <v>2098</v>
      </c>
      <c r="AD71" s="1585" t="s">
        <v>10661</v>
      </c>
      <c r="AE71" s="1585" t="s">
        <v>2175</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9038</v>
      </c>
      <c r="AC72" s="333" t="s">
        <v>5876</v>
      </c>
      <c r="AD72" s="333" t="s">
        <v>10685</v>
      </c>
      <c r="AE72" s="333" t="s">
        <v>1182</v>
      </c>
      <c r="AF72" s="333" t="s">
        <v>10686</v>
      </c>
      <c r="AG72" s="333" t="s">
        <v>10687</v>
      </c>
      <c r="AH72" s="333" t="s">
        <v>5279</v>
      </c>
      <c r="AI72" s="333" t="s">
        <v>10621</v>
      </c>
      <c r="AJ72" s="333" t="s">
        <v>10688</v>
      </c>
      <c r="AK72" s="333" t="s">
        <v>1906</v>
      </c>
      <c r="AL72" s="333" t="s">
        <v>10662</v>
      </c>
      <c r="AM72" s="333" t="s">
        <v>10689</v>
      </c>
      <c r="AN72" s="333" t="s">
        <v>3213</v>
      </c>
      <c r="AO72" s="333" t="s">
        <v>9379</v>
      </c>
      <c r="AP72" s="333" t="s">
        <v>10690</v>
      </c>
      <c r="AQ72" s="333" t="s">
        <v>10691</v>
      </c>
      <c r="AR72" s="333" t="s">
        <v>2231</v>
      </c>
      <c r="AS72" s="333" t="s">
        <v>4868</v>
      </c>
      <c r="AT72" s="333" t="s">
        <v>10692</v>
      </c>
      <c r="AU72" s="333" t="s">
        <v>10693</v>
      </c>
      <c r="AV72" s="1463" t="str">
        <f t="shared" si="1"/>
        <v>2:06</v>
      </c>
      <c r="AW72" s="1739" t="s">
        <v>10694</v>
      </c>
    </row>
    <row r="73" ht="15.75" customHeight="1">
      <c r="A73" s="1577" t="s">
        <v>1127</v>
      </c>
      <c r="B73" s="1578" t="s">
        <v>9187</v>
      </c>
      <c r="C73" s="1710">
        <v>0.051875</v>
      </c>
      <c r="D73" s="1021" t="s">
        <v>10695</v>
      </c>
      <c r="E73" s="333" t="s">
        <v>3218</v>
      </c>
      <c r="F73" s="333" t="s">
        <v>10696</v>
      </c>
      <c r="G73" s="333" t="s">
        <v>10697</v>
      </c>
      <c r="H73" s="333" t="s">
        <v>10698</v>
      </c>
      <c r="I73" s="333" t="s">
        <v>10699</v>
      </c>
      <c r="J73" s="333" t="s">
        <v>2572</v>
      </c>
      <c r="K73" s="333" t="s">
        <v>10700</v>
      </c>
      <c r="L73" s="333" t="s">
        <v>9458</v>
      </c>
      <c r="M73" s="333" t="s">
        <v>7182</v>
      </c>
      <c r="N73" s="333" t="s">
        <v>9725</v>
      </c>
      <c r="O73" s="333" t="s">
        <v>4486</v>
      </c>
      <c r="P73" s="333" t="s">
        <v>1524</v>
      </c>
      <c r="Q73" s="333" t="s">
        <v>10701</v>
      </c>
      <c r="R73" s="333" t="s">
        <v>1869</v>
      </c>
      <c r="S73" s="333" t="s">
        <v>4450</v>
      </c>
      <c r="T73" s="333" t="s">
        <v>10702</v>
      </c>
      <c r="U73" s="333" t="s">
        <v>10499</v>
      </c>
      <c r="V73" s="333" t="s">
        <v>6617</v>
      </c>
      <c r="W73" s="333" t="s">
        <v>4486</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7520</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2888</v>
      </c>
      <c r="M74" s="1021" t="s">
        <v>10718</v>
      </c>
      <c r="N74" s="1021" t="s">
        <v>4085</v>
      </c>
      <c r="O74" s="1021" t="s">
        <v>10719</v>
      </c>
      <c r="P74" s="1021" t="s">
        <v>5222</v>
      </c>
      <c r="Q74" s="1021" t="s">
        <v>10720</v>
      </c>
      <c r="R74" s="1021" t="s">
        <v>5655</v>
      </c>
      <c r="S74" s="1021" t="s">
        <v>10721</v>
      </c>
      <c r="T74" s="1021" t="s">
        <v>9261</v>
      </c>
      <c r="U74" s="1021" t="s">
        <v>10722</v>
      </c>
      <c r="V74" s="1021" t="s">
        <v>5370</v>
      </c>
      <c r="W74" s="1021" t="s">
        <v>10723</v>
      </c>
      <c r="X74" s="1021" t="s">
        <v>10724</v>
      </c>
      <c r="Y74" s="1021" t="s">
        <v>10725</v>
      </c>
      <c r="Z74" s="1021" t="s">
        <v>9954</v>
      </c>
      <c r="AA74" s="1021" t="s">
        <v>5180</v>
      </c>
      <c r="AB74" s="1021" t="s">
        <v>688</v>
      </c>
      <c r="AC74" s="1021" t="s">
        <v>10726</v>
      </c>
      <c r="AD74" s="1021" t="s">
        <v>2670</v>
      </c>
      <c r="AE74" s="1021" t="s">
        <v>5985</v>
      </c>
      <c r="AF74" s="1021" t="s">
        <v>10727</v>
      </c>
      <c r="AG74" s="1021" t="s">
        <v>2418</v>
      </c>
      <c r="AH74" s="1021" t="s">
        <v>2888</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9092</v>
      </c>
      <c r="B75" s="1623" t="s">
        <v>9187</v>
      </c>
      <c r="C75" s="1579">
        <v>0.05193287037037037</v>
      </c>
      <c r="D75" s="1716" t="s">
        <v>10732</v>
      </c>
      <c r="E75" s="817" t="s">
        <v>7223</v>
      </c>
      <c r="F75" s="817" t="s">
        <v>10733</v>
      </c>
      <c r="G75" s="817" t="s">
        <v>10734</v>
      </c>
      <c r="H75" s="817" t="s">
        <v>10735</v>
      </c>
      <c r="I75" s="817" t="s">
        <v>2388</v>
      </c>
      <c r="J75" s="817" t="s">
        <v>4270</v>
      </c>
      <c r="K75" s="817" t="s">
        <v>9883</v>
      </c>
      <c r="L75" s="817"/>
      <c r="M75" s="817" t="s">
        <v>6846</v>
      </c>
      <c r="N75" s="817" t="s">
        <v>4701</v>
      </c>
      <c r="O75" s="817" t="s">
        <v>9255</v>
      </c>
      <c r="P75" s="817" t="s">
        <v>10360</v>
      </c>
      <c r="Q75" s="817" t="s">
        <v>10736</v>
      </c>
      <c r="R75" s="817" t="s">
        <v>10737</v>
      </c>
      <c r="S75" s="817" t="s">
        <v>10358</v>
      </c>
      <c r="T75" s="817" t="s">
        <v>9898</v>
      </c>
      <c r="U75" s="817" t="s">
        <v>2272</v>
      </c>
      <c r="V75" s="817" t="s">
        <v>9740</v>
      </c>
      <c r="W75" s="817" t="s">
        <v>6010</v>
      </c>
      <c r="X75" s="817" t="s">
        <v>627</v>
      </c>
      <c r="Y75" s="817" t="s">
        <v>9706</v>
      </c>
      <c r="Z75" s="817" t="s">
        <v>2655</v>
      </c>
      <c r="AA75" s="817" t="s">
        <v>7307</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7526</v>
      </c>
      <c r="X76" s="333" t="s">
        <v>10763</v>
      </c>
      <c r="Y76" s="333" t="s">
        <v>2098</v>
      </c>
      <c r="Z76" s="333" t="s">
        <v>10764</v>
      </c>
      <c r="AA76" s="333" t="s">
        <v>10456</v>
      </c>
      <c r="AB76" s="333" t="s">
        <v>10765</v>
      </c>
      <c r="AC76" s="333" t="s">
        <v>5606</v>
      </c>
      <c r="AD76" s="333" t="s">
        <v>10766</v>
      </c>
      <c r="AE76" s="333" t="s">
        <v>7758</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1454</v>
      </c>
      <c r="S77" s="333" t="s">
        <v>10000</v>
      </c>
      <c r="T77" s="333" t="s">
        <v>527</v>
      </c>
      <c r="U77" s="333" t="s">
        <v>1989</v>
      </c>
      <c r="V77" s="333" t="s">
        <v>464</v>
      </c>
      <c r="W77" s="333" t="s">
        <v>5852</v>
      </c>
      <c r="X77" s="333" t="s">
        <v>3771</v>
      </c>
      <c r="Y77" s="333" t="s">
        <v>2451</v>
      </c>
      <c r="Z77" s="333" t="s">
        <v>5350</v>
      </c>
      <c r="AA77" s="333" t="s">
        <v>10028</v>
      </c>
      <c r="AB77" s="333" t="s">
        <v>10782</v>
      </c>
      <c r="AC77" s="333" t="s">
        <v>3120</v>
      </c>
      <c r="AD77" s="333" t="s">
        <v>10783</v>
      </c>
      <c r="AE77" s="333" t="s">
        <v>5222</v>
      </c>
      <c r="AF77" s="333" t="s">
        <v>10784</v>
      </c>
      <c r="AG77" s="333" t="s">
        <v>10785</v>
      </c>
      <c r="AH77" s="333" t="s">
        <v>2256</v>
      </c>
      <c r="AI77" s="333" t="s">
        <v>10786</v>
      </c>
      <c r="AJ77" s="333" t="s">
        <v>10787</v>
      </c>
      <c r="AK77" s="333" t="s">
        <v>4650</v>
      </c>
      <c r="AL77" s="333" t="s">
        <v>6188</v>
      </c>
      <c r="AM77" s="333" t="s">
        <v>1459</v>
      </c>
      <c r="AN77" s="333" t="s">
        <v>5592</v>
      </c>
      <c r="AO77" s="333" t="s">
        <v>5286</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6949</v>
      </c>
      <c r="S78" s="333" t="s">
        <v>10806</v>
      </c>
      <c r="T78" s="333" t="s">
        <v>10807</v>
      </c>
      <c r="U78" s="333" t="s">
        <v>10808</v>
      </c>
      <c r="V78" s="333" t="s">
        <v>8495</v>
      </c>
      <c r="W78" s="333" t="s">
        <v>10809</v>
      </c>
      <c r="X78" s="333" t="s">
        <v>3771</v>
      </c>
      <c r="Y78" s="333" t="s">
        <v>209</v>
      </c>
      <c r="Z78" s="333" t="s">
        <v>2382</v>
      </c>
      <c r="AA78" s="333" t="s">
        <v>5973</v>
      </c>
      <c r="AB78" s="333" t="s">
        <v>9596</v>
      </c>
      <c r="AC78" s="333" t="s">
        <v>924</v>
      </c>
      <c r="AD78" s="333" t="s">
        <v>10810</v>
      </c>
      <c r="AE78" s="333" t="s">
        <v>1164</v>
      </c>
      <c r="AF78" s="333" t="s">
        <v>10811</v>
      </c>
      <c r="AG78" s="333" t="s">
        <v>2987</v>
      </c>
      <c r="AH78" s="333" t="s">
        <v>6229</v>
      </c>
      <c r="AI78" s="333" t="s">
        <v>1569</v>
      </c>
      <c r="AJ78" s="333" t="s">
        <v>10812</v>
      </c>
      <c r="AK78" s="333" t="s">
        <v>3636</v>
      </c>
      <c r="AL78" s="333" t="s">
        <v>3906</v>
      </c>
      <c r="AM78" s="333" t="s">
        <v>838</v>
      </c>
      <c r="AN78" s="333" t="s">
        <v>10581</v>
      </c>
      <c r="AO78" s="333" t="s">
        <v>2258</v>
      </c>
      <c r="AP78" s="333" t="s">
        <v>10813</v>
      </c>
      <c r="AQ78" s="333" t="s">
        <v>1071</v>
      </c>
      <c r="AR78" s="333" t="s">
        <v>9256</v>
      </c>
      <c r="AS78" s="333" t="s">
        <v>9195</v>
      </c>
      <c r="AT78" s="333" t="s">
        <v>10814</v>
      </c>
      <c r="AU78" s="333" t="s">
        <v>10815</v>
      </c>
      <c r="AV78" s="1463" t="str">
        <f t="shared" si="1"/>
        <v>2:58</v>
      </c>
      <c r="AW78" s="1743" t="s">
        <v>10816</v>
      </c>
    </row>
    <row r="79" ht="15.75" customHeight="1">
      <c r="A79" s="1577" t="s">
        <v>7167</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2825</v>
      </c>
      <c r="N79" s="333" t="s">
        <v>10822</v>
      </c>
      <c r="O79" s="333" t="s">
        <v>10823</v>
      </c>
      <c r="P79" s="333" t="s">
        <v>764</v>
      </c>
      <c r="Q79" s="333" t="s">
        <v>10824</v>
      </c>
      <c r="R79" s="333" t="s">
        <v>4963</v>
      </c>
      <c r="S79" s="333" t="s">
        <v>6206</v>
      </c>
      <c r="T79" s="333" t="s">
        <v>5910</v>
      </c>
      <c r="U79" s="333" t="s">
        <v>10825</v>
      </c>
      <c r="V79" s="333" t="s">
        <v>2424</v>
      </c>
      <c r="W79" s="333" t="s">
        <v>9260</v>
      </c>
      <c r="X79" s="333" t="s">
        <v>10826</v>
      </c>
      <c r="Y79" s="333" t="s">
        <v>1410</v>
      </c>
      <c r="Z79" s="333" t="s">
        <v>6919</v>
      </c>
      <c r="AA79" s="333" t="s">
        <v>1484</v>
      </c>
      <c r="AB79" s="333" t="s">
        <v>5460</v>
      </c>
      <c r="AC79" s="333" t="s">
        <v>239</v>
      </c>
      <c r="AD79" s="333" t="s">
        <v>4277</v>
      </c>
      <c r="AE79" s="333" t="s">
        <v>6165</v>
      </c>
      <c r="AF79" s="333" t="s">
        <v>10827</v>
      </c>
      <c r="AG79" s="333" t="s">
        <v>3771</v>
      </c>
      <c r="AH79" s="333" t="s">
        <v>8317</v>
      </c>
      <c r="AI79" s="333" t="s">
        <v>10621</v>
      </c>
      <c r="AJ79" s="333" t="s">
        <v>10828</v>
      </c>
      <c r="AK79" s="333" t="s">
        <v>10829</v>
      </c>
      <c r="AL79" s="333" t="s">
        <v>4371</v>
      </c>
      <c r="AM79" s="333" t="s">
        <v>10382</v>
      </c>
      <c r="AN79" s="333" t="s">
        <v>3906</v>
      </c>
      <c r="AO79" s="333" t="s">
        <v>4227</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2436</v>
      </c>
      <c r="J80" s="1697" t="s">
        <v>8123</v>
      </c>
      <c r="K80" s="1748" t="s">
        <v>6357</v>
      </c>
      <c r="L80" s="1749" t="s">
        <v>8314</v>
      </c>
      <c r="M80" s="1697" t="s">
        <v>10837</v>
      </c>
      <c r="N80" s="1697" t="s">
        <v>5910</v>
      </c>
      <c r="O80" s="1697" t="s">
        <v>5658</v>
      </c>
      <c r="P80" s="1697" t="s">
        <v>1914</v>
      </c>
      <c r="Q80" s="1697" t="s">
        <v>10838</v>
      </c>
      <c r="R80" s="1697" t="s">
        <v>10839</v>
      </c>
      <c r="S80" s="1750" t="s">
        <v>2270</v>
      </c>
      <c r="T80" s="1697" t="s">
        <v>9708</v>
      </c>
      <c r="U80" s="1697" t="s">
        <v>3557</v>
      </c>
      <c r="V80" s="1697" t="s">
        <v>10840</v>
      </c>
      <c r="W80" s="1697" t="s">
        <v>10841</v>
      </c>
      <c r="X80" s="1697" t="s">
        <v>4475</v>
      </c>
      <c r="Y80" s="1697" t="s">
        <v>3699</v>
      </c>
      <c r="Z80" s="1697" t="s">
        <v>4196</v>
      </c>
      <c r="AA80" s="1697" t="s">
        <v>174</v>
      </c>
      <c r="AB80" s="1697" t="s">
        <v>624</v>
      </c>
      <c r="AC80" s="1697" t="s">
        <v>6165</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1974</v>
      </c>
      <c r="J81" s="817" t="s">
        <v>8878</v>
      </c>
      <c r="K81" s="817" t="s">
        <v>4450</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8259</v>
      </c>
      <c r="AC81" s="817" t="s">
        <v>10644</v>
      </c>
      <c r="AD81" s="817" t="s">
        <v>7126</v>
      </c>
      <c r="AE81" s="817" t="s">
        <v>2163</v>
      </c>
      <c r="AF81" s="1390" t="s">
        <v>10865</v>
      </c>
      <c r="AG81" s="817" t="s">
        <v>10866</v>
      </c>
      <c r="AH81" s="817" t="s">
        <v>5102</v>
      </c>
      <c r="AI81" s="817" t="s">
        <v>7790</v>
      </c>
      <c r="AJ81" s="817" t="s">
        <v>10867</v>
      </c>
      <c r="AK81" s="817" t="s">
        <v>10868</v>
      </c>
      <c r="AL81" s="817" t="s">
        <v>10582</v>
      </c>
      <c r="AM81" s="817" t="s">
        <v>10255</v>
      </c>
      <c r="AN81" s="817" t="s">
        <v>998</v>
      </c>
      <c r="AO81" s="817" t="s">
        <v>6534</v>
      </c>
      <c r="AP81" s="817" t="s">
        <v>5708</v>
      </c>
      <c r="AQ81" s="817" t="s">
        <v>10869</v>
      </c>
      <c r="AR81" s="817" t="s">
        <v>691</v>
      </c>
      <c r="AS81" s="1390" t="s">
        <v>2834</v>
      </c>
      <c r="AT81" s="817" t="s">
        <v>10870</v>
      </c>
      <c r="AU81" s="817" t="s">
        <v>10871</v>
      </c>
      <c r="AV81" s="1463" t="str">
        <f t="shared" si="1"/>
        <v>4:32</v>
      </c>
      <c r="AW81" s="1739" t="s">
        <v>10872</v>
      </c>
    </row>
    <row r="82">
      <c r="A82" s="1635" t="s">
        <v>5308</v>
      </c>
      <c r="B82" s="1633" t="s">
        <v>9215</v>
      </c>
      <c r="C82" s="1579">
        <v>0.05232638888888889</v>
      </c>
      <c r="D82" s="1716" t="s">
        <v>10873</v>
      </c>
      <c r="E82" s="817" t="s">
        <v>1232</v>
      </c>
      <c r="F82" s="817" t="s">
        <v>10874</v>
      </c>
      <c r="G82" s="817" t="s">
        <v>10875</v>
      </c>
      <c r="H82" s="817" t="s">
        <v>10876</v>
      </c>
      <c r="I82" s="817" t="s">
        <v>1352</v>
      </c>
      <c r="J82" s="817" t="s">
        <v>7449</v>
      </c>
      <c r="K82" s="817" t="s">
        <v>10475</v>
      </c>
      <c r="L82" s="817" t="s">
        <v>10877</v>
      </c>
      <c r="M82" s="817" t="s">
        <v>7114</v>
      </c>
      <c r="N82" s="817" t="s">
        <v>10878</v>
      </c>
      <c r="O82" s="817" t="s">
        <v>10879</v>
      </c>
      <c r="P82" s="817" t="s">
        <v>518</v>
      </c>
      <c r="Q82" s="817" t="s">
        <v>10315</v>
      </c>
      <c r="R82" s="817" t="s">
        <v>5275</v>
      </c>
      <c r="S82" s="817" t="s">
        <v>10117</v>
      </c>
      <c r="T82" s="817" t="s">
        <v>7529</v>
      </c>
      <c r="U82" s="817" t="s">
        <v>10880</v>
      </c>
      <c r="V82" s="817" t="s">
        <v>10881</v>
      </c>
      <c r="W82" s="817" t="s">
        <v>6445</v>
      </c>
      <c r="X82" s="817" t="s">
        <v>312</v>
      </c>
      <c r="Y82" s="817" t="s">
        <v>7586</v>
      </c>
      <c r="Z82" s="817" t="s">
        <v>779</v>
      </c>
      <c r="AA82" s="333" t="s">
        <v>10117</v>
      </c>
      <c r="AB82" s="817" t="s">
        <v>10882</v>
      </c>
      <c r="AC82" s="817" t="s">
        <v>6351</v>
      </c>
      <c r="AD82" s="817" t="s">
        <v>10883</v>
      </c>
      <c r="AE82" s="817" t="s">
        <v>225</v>
      </c>
      <c r="AF82" s="817" t="s">
        <v>9793</v>
      </c>
      <c r="AG82" s="817" t="s">
        <v>4090</v>
      </c>
      <c r="AH82" s="817" t="s">
        <v>1954</v>
      </c>
      <c r="AI82" s="817" t="s">
        <v>418</v>
      </c>
      <c r="AJ82" s="817" t="s">
        <v>10884</v>
      </c>
      <c r="AK82" s="817" t="s">
        <v>10885</v>
      </c>
      <c r="AL82" s="817" t="s">
        <v>10622</v>
      </c>
      <c r="AM82" s="817" t="s">
        <v>2987</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1745</v>
      </c>
      <c r="F83" s="333" t="s">
        <v>7457</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6634</v>
      </c>
      <c r="Z83" s="333" t="s">
        <v>10764</v>
      </c>
      <c r="AA83" s="333" t="s">
        <v>1934</v>
      </c>
      <c r="AB83" s="333" t="s">
        <v>7007</v>
      </c>
      <c r="AC83" s="333" t="s">
        <v>1538</v>
      </c>
      <c r="AD83" s="333" t="s">
        <v>10902</v>
      </c>
      <c r="AE83" s="333" t="s">
        <v>1538</v>
      </c>
      <c r="AF83" s="333" t="s">
        <v>10903</v>
      </c>
      <c r="AG83" s="333" t="s">
        <v>10541</v>
      </c>
      <c r="AH83" s="333" t="s">
        <v>2113</v>
      </c>
      <c r="AI83" s="333" t="s">
        <v>3377</v>
      </c>
      <c r="AJ83" s="333" t="s">
        <v>10904</v>
      </c>
      <c r="AK83" s="333" t="s">
        <v>8260</v>
      </c>
      <c r="AL83" s="333" t="s">
        <v>10905</v>
      </c>
      <c r="AM83" s="333" t="s">
        <v>1188</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7652</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5655</v>
      </c>
      <c r="S84" s="333" t="s">
        <v>6586</v>
      </c>
      <c r="T84" s="333" t="s">
        <v>10920</v>
      </c>
      <c r="U84" s="333" t="s">
        <v>10921</v>
      </c>
      <c r="V84" s="333" t="s">
        <v>10922</v>
      </c>
      <c r="W84" s="333" t="s">
        <v>10923</v>
      </c>
      <c r="X84" s="333" t="s">
        <v>10924</v>
      </c>
      <c r="Y84" s="333" t="s">
        <v>1538</v>
      </c>
      <c r="Z84" s="333" t="s">
        <v>7568</v>
      </c>
      <c r="AA84" s="817" t="s">
        <v>6530</v>
      </c>
      <c r="AB84" s="333" t="s">
        <v>9848</v>
      </c>
      <c r="AC84" s="333" t="s">
        <v>10659</v>
      </c>
      <c r="AD84" s="333" t="s">
        <v>3052</v>
      </c>
      <c r="AE84" s="333" t="s">
        <v>4794</v>
      </c>
      <c r="AF84" s="333" t="s">
        <v>10925</v>
      </c>
      <c r="AG84" s="333" t="s">
        <v>2896</v>
      </c>
      <c r="AH84" s="333" t="s">
        <v>7783</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1592</v>
      </c>
      <c r="K85" s="1021" t="s">
        <v>10939</v>
      </c>
      <c r="L85" s="1021" t="s">
        <v>2889</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2813</v>
      </c>
      <c r="Y85" s="1021" t="s">
        <v>2847</v>
      </c>
      <c r="Z85" s="1021" t="s">
        <v>6451</v>
      </c>
      <c r="AA85" s="817" t="s">
        <v>10947</v>
      </c>
      <c r="AB85" s="1021" t="s">
        <v>9272</v>
      </c>
      <c r="AC85" s="1021" t="s">
        <v>7585</v>
      </c>
      <c r="AD85" s="1752" t="s">
        <v>9260</v>
      </c>
      <c r="AE85" s="1021" t="s">
        <v>334</v>
      </c>
      <c r="AF85" s="1021" t="s">
        <v>10948</v>
      </c>
      <c r="AG85" s="1021" t="s">
        <v>7075</v>
      </c>
      <c r="AH85" s="1021" t="s">
        <v>3838</v>
      </c>
      <c r="AI85" s="1021" t="s">
        <v>10949</v>
      </c>
      <c r="AJ85" s="1021" t="s">
        <v>10950</v>
      </c>
      <c r="AK85" s="1021" t="s">
        <v>10951</v>
      </c>
      <c r="AL85" s="1021" t="s">
        <v>4616</v>
      </c>
      <c r="AM85" s="1021" t="s">
        <v>5851</v>
      </c>
      <c r="AN85" s="1752" t="s">
        <v>9265</v>
      </c>
      <c r="AO85" s="1021" t="s">
        <v>10952</v>
      </c>
      <c r="AP85" s="1021" t="s">
        <v>10953</v>
      </c>
      <c r="AQ85" s="1021" t="s">
        <v>10954</v>
      </c>
      <c r="AR85" s="1021" t="s">
        <v>6116</v>
      </c>
      <c r="AS85" s="1021" t="s">
        <v>8186</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4232</v>
      </c>
      <c r="AI86" s="817" t="s">
        <v>10975</v>
      </c>
      <c r="AJ86" s="817" t="s">
        <v>10976</v>
      </c>
      <c r="AK86" s="817" t="s">
        <v>1774</v>
      </c>
      <c r="AL86" s="817" t="s">
        <v>2612</v>
      </c>
      <c r="AM86" s="817" t="s">
        <v>1774</v>
      </c>
      <c r="AN86" s="817" t="s">
        <v>2612</v>
      </c>
      <c r="AO86" s="817" t="s">
        <v>6283</v>
      </c>
      <c r="AP86" s="817" t="s">
        <v>10977</v>
      </c>
      <c r="AQ86" s="817" t="s">
        <v>2209</v>
      </c>
      <c r="AR86" s="817" t="s">
        <v>10788</v>
      </c>
      <c r="AS86" s="817" t="s">
        <v>10978</v>
      </c>
      <c r="AT86" s="817" t="s">
        <v>10979</v>
      </c>
      <c r="AU86" s="817" t="s">
        <v>10980</v>
      </c>
      <c r="AV86" s="1463" t="str">
        <f t="shared" si="1"/>
        <v>5:58</v>
      </c>
      <c r="AW86" s="1739" t="s">
        <v>10981</v>
      </c>
    </row>
    <row r="87" ht="15.75" customHeight="1">
      <c r="A87" s="1577" t="s">
        <v>6135</v>
      </c>
      <c r="B87" s="1669" t="s">
        <v>9215</v>
      </c>
      <c r="C87" s="1710">
        <v>0.05275462962962963</v>
      </c>
      <c r="D87" s="1021" t="s">
        <v>10982</v>
      </c>
      <c r="E87" s="333" t="s">
        <v>6043</v>
      </c>
      <c r="F87" s="333" t="s">
        <v>10983</v>
      </c>
      <c r="G87" s="333" t="s">
        <v>9382</v>
      </c>
      <c r="H87" s="333" t="s">
        <v>6886</v>
      </c>
      <c r="I87" s="333" t="s">
        <v>2286</v>
      </c>
      <c r="J87" s="333" t="s">
        <v>4173</v>
      </c>
      <c r="K87" s="333" t="s">
        <v>10679</v>
      </c>
      <c r="L87" s="333" t="s">
        <v>5398</v>
      </c>
      <c r="M87" s="333" t="s">
        <v>4158</v>
      </c>
      <c r="N87" s="333" t="s">
        <v>10984</v>
      </c>
      <c r="O87" s="333" t="s">
        <v>10985</v>
      </c>
      <c r="P87" s="333" t="s">
        <v>6404</v>
      </c>
      <c r="Q87" s="333" t="s">
        <v>10986</v>
      </c>
      <c r="R87" s="333" t="s">
        <v>10987</v>
      </c>
      <c r="S87" s="333" t="s">
        <v>9203</v>
      </c>
      <c r="T87" s="333" t="s">
        <v>2617</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8116</v>
      </c>
      <c r="AH87" s="333" t="s">
        <v>722</v>
      </c>
      <c r="AI87" s="333" t="s">
        <v>5428</v>
      </c>
      <c r="AJ87" s="333" t="s">
        <v>10993</v>
      </c>
      <c r="AK87" s="333" t="s">
        <v>10994</v>
      </c>
      <c r="AL87" s="333" t="s">
        <v>5284</v>
      </c>
      <c r="AM87" s="333" t="s">
        <v>2666</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5976</v>
      </c>
      <c r="G88" s="333" t="s">
        <v>10210</v>
      </c>
      <c r="H88" s="333" t="s">
        <v>10552</v>
      </c>
      <c r="I88" s="333" t="s">
        <v>3126</v>
      </c>
      <c r="J88" s="333" t="s">
        <v>11003</v>
      </c>
      <c r="K88" s="333" t="s">
        <v>5540</v>
      </c>
      <c r="L88" s="333" t="s">
        <v>7435</v>
      </c>
      <c r="M88" s="333" t="s">
        <v>11004</v>
      </c>
      <c r="N88" s="333" t="s">
        <v>11005</v>
      </c>
      <c r="O88" s="333" t="s">
        <v>11006</v>
      </c>
      <c r="P88" s="333" t="s">
        <v>10420</v>
      </c>
      <c r="Q88" s="333" t="s">
        <v>11007</v>
      </c>
      <c r="R88" s="333" t="s">
        <v>5950</v>
      </c>
      <c r="S88" s="333" t="s">
        <v>2730</v>
      </c>
      <c r="T88" s="333" t="s">
        <v>9609</v>
      </c>
      <c r="U88" s="333" t="s">
        <v>5615</v>
      </c>
      <c r="V88" s="333" t="s">
        <v>1147</v>
      </c>
      <c r="W88" s="333" t="s">
        <v>1896</v>
      </c>
      <c r="X88" s="333" t="s">
        <v>3369</v>
      </c>
      <c r="Y88" s="333" t="s">
        <v>660</v>
      </c>
      <c r="Z88" s="333" t="s">
        <v>11008</v>
      </c>
      <c r="AA88" s="817" t="s">
        <v>7302</v>
      </c>
      <c r="AB88" s="333" t="s">
        <v>3685</v>
      </c>
      <c r="AC88" s="333" t="s">
        <v>2451</v>
      </c>
      <c r="AD88" s="333" t="s">
        <v>11009</v>
      </c>
      <c r="AE88" s="333" t="s">
        <v>11010</v>
      </c>
      <c r="AF88" s="333" t="s">
        <v>11011</v>
      </c>
      <c r="AG88" s="333" t="s">
        <v>2697</v>
      </c>
      <c r="AH88" s="333" t="s">
        <v>10246</v>
      </c>
      <c r="AI88" s="333" t="s">
        <v>11012</v>
      </c>
      <c r="AJ88" s="333" t="s">
        <v>11013</v>
      </c>
      <c r="AK88" s="333" t="s">
        <v>11014</v>
      </c>
      <c r="AL88" s="333" t="s">
        <v>1748</v>
      </c>
      <c r="AM88" s="333" t="s">
        <v>2475</v>
      </c>
      <c r="AN88" s="333" t="s">
        <v>11015</v>
      </c>
      <c r="AO88" s="333" t="s">
        <v>11016</v>
      </c>
      <c r="AP88" s="333" t="s">
        <v>8982</v>
      </c>
      <c r="AQ88" s="333" t="s">
        <v>11017</v>
      </c>
      <c r="AR88" s="333" t="s">
        <v>10920</v>
      </c>
      <c r="AS88" s="333" t="s">
        <v>4379</v>
      </c>
      <c r="AT88" s="333" t="s">
        <v>11018</v>
      </c>
      <c r="AU88" s="333" t="s">
        <v>11019</v>
      </c>
      <c r="AV88" s="1463" t="str">
        <f t="shared" si="1"/>
        <v>2:38</v>
      </c>
      <c r="AW88" s="1743"/>
    </row>
    <row r="89" ht="15.75" customHeight="1">
      <c r="A89" s="1635" t="s">
        <v>6469</v>
      </c>
      <c r="B89" s="1623" t="s">
        <v>9187</v>
      </c>
      <c r="C89" s="1579">
        <v>0.05324074074074074</v>
      </c>
      <c r="D89" s="1021" t="s">
        <v>11020</v>
      </c>
      <c r="E89" s="1021" t="s">
        <v>11021</v>
      </c>
      <c r="F89" s="1021" t="s">
        <v>11022</v>
      </c>
      <c r="G89" s="1021" t="s">
        <v>9958</v>
      </c>
      <c r="H89" s="1021" t="s">
        <v>11023</v>
      </c>
      <c r="I89" s="1021" t="s">
        <v>6165</v>
      </c>
      <c r="J89" s="1021" t="s">
        <v>1707</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2908</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8563</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7507</v>
      </c>
      <c r="F90" s="817" t="s">
        <v>10819</v>
      </c>
      <c r="G90" s="817" t="s">
        <v>11046</v>
      </c>
      <c r="H90" s="1021" t="s">
        <v>11047</v>
      </c>
      <c r="I90" s="817" t="s">
        <v>11048</v>
      </c>
      <c r="J90" s="817" t="s">
        <v>10594</v>
      </c>
      <c r="K90" s="817" t="s">
        <v>9379</v>
      </c>
      <c r="L90" s="817" t="s">
        <v>4487</v>
      </c>
      <c r="M90" s="817" t="s">
        <v>11049</v>
      </c>
      <c r="N90" s="817" t="s">
        <v>10382</v>
      </c>
      <c r="O90" s="817" t="s">
        <v>11050</v>
      </c>
      <c r="P90" s="817" t="s">
        <v>6351</v>
      </c>
      <c r="Q90" s="817" t="s">
        <v>11051</v>
      </c>
      <c r="R90" s="817" t="s">
        <v>2149</v>
      </c>
      <c r="S90" s="817" t="s">
        <v>7317</v>
      </c>
      <c r="T90" s="817" t="s">
        <v>6868</v>
      </c>
      <c r="U90" s="817" t="s">
        <v>11052</v>
      </c>
      <c r="V90" s="817" t="s">
        <v>10574</v>
      </c>
      <c r="W90" s="817" t="s">
        <v>11053</v>
      </c>
      <c r="X90" s="817" t="s">
        <v>8117</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2231</v>
      </c>
      <c r="AL90" s="817" t="s">
        <v>2200</v>
      </c>
      <c r="AM90" s="817" t="s">
        <v>11061</v>
      </c>
      <c r="AN90" s="817" t="s">
        <v>4691</v>
      </c>
      <c r="AO90" s="817" t="s">
        <v>11062</v>
      </c>
      <c r="AP90" s="817" t="s">
        <v>2819</v>
      </c>
      <c r="AQ90" s="817" t="s">
        <v>11063</v>
      </c>
      <c r="AR90" s="817" t="s">
        <v>1760</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6598</v>
      </c>
      <c r="G91" s="333" t="s">
        <v>11068</v>
      </c>
      <c r="H91" s="333" t="s">
        <v>11069</v>
      </c>
      <c r="I91" s="333" t="s">
        <v>2354</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2642</v>
      </c>
      <c r="AJ91" s="333" t="s">
        <v>11078</v>
      </c>
      <c r="AK91" s="333" t="s">
        <v>9699</v>
      </c>
      <c r="AL91" s="333" t="s">
        <v>11079</v>
      </c>
      <c r="AM91" s="333" t="s">
        <v>9431</v>
      </c>
      <c r="AN91" s="333" t="s">
        <v>10662</v>
      </c>
      <c r="AO91" s="333" t="s">
        <v>9359</v>
      </c>
      <c r="AP91" s="333" t="s">
        <v>11080</v>
      </c>
      <c r="AQ91" s="333" t="s">
        <v>4477</v>
      </c>
      <c r="AR91" s="333" t="s">
        <v>1382</v>
      </c>
      <c r="AS91" s="333" t="s">
        <v>9453</v>
      </c>
      <c r="AT91" s="333" t="s">
        <v>4749</v>
      </c>
      <c r="AU91" s="333" t="s">
        <v>11081</v>
      </c>
      <c r="AV91" s="1463" t="str">
        <f t="shared" si="1"/>
        <v>3:27</v>
      </c>
      <c r="AW91" s="1739" t="s">
        <v>11082</v>
      </c>
    </row>
    <row r="92">
      <c r="A92" s="1635" t="s">
        <v>5496</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2562</v>
      </c>
      <c r="M92" s="817" t="s">
        <v>1261</v>
      </c>
      <c r="N92" s="817" t="s">
        <v>11089</v>
      </c>
      <c r="O92" s="817" t="s">
        <v>11090</v>
      </c>
      <c r="P92" s="817" t="s">
        <v>860</v>
      </c>
      <c r="Q92" s="817" t="s">
        <v>4416</v>
      </c>
      <c r="R92" s="817" t="s">
        <v>11091</v>
      </c>
      <c r="S92" s="1755" t="s">
        <v>11092</v>
      </c>
      <c r="T92" s="1755" t="s">
        <v>9824</v>
      </c>
      <c r="U92" s="817" t="s">
        <v>11093</v>
      </c>
      <c r="V92" s="817" t="s">
        <v>11094</v>
      </c>
      <c r="W92" s="817" t="s">
        <v>7151</v>
      </c>
      <c r="X92" s="817" t="s">
        <v>11095</v>
      </c>
      <c r="Y92" s="817" t="s">
        <v>2124</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1435</v>
      </c>
      <c r="M93" s="333" t="s">
        <v>4571</v>
      </c>
      <c r="N93" s="333" t="s">
        <v>7050</v>
      </c>
      <c r="O93" s="333" t="s">
        <v>11113</v>
      </c>
      <c r="P93" s="333" t="s">
        <v>6351</v>
      </c>
      <c r="Q93" s="333" t="s">
        <v>11114</v>
      </c>
      <c r="R93" s="333" t="s">
        <v>9575</v>
      </c>
      <c r="S93" s="333" t="s">
        <v>11115</v>
      </c>
      <c r="T93" s="333" t="s">
        <v>7427</v>
      </c>
      <c r="U93" s="333" t="s">
        <v>11116</v>
      </c>
      <c r="V93" s="333" t="s">
        <v>11117</v>
      </c>
      <c r="W93" s="333" t="s">
        <v>11118</v>
      </c>
      <c r="X93" s="333" t="s">
        <v>1332</v>
      </c>
      <c r="Y93" s="333" t="s">
        <v>1949</v>
      </c>
      <c r="Z93" s="333" t="s">
        <v>9225</v>
      </c>
      <c r="AA93" s="1021" t="s">
        <v>11119</v>
      </c>
      <c r="AB93" s="333" t="s">
        <v>11120</v>
      </c>
      <c r="AC93" s="333" t="s">
        <v>8218</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8314</v>
      </c>
      <c r="AM94" s="817" t="s">
        <v>4308</v>
      </c>
      <c r="AN94" s="817" t="s">
        <v>11150</v>
      </c>
      <c r="AO94" s="817" t="s">
        <v>1707</v>
      </c>
      <c r="AP94" s="817" t="s">
        <v>882</v>
      </c>
      <c r="AQ94" s="817" t="s">
        <v>11151</v>
      </c>
      <c r="AR94" s="817" t="s">
        <v>11152</v>
      </c>
      <c r="AS94" s="817" t="s">
        <v>2226</v>
      </c>
      <c r="AT94" s="817" t="s">
        <v>11153</v>
      </c>
      <c r="AU94" s="817" t="s">
        <v>11154</v>
      </c>
      <c r="AV94" s="1463" t="str">
        <f t="shared" si="1"/>
        <v>3:40</v>
      </c>
      <c r="AW94" s="1739" t="s">
        <v>11155</v>
      </c>
    </row>
    <row r="95">
      <c r="A95" s="1635" t="s">
        <v>5347</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2255</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4477</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9187</v>
      </c>
      <c r="C96" s="1579">
        <v>0.05559027777777778</v>
      </c>
      <c r="D96" s="1716" t="s">
        <v>11179</v>
      </c>
      <c r="E96" s="817" t="s">
        <v>11180</v>
      </c>
      <c r="F96" s="817" t="s">
        <v>11181</v>
      </c>
      <c r="G96" s="817" t="s">
        <v>11182</v>
      </c>
      <c r="H96" s="817" t="s">
        <v>5987</v>
      </c>
      <c r="I96" s="817" t="s">
        <v>1911</v>
      </c>
      <c r="J96" s="817" t="s">
        <v>11183</v>
      </c>
      <c r="K96" s="817" t="s">
        <v>6354</v>
      </c>
      <c r="L96" s="817" t="s">
        <v>8969</v>
      </c>
      <c r="M96" s="817" t="s">
        <v>6919</v>
      </c>
      <c r="N96" s="817" t="s">
        <v>11184</v>
      </c>
      <c r="O96" s="817" t="s">
        <v>11185</v>
      </c>
      <c r="P96" s="817" t="s">
        <v>190</v>
      </c>
      <c r="Q96" s="817" t="s">
        <v>1668</v>
      </c>
      <c r="R96" s="817" t="s">
        <v>11186</v>
      </c>
      <c r="S96" s="817" t="s">
        <v>5329</v>
      </c>
      <c r="T96" s="817" t="s">
        <v>11187</v>
      </c>
      <c r="U96" s="817" t="s">
        <v>11188</v>
      </c>
      <c r="V96" s="817" t="s">
        <v>6632</v>
      </c>
      <c r="W96" s="817" t="s">
        <v>9292</v>
      </c>
      <c r="X96" s="817" t="s">
        <v>5036</v>
      </c>
      <c r="Y96" s="817" t="s">
        <v>101</v>
      </c>
      <c r="Z96" s="817" t="s">
        <v>11189</v>
      </c>
      <c r="AA96" s="817" t="s">
        <v>10949</v>
      </c>
      <c r="AB96" s="817" t="s">
        <v>3513</v>
      </c>
      <c r="AC96" s="817" t="s">
        <v>4762</v>
      </c>
      <c r="AD96" s="817" t="s">
        <v>6177</v>
      </c>
      <c r="AE96" s="817" t="s">
        <v>857</v>
      </c>
      <c r="AF96" s="817" t="s">
        <v>11190</v>
      </c>
      <c r="AG96" s="817" t="s">
        <v>11191</v>
      </c>
      <c r="AH96" s="817" t="s">
        <v>8836</v>
      </c>
      <c r="AI96" s="817" t="s">
        <v>11192</v>
      </c>
      <c r="AJ96" s="817" t="s">
        <v>11193</v>
      </c>
      <c r="AK96" s="817" t="s">
        <v>4565</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2056</v>
      </c>
      <c r="AP97" s="817" t="s">
        <v>11221</v>
      </c>
      <c r="AQ97" s="817" t="s">
        <v>11222</v>
      </c>
      <c r="AR97" s="817" t="s">
        <v>11223</v>
      </c>
      <c r="AS97" s="817" t="s">
        <v>2173</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2693</v>
      </c>
      <c r="W98" s="1093" t="s">
        <v>11234</v>
      </c>
      <c r="X98" s="1093" t="s">
        <v>11235</v>
      </c>
      <c r="Y98" s="1093" t="s">
        <v>11236</v>
      </c>
      <c r="Z98" s="1093" t="s">
        <v>11237</v>
      </c>
      <c r="AA98" s="1158" t="s">
        <v>2130</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2822</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7916</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2984</v>
      </c>
      <c r="Z99" s="333" t="s">
        <v>11267</v>
      </c>
      <c r="AA99" s="817" t="s">
        <v>11268</v>
      </c>
      <c r="AB99" s="333" t="s">
        <v>9779</v>
      </c>
      <c r="AC99" s="333" t="s">
        <v>3441</v>
      </c>
      <c r="AD99" s="333" t="s">
        <v>5407</v>
      </c>
      <c r="AE99" s="333" t="s">
        <v>2619</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1885</v>
      </c>
      <c r="AM100" s="1770" t="s">
        <v>8982</v>
      </c>
      <c r="AN100" s="1770" t="s">
        <v>11299</v>
      </c>
      <c r="AO100" s="1770" t="s">
        <v>4498</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9215</v>
      </c>
      <c r="C101" s="1579">
        <v>0.06635416666666667</v>
      </c>
      <c r="D101" s="1021" t="s">
        <v>11305</v>
      </c>
      <c r="E101" s="1021" t="s">
        <v>9012</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4581</v>
      </c>
      <c r="S101" s="1021" t="s">
        <v>11314</v>
      </c>
      <c r="T101" s="1021" t="s">
        <v>6481</v>
      </c>
      <c r="U101" s="1021" t="s">
        <v>11315</v>
      </c>
      <c r="V101" s="1021" t="s">
        <v>7507</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7823</v>
      </c>
      <c r="F1" s="1782" t="s">
        <v>8181</v>
      </c>
      <c r="G1" s="1783" t="s">
        <v>38</v>
      </c>
      <c r="H1" s="1784" t="s">
        <v>36</v>
      </c>
      <c r="I1" s="1780" t="s">
        <v>11336</v>
      </c>
      <c r="J1" s="1785" t="s">
        <v>39</v>
      </c>
      <c r="K1" s="1786" t="s">
        <v>8102</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2464</v>
      </c>
      <c r="B6" s="1827" t="s">
        <v>9187</v>
      </c>
      <c r="C6" s="1828">
        <v>0.049953125</v>
      </c>
      <c r="D6" s="1829" t="s">
        <v>11365</v>
      </c>
      <c r="E6" s="1830" t="s">
        <v>11366</v>
      </c>
      <c r="F6" s="1822" t="s">
        <v>11367</v>
      </c>
      <c r="G6" s="1822" t="s">
        <v>11368</v>
      </c>
      <c r="H6" s="1610" t="s">
        <v>11369</v>
      </c>
      <c r="I6" s="1822" t="s">
        <v>8655</v>
      </c>
      <c r="J6" s="1822" t="s">
        <v>11370</v>
      </c>
      <c r="K6" s="1831" t="s">
        <v>11344</v>
      </c>
      <c r="L6" s="1822" t="s">
        <v>9305</v>
      </c>
      <c r="M6" s="1832">
        <v>0.05068287037037037</v>
      </c>
      <c r="N6" s="1832" t="str">
        <f t="shared" si="1"/>
        <v>1:03</v>
      </c>
      <c r="O6" s="1664"/>
    </row>
    <row r="7" ht="15.75" customHeight="1">
      <c r="A7" s="1772" t="s">
        <v>1876</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6625</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1806</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2086</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2714</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2152</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2778</v>
      </c>
      <c r="B18" s="1578" t="s">
        <v>9187</v>
      </c>
      <c r="C18" s="1852">
        <v>0.05103009259259259</v>
      </c>
      <c r="D18" s="1610" t="s">
        <v>11457</v>
      </c>
      <c r="E18" s="1844" t="s">
        <v>10925</v>
      </c>
      <c r="F18" s="1610" t="s">
        <v>11458</v>
      </c>
      <c r="G18" s="1610" t="s">
        <v>11459</v>
      </c>
      <c r="H18" s="1822" t="s">
        <v>11460</v>
      </c>
      <c r="I18" s="1610" t="s">
        <v>8784</v>
      </c>
      <c r="J18" s="1610" t="s">
        <v>11461</v>
      </c>
      <c r="K18" s="1610" t="s">
        <v>11462</v>
      </c>
      <c r="L18" s="1610" t="s">
        <v>11463</v>
      </c>
      <c r="M18" s="1832">
        <v>0.051909722222222225</v>
      </c>
      <c r="N18" s="1835" t="str">
        <f t="shared" si="1"/>
        <v>1:16</v>
      </c>
      <c r="O18" s="1664" t="s">
        <v>11379</v>
      </c>
    </row>
    <row r="19" ht="15.75" customHeight="1">
      <c r="A19" s="1672" t="s">
        <v>2267</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1876</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2829</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2104</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2585</v>
      </c>
      <c r="B31" s="1636" t="s">
        <v>9215</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11472</v>
      </c>
    </row>
    <row r="34" ht="15.75" customHeight="1">
      <c r="A34" s="1672" t="s">
        <v>3103</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11379</v>
      </c>
    </row>
    <row r="35" ht="15.75" customHeight="1">
      <c r="A35" s="996" t="s">
        <v>4060</v>
      </c>
      <c r="B35" s="1636" t="s">
        <v>9187</v>
      </c>
      <c r="C35" s="1833">
        <v>0.05238425925925926</v>
      </c>
      <c r="D35" s="1067" t="s">
        <v>11591</v>
      </c>
      <c r="E35" s="1611" t="s">
        <v>11565</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2652</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9187</v>
      </c>
      <c r="C37" s="1828">
        <v>0.05268518518518518</v>
      </c>
      <c r="D37" s="1093" t="s">
        <v>11608</v>
      </c>
      <c r="E37" s="1611" t="s">
        <v>11609</v>
      </c>
      <c r="F37" s="1610" t="s">
        <v>11610</v>
      </c>
      <c r="G37" s="1610" t="s">
        <v>11611</v>
      </c>
      <c r="H37" s="1610" t="s">
        <v>11612</v>
      </c>
      <c r="I37" s="1610" t="s">
        <v>7488</v>
      </c>
      <c r="J37" s="1610" t="s">
        <v>11613</v>
      </c>
      <c r="K37" s="1610" t="s">
        <v>11614</v>
      </c>
      <c r="L37" s="1610" t="s">
        <v>10488</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11379</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11379</v>
      </c>
    </row>
    <row r="40" ht="15.75" customHeight="1">
      <c r="A40" s="996" t="s">
        <v>1051</v>
      </c>
      <c r="B40" s="1804" t="s">
        <v>9215</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11224</v>
      </c>
      <c r="M41" s="1832">
        <v>0.06149305555555556</v>
      </c>
      <c r="N41" s="1835" t="str">
        <f t="shared" si="1"/>
        <v>5:46</v>
      </c>
      <c r="O41" s="1664" t="s">
        <v>11379</v>
      </c>
    </row>
    <row r="42" ht="15.75" customHeight="1">
      <c r="A42" s="996" t="s">
        <v>6556</v>
      </c>
      <c r="B42" s="1760" t="s">
        <v>11226</v>
      </c>
      <c r="C42" s="1861">
        <v>0.0609375</v>
      </c>
      <c r="D42" s="1768" t="s">
        <v>11649</v>
      </c>
      <c r="E42" s="1862" t="s">
        <v>9047</v>
      </c>
      <c r="F42" s="1862" t="s">
        <v>11650</v>
      </c>
      <c r="G42" s="1862" t="s">
        <v>11651</v>
      </c>
      <c r="H42" s="1862" t="s">
        <v>11652</v>
      </c>
      <c r="I42" s="1862" t="s">
        <v>8586</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7823</v>
      </c>
      <c r="E1" s="1891" t="s">
        <v>8181</v>
      </c>
      <c r="F1" s="1892" t="s">
        <v>38</v>
      </c>
      <c r="G1" s="1893" t="s">
        <v>36</v>
      </c>
      <c r="H1" s="1889" t="s">
        <v>11336</v>
      </c>
      <c r="I1" s="1894" t="s">
        <v>39</v>
      </c>
      <c r="J1" s="1786" t="s">
        <v>8102</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11557</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11549</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1876</v>
      </c>
      <c r="B6" s="1905" t="s">
        <v>9187</v>
      </c>
      <c r="C6" s="1906" t="s">
        <v>11371</v>
      </c>
      <c r="D6" s="1907" t="s">
        <v>11682</v>
      </c>
      <c r="E6" s="1908" t="s">
        <v>11683</v>
      </c>
      <c r="F6" s="1909" t="s">
        <v>11684</v>
      </c>
      <c r="G6" s="1910" t="s">
        <v>11685</v>
      </c>
      <c r="H6" s="1911" t="s">
        <v>11686</v>
      </c>
      <c r="I6" s="1912" t="s">
        <v>11687</v>
      </c>
      <c r="J6" s="1913" t="s">
        <v>11688</v>
      </c>
      <c r="K6" s="1610" t="s">
        <v>9368</v>
      </c>
      <c r="L6" s="1914" t="s">
        <v>11689</v>
      </c>
    </row>
    <row r="7" ht="15.75" customHeight="1">
      <c r="A7" s="1915" t="s">
        <v>6625</v>
      </c>
      <c r="B7" s="1636" t="s">
        <v>9187</v>
      </c>
      <c r="C7" s="1749" t="s">
        <v>11386</v>
      </c>
      <c r="D7" s="1610" t="s">
        <v>11690</v>
      </c>
      <c r="E7" s="1610" t="s">
        <v>11691</v>
      </c>
      <c r="F7" s="1610" t="s">
        <v>11692</v>
      </c>
      <c r="G7" s="1916" t="s">
        <v>11693</v>
      </c>
      <c r="H7" s="1916" t="s">
        <v>11694</v>
      </c>
      <c r="I7" s="1916" t="s">
        <v>11695</v>
      </c>
      <c r="J7" s="1916" t="s">
        <v>11696</v>
      </c>
      <c r="K7" s="1610" t="s">
        <v>9434</v>
      </c>
      <c r="L7" s="1664"/>
    </row>
    <row r="8" ht="15.75" customHeight="1">
      <c r="A8" s="996" t="s">
        <v>2464</v>
      </c>
      <c r="B8" s="1636" t="s">
        <v>9187</v>
      </c>
      <c r="C8" s="1829" t="s">
        <v>11365</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11380</v>
      </c>
      <c r="D9" s="1610" t="s">
        <v>11704</v>
      </c>
      <c r="E9" s="1610" t="s">
        <v>11705</v>
      </c>
      <c r="F9" s="1610" t="s">
        <v>11706</v>
      </c>
      <c r="G9" s="1916" t="s">
        <v>11707</v>
      </c>
      <c r="H9" s="1916" t="s">
        <v>11708</v>
      </c>
      <c r="I9" s="1916" t="s">
        <v>11709</v>
      </c>
      <c r="J9" s="1916" t="s">
        <v>11710</v>
      </c>
      <c r="K9" s="1610" t="s">
        <v>9327</v>
      </c>
      <c r="L9" s="1664"/>
    </row>
    <row r="10" ht="15.75" customHeight="1">
      <c r="A10" s="1772" t="s">
        <v>6790</v>
      </c>
      <c r="B10" s="1578" t="s">
        <v>9187</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9187</v>
      </c>
      <c r="C11" s="1924" t="s">
        <v>11419</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9187</v>
      </c>
      <c r="C12" s="1926" t="s">
        <v>11402</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2086</v>
      </c>
      <c r="B13" s="1578" t="s">
        <v>9187</v>
      </c>
      <c r="C13" s="1924" t="s">
        <v>11428</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2778</v>
      </c>
      <c r="B15" s="1578" t="s">
        <v>9187</v>
      </c>
      <c r="C15" s="1610" t="s">
        <v>11457</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9187</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7051</v>
      </c>
      <c r="B17" s="1578" t="s">
        <v>9187</v>
      </c>
      <c r="C17" s="1610" t="s">
        <v>11490</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9187</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2267</v>
      </c>
      <c r="B19" s="1725" t="s">
        <v>9187</v>
      </c>
      <c r="C19" s="1926" t="s">
        <v>11464</v>
      </c>
      <c r="D19" s="1610" t="s">
        <v>11784</v>
      </c>
      <c r="E19" s="1610" t="s">
        <v>11785</v>
      </c>
      <c r="F19" s="1610" t="s">
        <v>11786</v>
      </c>
      <c r="G19" s="1916" t="s">
        <v>11787</v>
      </c>
      <c r="H19" s="1916" t="s">
        <v>11788</v>
      </c>
      <c r="I19" s="1916" t="s">
        <v>11789</v>
      </c>
      <c r="J19" s="1916" t="s">
        <v>11790</v>
      </c>
      <c r="K19" s="1610" t="s">
        <v>9412</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9187</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9187</v>
      </c>
      <c r="C22" s="1610" t="s">
        <v>11500</v>
      </c>
      <c r="D22" s="1610" t="s">
        <v>11808</v>
      </c>
      <c r="E22" s="1610" t="s">
        <v>11809</v>
      </c>
      <c r="F22" s="1610" t="s">
        <v>11810</v>
      </c>
      <c r="G22" s="871" t="s">
        <v>11811</v>
      </c>
      <c r="H22" s="1906" t="s">
        <v>11812</v>
      </c>
      <c r="I22" s="1912" t="s">
        <v>11813</v>
      </c>
      <c r="J22" s="1913" t="s">
        <v>11814</v>
      </c>
      <c r="K22" s="1610" t="s">
        <v>9695</v>
      </c>
      <c r="L22" s="1664"/>
    </row>
    <row r="23">
      <c r="A23" s="1826" t="s">
        <v>2152</v>
      </c>
      <c r="B23" s="1725" t="s">
        <v>9215</v>
      </c>
      <c r="C23" s="1610" t="s">
        <v>11451</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9241</v>
      </c>
      <c r="C25" s="1719" t="s">
        <v>11549</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9187</v>
      </c>
      <c r="C26" s="1300" t="s">
        <v>11531</v>
      </c>
      <c r="D26" s="1610" t="s">
        <v>11827</v>
      </c>
      <c r="E26" s="1610" t="s">
        <v>11828</v>
      </c>
      <c r="F26" s="1610" t="s">
        <v>11829</v>
      </c>
      <c r="G26" s="871" t="s">
        <v>11811</v>
      </c>
      <c r="H26" s="1906" t="s">
        <v>11830</v>
      </c>
      <c r="I26" s="1912" t="s">
        <v>11831</v>
      </c>
      <c r="J26" s="1913" t="s">
        <v>11832</v>
      </c>
      <c r="K26" s="1610" t="s">
        <v>10191</v>
      </c>
      <c r="L26" s="1664"/>
    </row>
    <row r="27" ht="15.75" customHeight="1">
      <c r="A27" s="1672" t="s">
        <v>2998</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3103</v>
      </c>
      <c r="B28" s="1840" t="s">
        <v>9215</v>
      </c>
      <c r="C28" s="1926" t="s">
        <v>11843</v>
      </c>
      <c r="D28" s="1610"/>
      <c r="E28" s="1610" t="s">
        <v>11844</v>
      </c>
      <c r="F28" s="1610" t="s">
        <v>11845</v>
      </c>
      <c r="G28" s="871"/>
      <c r="H28" s="1906"/>
      <c r="I28" s="1912"/>
      <c r="J28" s="1913"/>
      <c r="K28" s="1610" t="s">
        <v>10326</v>
      </c>
      <c r="L28" s="1664"/>
    </row>
    <row r="29" ht="15.75" customHeight="1">
      <c r="A29" s="1672" t="s">
        <v>2652</v>
      </c>
      <c r="B29" s="1636" t="s">
        <v>9187</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2585</v>
      </c>
      <c r="B30" s="1717" t="s">
        <v>9215</v>
      </c>
      <c r="C30" s="1848" t="s">
        <v>11557</v>
      </c>
      <c r="D30" s="1610" t="s">
        <v>11855</v>
      </c>
      <c r="E30" s="1610" t="s">
        <v>11856</v>
      </c>
      <c r="F30" s="1610" t="s">
        <v>11857</v>
      </c>
      <c r="G30" s="871" t="s">
        <v>11858</v>
      </c>
      <c r="H30" s="1906" t="s">
        <v>11859</v>
      </c>
      <c r="I30" s="1912" t="s">
        <v>11860</v>
      </c>
      <c r="J30" s="1913" t="s">
        <v>11861</v>
      </c>
      <c r="K30" s="1610" t="s">
        <v>10169</v>
      </c>
      <c r="L30" s="1664"/>
    </row>
    <row r="31" ht="15.75" customHeight="1">
      <c r="A31" s="1672" t="s">
        <v>5347</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11225</v>
      </c>
      <c r="L32" s="1664" t="s">
        <v>11879</v>
      </c>
    </row>
    <row r="33" ht="15.75" customHeight="1">
      <c r="A33" s="996" t="s">
        <v>5796</v>
      </c>
      <c r="B33" s="1760" t="s">
        <v>11226</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6556</v>
      </c>
      <c r="B34" s="1760" t="s">
        <v>11226</v>
      </c>
      <c r="C34" s="1934" t="s">
        <v>11890</v>
      </c>
      <c r="D34" s="1849" t="s">
        <v>11891</v>
      </c>
      <c r="E34" s="1849" t="s">
        <v>11892</v>
      </c>
      <c r="F34" s="1849" t="s">
        <v>11893</v>
      </c>
      <c r="G34" s="1935" t="s">
        <v>11894</v>
      </c>
      <c r="K34" s="1849" t="s">
        <v>11303</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4357</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4357</v>
      </c>
      <c r="D13" s="1961" t="s">
        <v>11920</v>
      </c>
      <c r="E13" s="1960" t="s">
        <v>11904</v>
      </c>
      <c r="F13" s="1962">
        <v>44250.0</v>
      </c>
    </row>
    <row r="14" ht="15.75" customHeight="1">
      <c r="A14" s="1958" t="s">
        <v>11921</v>
      </c>
      <c r="B14" s="1963" t="s">
        <v>11906</v>
      </c>
      <c r="C14" s="1960" t="s">
        <v>4271</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5378</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5347</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6760</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2267</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4357</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6424</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2503</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6343</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5378</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6408</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2192</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5378</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4139</v>
      </c>
      <c r="D127" s="1983">
        <v>0.06892361111111112</v>
      </c>
      <c r="E127" s="1960" t="s">
        <v>11914</v>
      </c>
      <c r="F127" s="1962">
        <v>44652.0</v>
      </c>
    </row>
    <row r="128">
      <c r="A128" s="1982"/>
      <c r="B128" s="1964" t="s">
        <v>11909</v>
      </c>
      <c r="C128" s="1969" t="s">
        <v>5496</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2503</v>
      </c>
      <c r="D133" s="1988" t="s">
        <v>11985</v>
      </c>
      <c r="E133" s="1960" t="s">
        <v>11904</v>
      </c>
      <c r="F133" s="1962">
        <v>45152.0</v>
      </c>
    </row>
    <row r="134">
      <c r="A134" s="1982"/>
      <c r="B134" s="1963" t="s">
        <v>11906</v>
      </c>
      <c r="C134" s="1960" t="s">
        <v>4271</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2503</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